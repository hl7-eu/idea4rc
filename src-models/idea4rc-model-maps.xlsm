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9.xml" ContentType="application/vnd.openxmlformats-officedocument.drawing+xml"/>
  <Override PartName="/xl/ctrlProps/ctrlProp14.xml" ContentType="application/vnd.ms-excel.controlproperties+xml"/>
  <Override PartName="/xl/drawings/drawing10.xml" ContentType="application/vnd.openxmlformats-officedocument.drawing+xml"/>
  <Override PartName="/xl/ctrlProps/ctrlProp15.xml" ContentType="application/vnd.ms-excel.controlproperties+xml"/>
  <Override PartName="/xl/drawings/drawing11.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12.xml" ContentType="application/vnd.openxmlformats-officedocument.drawing+xml"/>
  <Override PartName="/xl/ctrlProps/ctrlProp1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idea4rc\src-models\"/>
    </mc:Choice>
  </mc:AlternateContent>
  <xr:revisionPtr revIDLastSave="0" documentId="13_ncr:1_{D89ECE1F-4009-46B0-A82F-B0BC65B23AD7}" xr6:coauthVersionLast="47" xr6:coauthVersionMax="47" xr10:uidLastSave="{00000000-0000-0000-0000-000000000000}"/>
  <bookViews>
    <workbookView xWindow="-90" yWindow="-21710" windowWidth="38620" windowHeight="21100" tabRatio="819" firstSheet="7" activeTab="9" xr2:uid="{82F0A5E9-86C8-45A2-AB20-6CF6AA2FD42B}"/>
  </bookViews>
  <sheets>
    <sheet name="CancerUnderStudy-test" sheetId="156" r:id="rId1"/>
    <sheet name="CancerUnderStudy-Map-1-test" sheetId="157" r:id="rId2"/>
    <sheet name="CancerUnderStudy-fsh-test" sheetId="158" r:id="rId3"/>
    <sheet name=" 4. Cancer under study" sheetId="150" r:id="rId4"/>
    <sheet name="2.Demographic &amp; life style" sheetId="137" r:id="rId5"/>
    <sheet name="OsirisDataElementConcept" sheetId="139" r:id="rId6"/>
    <sheet name="Common" sheetId="114" r:id="rId7"/>
    <sheet name="CancerUnderStudy" sheetId="151" r:id="rId8"/>
    <sheet name="CancerUnderStudy-Map-1" sheetId="152" r:id="rId9"/>
    <sheet name="CancerUnderStudy-fsh" sheetId="153" r:id="rId10"/>
    <sheet name="CancerUnderStudy-ConceptMap" sheetId="154" r:id="rId11"/>
    <sheet name="CancerUnderStudy-CM-fsh" sheetId="155" r:id="rId12"/>
    <sheet name="Subject" sheetId="108" r:id="rId13"/>
    <sheet name="Subject-Map-1" sheetId="109" r:id="rId14"/>
    <sheet name="Subject-fsh" sheetId="110" r:id="rId15"/>
    <sheet name="Subject-ConceptMap" sheetId="148" r:id="rId16"/>
    <sheet name="Subject-CM-fsh" sheetId="149" r:id="rId17"/>
    <sheet name="Staging" sheetId="159" r:id="rId18"/>
    <sheet name="Staging-Map-1" sheetId="160" r:id="rId19"/>
    <sheet name="Staging-fsh" sheetId="161" r:id="rId20"/>
    <sheet name="Staging-ConceptMap" sheetId="162" r:id="rId21"/>
    <sheet name="Staging-CM-fsh" sheetId="163" r:id="rId22"/>
    <sheet name="Treatment" sheetId="164" r:id="rId23"/>
    <sheet name="Treatment-Map-1" sheetId="165" r:id="rId24"/>
    <sheet name="Treatment-fsh" sheetId="166" r:id="rId25"/>
    <sheet name="Treatment-ConceptMap" sheetId="167" r:id="rId26"/>
    <sheet name="Treatment-CM-fsh" sheetId="168" r:id="rId27"/>
    <sheet name="ConvertOsiris" sheetId="138" r:id="rId28"/>
    <sheet name="Osiris" sheetId="141" r:id="rId29"/>
    <sheet name="Osiris-Map" sheetId="142" r:id="rId30"/>
    <sheet name="Osiris-fsh-noMap" sheetId="144" r:id="rId31"/>
    <sheet name="Osiris-fsh" sheetId="143" r:id="rId32"/>
    <sheet name="Osiris-ConceptMap" sheetId="145" r:id="rId33"/>
    <sheet name="Osiris-CM-fsh" sheetId="147" r:id="rId34"/>
    <sheet name="Foglio2" sheetId="146" r:id="rId35"/>
  </sheets>
  <definedNames>
    <definedName name="_xlnm._FilterDatabase" localSheetId="4" hidden="1">'2.Demographic &amp; life style'!$A$2:$S$47</definedName>
    <definedName name="_xlnm._FilterDatabase" localSheetId="27" hidden="1">ConvertOsiris!$D$2:$U$232</definedName>
    <definedName name="DatiEsterni_1" localSheetId="5"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537" i="166" l="1"/>
  <c r="C538" i="166"/>
  <c r="C539" i="166"/>
  <c r="C540" i="166"/>
  <c r="C353" i="166"/>
  <c r="C354" i="166"/>
  <c r="C355" i="166"/>
  <c r="C170" i="166"/>
  <c r="C171" i="166"/>
  <c r="C172" i="166"/>
  <c r="C173" i="166"/>
  <c r="C174" i="166"/>
  <c r="C175" i="166"/>
  <c r="C176" i="166"/>
  <c r="C177" i="166"/>
  <c r="C162" i="166"/>
  <c r="L171" i="164"/>
  <c r="L172" i="164"/>
  <c r="L173" i="164"/>
  <c r="L174" i="164"/>
  <c r="L175" i="164"/>
  <c r="L176" i="164"/>
  <c r="L177" i="164"/>
  <c r="J171" i="164"/>
  <c r="J172" i="164"/>
  <c r="J173" i="164"/>
  <c r="J174" i="164"/>
  <c r="J175" i="164"/>
  <c r="J176" i="164"/>
  <c r="J177" i="164"/>
  <c r="J102" i="164"/>
  <c r="C102" i="166" s="1"/>
  <c r="J103" i="164"/>
  <c r="C103" i="166" s="1"/>
  <c r="J104" i="164"/>
  <c r="L104" i="164" s="1"/>
  <c r="C286" i="166" s="1"/>
  <c r="J105" i="164"/>
  <c r="L105" i="164" s="1"/>
  <c r="C287" i="166" s="1"/>
  <c r="J106" i="164"/>
  <c r="L106" i="164" s="1"/>
  <c r="C288" i="166" s="1"/>
  <c r="J107" i="164"/>
  <c r="C107" i="166" s="1"/>
  <c r="J108" i="164"/>
  <c r="C108" i="166" s="1"/>
  <c r="J109" i="164"/>
  <c r="C109" i="166" s="1"/>
  <c r="J110" i="164"/>
  <c r="C110" i="166" s="1"/>
  <c r="J111" i="164"/>
  <c r="C111" i="166" s="1"/>
  <c r="J112" i="164"/>
  <c r="L112" i="164" s="1"/>
  <c r="C294" i="166" s="1"/>
  <c r="J113" i="164"/>
  <c r="L113" i="164" s="1"/>
  <c r="C295" i="166" s="1"/>
  <c r="J114" i="164"/>
  <c r="C114" i="166" s="1"/>
  <c r="J115" i="164"/>
  <c r="C115" i="166" s="1"/>
  <c r="J116" i="164"/>
  <c r="L116" i="164" s="1"/>
  <c r="C298" i="166" s="1"/>
  <c r="J117" i="164"/>
  <c r="L117" i="164" s="1"/>
  <c r="C299" i="166" s="1"/>
  <c r="J118" i="164"/>
  <c r="L118" i="164" s="1"/>
  <c r="C300" i="166" s="1"/>
  <c r="J119" i="164"/>
  <c r="L119" i="164" s="1"/>
  <c r="C301" i="166" s="1"/>
  <c r="J120" i="164"/>
  <c r="L120" i="164" s="1"/>
  <c r="C302" i="166" s="1"/>
  <c r="J121" i="164"/>
  <c r="C121" i="166" s="1"/>
  <c r="J122" i="164"/>
  <c r="C122" i="166" s="1"/>
  <c r="J123" i="164"/>
  <c r="C123" i="166" s="1"/>
  <c r="J124" i="164"/>
  <c r="L124" i="164" s="1"/>
  <c r="C306" i="166" s="1"/>
  <c r="J125" i="164"/>
  <c r="L125" i="164" s="1"/>
  <c r="C307" i="166" s="1"/>
  <c r="J126" i="164"/>
  <c r="L126" i="164" s="1"/>
  <c r="C308" i="166" s="1"/>
  <c r="J127" i="164"/>
  <c r="L127" i="164" s="1"/>
  <c r="C309" i="166" s="1"/>
  <c r="J128" i="164"/>
  <c r="L128" i="164" s="1"/>
  <c r="C310" i="166" s="1"/>
  <c r="J129" i="164"/>
  <c r="C129" i="166" s="1"/>
  <c r="J130" i="164"/>
  <c r="C130" i="166" s="1"/>
  <c r="J131" i="164"/>
  <c r="C131" i="166" s="1"/>
  <c r="J132" i="164"/>
  <c r="L132" i="164" s="1"/>
  <c r="C314" i="166" s="1"/>
  <c r="J133" i="164"/>
  <c r="L133" i="164" s="1"/>
  <c r="C315" i="166" s="1"/>
  <c r="J134" i="164"/>
  <c r="C134" i="166" s="1"/>
  <c r="J135" i="164"/>
  <c r="C135" i="166" s="1"/>
  <c r="J136" i="164"/>
  <c r="C136" i="166" s="1"/>
  <c r="J137" i="164"/>
  <c r="C137" i="166" s="1"/>
  <c r="J138" i="164"/>
  <c r="C138" i="166" s="1"/>
  <c r="J139" i="164"/>
  <c r="C139" i="166" s="1"/>
  <c r="J140" i="164"/>
  <c r="C140" i="166" s="1"/>
  <c r="J141" i="164"/>
  <c r="C141" i="166" s="1"/>
  <c r="J142" i="164"/>
  <c r="C142" i="166" s="1"/>
  <c r="J143" i="164"/>
  <c r="C143" i="166" s="1"/>
  <c r="J144" i="164"/>
  <c r="C144" i="166" s="1"/>
  <c r="J145" i="164"/>
  <c r="C145" i="166" s="1"/>
  <c r="J146" i="164"/>
  <c r="L146" i="164" s="1"/>
  <c r="C328" i="166" s="1"/>
  <c r="J147" i="164"/>
  <c r="C147" i="166" s="1"/>
  <c r="J148" i="164"/>
  <c r="C148" i="166" s="1"/>
  <c r="J149" i="164"/>
  <c r="C149" i="166" s="1"/>
  <c r="J150" i="164"/>
  <c r="C150" i="166" s="1"/>
  <c r="J151" i="164"/>
  <c r="C151" i="166" s="1"/>
  <c r="J152" i="164"/>
  <c r="C152" i="166" s="1"/>
  <c r="J153" i="164"/>
  <c r="C153" i="166" s="1"/>
  <c r="J154" i="164"/>
  <c r="C154" i="166" s="1"/>
  <c r="J155" i="164"/>
  <c r="C155" i="166" s="1"/>
  <c r="J156" i="164"/>
  <c r="C156" i="166" s="1"/>
  <c r="J157" i="164"/>
  <c r="C157" i="166" s="1"/>
  <c r="J158" i="164"/>
  <c r="C158" i="166" s="1"/>
  <c r="J159" i="164"/>
  <c r="C159" i="166" s="1"/>
  <c r="J160" i="164"/>
  <c r="C160" i="166" s="1"/>
  <c r="J161" i="164"/>
  <c r="C161" i="166" s="1"/>
  <c r="J162" i="164"/>
  <c r="L162" i="164" s="1"/>
  <c r="C344" i="166" s="1"/>
  <c r="J163" i="164"/>
  <c r="C163" i="166" s="1"/>
  <c r="J164" i="164"/>
  <c r="C164" i="166" s="1"/>
  <c r="J165" i="164"/>
  <c r="C165" i="166" s="1"/>
  <c r="J166" i="164"/>
  <c r="C166" i="166" s="1"/>
  <c r="J167" i="164"/>
  <c r="C167" i="166" s="1"/>
  <c r="J168" i="164"/>
  <c r="C168" i="166" s="1"/>
  <c r="J169" i="164"/>
  <c r="C169" i="166" s="1"/>
  <c r="J170" i="164"/>
  <c r="L170" i="164" s="1"/>
  <c r="C352" i="166" s="1"/>
  <c r="J98" i="164"/>
  <c r="C98" i="166" s="1"/>
  <c r="J99" i="164"/>
  <c r="C99" i="166" s="1"/>
  <c r="J100" i="164"/>
  <c r="C100" i="166" s="1"/>
  <c r="J101" i="164"/>
  <c r="C101" i="166" s="1"/>
  <c r="E173" i="165"/>
  <c r="E174" i="165"/>
  <c r="E175" i="165"/>
  <c r="E176" i="165"/>
  <c r="E177" i="165"/>
  <c r="B171" i="165"/>
  <c r="E171" i="165" s="1"/>
  <c r="C535" i="166" s="1"/>
  <c r="B172" i="165"/>
  <c r="E172" i="165" s="1"/>
  <c r="C536" i="166" s="1"/>
  <c r="B156" i="165"/>
  <c r="E156" i="165" s="1"/>
  <c r="C520" i="166" s="1"/>
  <c r="B157" i="165"/>
  <c r="E157" i="165" s="1"/>
  <c r="C521" i="166" s="1"/>
  <c r="B158" i="165"/>
  <c r="E158" i="165" s="1"/>
  <c r="C522" i="166" s="1"/>
  <c r="B159" i="165"/>
  <c r="E159" i="165" s="1"/>
  <c r="C523" i="166" s="1"/>
  <c r="B160" i="165"/>
  <c r="E160" i="165" s="1"/>
  <c r="C524" i="166" s="1"/>
  <c r="B161" i="165"/>
  <c r="E161" i="165" s="1"/>
  <c r="C525" i="166" s="1"/>
  <c r="B162" i="165"/>
  <c r="E162" i="165" s="1"/>
  <c r="C526" i="166" s="1"/>
  <c r="B163" i="165"/>
  <c r="E163" i="165" s="1"/>
  <c r="C527" i="166" s="1"/>
  <c r="B164" i="165"/>
  <c r="E164" i="165" s="1"/>
  <c r="C528" i="166" s="1"/>
  <c r="B165" i="165"/>
  <c r="E165" i="165" s="1"/>
  <c r="C529" i="166" s="1"/>
  <c r="B166" i="165"/>
  <c r="E166" i="165" s="1"/>
  <c r="C530" i="166" s="1"/>
  <c r="B167" i="165"/>
  <c r="E167" i="165" s="1"/>
  <c r="C531" i="166" s="1"/>
  <c r="B168" i="165"/>
  <c r="E168" i="165" s="1"/>
  <c r="C532" i="166" s="1"/>
  <c r="B169" i="165"/>
  <c r="E169" i="165" s="1"/>
  <c r="C533" i="166" s="1"/>
  <c r="B170" i="165"/>
  <c r="E170" i="165" s="1"/>
  <c r="C534" i="166" s="1"/>
  <c r="B148" i="165"/>
  <c r="E148" i="165" s="1"/>
  <c r="C512" i="166" s="1"/>
  <c r="B149" i="165"/>
  <c r="E149" i="165" s="1"/>
  <c r="C513" i="166" s="1"/>
  <c r="B150" i="165"/>
  <c r="E150" i="165" s="1"/>
  <c r="C514" i="166" s="1"/>
  <c r="B151" i="165"/>
  <c r="E151" i="165" s="1"/>
  <c r="C515" i="166" s="1"/>
  <c r="B152" i="165"/>
  <c r="E152" i="165" s="1"/>
  <c r="C516" i="166" s="1"/>
  <c r="B153" i="165"/>
  <c r="E153" i="165" s="1"/>
  <c r="C517" i="166" s="1"/>
  <c r="B154" i="165"/>
  <c r="E154" i="165" s="1"/>
  <c r="C518" i="166" s="1"/>
  <c r="B155" i="165"/>
  <c r="E155" i="165" s="1"/>
  <c r="C519" i="166" s="1"/>
  <c r="B141" i="165"/>
  <c r="E141" i="165" s="1"/>
  <c r="C505" i="166" s="1"/>
  <c r="B142" i="165"/>
  <c r="E142" i="165" s="1"/>
  <c r="C506" i="166" s="1"/>
  <c r="B143" i="165"/>
  <c r="E143" i="165" s="1"/>
  <c r="C507" i="166" s="1"/>
  <c r="B144" i="165"/>
  <c r="E144" i="165" s="1"/>
  <c r="C508" i="166" s="1"/>
  <c r="B145" i="165"/>
  <c r="E145" i="165" s="1"/>
  <c r="C509" i="166" s="1"/>
  <c r="B146" i="165"/>
  <c r="E146" i="165" s="1"/>
  <c r="C510" i="166" s="1"/>
  <c r="B147" i="165"/>
  <c r="E147" i="165" s="1"/>
  <c r="C511" i="166" s="1"/>
  <c r="B133" i="165"/>
  <c r="E133" i="165" s="1"/>
  <c r="C497" i="166" s="1"/>
  <c r="B134" i="165"/>
  <c r="E134" i="165" s="1"/>
  <c r="C498" i="166" s="1"/>
  <c r="B135" i="165"/>
  <c r="E135" i="165" s="1"/>
  <c r="C499" i="166" s="1"/>
  <c r="B136" i="165"/>
  <c r="E136" i="165" s="1"/>
  <c r="C500" i="166" s="1"/>
  <c r="B137" i="165"/>
  <c r="E137" i="165" s="1"/>
  <c r="C501" i="166" s="1"/>
  <c r="B138" i="165"/>
  <c r="E138" i="165" s="1"/>
  <c r="C502" i="166" s="1"/>
  <c r="B139" i="165"/>
  <c r="E139" i="165" s="1"/>
  <c r="C503" i="166" s="1"/>
  <c r="B140" i="165"/>
  <c r="E140" i="165" s="1"/>
  <c r="C504" i="166" s="1"/>
  <c r="B123" i="165"/>
  <c r="E123" i="165" s="1"/>
  <c r="C487" i="166" s="1"/>
  <c r="B124" i="165"/>
  <c r="E124" i="165" s="1"/>
  <c r="C488" i="166" s="1"/>
  <c r="B125" i="165"/>
  <c r="E125" i="165" s="1"/>
  <c r="C489" i="166" s="1"/>
  <c r="B126" i="165"/>
  <c r="E126" i="165" s="1"/>
  <c r="C490" i="166" s="1"/>
  <c r="B127" i="165"/>
  <c r="E127" i="165" s="1"/>
  <c r="C491" i="166" s="1"/>
  <c r="B128" i="165"/>
  <c r="E128" i="165" s="1"/>
  <c r="C492" i="166" s="1"/>
  <c r="B129" i="165"/>
  <c r="E129" i="165" s="1"/>
  <c r="C493" i="166" s="1"/>
  <c r="B130" i="165"/>
  <c r="E130" i="165" s="1"/>
  <c r="C494" i="166" s="1"/>
  <c r="B131" i="165"/>
  <c r="E131" i="165" s="1"/>
  <c r="C495" i="166" s="1"/>
  <c r="B132" i="165"/>
  <c r="E132" i="165" s="1"/>
  <c r="C496" i="166" s="1"/>
  <c r="B111" i="165"/>
  <c r="E111" i="165" s="1"/>
  <c r="C475" i="166" s="1"/>
  <c r="B112" i="165"/>
  <c r="E112" i="165" s="1"/>
  <c r="C476" i="166" s="1"/>
  <c r="B113" i="165"/>
  <c r="E113" i="165" s="1"/>
  <c r="C477" i="166" s="1"/>
  <c r="B114" i="165"/>
  <c r="E114" i="165" s="1"/>
  <c r="C478" i="166" s="1"/>
  <c r="B115" i="165"/>
  <c r="E115" i="165" s="1"/>
  <c r="C479" i="166" s="1"/>
  <c r="B116" i="165"/>
  <c r="E116" i="165" s="1"/>
  <c r="C480" i="166" s="1"/>
  <c r="B117" i="165"/>
  <c r="E117" i="165" s="1"/>
  <c r="C481" i="166" s="1"/>
  <c r="B118" i="165"/>
  <c r="E118" i="165" s="1"/>
  <c r="C482" i="166" s="1"/>
  <c r="B119" i="165"/>
  <c r="E119" i="165" s="1"/>
  <c r="C483" i="166" s="1"/>
  <c r="B120" i="165"/>
  <c r="E120" i="165" s="1"/>
  <c r="C484" i="166" s="1"/>
  <c r="B121" i="165"/>
  <c r="E121" i="165" s="1"/>
  <c r="C485" i="166" s="1"/>
  <c r="B122" i="165"/>
  <c r="E122" i="165" s="1"/>
  <c r="C486" i="166" s="1"/>
  <c r="B101" i="165"/>
  <c r="E101" i="165" s="1"/>
  <c r="C465" i="166" s="1"/>
  <c r="B102" i="165"/>
  <c r="E102" i="165" s="1"/>
  <c r="C466" i="166" s="1"/>
  <c r="B103" i="165"/>
  <c r="E103" i="165" s="1"/>
  <c r="C467" i="166" s="1"/>
  <c r="B104" i="165"/>
  <c r="E104" i="165" s="1"/>
  <c r="C468" i="166" s="1"/>
  <c r="B105" i="165"/>
  <c r="E105" i="165" s="1"/>
  <c r="C469" i="166" s="1"/>
  <c r="B106" i="165"/>
  <c r="E106" i="165" s="1"/>
  <c r="C470" i="166" s="1"/>
  <c r="B107" i="165"/>
  <c r="E107" i="165" s="1"/>
  <c r="C471" i="166" s="1"/>
  <c r="B108" i="165"/>
  <c r="E108" i="165" s="1"/>
  <c r="C472" i="166" s="1"/>
  <c r="B109" i="165"/>
  <c r="E109" i="165" s="1"/>
  <c r="C473" i="166" s="1"/>
  <c r="B110" i="165"/>
  <c r="E110" i="165" s="1"/>
  <c r="C474" i="166" s="1"/>
  <c r="B96" i="165"/>
  <c r="E96" i="165" s="1"/>
  <c r="C460" i="166" s="1"/>
  <c r="B97" i="165"/>
  <c r="E97" i="165" s="1"/>
  <c r="C461" i="166" s="1"/>
  <c r="B98" i="165"/>
  <c r="E98" i="165" s="1"/>
  <c r="C462" i="166" s="1"/>
  <c r="B99" i="165"/>
  <c r="E99" i="165" s="1"/>
  <c r="C463" i="166" s="1"/>
  <c r="B100" i="165"/>
  <c r="E100" i="165" s="1"/>
  <c r="C464" i="166" s="1"/>
  <c r="P184" i="167"/>
  <c r="O184" i="167"/>
  <c r="P183" i="167"/>
  <c r="O183" i="167"/>
  <c r="Q183" i="167" s="1" a="1"/>
  <c r="Q183" i="167" s="1"/>
  <c r="P182" i="167"/>
  <c r="O182" i="167"/>
  <c r="Q182" i="167" s="1" a="1"/>
  <c r="Q182" i="167" s="1"/>
  <c r="P181" i="167"/>
  <c r="O181" i="167"/>
  <c r="Q181" i="167" s="1" a="1"/>
  <c r="Q181" i="167" s="1"/>
  <c r="P180" i="167"/>
  <c r="O180" i="167"/>
  <c r="P179" i="167"/>
  <c r="O179" i="167"/>
  <c r="Q179" i="167" s="1" a="1"/>
  <c r="Q179" i="167" s="1"/>
  <c r="P178" i="167"/>
  <c r="O178" i="167"/>
  <c r="Q178" i="167" s="1" a="1"/>
  <c r="Q178" i="167" s="1"/>
  <c r="P177" i="167"/>
  <c r="O177" i="167"/>
  <c r="Q177" i="167" s="1" a="1"/>
  <c r="Q177" i="167" s="1"/>
  <c r="P176" i="167"/>
  <c r="O176" i="167"/>
  <c r="P175" i="167"/>
  <c r="O175" i="167"/>
  <c r="Q175" i="167" s="1" a="1"/>
  <c r="Q175" i="167" s="1"/>
  <c r="P174" i="167"/>
  <c r="O174" i="167"/>
  <c r="Q174" i="167" s="1" a="1"/>
  <c r="Q174" i="167" s="1"/>
  <c r="P173" i="167"/>
  <c r="O173" i="167"/>
  <c r="Q173" i="167" s="1" a="1"/>
  <c r="Q173" i="167" s="1"/>
  <c r="P172" i="167"/>
  <c r="O172" i="167"/>
  <c r="P171" i="167"/>
  <c r="O171" i="167"/>
  <c r="Q171" i="167" s="1" a="1"/>
  <c r="Q171" i="167" s="1"/>
  <c r="P170" i="167"/>
  <c r="O170" i="167"/>
  <c r="Q170" i="167" s="1" a="1"/>
  <c r="Q170" i="167" s="1"/>
  <c r="P169" i="167"/>
  <c r="O169" i="167"/>
  <c r="Q169" i="167" s="1" a="1"/>
  <c r="Q169" i="167" s="1"/>
  <c r="P168" i="167"/>
  <c r="O168" i="167"/>
  <c r="P167" i="167"/>
  <c r="O167" i="167"/>
  <c r="Q167" i="167" s="1" a="1"/>
  <c r="Q167" i="167" s="1"/>
  <c r="P166" i="167"/>
  <c r="O166" i="167"/>
  <c r="Q166" i="167" s="1" a="1"/>
  <c r="Q166" i="167" s="1"/>
  <c r="P165" i="167"/>
  <c r="O165" i="167"/>
  <c r="Q165" i="167" s="1" a="1"/>
  <c r="Q165" i="167" s="1"/>
  <c r="P164" i="167"/>
  <c r="O164" i="167"/>
  <c r="P163" i="167"/>
  <c r="O163" i="167"/>
  <c r="Q163" i="167" s="1" a="1"/>
  <c r="Q163" i="167" s="1"/>
  <c r="P162" i="167"/>
  <c r="O162" i="167"/>
  <c r="Q162" i="167" s="1" a="1"/>
  <c r="Q162" i="167" s="1"/>
  <c r="P161" i="167"/>
  <c r="O161" i="167"/>
  <c r="Q161" i="167" s="1" a="1"/>
  <c r="Q161" i="167" s="1"/>
  <c r="P160" i="167"/>
  <c r="O160" i="167"/>
  <c r="P159" i="167"/>
  <c r="O159" i="167"/>
  <c r="Q159" i="167" s="1" a="1"/>
  <c r="Q159" i="167" s="1"/>
  <c r="P158" i="167"/>
  <c r="O158" i="167"/>
  <c r="Q158" i="167" s="1" a="1"/>
  <c r="Q158" i="167" s="1"/>
  <c r="P157" i="167"/>
  <c r="O157" i="167"/>
  <c r="Q157" i="167" s="1" a="1"/>
  <c r="Q157" i="167" s="1"/>
  <c r="P156" i="167"/>
  <c r="O156" i="167"/>
  <c r="P155" i="167"/>
  <c r="O155" i="167"/>
  <c r="Q155" i="167" s="1" a="1"/>
  <c r="Q155" i="167" s="1"/>
  <c r="P154" i="167"/>
  <c r="O154" i="167"/>
  <c r="Q154" i="167" s="1" a="1"/>
  <c r="Q154" i="167" s="1"/>
  <c r="P153" i="167"/>
  <c r="O153" i="167"/>
  <c r="Q153" i="167" s="1" a="1"/>
  <c r="Q153" i="167" s="1"/>
  <c r="P152" i="167"/>
  <c r="O152" i="167"/>
  <c r="P151" i="167"/>
  <c r="O151" i="167"/>
  <c r="Q151" i="167" s="1" a="1"/>
  <c r="Q151" i="167" s="1"/>
  <c r="P150" i="167"/>
  <c r="O150" i="167"/>
  <c r="Q150" i="167" s="1" a="1"/>
  <c r="Q150" i="167" s="1"/>
  <c r="P149" i="167"/>
  <c r="O149" i="167"/>
  <c r="Q149" i="167" s="1" a="1"/>
  <c r="Q149" i="167" s="1"/>
  <c r="P148" i="167"/>
  <c r="O148" i="167"/>
  <c r="P147" i="167"/>
  <c r="O147" i="167"/>
  <c r="Q147" i="167" s="1" a="1"/>
  <c r="Q147" i="167" s="1"/>
  <c r="P146" i="167"/>
  <c r="O146" i="167"/>
  <c r="Q146" i="167" s="1" a="1"/>
  <c r="Q146" i="167" s="1"/>
  <c r="P145" i="167"/>
  <c r="O145" i="167"/>
  <c r="Q145" i="167" s="1" a="1"/>
  <c r="Q145" i="167" s="1"/>
  <c r="P144" i="167"/>
  <c r="O144" i="167"/>
  <c r="P143" i="167"/>
  <c r="O143" i="167"/>
  <c r="Q143" i="167" s="1" a="1"/>
  <c r="Q143" i="167" s="1"/>
  <c r="P142" i="167"/>
  <c r="O142" i="167"/>
  <c r="Q142" i="167" s="1" a="1"/>
  <c r="Q142" i="167" s="1"/>
  <c r="P141" i="167"/>
  <c r="O141" i="167"/>
  <c r="Q141" i="167" s="1" a="1"/>
  <c r="Q141" i="167" s="1"/>
  <c r="P140" i="167"/>
  <c r="O140" i="167"/>
  <c r="P139" i="167"/>
  <c r="O139" i="167"/>
  <c r="Q139" i="167" s="1" a="1"/>
  <c r="Q139" i="167" s="1"/>
  <c r="P138" i="167"/>
  <c r="O138" i="167"/>
  <c r="Q138" i="167" s="1" a="1"/>
  <c r="Q138" i="167" s="1"/>
  <c r="P137" i="167"/>
  <c r="O137" i="167"/>
  <c r="Q137" i="167" s="1" a="1"/>
  <c r="Q137" i="167" s="1"/>
  <c r="P136" i="167"/>
  <c r="O136" i="167"/>
  <c r="P135" i="167"/>
  <c r="O135" i="167"/>
  <c r="Q135" i="167" s="1" a="1"/>
  <c r="Q135" i="167" s="1"/>
  <c r="P134" i="167"/>
  <c r="O134" i="167"/>
  <c r="Q134" i="167" s="1" a="1"/>
  <c r="Q134" i="167" s="1"/>
  <c r="P133" i="167"/>
  <c r="O133" i="167"/>
  <c r="Q133" i="167" s="1" a="1"/>
  <c r="Q133" i="167" s="1"/>
  <c r="P132" i="167"/>
  <c r="O132" i="167"/>
  <c r="P131" i="167"/>
  <c r="O131" i="167"/>
  <c r="Q131" i="167" s="1" a="1"/>
  <c r="Q131" i="167" s="1"/>
  <c r="P130" i="167"/>
  <c r="O130" i="167"/>
  <c r="Q130" i="167" s="1" a="1"/>
  <c r="Q130" i="167" s="1"/>
  <c r="P129" i="167"/>
  <c r="O129" i="167"/>
  <c r="Q129" i="167" s="1" a="1"/>
  <c r="Q129" i="167" s="1"/>
  <c r="P128" i="167"/>
  <c r="O128" i="167"/>
  <c r="P127" i="167"/>
  <c r="O127" i="167"/>
  <c r="Q127" i="167" s="1" a="1"/>
  <c r="Q127" i="167" s="1"/>
  <c r="P126" i="167"/>
  <c r="O126" i="167"/>
  <c r="Q126" i="167" s="1" a="1"/>
  <c r="Q126" i="167" s="1"/>
  <c r="P125" i="167"/>
  <c r="O125" i="167"/>
  <c r="Q125" i="167" s="1" a="1"/>
  <c r="Q125" i="167" s="1"/>
  <c r="P124" i="167"/>
  <c r="O124" i="167"/>
  <c r="P123" i="167"/>
  <c r="O123" i="167"/>
  <c r="Q123" i="167" s="1" a="1"/>
  <c r="Q123" i="167" s="1"/>
  <c r="P122" i="167"/>
  <c r="O122" i="167"/>
  <c r="Q122" i="167" s="1" a="1"/>
  <c r="Q122" i="167" s="1"/>
  <c r="P121" i="167"/>
  <c r="O121" i="167"/>
  <c r="Q121" i="167" s="1" a="1"/>
  <c r="Q121" i="167" s="1"/>
  <c r="P120" i="167"/>
  <c r="O120" i="167"/>
  <c r="P119" i="167"/>
  <c r="O119" i="167"/>
  <c r="Q119" i="167" s="1" a="1"/>
  <c r="Q119" i="167" s="1"/>
  <c r="P118" i="167"/>
  <c r="O118" i="167"/>
  <c r="Q118" i="167" s="1" a="1"/>
  <c r="Q118" i="167" s="1"/>
  <c r="P117" i="167"/>
  <c r="O117" i="167"/>
  <c r="Q117" i="167" s="1" a="1"/>
  <c r="Q117" i="167" s="1"/>
  <c r="P116" i="167"/>
  <c r="O116" i="167"/>
  <c r="P115" i="167"/>
  <c r="O115" i="167"/>
  <c r="Q115" i="167" s="1" a="1"/>
  <c r="Q115" i="167" s="1"/>
  <c r="P114" i="167"/>
  <c r="O114" i="167"/>
  <c r="Q114" i="167" s="1" a="1"/>
  <c r="Q114" i="167" s="1"/>
  <c r="P113" i="167"/>
  <c r="O113" i="167"/>
  <c r="Q113" i="167" s="1" a="1"/>
  <c r="Q113" i="167" s="1"/>
  <c r="P112" i="167"/>
  <c r="O112" i="167"/>
  <c r="P111" i="167"/>
  <c r="O111" i="167"/>
  <c r="Q111" i="167" s="1" a="1"/>
  <c r="Q111" i="167" s="1"/>
  <c r="P110" i="167"/>
  <c r="O110" i="167"/>
  <c r="Q110" i="167" s="1" a="1"/>
  <c r="Q110" i="167" s="1"/>
  <c r="P109" i="167"/>
  <c r="O109" i="167"/>
  <c r="Q109" i="167" s="1" a="1"/>
  <c r="Q109" i="167" s="1"/>
  <c r="P108" i="167"/>
  <c r="O108" i="167"/>
  <c r="P107" i="167"/>
  <c r="O107" i="167"/>
  <c r="Q107" i="167" s="1" a="1"/>
  <c r="Q107" i="167" s="1"/>
  <c r="P106" i="167"/>
  <c r="O106" i="167"/>
  <c r="Q106" i="167" s="1" a="1"/>
  <c r="Q106" i="167" s="1"/>
  <c r="P105" i="167"/>
  <c r="O105" i="167"/>
  <c r="Q105" i="167" s="1" a="1"/>
  <c r="Q105" i="167" s="1"/>
  <c r="P104" i="167"/>
  <c r="O104" i="167"/>
  <c r="P103" i="167"/>
  <c r="O103" i="167"/>
  <c r="Q103" i="167" s="1" a="1"/>
  <c r="Q103" i="167" s="1"/>
  <c r="P102" i="167"/>
  <c r="O102" i="167"/>
  <c r="Q102" i="167" s="1" a="1"/>
  <c r="Q102" i="167" s="1"/>
  <c r="P101" i="167"/>
  <c r="O101" i="167"/>
  <c r="Q101" i="167" s="1" a="1"/>
  <c r="Q101" i="167" s="1"/>
  <c r="P100" i="167"/>
  <c r="O100" i="167"/>
  <c r="P99" i="167"/>
  <c r="O99" i="167"/>
  <c r="P98" i="167"/>
  <c r="O98" i="167"/>
  <c r="Q98" i="167" s="1" a="1"/>
  <c r="Q98" i="167" s="1"/>
  <c r="P97" i="167"/>
  <c r="O97" i="167"/>
  <c r="Q97" i="167" s="1" a="1"/>
  <c r="Q97" i="167" s="1"/>
  <c r="P96" i="167"/>
  <c r="Q96" i="167" s="1" a="1"/>
  <c r="Q96" i="167" s="1"/>
  <c r="O96" i="167"/>
  <c r="Q95" i="167" a="1"/>
  <c r="Q95" i="167" s="1"/>
  <c r="P95" i="167"/>
  <c r="O95" i="167"/>
  <c r="P94" i="167"/>
  <c r="O94" i="167"/>
  <c r="Q94" i="167" s="1" a="1"/>
  <c r="Q94" i="167" s="1"/>
  <c r="Q93" i="167" a="1"/>
  <c r="Q93" i="167" s="1"/>
  <c r="P93" i="167"/>
  <c r="O93" i="167"/>
  <c r="P92" i="167"/>
  <c r="O92" i="167"/>
  <c r="Q92" i="167" s="1" a="1"/>
  <c r="Q92" i="167" s="1"/>
  <c r="P91" i="167"/>
  <c r="O91" i="167"/>
  <c r="Q91" i="167" s="1" a="1"/>
  <c r="Q91" i="167" s="1"/>
  <c r="P90" i="167"/>
  <c r="O90" i="167"/>
  <c r="Q90" i="167" s="1" a="1"/>
  <c r="Q90" i="167" s="1"/>
  <c r="P89" i="167"/>
  <c r="O89" i="167"/>
  <c r="Q89" i="167" s="1" a="1"/>
  <c r="Q89" i="167" s="1"/>
  <c r="Q88" i="167" a="1"/>
  <c r="Q88" i="167" s="1"/>
  <c r="P88" i="167"/>
  <c r="O88" i="167"/>
  <c r="P87" i="167"/>
  <c r="Q87" i="167" s="1" a="1"/>
  <c r="Q87" i="167" s="1"/>
  <c r="O87" i="167"/>
  <c r="Q86" i="167" a="1"/>
  <c r="Q86" i="167" s="1"/>
  <c r="P86" i="167"/>
  <c r="O86" i="167"/>
  <c r="P85" i="167"/>
  <c r="O85" i="167"/>
  <c r="Q85" i="167" s="1" a="1"/>
  <c r="Q85" i="167" s="1"/>
  <c r="P84" i="167"/>
  <c r="O84" i="167"/>
  <c r="Q84" i="167" s="1" a="1"/>
  <c r="Q84" i="167" s="1"/>
  <c r="P83" i="167"/>
  <c r="O83" i="167"/>
  <c r="Q83" i="167" s="1" a="1"/>
  <c r="Q83" i="167" s="1"/>
  <c r="P82" i="167"/>
  <c r="O82" i="167"/>
  <c r="Q82" i="167" s="1" a="1"/>
  <c r="Q82" i="167" s="1"/>
  <c r="P81" i="167"/>
  <c r="O81" i="167"/>
  <c r="Q81" i="167" s="1" a="1"/>
  <c r="Q81" i="167" s="1"/>
  <c r="P80" i="167"/>
  <c r="O80" i="167"/>
  <c r="Q80" i="167" s="1" a="1"/>
  <c r="Q80" i="167" s="1"/>
  <c r="Q79" i="167" a="1"/>
  <c r="Q79" i="167" s="1"/>
  <c r="P79" i="167"/>
  <c r="O79" i="167"/>
  <c r="P78" i="167"/>
  <c r="O78" i="167"/>
  <c r="Q78" i="167" s="1" a="1"/>
  <c r="Q78" i="167" s="1"/>
  <c r="Q77" i="167" a="1"/>
  <c r="Q77" i="167" s="1"/>
  <c r="P77" i="167"/>
  <c r="O77" i="167"/>
  <c r="P76" i="167"/>
  <c r="O76" i="167"/>
  <c r="Q76" i="167" s="1" a="1"/>
  <c r="Q76" i="167" s="1"/>
  <c r="P75" i="167"/>
  <c r="O75" i="167"/>
  <c r="Q75" i="167" s="1" a="1"/>
  <c r="Q75" i="167" s="1"/>
  <c r="P74" i="167"/>
  <c r="O74" i="167"/>
  <c r="Q74" i="167" s="1" a="1"/>
  <c r="Q74" i="167" s="1"/>
  <c r="P73" i="167"/>
  <c r="O73" i="167"/>
  <c r="Q73" i="167" s="1" a="1"/>
  <c r="Q73" i="167" s="1"/>
  <c r="Q72" i="167" a="1"/>
  <c r="Q72" i="167" s="1"/>
  <c r="P72" i="167"/>
  <c r="O72" i="167"/>
  <c r="P71" i="167"/>
  <c r="O71" i="167"/>
  <c r="Q71" i="167" s="1" a="1"/>
  <c r="Q71" i="167" s="1"/>
  <c r="Q70" i="167" a="1"/>
  <c r="Q70" i="167" s="1"/>
  <c r="P70" i="167"/>
  <c r="O70" i="167"/>
  <c r="P69" i="167"/>
  <c r="O69" i="167"/>
  <c r="Q69" i="167" s="1" a="1"/>
  <c r="Q69" i="167" s="1"/>
  <c r="P68" i="167"/>
  <c r="O68" i="167"/>
  <c r="Q68" i="167" s="1" a="1"/>
  <c r="Q68" i="167" s="1"/>
  <c r="P67" i="167"/>
  <c r="O67" i="167"/>
  <c r="Q67" i="167" s="1" a="1"/>
  <c r="Q67" i="167" s="1"/>
  <c r="P66" i="167"/>
  <c r="O66" i="167"/>
  <c r="Q66" i="167" s="1" a="1"/>
  <c r="Q66" i="167" s="1"/>
  <c r="P65" i="167"/>
  <c r="O65" i="167"/>
  <c r="Q65" i="167" s="1" a="1"/>
  <c r="Q65" i="167" s="1"/>
  <c r="P64" i="167"/>
  <c r="O64" i="167"/>
  <c r="Q64" i="167" s="1" a="1"/>
  <c r="Q64" i="167" s="1"/>
  <c r="Q63" i="167" a="1"/>
  <c r="Q63" i="167" s="1"/>
  <c r="P63" i="167"/>
  <c r="O63" i="167"/>
  <c r="P62" i="167"/>
  <c r="O62" i="167"/>
  <c r="Q62" i="167" s="1" a="1"/>
  <c r="Q62" i="167" s="1"/>
  <c r="Q61" i="167" a="1"/>
  <c r="Q61" i="167" s="1"/>
  <c r="P61" i="167"/>
  <c r="O61" i="167"/>
  <c r="P60" i="167"/>
  <c r="O60" i="167"/>
  <c r="Q60" i="167" s="1" a="1"/>
  <c r="Q60" i="167" s="1"/>
  <c r="P59" i="167"/>
  <c r="O59" i="167"/>
  <c r="Q59" i="167" s="1" a="1"/>
  <c r="Q59" i="167" s="1"/>
  <c r="P58" i="167"/>
  <c r="O58" i="167"/>
  <c r="Q58" i="167" s="1" a="1"/>
  <c r="Q58" i="167" s="1"/>
  <c r="P57" i="167"/>
  <c r="O57" i="167"/>
  <c r="Q57" i="167" s="1" a="1"/>
  <c r="Q57" i="167" s="1"/>
  <c r="Q56" i="167" a="1"/>
  <c r="Q56" i="167" s="1"/>
  <c r="P56" i="167"/>
  <c r="O56" i="167"/>
  <c r="P55" i="167"/>
  <c r="O55" i="167"/>
  <c r="Q55" i="167" s="1" a="1"/>
  <c r="Q55" i="167" s="1"/>
  <c r="Q54" i="167" a="1"/>
  <c r="Q54" i="167" s="1"/>
  <c r="P54" i="167"/>
  <c r="O54" i="167"/>
  <c r="P53" i="167"/>
  <c r="O53" i="167"/>
  <c r="Q53" i="167" s="1" a="1"/>
  <c r="Q53" i="167" s="1"/>
  <c r="P52" i="167"/>
  <c r="O52" i="167"/>
  <c r="Q52" i="167" s="1" a="1"/>
  <c r="Q52" i="167" s="1"/>
  <c r="B62" i="168" s="1"/>
  <c r="P51" i="167"/>
  <c r="O51" i="167"/>
  <c r="Q51" i="167" s="1" a="1"/>
  <c r="Q51" i="167" s="1"/>
  <c r="B61" i="168" s="1"/>
  <c r="P50" i="167"/>
  <c r="O50" i="167"/>
  <c r="Q50" i="167" s="1" a="1"/>
  <c r="Q50" i="167" s="1"/>
  <c r="B60" i="168" s="1"/>
  <c r="P49" i="167"/>
  <c r="O49" i="167"/>
  <c r="Q49" i="167" s="1" a="1"/>
  <c r="Q49" i="167" s="1"/>
  <c r="B59" i="168" s="1"/>
  <c r="P48" i="167"/>
  <c r="O48" i="167"/>
  <c r="Q48" i="167" s="1" a="1"/>
  <c r="Q48" i="167" s="1"/>
  <c r="B58" i="168" s="1"/>
  <c r="P47" i="167"/>
  <c r="O47" i="167"/>
  <c r="P46" i="167"/>
  <c r="O46" i="167"/>
  <c r="P45" i="167"/>
  <c r="O45" i="167"/>
  <c r="P44" i="167"/>
  <c r="O44" i="167"/>
  <c r="Q44" i="167" s="1" a="1"/>
  <c r="Q44" i="167" s="1"/>
  <c r="B54" i="168" s="1"/>
  <c r="P43" i="167"/>
  <c r="O43" i="167"/>
  <c r="Q43" i="167" s="1" a="1"/>
  <c r="Q43" i="167" s="1"/>
  <c r="B53" i="168" s="1"/>
  <c r="P42" i="167"/>
  <c r="O42" i="167"/>
  <c r="P41" i="167"/>
  <c r="O41" i="167"/>
  <c r="P40" i="167"/>
  <c r="O40" i="167"/>
  <c r="P39" i="167"/>
  <c r="O39" i="167"/>
  <c r="Q39" i="167" s="1" a="1"/>
  <c r="Q39" i="167" s="1"/>
  <c r="B49" i="168" s="1"/>
  <c r="P38" i="167"/>
  <c r="O38" i="167"/>
  <c r="P37" i="167"/>
  <c r="O37" i="167"/>
  <c r="P36" i="167"/>
  <c r="O36" i="167"/>
  <c r="P35" i="167"/>
  <c r="O35" i="167"/>
  <c r="P34" i="167"/>
  <c r="O34" i="167"/>
  <c r="Q34" i="167" s="1" a="1"/>
  <c r="Q34" i="167" s="1"/>
  <c r="B44" i="168" s="1"/>
  <c r="P33" i="167"/>
  <c r="O33" i="167"/>
  <c r="Q33" i="167" s="1" a="1"/>
  <c r="Q33" i="167" s="1"/>
  <c r="B43" i="168" s="1"/>
  <c r="P32" i="167"/>
  <c r="O32" i="167"/>
  <c r="Q32" i="167" s="1" a="1"/>
  <c r="Q32" i="167" s="1"/>
  <c r="B42" i="168" s="1"/>
  <c r="P31" i="167"/>
  <c r="O31" i="167"/>
  <c r="P30" i="167"/>
  <c r="O30" i="167"/>
  <c r="Q29" i="167" a="1"/>
  <c r="Q29" i="167" s="1"/>
  <c r="B39" i="168" s="1"/>
  <c r="P29" i="167"/>
  <c r="O29" i="167"/>
  <c r="P28" i="167"/>
  <c r="O28" i="167"/>
  <c r="Q28" i="167" s="1" a="1"/>
  <c r="Q28" i="167" s="1"/>
  <c r="B38" i="168" s="1"/>
  <c r="P27" i="167"/>
  <c r="O27" i="167"/>
  <c r="P26" i="167"/>
  <c r="O26" i="167"/>
  <c r="P25" i="167"/>
  <c r="O25" i="167"/>
  <c r="P24" i="167"/>
  <c r="O24" i="167"/>
  <c r="Q24" i="167" s="1" a="1"/>
  <c r="Q24" i="167" s="1"/>
  <c r="B34" i="168" s="1"/>
  <c r="P23" i="167"/>
  <c r="O23" i="167"/>
  <c r="Q23" i="167" s="1" a="1"/>
  <c r="Q23" i="167" s="1"/>
  <c r="B33" i="168" s="1"/>
  <c r="P22" i="167"/>
  <c r="O22" i="167"/>
  <c r="P21" i="167"/>
  <c r="O21" i="167"/>
  <c r="P20" i="167"/>
  <c r="O20" i="167"/>
  <c r="P19" i="167"/>
  <c r="O19" i="167"/>
  <c r="Q19" i="167" s="1" a="1"/>
  <c r="Q19" i="167" s="1"/>
  <c r="B29" i="168" s="1"/>
  <c r="P18" i="167"/>
  <c r="O18" i="167"/>
  <c r="Q18" i="167" s="1" a="1"/>
  <c r="Q18" i="167" s="1"/>
  <c r="B28" i="168" s="1"/>
  <c r="P17" i="167"/>
  <c r="O17" i="167"/>
  <c r="Q17" i="167" s="1" a="1"/>
  <c r="Q17" i="167" s="1"/>
  <c r="B27" i="168" s="1"/>
  <c r="L17" i="167"/>
  <c r="K17" i="167"/>
  <c r="J17" i="167"/>
  <c r="Q47" i="167" s="1" a="1"/>
  <c r="Q47" i="167" s="1"/>
  <c r="B57" i="168" s="1"/>
  <c r="C17" i="167"/>
  <c r="I17" i="167" s="1"/>
  <c r="P16" i="167"/>
  <c r="O16" i="167"/>
  <c r="L16" i="167"/>
  <c r="K16" i="167"/>
  <c r="E16" i="167"/>
  <c r="D16" i="167"/>
  <c r="J16" i="167" s="1"/>
  <c r="C16" i="167"/>
  <c r="I16" i="167" s="1"/>
  <c r="P15" i="167"/>
  <c r="O15" i="167"/>
  <c r="L15" i="167"/>
  <c r="K15" i="167"/>
  <c r="Q38" i="167" s="1" a="1"/>
  <c r="Q38" i="167" s="1"/>
  <c r="B48" i="168" s="1"/>
  <c r="J15" i="167"/>
  <c r="E15" i="167"/>
  <c r="D15" i="167"/>
  <c r="C15" i="167"/>
  <c r="I15" i="167" s="1"/>
  <c r="Q14" i="167" a="1"/>
  <c r="Q14" i="167" s="1"/>
  <c r="B24" i="168" s="1"/>
  <c r="P14" i="167"/>
  <c r="O14" i="167"/>
  <c r="L14" i="167"/>
  <c r="K14" i="167"/>
  <c r="J14" i="167"/>
  <c r="C14" i="167"/>
  <c r="I14" i="167" s="1"/>
  <c r="Q31" i="167" s="1" a="1"/>
  <c r="Q31" i="167" s="1"/>
  <c r="B41" i="168" s="1"/>
  <c r="P13" i="167"/>
  <c r="O13" i="167"/>
  <c r="L13" i="167"/>
  <c r="K13" i="167"/>
  <c r="J13" i="167"/>
  <c r="C13" i="167"/>
  <c r="I13" i="167" s="1"/>
  <c r="P12" i="167"/>
  <c r="O12" i="167"/>
  <c r="Q12" i="167" s="1" a="1"/>
  <c r="Q12" i="167" s="1"/>
  <c r="B22" i="168" s="1"/>
  <c r="L12" i="167"/>
  <c r="K12" i="167"/>
  <c r="E12" i="167"/>
  <c r="D12" i="167"/>
  <c r="J12" i="167" s="1"/>
  <c r="C12" i="167"/>
  <c r="I12" i="167" s="1"/>
  <c r="P11" i="167"/>
  <c r="O11" i="167"/>
  <c r="L11" i="167"/>
  <c r="K11" i="167"/>
  <c r="J11" i="167"/>
  <c r="E11" i="167"/>
  <c r="D11" i="167"/>
  <c r="C11" i="167"/>
  <c r="I11" i="167" s="1"/>
  <c r="P10" i="167"/>
  <c r="O10" i="167"/>
  <c r="L10" i="167"/>
  <c r="J10" i="167"/>
  <c r="E10" i="167"/>
  <c r="K10" i="167" s="1"/>
  <c r="Q13" i="167" s="1" a="1"/>
  <c r="Q13" i="167" s="1"/>
  <c r="B23" i="168" s="1"/>
  <c r="D10" i="167"/>
  <c r="C10" i="167"/>
  <c r="I10" i="167" s="1"/>
  <c r="Q11" i="167" s="1" a="1"/>
  <c r="Q11" i="167" s="1"/>
  <c r="B21" i="168" s="1"/>
  <c r="B10" i="167"/>
  <c r="B17" i="167" s="1"/>
  <c r="H17" i="167" s="1"/>
  <c r="Q45" i="167" s="1" a="1"/>
  <c r="Q45" i="167" s="1"/>
  <c r="B55" i="168" s="1"/>
  <c r="C365" i="166"/>
  <c r="C364" i="166"/>
  <c r="C2" i="166"/>
  <c r="C1" i="166"/>
  <c r="B95" i="165"/>
  <c r="E95" i="165" s="1"/>
  <c r="C459" i="166" s="1"/>
  <c r="B94" i="165"/>
  <c r="E94" i="165" s="1"/>
  <c r="C458" i="166" s="1"/>
  <c r="B93" i="165"/>
  <c r="E93" i="165" s="1"/>
  <c r="C457" i="166" s="1"/>
  <c r="B92" i="165"/>
  <c r="E92" i="165" s="1"/>
  <c r="C456" i="166" s="1"/>
  <c r="B91" i="165"/>
  <c r="E91" i="165" s="1"/>
  <c r="C455" i="166" s="1"/>
  <c r="B90" i="165"/>
  <c r="E90" i="165" s="1"/>
  <c r="C454" i="166" s="1"/>
  <c r="B89" i="165"/>
  <c r="E89" i="165" s="1"/>
  <c r="C453" i="166" s="1"/>
  <c r="B88" i="165"/>
  <c r="E88" i="165" s="1"/>
  <c r="C452" i="166" s="1"/>
  <c r="B87" i="165"/>
  <c r="E87" i="165" s="1"/>
  <c r="C451" i="166" s="1"/>
  <c r="B86" i="165"/>
  <c r="E86" i="165" s="1"/>
  <c r="C450" i="166" s="1"/>
  <c r="B85" i="165"/>
  <c r="E85" i="165" s="1"/>
  <c r="C449" i="166" s="1"/>
  <c r="B84" i="165"/>
  <c r="E84" i="165" s="1"/>
  <c r="C448" i="166" s="1"/>
  <c r="B83" i="165"/>
  <c r="E83" i="165" s="1"/>
  <c r="C447" i="166" s="1"/>
  <c r="B82" i="165"/>
  <c r="E82" i="165" s="1"/>
  <c r="C446" i="166" s="1"/>
  <c r="B81" i="165"/>
  <c r="E81" i="165" s="1"/>
  <c r="C445" i="166" s="1"/>
  <c r="B80" i="165"/>
  <c r="E80" i="165" s="1"/>
  <c r="C444" i="166" s="1"/>
  <c r="B79" i="165"/>
  <c r="E79" i="165" s="1"/>
  <c r="C443" i="166" s="1"/>
  <c r="B78" i="165"/>
  <c r="E78" i="165" s="1"/>
  <c r="C442" i="166" s="1"/>
  <c r="B77" i="165"/>
  <c r="E77" i="165" s="1"/>
  <c r="C441" i="166" s="1"/>
  <c r="B76" i="165"/>
  <c r="E76" i="165" s="1"/>
  <c r="C440" i="166" s="1"/>
  <c r="B75" i="165"/>
  <c r="E75" i="165" s="1"/>
  <c r="C439" i="166" s="1"/>
  <c r="B74" i="165"/>
  <c r="E74" i="165" s="1"/>
  <c r="C438" i="166" s="1"/>
  <c r="B73" i="165"/>
  <c r="E73" i="165" s="1"/>
  <c r="C437" i="166" s="1"/>
  <c r="B72" i="165"/>
  <c r="E72" i="165" s="1"/>
  <c r="C436" i="166" s="1"/>
  <c r="B71" i="165"/>
  <c r="E71" i="165" s="1"/>
  <c r="C435" i="166" s="1"/>
  <c r="B70" i="165"/>
  <c r="E70" i="165" s="1"/>
  <c r="C434" i="166" s="1"/>
  <c r="B69" i="165"/>
  <c r="E69" i="165" s="1"/>
  <c r="C433" i="166" s="1"/>
  <c r="B68" i="165"/>
  <c r="E68" i="165" s="1"/>
  <c r="C432" i="166" s="1"/>
  <c r="B67" i="165"/>
  <c r="E67" i="165" s="1"/>
  <c r="C431" i="166" s="1"/>
  <c r="B66" i="165"/>
  <c r="E66" i="165" s="1"/>
  <c r="C430" i="166" s="1"/>
  <c r="B65" i="165"/>
  <c r="E65" i="165" s="1"/>
  <c r="C429" i="166" s="1"/>
  <c r="B64" i="165"/>
  <c r="E64" i="165" s="1"/>
  <c r="C428" i="166" s="1"/>
  <c r="B63" i="165"/>
  <c r="E63" i="165" s="1"/>
  <c r="C427" i="166" s="1"/>
  <c r="B62" i="165"/>
  <c r="E62" i="165" s="1"/>
  <c r="C426" i="166" s="1"/>
  <c r="B61" i="165"/>
  <c r="E61" i="165" s="1"/>
  <c r="C425" i="166" s="1"/>
  <c r="B60" i="165"/>
  <c r="E60" i="165" s="1"/>
  <c r="C424" i="166" s="1"/>
  <c r="B59" i="165"/>
  <c r="E59" i="165" s="1"/>
  <c r="C423" i="166" s="1"/>
  <c r="B58" i="165"/>
  <c r="E58" i="165" s="1"/>
  <c r="C422" i="166" s="1"/>
  <c r="B57" i="165"/>
  <c r="E57" i="165" s="1"/>
  <c r="C421" i="166" s="1"/>
  <c r="B56" i="165"/>
  <c r="E56" i="165" s="1"/>
  <c r="C420" i="166" s="1"/>
  <c r="B55" i="165"/>
  <c r="E55" i="165" s="1"/>
  <c r="C419" i="166" s="1"/>
  <c r="B54" i="165"/>
  <c r="E54" i="165" s="1"/>
  <c r="C418" i="166" s="1"/>
  <c r="B53" i="165"/>
  <c r="E53" i="165" s="1"/>
  <c r="C417" i="166" s="1"/>
  <c r="B52" i="165"/>
  <c r="E52" i="165" s="1"/>
  <c r="C416" i="166" s="1"/>
  <c r="B51" i="165"/>
  <c r="E51" i="165" s="1"/>
  <c r="C415" i="166" s="1"/>
  <c r="B50" i="165"/>
  <c r="E50" i="165" s="1"/>
  <c r="C414" i="166" s="1"/>
  <c r="B49" i="165"/>
  <c r="E49" i="165" s="1"/>
  <c r="C413" i="166" s="1"/>
  <c r="B48" i="165"/>
  <c r="E48" i="165" s="1"/>
  <c r="C412" i="166" s="1"/>
  <c r="B47" i="165"/>
  <c r="E47" i="165" s="1"/>
  <c r="C411" i="166" s="1"/>
  <c r="B46" i="165"/>
  <c r="E46" i="165" s="1"/>
  <c r="C410" i="166" s="1"/>
  <c r="B45" i="165"/>
  <c r="E45" i="165" s="1"/>
  <c r="C409" i="166" s="1"/>
  <c r="B44" i="165"/>
  <c r="E44" i="165" s="1"/>
  <c r="C408" i="166" s="1"/>
  <c r="B43" i="165"/>
  <c r="E43" i="165" s="1"/>
  <c r="C407" i="166" s="1"/>
  <c r="B42" i="165"/>
  <c r="E42" i="165" s="1"/>
  <c r="C406" i="166" s="1"/>
  <c r="B41" i="165"/>
  <c r="E41" i="165" s="1"/>
  <c r="C405" i="166" s="1"/>
  <c r="B40" i="165"/>
  <c r="E40" i="165" s="1"/>
  <c r="C404" i="166" s="1"/>
  <c r="B39" i="165"/>
  <c r="E39" i="165" s="1"/>
  <c r="C403" i="166" s="1"/>
  <c r="B38" i="165"/>
  <c r="E38" i="165" s="1"/>
  <c r="C402" i="166" s="1"/>
  <c r="B37" i="165"/>
  <c r="E37" i="165" s="1"/>
  <c r="C401" i="166" s="1"/>
  <c r="B36" i="165"/>
  <c r="E36" i="165" s="1"/>
  <c r="C400" i="166" s="1"/>
  <c r="B35" i="165"/>
  <c r="E35" i="165" s="1"/>
  <c r="C399" i="166" s="1"/>
  <c r="B34" i="165"/>
  <c r="E34" i="165" s="1"/>
  <c r="C398" i="166" s="1"/>
  <c r="B33" i="165"/>
  <c r="E33" i="165" s="1"/>
  <c r="C397" i="166" s="1"/>
  <c r="B32" i="165"/>
  <c r="E32" i="165" s="1"/>
  <c r="C396" i="166" s="1"/>
  <c r="B31" i="165"/>
  <c r="E31" i="165" s="1"/>
  <c r="C395" i="166" s="1"/>
  <c r="B30" i="165"/>
  <c r="E30" i="165" s="1"/>
  <c r="C394" i="166" s="1"/>
  <c r="B29" i="165"/>
  <c r="E29" i="165" s="1"/>
  <c r="C393" i="166" s="1"/>
  <c r="B28" i="165"/>
  <c r="E28" i="165" s="1"/>
  <c r="C392" i="166" s="1"/>
  <c r="B27" i="165"/>
  <c r="E27" i="165" s="1"/>
  <c r="C391" i="166" s="1"/>
  <c r="B26" i="165"/>
  <c r="E26" i="165" s="1"/>
  <c r="C390" i="166" s="1"/>
  <c r="B25" i="165"/>
  <c r="E25" i="165" s="1"/>
  <c r="C389" i="166" s="1"/>
  <c r="B24" i="165"/>
  <c r="E24" i="165" s="1"/>
  <c r="C388" i="166" s="1"/>
  <c r="B23" i="165"/>
  <c r="E23" i="165" s="1"/>
  <c r="C387" i="166" s="1"/>
  <c r="B22" i="165"/>
  <c r="E22" i="165" s="1"/>
  <c r="C386" i="166" s="1"/>
  <c r="B21" i="165"/>
  <c r="E21" i="165" s="1"/>
  <c r="C385" i="166" s="1"/>
  <c r="B20" i="165"/>
  <c r="E20" i="165" s="1"/>
  <c r="C384" i="166" s="1"/>
  <c r="B19" i="165"/>
  <c r="E19" i="165" s="1"/>
  <c r="C383" i="166" s="1"/>
  <c r="B18" i="165"/>
  <c r="E18" i="165" s="1"/>
  <c r="C382" i="166" s="1"/>
  <c r="B17" i="165"/>
  <c r="E17" i="165" s="1"/>
  <c r="C381" i="166" s="1"/>
  <c r="B16" i="165"/>
  <c r="E16" i="165" s="1"/>
  <c r="C380" i="166" s="1"/>
  <c r="B15" i="165"/>
  <c r="E15" i="165" s="1"/>
  <c r="C379" i="166" s="1"/>
  <c r="B14" i="165"/>
  <c r="E14" i="165" s="1"/>
  <c r="C378" i="166" s="1"/>
  <c r="B13" i="165"/>
  <c r="E13" i="165" s="1"/>
  <c r="C377" i="166" s="1"/>
  <c r="B12" i="165"/>
  <c r="E12" i="165" s="1"/>
  <c r="C376" i="166" s="1"/>
  <c r="B11" i="165"/>
  <c r="E11" i="165" s="1"/>
  <c r="C375" i="166" s="1"/>
  <c r="B10" i="165"/>
  <c r="E10" i="165" s="1"/>
  <c r="C374" i="166" s="1"/>
  <c r="E9" i="165"/>
  <c r="C373" i="166" s="1"/>
  <c r="B9" i="165"/>
  <c r="C7" i="165" s="1"/>
  <c r="E7" i="165" s="1"/>
  <c r="C370" i="166" s="1"/>
  <c r="E8" i="165"/>
  <c r="C371" i="166" s="1"/>
  <c r="E6" i="165"/>
  <c r="C369" i="166" s="1"/>
  <c r="E5" i="165"/>
  <c r="C368" i="166" s="1"/>
  <c r="E4" i="165"/>
  <c r="C367" i="166" s="1"/>
  <c r="E3" i="165"/>
  <c r="C366" i="166" s="1"/>
  <c r="J97" i="164"/>
  <c r="L97" i="164" s="1"/>
  <c r="C279" i="166" s="1"/>
  <c r="J96" i="164"/>
  <c r="L96" i="164" s="1"/>
  <c r="C278" i="166" s="1"/>
  <c r="J95" i="164"/>
  <c r="L95" i="164" s="1"/>
  <c r="C277" i="166" s="1"/>
  <c r="J94" i="164"/>
  <c r="C94" i="166" s="1"/>
  <c r="J93" i="164"/>
  <c r="C93" i="166" s="1"/>
  <c r="J92" i="164"/>
  <c r="L92" i="164" s="1"/>
  <c r="C274" i="166" s="1"/>
  <c r="J91" i="164"/>
  <c r="C91" i="166" s="1"/>
  <c r="J90" i="164"/>
  <c r="C90" i="166" s="1"/>
  <c r="J89" i="164"/>
  <c r="C89" i="166" s="1"/>
  <c r="J88" i="164"/>
  <c r="L88" i="164" s="1"/>
  <c r="C270" i="166" s="1"/>
  <c r="J87" i="164"/>
  <c r="C87" i="166" s="1"/>
  <c r="J86" i="164"/>
  <c r="C86" i="166" s="1"/>
  <c r="J85" i="164"/>
  <c r="C85" i="166" s="1"/>
  <c r="J84" i="164"/>
  <c r="L84" i="164" s="1"/>
  <c r="C266" i="166" s="1"/>
  <c r="J83" i="164"/>
  <c r="C83" i="166" s="1"/>
  <c r="J82" i="164"/>
  <c r="C82" i="166" s="1"/>
  <c r="J81" i="164"/>
  <c r="C81" i="166" s="1"/>
  <c r="J80" i="164"/>
  <c r="L80" i="164" s="1"/>
  <c r="C262" i="166" s="1"/>
  <c r="J79" i="164"/>
  <c r="C79" i="166" s="1"/>
  <c r="J78" i="164"/>
  <c r="C78" i="166" s="1"/>
  <c r="J77" i="164"/>
  <c r="C77" i="166" s="1"/>
  <c r="J76" i="164"/>
  <c r="L76" i="164" s="1"/>
  <c r="C258" i="166" s="1"/>
  <c r="J75" i="164"/>
  <c r="C75" i="166" s="1"/>
  <c r="J74" i="164"/>
  <c r="C74" i="166" s="1"/>
  <c r="J73" i="164"/>
  <c r="C73" i="166" s="1"/>
  <c r="J72" i="164"/>
  <c r="L72" i="164" s="1"/>
  <c r="C254" i="166" s="1"/>
  <c r="J71" i="164"/>
  <c r="L71" i="164" s="1"/>
  <c r="C253" i="166" s="1"/>
  <c r="J70" i="164"/>
  <c r="C70" i="166" s="1"/>
  <c r="J69" i="164"/>
  <c r="C69" i="166" s="1"/>
  <c r="J68" i="164"/>
  <c r="L68" i="164" s="1"/>
  <c r="C250" i="166" s="1"/>
  <c r="J67" i="164"/>
  <c r="C67" i="166" s="1"/>
  <c r="J66" i="164"/>
  <c r="C66" i="166" s="1"/>
  <c r="J65" i="164"/>
  <c r="C65" i="166" s="1"/>
  <c r="J64" i="164"/>
  <c r="L64" i="164" s="1"/>
  <c r="C246" i="166" s="1"/>
  <c r="J63" i="164"/>
  <c r="C63" i="166" s="1"/>
  <c r="J62" i="164"/>
  <c r="C62" i="166" s="1"/>
  <c r="J61" i="164"/>
  <c r="C61" i="166" s="1"/>
  <c r="J60" i="164"/>
  <c r="L60" i="164" s="1"/>
  <c r="C242" i="166" s="1"/>
  <c r="J59" i="164"/>
  <c r="C59" i="166" s="1"/>
  <c r="J58" i="164"/>
  <c r="C58" i="166" s="1"/>
  <c r="J57" i="164"/>
  <c r="C57" i="166" s="1"/>
  <c r="J56" i="164"/>
  <c r="J55" i="164"/>
  <c r="C55" i="166" s="1"/>
  <c r="J54" i="164"/>
  <c r="C54" i="166" s="1"/>
  <c r="J53" i="164"/>
  <c r="C53" i="166" s="1"/>
  <c r="J52" i="164"/>
  <c r="J51" i="164"/>
  <c r="C51" i="166" s="1"/>
  <c r="J50" i="164"/>
  <c r="C50" i="166" s="1"/>
  <c r="J49" i="164"/>
  <c r="C49" i="166" s="1"/>
  <c r="J48" i="164"/>
  <c r="J47" i="164"/>
  <c r="C47" i="166" s="1"/>
  <c r="J46" i="164"/>
  <c r="C46" i="166" s="1"/>
  <c r="J45" i="164"/>
  <c r="C45" i="166" s="1"/>
  <c r="J44" i="164"/>
  <c r="J43" i="164"/>
  <c r="C43" i="166" s="1"/>
  <c r="J42" i="164"/>
  <c r="C42" i="166" s="1"/>
  <c r="J41" i="164"/>
  <c r="C41" i="166" s="1"/>
  <c r="J40" i="164"/>
  <c r="J39" i="164"/>
  <c r="C39" i="166" s="1"/>
  <c r="J38" i="164"/>
  <c r="C38" i="166" s="1"/>
  <c r="J37" i="164"/>
  <c r="C37" i="166" s="1"/>
  <c r="J36" i="164"/>
  <c r="J35" i="164"/>
  <c r="C35" i="166" s="1"/>
  <c r="J34" i="164"/>
  <c r="C34" i="166" s="1"/>
  <c r="J33" i="164"/>
  <c r="C33" i="166" s="1"/>
  <c r="J32" i="164"/>
  <c r="C32" i="166" s="1"/>
  <c r="J31" i="164"/>
  <c r="L31" i="164" s="1"/>
  <c r="C213" i="166" s="1"/>
  <c r="J30" i="164"/>
  <c r="C30" i="166" s="1"/>
  <c r="J29" i="164"/>
  <c r="C29" i="166" s="1"/>
  <c r="J28" i="164"/>
  <c r="C28" i="166" s="1"/>
  <c r="J27" i="164"/>
  <c r="C27" i="166" s="1"/>
  <c r="J26" i="164"/>
  <c r="C26" i="166" s="1"/>
  <c r="J25" i="164"/>
  <c r="C25" i="166" s="1"/>
  <c r="J24" i="164"/>
  <c r="C24" i="166" s="1"/>
  <c r="J23" i="164"/>
  <c r="L23" i="164" s="1"/>
  <c r="C205" i="166" s="1"/>
  <c r="J22" i="164"/>
  <c r="C22" i="166" s="1"/>
  <c r="J21" i="164"/>
  <c r="C21" i="166" s="1"/>
  <c r="J20" i="164"/>
  <c r="C20" i="166" s="1"/>
  <c r="J19" i="164"/>
  <c r="C19" i="166" s="1"/>
  <c r="J18" i="164"/>
  <c r="C18" i="166" s="1"/>
  <c r="J17" i="164"/>
  <c r="C17" i="166" s="1"/>
  <c r="J16" i="164"/>
  <c r="C16" i="166" s="1"/>
  <c r="J15" i="164"/>
  <c r="L15" i="164" s="1"/>
  <c r="C197" i="166" s="1"/>
  <c r="J14" i="164"/>
  <c r="C14" i="166" s="1"/>
  <c r="J13" i="164"/>
  <c r="C13" i="166" s="1"/>
  <c r="J12" i="164"/>
  <c r="C12" i="166" s="1"/>
  <c r="J11" i="164"/>
  <c r="C11" i="166" s="1"/>
  <c r="J10" i="164"/>
  <c r="C10" i="166" s="1"/>
  <c r="J9" i="164"/>
  <c r="C9" i="166" s="1"/>
  <c r="J8" i="164"/>
  <c r="C8" i="166" s="1"/>
  <c r="J7" i="164"/>
  <c r="C7" i="166" s="1"/>
  <c r="J6" i="164"/>
  <c r="C6" i="166" s="1"/>
  <c r="J5" i="164"/>
  <c r="C5" i="166" s="1"/>
  <c r="J4" i="164"/>
  <c r="C4" i="166" s="1"/>
  <c r="L3" i="164"/>
  <c r="J3" i="164"/>
  <c r="C3" i="166" s="1"/>
  <c r="C290" i="161"/>
  <c r="C291" i="161"/>
  <c r="C292" i="161"/>
  <c r="C293" i="161"/>
  <c r="C294" i="161"/>
  <c r="C295" i="161"/>
  <c r="C267" i="161"/>
  <c r="C268" i="161"/>
  <c r="C269" i="161"/>
  <c r="C270" i="161"/>
  <c r="C271" i="161"/>
  <c r="C272" i="161"/>
  <c r="C273" i="161"/>
  <c r="C274" i="161"/>
  <c r="C275" i="161"/>
  <c r="C276" i="161"/>
  <c r="C277" i="161"/>
  <c r="C278" i="161"/>
  <c r="C279" i="161"/>
  <c r="C280" i="161"/>
  <c r="C281" i="161"/>
  <c r="C282" i="161"/>
  <c r="C283" i="161"/>
  <c r="C284" i="161"/>
  <c r="C285" i="161"/>
  <c r="C286" i="161"/>
  <c r="C287" i="161"/>
  <c r="C288" i="161"/>
  <c r="C289" i="161"/>
  <c r="C242" i="161"/>
  <c r="C243" i="161"/>
  <c r="C244" i="161"/>
  <c r="C245" i="161"/>
  <c r="C246" i="161"/>
  <c r="C247" i="161"/>
  <c r="C248" i="161"/>
  <c r="C249" i="161"/>
  <c r="C250" i="161"/>
  <c r="C251" i="161"/>
  <c r="C252" i="161"/>
  <c r="C253" i="161"/>
  <c r="C254" i="161"/>
  <c r="C255" i="161"/>
  <c r="C256" i="161"/>
  <c r="C257" i="161"/>
  <c r="C258" i="161"/>
  <c r="C259" i="161"/>
  <c r="C260" i="161"/>
  <c r="C261" i="161"/>
  <c r="C262" i="161"/>
  <c r="C263" i="161"/>
  <c r="C264" i="161"/>
  <c r="C265" i="161"/>
  <c r="C266" i="161"/>
  <c r="C191" i="161"/>
  <c r="C192" i="161"/>
  <c r="C193" i="161"/>
  <c r="C172" i="161"/>
  <c r="C173" i="161"/>
  <c r="C174" i="161"/>
  <c r="C175" i="161"/>
  <c r="C176" i="161"/>
  <c r="C177" i="161"/>
  <c r="C178" i="161"/>
  <c r="C179" i="161"/>
  <c r="C180" i="161"/>
  <c r="C181" i="161"/>
  <c r="C182" i="161"/>
  <c r="C183" i="161"/>
  <c r="C184" i="161"/>
  <c r="C185" i="161"/>
  <c r="C186" i="161"/>
  <c r="C187" i="161"/>
  <c r="C188" i="161"/>
  <c r="C189" i="161"/>
  <c r="C190" i="161"/>
  <c r="C163" i="161"/>
  <c r="C164" i="161"/>
  <c r="C165" i="161"/>
  <c r="C166" i="161"/>
  <c r="C167" i="161"/>
  <c r="C168" i="161"/>
  <c r="C169" i="161"/>
  <c r="C170" i="161"/>
  <c r="C171" i="161"/>
  <c r="C150" i="161"/>
  <c r="C151" i="161"/>
  <c r="C152" i="161"/>
  <c r="C153" i="161"/>
  <c r="C154" i="161"/>
  <c r="C155" i="161"/>
  <c r="C156" i="161"/>
  <c r="C157" i="161"/>
  <c r="C158" i="161"/>
  <c r="C159" i="161"/>
  <c r="C160" i="161"/>
  <c r="C161" i="161"/>
  <c r="C162" i="161"/>
  <c r="C139" i="161"/>
  <c r="C140" i="161"/>
  <c r="C141" i="161"/>
  <c r="C142" i="161"/>
  <c r="C143" i="161"/>
  <c r="C144" i="161"/>
  <c r="C145" i="161"/>
  <c r="C146" i="161"/>
  <c r="C147" i="161"/>
  <c r="C148" i="161"/>
  <c r="C149" i="161"/>
  <c r="C94" i="161"/>
  <c r="C95" i="161"/>
  <c r="C96" i="161"/>
  <c r="C84" i="161"/>
  <c r="C85" i="161"/>
  <c r="C86" i="161"/>
  <c r="C87" i="161"/>
  <c r="C88" i="161"/>
  <c r="C89" i="161"/>
  <c r="C90" i="161"/>
  <c r="C91" i="161"/>
  <c r="C92" i="161"/>
  <c r="C93" i="161"/>
  <c r="C77" i="161"/>
  <c r="C78" i="161"/>
  <c r="C79" i="161"/>
  <c r="C80" i="161"/>
  <c r="C81" i="161"/>
  <c r="C82" i="161"/>
  <c r="C83" i="161"/>
  <c r="C64" i="161"/>
  <c r="C65" i="161"/>
  <c r="C66" i="161"/>
  <c r="C67" i="161"/>
  <c r="C68" i="161"/>
  <c r="C69" i="161"/>
  <c r="C70" i="161"/>
  <c r="C71" i="161"/>
  <c r="C72" i="161"/>
  <c r="C73" i="161"/>
  <c r="C74" i="161"/>
  <c r="C75" i="161"/>
  <c r="C76" i="161"/>
  <c r="L39" i="159"/>
  <c r="L40" i="159"/>
  <c r="L41" i="159"/>
  <c r="L42" i="159"/>
  <c r="L43" i="159"/>
  <c r="L44" i="159"/>
  <c r="L45" i="159"/>
  <c r="L46" i="159"/>
  <c r="L47" i="159"/>
  <c r="L48" i="159"/>
  <c r="L49" i="159"/>
  <c r="L50" i="159"/>
  <c r="L51" i="159"/>
  <c r="L52" i="159"/>
  <c r="L53" i="159"/>
  <c r="L54" i="159"/>
  <c r="L55" i="159"/>
  <c r="L56" i="159"/>
  <c r="L57" i="159"/>
  <c r="L58" i="159"/>
  <c r="L59" i="159"/>
  <c r="L60" i="159"/>
  <c r="L61" i="159"/>
  <c r="L62" i="159"/>
  <c r="L63" i="159"/>
  <c r="L64" i="159"/>
  <c r="L65" i="159"/>
  <c r="L66" i="159"/>
  <c r="L67" i="159"/>
  <c r="L68" i="159"/>
  <c r="L69" i="159"/>
  <c r="L70" i="159"/>
  <c r="L71" i="159"/>
  <c r="L72" i="159"/>
  <c r="L73" i="159"/>
  <c r="L74" i="159"/>
  <c r="L75" i="159"/>
  <c r="L76" i="159"/>
  <c r="L77" i="159"/>
  <c r="L78" i="159"/>
  <c r="L79" i="159"/>
  <c r="L80" i="159"/>
  <c r="L81" i="159"/>
  <c r="L82" i="159"/>
  <c r="L83" i="159"/>
  <c r="L84" i="159"/>
  <c r="L85" i="159"/>
  <c r="L86" i="159"/>
  <c r="L87" i="159"/>
  <c r="L88" i="159"/>
  <c r="L89" i="159"/>
  <c r="L90" i="159"/>
  <c r="L91" i="159"/>
  <c r="L92" i="159"/>
  <c r="L93" i="159"/>
  <c r="L94" i="159"/>
  <c r="L95" i="159"/>
  <c r="L96" i="159"/>
  <c r="L97" i="159"/>
  <c r="J79" i="159"/>
  <c r="J80" i="159"/>
  <c r="J81" i="159"/>
  <c r="J82" i="159"/>
  <c r="J83" i="159"/>
  <c r="J84" i="159"/>
  <c r="J85" i="159"/>
  <c r="J86" i="159"/>
  <c r="J87" i="159"/>
  <c r="J88" i="159"/>
  <c r="J89" i="159"/>
  <c r="J90" i="159"/>
  <c r="J91" i="159"/>
  <c r="J92" i="159"/>
  <c r="J93" i="159"/>
  <c r="J94" i="159"/>
  <c r="J95" i="159"/>
  <c r="J96" i="159"/>
  <c r="J97" i="159"/>
  <c r="J70" i="159"/>
  <c r="J71" i="159"/>
  <c r="J72" i="159"/>
  <c r="J73" i="159"/>
  <c r="J74" i="159"/>
  <c r="J75" i="159"/>
  <c r="J76" i="159"/>
  <c r="J77" i="159"/>
  <c r="J78" i="159"/>
  <c r="J63" i="159"/>
  <c r="J64" i="159"/>
  <c r="J65" i="159"/>
  <c r="J66" i="159"/>
  <c r="J67" i="159"/>
  <c r="J68" i="159"/>
  <c r="J69" i="159"/>
  <c r="J45" i="159"/>
  <c r="J46" i="159"/>
  <c r="J47" i="159"/>
  <c r="J48" i="159"/>
  <c r="J49" i="159"/>
  <c r="J50" i="159"/>
  <c r="C50" i="161" s="1"/>
  <c r="J51" i="159"/>
  <c r="C51" i="161" s="1"/>
  <c r="J52" i="159"/>
  <c r="C52" i="161" s="1"/>
  <c r="J53" i="159"/>
  <c r="J54" i="159"/>
  <c r="J55" i="159"/>
  <c r="J56" i="159"/>
  <c r="J57" i="159"/>
  <c r="J58" i="159"/>
  <c r="C58" i="161" s="1"/>
  <c r="J59" i="159"/>
  <c r="C59" i="161" s="1"/>
  <c r="J60" i="159"/>
  <c r="C60" i="161" s="1"/>
  <c r="J61" i="159"/>
  <c r="J62" i="159"/>
  <c r="C44" i="161"/>
  <c r="C45" i="161"/>
  <c r="C46" i="161"/>
  <c r="C47" i="161"/>
  <c r="C48" i="161"/>
  <c r="C49" i="161"/>
  <c r="C53" i="161"/>
  <c r="C54" i="161"/>
  <c r="C55" i="161"/>
  <c r="C56" i="161"/>
  <c r="C57" i="161"/>
  <c r="C61" i="161"/>
  <c r="C62" i="161"/>
  <c r="C63" i="161"/>
  <c r="E97" i="160"/>
  <c r="E98" i="160"/>
  <c r="E46" i="160"/>
  <c r="E47" i="160"/>
  <c r="E48" i="160"/>
  <c r="E49" i="160"/>
  <c r="E50" i="160"/>
  <c r="E51" i="160"/>
  <c r="E52" i="160"/>
  <c r="E53" i="160"/>
  <c r="E54" i="160"/>
  <c r="E55" i="160"/>
  <c r="E56" i="160"/>
  <c r="E57" i="160"/>
  <c r="E58" i="160"/>
  <c r="E59" i="160"/>
  <c r="E60" i="160"/>
  <c r="E61" i="160"/>
  <c r="E62" i="160"/>
  <c r="E63" i="160"/>
  <c r="E64" i="160"/>
  <c r="E65" i="160"/>
  <c r="E66" i="160"/>
  <c r="E67" i="160"/>
  <c r="E68" i="160"/>
  <c r="E69" i="160"/>
  <c r="E70" i="160"/>
  <c r="E71" i="160"/>
  <c r="E72" i="160"/>
  <c r="E73" i="160"/>
  <c r="E74" i="160"/>
  <c r="E75" i="160"/>
  <c r="E76" i="160"/>
  <c r="E77" i="160"/>
  <c r="E78" i="160"/>
  <c r="E79" i="160"/>
  <c r="E80" i="160"/>
  <c r="E81" i="160"/>
  <c r="E82" i="160"/>
  <c r="E83" i="160"/>
  <c r="E84" i="160"/>
  <c r="E85" i="160"/>
  <c r="E86" i="160"/>
  <c r="E87" i="160"/>
  <c r="E88" i="160"/>
  <c r="E89" i="160"/>
  <c r="E90" i="160"/>
  <c r="E91" i="160"/>
  <c r="E92" i="160"/>
  <c r="E93" i="160"/>
  <c r="E94" i="160"/>
  <c r="E95" i="160"/>
  <c r="E96" i="160"/>
  <c r="B90" i="160"/>
  <c r="B91" i="160"/>
  <c r="B92" i="160"/>
  <c r="B93" i="160"/>
  <c r="B94" i="160"/>
  <c r="B95" i="160"/>
  <c r="B77" i="160"/>
  <c r="B78" i="160"/>
  <c r="B79" i="160"/>
  <c r="B80" i="160"/>
  <c r="B81" i="160"/>
  <c r="B82" i="160"/>
  <c r="B83" i="160"/>
  <c r="B84" i="160"/>
  <c r="B85" i="160"/>
  <c r="B86" i="160"/>
  <c r="B87" i="160"/>
  <c r="B88" i="160"/>
  <c r="B89" i="160"/>
  <c r="B66" i="160"/>
  <c r="B67" i="160"/>
  <c r="B68" i="160"/>
  <c r="B69" i="160"/>
  <c r="B70" i="160"/>
  <c r="B71" i="160"/>
  <c r="B72" i="160"/>
  <c r="B73" i="160"/>
  <c r="B74" i="160"/>
  <c r="B75" i="160"/>
  <c r="B76" i="160"/>
  <c r="B46" i="160"/>
  <c r="B47" i="160"/>
  <c r="B48" i="160"/>
  <c r="B49" i="160"/>
  <c r="B50" i="160"/>
  <c r="B51" i="160"/>
  <c r="B52" i="160"/>
  <c r="B53" i="160"/>
  <c r="B54" i="160"/>
  <c r="B55" i="160"/>
  <c r="B56" i="160"/>
  <c r="B57" i="160"/>
  <c r="B58" i="160"/>
  <c r="B59" i="160"/>
  <c r="B60" i="160"/>
  <c r="B61" i="160"/>
  <c r="B62" i="160"/>
  <c r="B63" i="160"/>
  <c r="B64" i="160"/>
  <c r="B65" i="160"/>
  <c r="B11" i="160"/>
  <c r="B12" i="160"/>
  <c r="E12" i="160" s="1"/>
  <c r="C209" i="161" s="1"/>
  <c r="B13" i="160"/>
  <c r="B14" i="160"/>
  <c r="E14" i="160" s="1"/>
  <c r="C211" i="161" s="1"/>
  <c r="B15" i="160"/>
  <c r="B16" i="160"/>
  <c r="B17" i="160"/>
  <c r="E17" i="160" s="1"/>
  <c r="C214" i="161" s="1"/>
  <c r="B18" i="160"/>
  <c r="E18" i="160" s="1"/>
  <c r="C215" i="161" s="1"/>
  <c r="B19" i="160"/>
  <c r="B20" i="160"/>
  <c r="B21" i="160"/>
  <c r="B22" i="160"/>
  <c r="E22" i="160" s="1"/>
  <c r="C219" i="161" s="1"/>
  <c r="B23" i="160"/>
  <c r="B24" i="160"/>
  <c r="B25" i="160"/>
  <c r="E25" i="160" s="1"/>
  <c r="C222" i="161" s="1"/>
  <c r="B26" i="160"/>
  <c r="E26" i="160" s="1"/>
  <c r="C223" i="161" s="1"/>
  <c r="B27" i="160"/>
  <c r="B28" i="160"/>
  <c r="B29" i="160"/>
  <c r="B30" i="160"/>
  <c r="E30" i="160" s="1"/>
  <c r="C227" i="161" s="1"/>
  <c r="B31" i="160"/>
  <c r="B32" i="160"/>
  <c r="B33" i="160"/>
  <c r="E33" i="160" s="1"/>
  <c r="C230" i="161" s="1"/>
  <c r="B34" i="160"/>
  <c r="E34" i="160" s="1"/>
  <c r="C231" i="161" s="1"/>
  <c r="B35" i="160"/>
  <c r="B36" i="160"/>
  <c r="B37" i="160"/>
  <c r="B38" i="160"/>
  <c r="E38" i="160" s="1"/>
  <c r="C235" i="161" s="1"/>
  <c r="B39" i="160"/>
  <c r="B40" i="160"/>
  <c r="B41" i="160"/>
  <c r="E41" i="160" s="1"/>
  <c r="C238" i="161" s="1"/>
  <c r="B42" i="160"/>
  <c r="E42" i="160" s="1"/>
  <c r="C239" i="161" s="1"/>
  <c r="B43" i="160"/>
  <c r="B44" i="160"/>
  <c r="B45" i="160"/>
  <c r="P184" i="162"/>
  <c r="O184" i="162"/>
  <c r="Q184" i="162" s="1" a="1"/>
  <c r="Q184" i="162" s="1"/>
  <c r="P183" i="162"/>
  <c r="O183" i="162"/>
  <c r="Q183" i="162" s="1" a="1"/>
  <c r="Q183" i="162" s="1"/>
  <c r="P182" i="162"/>
  <c r="O182" i="162"/>
  <c r="P181" i="162"/>
  <c r="O181" i="162"/>
  <c r="Q181" i="162" s="1" a="1"/>
  <c r="Q181" i="162" s="1"/>
  <c r="P180" i="162"/>
  <c r="O180" i="162"/>
  <c r="Q180" i="162" s="1" a="1"/>
  <c r="Q180" i="162" s="1"/>
  <c r="Q179" i="162"/>
  <c r="P179" i="162"/>
  <c r="O179" i="162"/>
  <c r="Q179" i="162" s="1" a="1"/>
  <c r="P178" i="162"/>
  <c r="O178" i="162"/>
  <c r="Q178" i="162" s="1" a="1"/>
  <c r="Q178" i="162" s="1"/>
  <c r="Q177" i="162"/>
  <c r="P177" i="162"/>
  <c r="O177" i="162"/>
  <c r="Q177" i="162" s="1" a="1"/>
  <c r="P176" i="162"/>
  <c r="O176" i="162"/>
  <c r="Q176" i="162" s="1" a="1"/>
  <c r="Q176" i="162" s="1"/>
  <c r="P175" i="162"/>
  <c r="O175" i="162"/>
  <c r="Q175" i="162" s="1" a="1"/>
  <c r="Q175" i="162" s="1"/>
  <c r="P174" i="162"/>
  <c r="O174" i="162"/>
  <c r="P173" i="162"/>
  <c r="O173" i="162"/>
  <c r="Q173" i="162" s="1" a="1"/>
  <c r="Q173" i="162" s="1"/>
  <c r="P172" i="162"/>
  <c r="O172" i="162"/>
  <c r="P171" i="162"/>
  <c r="O171" i="162"/>
  <c r="P170" i="162"/>
  <c r="O170" i="162"/>
  <c r="Q170" i="162" s="1" a="1"/>
  <c r="Q170" i="162" s="1"/>
  <c r="P169" i="162"/>
  <c r="O169" i="162"/>
  <c r="P168" i="162"/>
  <c r="O168" i="162"/>
  <c r="Q168" i="162" s="1" a="1"/>
  <c r="Q168" i="162" s="1"/>
  <c r="P167" i="162"/>
  <c r="O167" i="162"/>
  <c r="Q167" i="162" s="1" a="1"/>
  <c r="Q167" i="162" s="1"/>
  <c r="P166" i="162"/>
  <c r="O166" i="162"/>
  <c r="P165" i="162"/>
  <c r="O165" i="162"/>
  <c r="Q165" i="162" s="1" a="1"/>
  <c r="Q165" i="162" s="1"/>
  <c r="P164" i="162"/>
  <c r="O164" i="162"/>
  <c r="Q164" i="162" s="1" a="1"/>
  <c r="Q164" i="162" s="1"/>
  <c r="P163" i="162"/>
  <c r="O163" i="162"/>
  <c r="P162" i="162"/>
  <c r="O162" i="162"/>
  <c r="Q162" i="162" s="1" a="1"/>
  <c r="Q162" i="162" s="1"/>
  <c r="Q161" i="162"/>
  <c r="P161" i="162"/>
  <c r="O161" i="162"/>
  <c r="Q161" i="162" s="1" a="1"/>
  <c r="P160" i="162"/>
  <c r="O160" i="162"/>
  <c r="Q160" i="162" s="1" a="1"/>
  <c r="Q160" i="162" s="1"/>
  <c r="P159" i="162"/>
  <c r="O159" i="162"/>
  <c r="Q159" i="162" s="1" a="1"/>
  <c r="Q159" i="162" s="1"/>
  <c r="P158" i="162"/>
  <c r="O158" i="162"/>
  <c r="P157" i="162"/>
  <c r="O157" i="162"/>
  <c r="Q157" i="162" s="1" a="1"/>
  <c r="Q157" i="162" s="1"/>
  <c r="P156" i="162"/>
  <c r="O156" i="162"/>
  <c r="P155" i="162"/>
  <c r="O155" i="162"/>
  <c r="P154" i="162"/>
  <c r="O154" i="162"/>
  <c r="Q154" i="162" s="1" a="1"/>
  <c r="Q154" i="162" s="1"/>
  <c r="Q153" i="162"/>
  <c r="P153" i="162"/>
  <c r="O153" i="162"/>
  <c r="Q153" i="162" s="1" a="1"/>
  <c r="P152" i="162"/>
  <c r="O152" i="162"/>
  <c r="Q152" i="162" s="1" a="1"/>
  <c r="Q152" i="162" s="1"/>
  <c r="P151" i="162"/>
  <c r="O151" i="162"/>
  <c r="Q151" i="162" s="1" a="1"/>
  <c r="Q151" i="162" s="1"/>
  <c r="P150" i="162"/>
  <c r="O150" i="162"/>
  <c r="P149" i="162"/>
  <c r="O149" i="162"/>
  <c r="Q149" i="162" s="1" a="1"/>
  <c r="Q149" i="162" s="1"/>
  <c r="P148" i="162"/>
  <c r="O148" i="162"/>
  <c r="Q148" i="162" s="1" a="1"/>
  <c r="Q148" i="162" s="1"/>
  <c r="P147" i="162"/>
  <c r="O147" i="162"/>
  <c r="P146" i="162"/>
  <c r="O146" i="162"/>
  <c r="Q146" i="162" s="1" a="1"/>
  <c r="Q146" i="162" s="1"/>
  <c r="Q145" i="162"/>
  <c r="P145" i="162"/>
  <c r="O145" i="162"/>
  <c r="Q145" i="162" s="1" a="1"/>
  <c r="P144" i="162"/>
  <c r="O144" i="162"/>
  <c r="Q144" i="162" s="1" a="1"/>
  <c r="Q144" i="162" s="1"/>
  <c r="P143" i="162"/>
  <c r="O143" i="162"/>
  <c r="Q143" i="162" s="1" a="1"/>
  <c r="Q143" i="162" s="1"/>
  <c r="P142" i="162"/>
  <c r="O142" i="162"/>
  <c r="P141" i="162"/>
  <c r="O141" i="162"/>
  <c r="Q141" i="162" s="1" a="1"/>
  <c r="Q141" i="162" s="1"/>
  <c r="P140" i="162"/>
  <c r="O140" i="162"/>
  <c r="Q140" i="162" s="1" a="1"/>
  <c r="Q140" i="162" s="1"/>
  <c r="P139" i="162"/>
  <c r="O139" i="162"/>
  <c r="P138" i="162"/>
  <c r="O138" i="162"/>
  <c r="Q138" i="162" s="1" a="1"/>
  <c r="Q138" i="162" s="1"/>
  <c r="P137" i="162"/>
  <c r="O137" i="162"/>
  <c r="Q137" i="162" s="1" a="1"/>
  <c r="Q137" i="162" s="1"/>
  <c r="P136" i="162"/>
  <c r="O136" i="162"/>
  <c r="Q136" i="162" s="1" a="1"/>
  <c r="Q136" i="162" s="1"/>
  <c r="P135" i="162"/>
  <c r="O135" i="162"/>
  <c r="Q135" i="162" s="1" a="1"/>
  <c r="Q135" i="162" s="1"/>
  <c r="Q134" i="162" a="1"/>
  <c r="Q134" i="162" s="1"/>
  <c r="P134" i="162"/>
  <c r="O134" i="162"/>
  <c r="Q133" i="162" a="1"/>
  <c r="Q133" i="162" s="1"/>
  <c r="P133" i="162"/>
  <c r="O133" i="162"/>
  <c r="P132" i="162"/>
  <c r="Q132" i="162" s="1" a="1"/>
  <c r="Q132" i="162" s="1"/>
  <c r="O132" i="162"/>
  <c r="P131" i="162"/>
  <c r="Q131" i="162" s="1" a="1"/>
  <c r="Q131" i="162" s="1"/>
  <c r="O131" i="162"/>
  <c r="P130" i="162"/>
  <c r="O130" i="162"/>
  <c r="Q130" i="162" s="1" a="1"/>
  <c r="Q130" i="162" s="1"/>
  <c r="P129" i="162"/>
  <c r="O129" i="162"/>
  <c r="Q129" i="162" s="1" a="1"/>
  <c r="Q129" i="162" s="1"/>
  <c r="P128" i="162"/>
  <c r="O128" i="162"/>
  <c r="Q128" i="162" s="1" a="1"/>
  <c r="Q128" i="162" s="1"/>
  <c r="P127" i="162"/>
  <c r="O127" i="162"/>
  <c r="Q127" i="162" s="1" a="1"/>
  <c r="Q127" i="162" s="1"/>
  <c r="Q126" i="162" a="1"/>
  <c r="Q126" i="162" s="1"/>
  <c r="P126" i="162"/>
  <c r="O126" i="162"/>
  <c r="Q125" i="162" a="1"/>
  <c r="Q125" i="162" s="1"/>
  <c r="P125" i="162"/>
  <c r="O125" i="162"/>
  <c r="P124" i="162"/>
  <c r="Q124" i="162" s="1" a="1"/>
  <c r="Q124" i="162" s="1"/>
  <c r="O124" i="162"/>
  <c r="P123" i="162"/>
  <c r="Q123" i="162" s="1" a="1"/>
  <c r="Q123" i="162" s="1"/>
  <c r="O123" i="162"/>
  <c r="P122" i="162"/>
  <c r="O122" i="162"/>
  <c r="Q122" i="162" s="1" a="1"/>
  <c r="Q122" i="162" s="1"/>
  <c r="P121" i="162"/>
  <c r="O121" i="162"/>
  <c r="Q121" i="162" s="1" a="1"/>
  <c r="Q121" i="162" s="1"/>
  <c r="P120" i="162"/>
  <c r="O120" i="162"/>
  <c r="Q120" i="162" s="1" a="1"/>
  <c r="Q120" i="162" s="1"/>
  <c r="P119" i="162"/>
  <c r="O119" i="162"/>
  <c r="Q119" i="162" s="1" a="1"/>
  <c r="Q119" i="162" s="1"/>
  <c r="Q118" i="162" a="1"/>
  <c r="Q118" i="162" s="1"/>
  <c r="P118" i="162"/>
  <c r="O118" i="162"/>
  <c r="Q117" i="162" a="1"/>
  <c r="Q117" i="162" s="1"/>
  <c r="P117" i="162"/>
  <c r="O117" i="162"/>
  <c r="P116" i="162"/>
  <c r="Q116" i="162" s="1" a="1"/>
  <c r="Q116" i="162" s="1"/>
  <c r="O116" i="162"/>
  <c r="P115" i="162"/>
  <c r="Q115" i="162" s="1" a="1"/>
  <c r="Q115" i="162" s="1"/>
  <c r="O115" i="162"/>
  <c r="P114" i="162"/>
  <c r="O114" i="162"/>
  <c r="Q114" i="162" s="1" a="1"/>
  <c r="Q114" i="162" s="1"/>
  <c r="P113" i="162"/>
  <c r="O113" i="162"/>
  <c r="Q113" i="162" s="1" a="1"/>
  <c r="Q113" i="162" s="1"/>
  <c r="P112" i="162"/>
  <c r="O112" i="162"/>
  <c r="Q112" i="162" s="1" a="1"/>
  <c r="Q112" i="162" s="1"/>
  <c r="P111" i="162"/>
  <c r="O111" i="162"/>
  <c r="Q111" i="162" s="1" a="1"/>
  <c r="Q111" i="162" s="1"/>
  <c r="Q110" i="162" a="1"/>
  <c r="Q110" i="162" s="1"/>
  <c r="P110" i="162"/>
  <c r="O110" i="162"/>
  <c r="Q109" i="162" a="1"/>
  <c r="Q109" i="162" s="1"/>
  <c r="P109" i="162"/>
  <c r="O109" i="162"/>
  <c r="P108" i="162"/>
  <c r="Q108" i="162" s="1" a="1"/>
  <c r="Q108" i="162" s="1"/>
  <c r="O108" i="162"/>
  <c r="P107" i="162"/>
  <c r="Q107" i="162" s="1" a="1"/>
  <c r="Q107" i="162" s="1"/>
  <c r="O107" i="162"/>
  <c r="P106" i="162"/>
  <c r="O106" i="162"/>
  <c r="Q106" i="162" s="1" a="1"/>
  <c r="Q106" i="162" s="1"/>
  <c r="P105" i="162"/>
  <c r="O105" i="162"/>
  <c r="Q105" i="162" s="1" a="1"/>
  <c r="Q105" i="162" s="1"/>
  <c r="P104" i="162"/>
  <c r="O104" i="162"/>
  <c r="Q104" i="162" s="1" a="1"/>
  <c r="Q104" i="162" s="1"/>
  <c r="P103" i="162"/>
  <c r="O103" i="162"/>
  <c r="Q103" i="162" s="1" a="1"/>
  <c r="Q103" i="162" s="1"/>
  <c r="Q102" i="162" a="1"/>
  <c r="Q102" i="162" s="1"/>
  <c r="P102" i="162"/>
  <c r="O102" i="162"/>
  <c r="Q101" i="162" a="1"/>
  <c r="Q101" i="162" s="1"/>
  <c r="P101" i="162"/>
  <c r="O101" i="162"/>
  <c r="P100" i="162"/>
  <c r="Q100" i="162" s="1" a="1"/>
  <c r="Q100" i="162" s="1"/>
  <c r="O100" i="162"/>
  <c r="P99" i="162"/>
  <c r="Q99" i="162" s="1" a="1"/>
  <c r="Q99" i="162" s="1"/>
  <c r="O99" i="162"/>
  <c r="P98" i="162"/>
  <c r="O98" i="162"/>
  <c r="Q98" i="162" s="1" a="1"/>
  <c r="Q98" i="162" s="1"/>
  <c r="P97" i="162"/>
  <c r="O97" i="162"/>
  <c r="Q97" i="162" s="1" a="1"/>
  <c r="Q97" i="162" s="1"/>
  <c r="P96" i="162"/>
  <c r="O96" i="162"/>
  <c r="Q96" i="162" s="1" a="1"/>
  <c r="Q96" i="162" s="1"/>
  <c r="P95" i="162"/>
  <c r="O95" i="162"/>
  <c r="Q95" i="162" s="1" a="1"/>
  <c r="Q95" i="162" s="1"/>
  <c r="Q94" i="162" a="1"/>
  <c r="Q94" i="162" s="1"/>
  <c r="P94" i="162"/>
  <c r="O94" i="162"/>
  <c r="Q93" i="162" a="1"/>
  <c r="Q93" i="162" s="1"/>
  <c r="P93" i="162"/>
  <c r="O93" i="162"/>
  <c r="P92" i="162"/>
  <c r="Q92" i="162" s="1" a="1"/>
  <c r="Q92" i="162" s="1"/>
  <c r="O92" i="162"/>
  <c r="P91" i="162"/>
  <c r="Q91" i="162" s="1" a="1"/>
  <c r="Q91" i="162" s="1"/>
  <c r="O91" i="162"/>
  <c r="P90" i="162"/>
  <c r="O90" i="162"/>
  <c r="Q90" i="162" s="1" a="1"/>
  <c r="Q90" i="162" s="1"/>
  <c r="P89" i="162"/>
  <c r="O89" i="162"/>
  <c r="Q89" i="162" s="1" a="1"/>
  <c r="Q89" i="162" s="1"/>
  <c r="P88" i="162"/>
  <c r="O88" i="162"/>
  <c r="Q88" i="162" s="1" a="1"/>
  <c r="Q88" i="162" s="1"/>
  <c r="P87" i="162"/>
  <c r="O87" i="162"/>
  <c r="Q87" i="162" s="1" a="1"/>
  <c r="Q87" i="162" s="1"/>
  <c r="Q86" i="162" a="1"/>
  <c r="Q86" i="162" s="1"/>
  <c r="P86" i="162"/>
  <c r="O86" i="162"/>
  <c r="Q85" i="162" a="1"/>
  <c r="Q85" i="162" s="1"/>
  <c r="P85" i="162"/>
  <c r="O85" i="162"/>
  <c r="P84" i="162"/>
  <c r="Q84" i="162" s="1" a="1"/>
  <c r="Q84" i="162" s="1"/>
  <c r="O84" i="162"/>
  <c r="P83" i="162"/>
  <c r="Q83" i="162" s="1" a="1"/>
  <c r="Q83" i="162" s="1"/>
  <c r="O83" i="162"/>
  <c r="P82" i="162"/>
  <c r="O82" i="162"/>
  <c r="Q82" i="162" s="1" a="1"/>
  <c r="Q82" i="162" s="1"/>
  <c r="P81" i="162"/>
  <c r="O81" i="162"/>
  <c r="Q81" i="162" s="1" a="1"/>
  <c r="Q81" i="162" s="1"/>
  <c r="P80" i="162"/>
  <c r="O80" i="162"/>
  <c r="Q80" i="162" s="1" a="1"/>
  <c r="Q80" i="162" s="1"/>
  <c r="P79" i="162"/>
  <c r="O79" i="162"/>
  <c r="Q79" i="162" s="1" a="1"/>
  <c r="Q79" i="162" s="1"/>
  <c r="Q78" i="162" a="1"/>
  <c r="Q78" i="162" s="1"/>
  <c r="P78" i="162"/>
  <c r="O78" i="162"/>
  <c r="Q77" i="162" a="1"/>
  <c r="Q77" i="162" s="1"/>
  <c r="P77" i="162"/>
  <c r="O77" i="162"/>
  <c r="P76" i="162"/>
  <c r="Q76" i="162" s="1" a="1"/>
  <c r="Q76" i="162" s="1"/>
  <c r="O76" i="162"/>
  <c r="P75" i="162"/>
  <c r="O75" i="162"/>
  <c r="Q75" i="162" s="1" a="1"/>
  <c r="Q75" i="162" s="1"/>
  <c r="P74" i="162"/>
  <c r="O74" i="162"/>
  <c r="Q74" i="162" s="1" a="1"/>
  <c r="Q74" i="162" s="1"/>
  <c r="P73" i="162"/>
  <c r="O73" i="162"/>
  <c r="Q73" i="162" s="1" a="1"/>
  <c r="Q73" i="162" s="1"/>
  <c r="P72" i="162"/>
  <c r="O72" i="162"/>
  <c r="Q72" i="162" s="1" a="1"/>
  <c r="Q72" i="162" s="1"/>
  <c r="P71" i="162"/>
  <c r="O71" i="162"/>
  <c r="Q71" i="162" s="1" a="1"/>
  <c r="Q71" i="162" s="1"/>
  <c r="Q70" i="162" a="1"/>
  <c r="Q70" i="162" s="1"/>
  <c r="P70" i="162"/>
  <c r="O70" i="162"/>
  <c r="Q69" i="162" a="1"/>
  <c r="Q69" i="162" s="1"/>
  <c r="P69" i="162"/>
  <c r="O69" i="162"/>
  <c r="P68" i="162"/>
  <c r="O68" i="162"/>
  <c r="Q68" i="162" s="1" a="1"/>
  <c r="Q68" i="162" s="1"/>
  <c r="P67" i="162"/>
  <c r="Q67" i="162" s="1" a="1"/>
  <c r="Q67" i="162" s="1"/>
  <c r="O67" i="162"/>
  <c r="P66" i="162"/>
  <c r="O66" i="162"/>
  <c r="Q66" i="162" s="1" a="1"/>
  <c r="Q66" i="162" s="1"/>
  <c r="P65" i="162"/>
  <c r="O65" i="162"/>
  <c r="Q65" i="162" s="1" a="1"/>
  <c r="Q65" i="162" s="1"/>
  <c r="P64" i="162"/>
  <c r="O64" i="162"/>
  <c r="Q64" i="162" s="1" a="1"/>
  <c r="Q64" i="162" s="1"/>
  <c r="P63" i="162"/>
  <c r="O63" i="162"/>
  <c r="Q63" i="162" s="1" a="1"/>
  <c r="Q63" i="162" s="1"/>
  <c r="Q62" i="162" a="1"/>
  <c r="Q62" i="162" s="1"/>
  <c r="P62" i="162"/>
  <c r="O62" i="162"/>
  <c r="Q61" i="162" a="1"/>
  <c r="Q61" i="162" s="1"/>
  <c r="P61" i="162"/>
  <c r="O61" i="162"/>
  <c r="P60" i="162"/>
  <c r="Q60" i="162" s="1" a="1"/>
  <c r="Q60" i="162" s="1"/>
  <c r="O60" i="162"/>
  <c r="P59" i="162"/>
  <c r="O59" i="162"/>
  <c r="Q59" i="162" s="1" a="1"/>
  <c r="Q59" i="162" s="1"/>
  <c r="P58" i="162"/>
  <c r="O58" i="162"/>
  <c r="Q58" i="162" s="1" a="1"/>
  <c r="Q58" i="162" s="1"/>
  <c r="P57" i="162"/>
  <c r="O57" i="162"/>
  <c r="Q57" i="162" s="1" a="1"/>
  <c r="Q57" i="162" s="1"/>
  <c r="P56" i="162"/>
  <c r="O56" i="162"/>
  <c r="Q56" i="162" s="1" a="1"/>
  <c r="Q56" i="162" s="1"/>
  <c r="P55" i="162"/>
  <c r="O55" i="162"/>
  <c r="Q55" i="162" s="1" a="1"/>
  <c r="Q55" i="162" s="1"/>
  <c r="Q54" i="162" a="1"/>
  <c r="Q54" i="162" s="1"/>
  <c r="P54" i="162"/>
  <c r="O54" i="162"/>
  <c r="Q53" i="162" a="1"/>
  <c r="Q53" i="162" s="1"/>
  <c r="P53" i="162"/>
  <c r="O53" i="162"/>
  <c r="P52" i="162"/>
  <c r="O52" i="162"/>
  <c r="Q52" i="162" s="1" a="1"/>
  <c r="Q52" i="162" s="1"/>
  <c r="B62" i="163" s="1"/>
  <c r="P51" i="162"/>
  <c r="Q51" i="162" s="1" a="1"/>
  <c r="Q51" i="162" s="1"/>
  <c r="B61" i="163" s="1"/>
  <c r="O51" i="162"/>
  <c r="P50" i="162"/>
  <c r="O50" i="162"/>
  <c r="Q50" i="162" s="1" a="1"/>
  <c r="Q50" i="162" s="1"/>
  <c r="B60" i="163" s="1"/>
  <c r="P49" i="162"/>
  <c r="O49" i="162"/>
  <c r="Q49" i="162" s="1" a="1"/>
  <c r="Q49" i="162" s="1"/>
  <c r="B59" i="163" s="1"/>
  <c r="P48" i="162"/>
  <c r="O48" i="162"/>
  <c r="Q48" i="162" s="1" a="1"/>
  <c r="Q48" i="162" s="1"/>
  <c r="B58" i="163" s="1"/>
  <c r="P47" i="162"/>
  <c r="O47" i="162"/>
  <c r="Q47" i="162" s="1" a="1"/>
  <c r="Q47" i="162" s="1"/>
  <c r="B57" i="163" s="1"/>
  <c r="P46" i="162"/>
  <c r="O46" i="162"/>
  <c r="P45" i="162"/>
  <c r="O45" i="162"/>
  <c r="P44" i="162"/>
  <c r="Q44" i="162" s="1" a="1"/>
  <c r="Q44" i="162" s="1"/>
  <c r="B54" i="163" s="1"/>
  <c r="O44" i="162"/>
  <c r="P43" i="162"/>
  <c r="O43" i="162"/>
  <c r="Q43" i="162" s="1" a="1"/>
  <c r="Q43" i="162" s="1"/>
  <c r="B53" i="163" s="1"/>
  <c r="P42" i="162"/>
  <c r="O42" i="162"/>
  <c r="P41" i="162"/>
  <c r="O41" i="162"/>
  <c r="P40" i="162"/>
  <c r="O40" i="162"/>
  <c r="P39" i="162"/>
  <c r="O39" i="162"/>
  <c r="Q39" i="162" s="1" a="1"/>
  <c r="Q39" i="162" s="1"/>
  <c r="B49" i="163" s="1"/>
  <c r="P38" i="162"/>
  <c r="O38" i="162"/>
  <c r="Q37" i="162" a="1"/>
  <c r="Q37" i="162" s="1"/>
  <c r="B47" i="163" s="1"/>
  <c r="P37" i="162"/>
  <c r="O37" i="162"/>
  <c r="P36" i="162"/>
  <c r="O36" i="162"/>
  <c r="P35" i="162"/>
  <c r="O35" i="162"/>
  <c r="P34" i="162"/>
  <c r="O34" i="162"/>
  <c r="Q34" i="162" s="1" a="1"/>
  <c r="Q34" i="162" s="1"/>
  <c r="B44" i="163" s="1"/>
  <c r="P33" i="162"/>
  <c r="O33" i="162"/>
  <c r="Q33" i="162" s="1" a="1"/>
  <c r="Q33" i="162" s="1"/>
  <c r="B43" i="163" s="1"/>
  <c r="P32" i="162"/>
  <c r="O32" i="162"/>
  <c r="Q32" i="162" s="1" a="1"/>
  <c r="Q32" i="162" s="1"/>
  <c r="B42" i="163" s="1"/>
  <c r="P31" i="162"/>
  <c r="O31" i="162"/>
  <c r="P30" i="162"/>
  <c r="O30" i="162"/>
  <c r="P29" i="162"/>
  <c r="O29" i="162"/>
  <c r="P28" i="162"/>
  <c r="Q28" i="162" s="1" a="1"/>
  <c r="Q28" i="162" s="1"/>
  <c r="B38" i="163" s="1"/>
  <c r="O28" i="162"/>
  <c r="P27" i="162"/>
  <c r="O27" i="162"/>
  <c r="Q27" i="162" s="1" a="1"/>
  <c r="Q27" i="162" s="1"/>
  <c r="B37" i="163" s="1"/>
  <c r="P26" i="162"/>
  <c r="O26" i="162"/>
  <c r="P25" i="162"/>
  <c r="O25" i="162"/>
  <c r="P24" i="162"/>
  <c r="O24" i="162"/>
  <c r="Q24" i="162" s="1" a="1"/>
  <c r="Q24" i="162" s="1"/>
  <c r="B34" i="163" s="1"/>
  <c r="P23" i="162"/>
  <c r="O23" i="162"/>
  <c r="Q23" i="162" s="1" a="1"/>
  <c r="Q23" i="162" s="1"/>
  <c r="B33" i="163" s="1"/>
  <c r="P22" i="162"/>
  <c r="O22" i="162"/>
  <c r="P21" i="162"/>
  <c r="O21" i="162"/>
  <c r="P20" i="162"/>
  <c r="O20" i="162"/>
  <c r="P19" i="162"/>
  <c r="O19" i="162"/>
  <c r="Q19" i="162" s="1" a="1"/>
  <c r="Q19" i="162" s="1"/>
  <c r="B29" i="163" s="1"/>
  <c r="P18" i="162"/>
  <c r="O18" i="162"/>
  <c r="Q18" i="162" s="1" a="1"/>
  <c r="Q18" i="162" s="1"/>
  <c r="B28" i="163" s="1"/>
  <c r="P17" i="162"/>
  <c r="O17" i="162"/>
  <c r="Q17" i="162" s="1" a="1"/>
  <c r="Q17" i="162" s="1"/>
  <c r="B27" i="163" s="1"/>
  <c r="L17" i="162"/>
  <c r="K17" i="162"/>
  <c r="J17" i="162"/>
  <c r="C17" i="162"/>
  <c r="I17" i="162" s="1"/>
  <c r="Q46" i="162" s="1" a="1"/>
  <c r="Q46" i="162" s="1"/>
  <c r="B56" i="163" s="1"/>
  <c r="P16" i="162"/>
  <c r="O16" i="162"/>
  <c r="L16" i="162"/>
  <c r="E16" i="162"/>
  <c r="K16" i="162" s="1"/>
  <c r="D16" i="162"/>
  <c r="J16" i="162" s="1"/>
  <c r="C16" i="162"/>
  <c r="I16" i="162" s="1"/>
  <c r="P15" i="162"/>
  <c r="O15" i="162"/>
  <c r="L15" i="162"/>
  <c r="K15" i="162"/>
  <c r="Q38" i="162" s="1" a="1"/>
  <c r="Q38" i="162" s="1"/>
  <c r="B48" i="163" s="1"/>
  <c r="J15" i="162"/>
  <c r="E15" i="162"/>
  <c r="D15" i="162"/>
  <c r="C15" i="162"/>
  <c r="I15" i="162" s="1"/>
  <c r="P14" i="162"/>
  <c r="Q14" i="162" s="1" a="1"/>
  <c r="Q14" i="162" s="1"/>
  <c r="B24" i="163" s="1"/>
  <c r="O14" i="162"/>
  <c r="L14" i="162"/>
  <c r="K14" i="162"/>
  <c r="J14" i="162"/>
  <c r="C14" i="162"/>
  <c r="I14" i="162" s="1"/>
  <c r="P13" i="162"/>
  <c r="O13" i="162"/>
  <c r="Q13" i="162" s="1" a="1"/>
  <c r="Q13" i="162" s="1"/>
  <c r="B23" i="163" s="1"/>
  <c r="L13" i="162"/>
  <c r="Q29" i="162" s="1" a="1"/>
  <c r="Q29" i="162" s="1"/>
  <c r="B39" i="163" s="1"/>
  <c r="K13" i="162"/>
  <c r="J13" i="162"/>
  <c r="C13" i="162"/>
  <c r="I13" i="162" s="1"/>
  <c r="P12" i="162"/>
  <c r="O12" i="162"/>
  <c r="L12" i="162"/>
  <c r="E12" i="162"/>
  <c r="K12" i="162" s="1"/>
  <c r="D12" i="162"/>
  <c r="J12" i="162" s="1"/>
  <c r="C12" i="162"/>
  <c r="I12" i="162" s="1"/>
  <c r="B12" i="162"/>
  <c r="H12" i="162" s="1"/>
  <c r="P11" i="162"/>
  <c r="O11" i="162"/>
  <c r="Q11" i="162" s="1" a="1"/>
  <c r="Q11" i="162" s="1"/>
  <c r="B21" i="163" s="1"/>
  <c r="L11" i="162"/>
  <c r="K11" i="162"/>
  <c r="J11" i="162"/>
  <c r="E11" i="162"/>
  <c r="D11" i="162"/>
  <c r="C11" i="162"/>
  <c r="I11" i="162" s="1"/>
  <c r="P10" i="162"/>
  <c r="O10" i="162"/>
  <c r="L10" i="162"/>
  <c r="I10" i="162"/>
  <c r="E10" i="162"/>
  <c r="K10" i="162" s="1"/>
  <c r="D10" i="162"/>
  <c r="J10" i="162" s="1"/>
  <c r="C10" i="162"/>
  <c r="B10" i="162"/>
  <c r="B17" i="162" s="1"/>
  <c r="H17" i="162" s="1"/>
  <c r="Q45" i="162" s="1" a="1"/>
  <c r="Q45" i="162" s="1"/>
  <c r="B55" i="163" s="1"/>
  <c r="C204" i="161"/>
  <c r="C198" i="161"/>
  <c r="C197" i="161"/>
  <c r="C2" i="161"/>
  <c r="C1" i="161"/>
  <c r="E45" i="160"/>
  <c r="E44" i="160"/>
  <c r="C241" i="161" s="1"/>
  <c r="E43" i="160"/>
  <c r="C240" i="161" s="1"/>
  <c r="E40" i="160"/>
  <c r="C237" i="161" s="1"/>
  <c r="E39" i="160"/>
  <c r="C236" i="161" s="1"/>
  <c r="E37" i="160"/>
  <c r="C234" i="161" s="1"/>
  <c r="E36" i="160"/>
  <c r="C233" i="161" s="1"/>
  <c r="E35" i="160"/>
  <c r="C232" i="161" s="1"/>
  <c r="E32" i="160"/>
  <c r="C229" i="161" s="1"/>
  <c r="E31" i="160"/>
  <c r="C228" i="161" s="1"/>
  <c r="E29" i="160"/>
  <c r="C226" i="161" s="1"/>
  <c r="E28" i="160"/>
  <c r="C225" i="161" s="1"/>
  <c r="E27" i="160"/>
  <c r="C224" i="161" s="1"/>
  <c r="E24" i="160"/>
  <c r="C221" i="161" s="1"/>
  <c r="E23" i="160"/>
  <c r="C220" i="161" s="1"/>
  <c r="E21" i="160"/>
  <c r="C218" i="161" s="1"/>
  <c r="E20" i="160"/>
  <c r="C217" i="161" s="1"/>
  <c r="E19" i="160"/>
  <c r="C216" i="161" s="1"/>
  <c r="E16" i="160"/>
  <c r="C213" i="161" s="1"/>
  <c r="E15" i="160"/>
  <c r="C212" i="161" s="1"/>
  <c r="E13" i="160"/>
  <c r="C210" i="161" s="1"/>
  <c r="E11" i="160"/>
  <c r="C208" i="161" s="1"/>
  <c r="B10" i="160"/>
  <c r="E10" i="160" s="1"/>
  <c r="C207" i="161" s="1"/>
  <c r="E9" i="160"/>
  <c r="C206" i="161" s="1"/>
  <c r="B9" i="160"/>
  <c r="C7" i="160" s="1"/>
  <c r="E7" i="160" s="1"/>
  <c r="C203" i="161" s="1"/>
  <c r="E8" i="160"/>
  <c r="E6" i="160"/>
  <c r="C202" i="161" s="1"/>
  <c r="E5" i="160"/>
  <c r="C201" i="161" s="1"/>
  <c r="E4" i="160"/>
  <c r="C200" i="161" s="1"/>
  <c r="E3" i="160"/>
  <c r="C199" i="161" s="1"/>
  <c r="J44" i="159"/>
  <c r="J43" i="159"/>
  <c r="C43" i="161" s="1"/>
  <c r="J42" i="159"/>
  <c r="C42" i="161" s="1"/>
  <c r="J41" i="159"/>
  <c r="C41" i="161" s="1"/>
  <c r="J40" i="159"/>
  <c r="C40" i="161" s="1"/>
  <c r="J39" i="159"/>
  <c r="C39" i="161" s="1"/>
  <c r="J38" i="159"/>
  <c r="C38" i="161" s="1"/>
  <c r="J37" i="159"/>
  <c r="C37" i="161" s="1"/>
  <c r="J36" i="159"/>
  <c r="C36" i="161" s="1"/>
  <c r="J35" i="159"/>
  <c r="C35" i="161" s="1"/>
  <c r="J34" i="159"/>
  <c r="C34" i="161" s="1"/>
  <c r="J33" i="159"/>
  <c r="C33" i="161" s="1"/>
  <c r="L32" i="159"/>
  <c r="C129" i="161" s="1"/>
  <c r="J32" i="159"/>
  <c r="C32" i="161" s="1"/>
  <c r="L31" i="159"/>
  <c r="C128" i="161" s="1"/>
  <c r="J31" i="159"/>
  <c r="C31" i="161" s="1"/>
  <c r="J30" i="159"/>
  <c r="L30" i="159" s="1"/>
  <c r="C127" i="161" s="1"/>
  <c r="J29" i="159"/>
  <c r="C29" i="161" s="1"/>
  <c r="J28" i="159"/>
  <c r="C28" i="161" s="1"/>
  <c r="J27" i="159"/>
  <c r="C27" i="161" s="1"/>
  <c r="J26" i="159"/>
  <c r="C26" i="161" s="1"/>
  <c r="J25" i="159"/>
  <c r="C25" i="161" s="1"/>
  <c r="L24" i="159"/>
  <c r="C121" i="161" s="1"/>
  <c r="J24" i="159"/>
  <c r="C24" i="161" s="1"/>
  <c r="J23" i="159"/>
  <c r="C23" i="161" s="1"/>
  <c r="J22" i="159"/>
  <c r="C22" i="161" s="1"/>
  <c r="J21" i="159"/>
  <c r="L21" i="159" s="1"/>
  <c r="C118" i="161" s="1"/>
  <c r="J20" i="159"/>
  <c r="C20" i="161" s="1"/>
  <c r="J19" i="159"/>
  <c r="C19" i="161" s="1"/>
  <c r="J18" i="159"/>
  <c r="C18" i="161" s="1"/>
  <c r="J17" i="159"/>
  <c r="C17" i="161" s="1"/>
  <c r="J16" i="159"/>
  <c r="C16" i="161" s="1"/>
  <c r="L15" i="159"/>
  <c r="C112" i="161" s="1"/>
  <c r="J15" i="159"/>
  <c r="C15" i="161" s="1"/>
  <c r="J14" i="159"/>
  <c r="C14" i="161" s="1"/>
  <c r="J13" i="159"/>
  <c r="L13" i="159" s="1"/>
  <c r="C110" i="161" s="1"/>
  <c r="J12" i="159"/>
  <c r="C12" i="161" s="1"/>
  <c r="J11" i="159"/>
  <c r="C11" i="161" s="1"/>
  <c r="J10" i="159"/>
  <c r="C10" i="161" s="1"/>
  <c r="J9" i="159"/>
  <c r="C9" i="161" s="1"/>
  <c r="J8" i="159"/>
  <c r="C8" i="161" s="1"/>
  <c r="J7" i="159"/>
  <c r="C7" i="161" s="1"/>
  <c r="J6" i="159"/>
  <c r="C6" i="161" s="1"/>
  <c r="J5" i="159"/>
  <c r="C5" i="161" s="1"/>
  <c r="J4" i="159"/>
  <c r="C4" i="161" s="1"/>
  <c r="L3" i="159"/>
  <c r="J3" i="159"/>
  <c r="C3" i="161" s="1"/>
  <c r="C130" i="158"/>
  <c r="C129" i="158"/>
  <c r="C91" i="158"/>
  <c r="C90" i="158"/>
  <c r="C87" i="158"/>
  <c r="C86" i="158"/>
  <c r="C43" i="158"/>
  <c r="C42" i="158"/>
  <c r="C2" i="158"/>
  <c r="C1" i="158"/>
  <c r="E45" i="157"/>
  <c r="E44" i="157"/>
  <c r="E43" i="157"/>
  <c r="E42" i="157"/>
  <c r="C128" i="158" s="1"/>
  <c r="B41" i="157"/>
  <c r="E41" i="157" s="1"/>
  <c r="C127" i="158" s="1"/>
  <c r="B40" i="157"/>
  <c r="E40" i="157" s="1"/>
  <c r="C126" i="158" s="1"/>
  <c r="B39" i="157"/>
  <c r="E39" i="157" s="1"/>
  <c r="C125" i="158" s="1"/>
  <c r="B38" i="157"/>
  <c r="E38" i="157" s="1"/>
  <c r="C124" i="158" s="1"/>
  <c r="B37" i="157"/>
  <c r="E37" i="157" s="1"/>
  <c r="C123" i="158" s="1"/>
  <c r="B36" i="157"/>
  <c r="E36" i="157" s="1"/>
  <c r="C122" i="158" s="1"/>
  <c r="B35" i="157"/>
  <c r="E35" i="157" s="1"/>
  <c r="C121" i="158" s="1"/>
  <c r="B34" i="157"/>
  <c r="E34" i="157" s="1"/>
  <c r="C120" i="158" s="1"/>
  <c r="B33" i="157"/>
  <c r="E33" i="157" s="1"/>
  <c r="C119" i="158" s="1"/>
  <c r="B32" i="157"/>
  <c r="E32" i="157" s="1"/>
  <c r="C118" i="158" s="1"/>
  <c r="B31" i="157"/>
  <c r="E31" i="157" s="1"/>
  <c r="C117" i="158" s="1"/>
  <c r="B30" i="157"/>
  <c r="E30" i="157" s="1"/>
  <c r="C116" i="158" s="1"/>
  <c r="B29" i="157"/>
  <c r="E29" i="157" s="1"/>
  <c r="C115" i="158" s="1"/>
  <c r="B28" i="157"/>
  <c r="E28" i="157" s="1"/>
  <c r="C114" i="158" s="1"/>
  <c r="B27" i="157"/>
  <c r="E27" i="157" s="1"/>
  <c r="C113" i="158" s="1"/>
  <c r="B26" i="157"/>
  <c r="E26" i="157" s="1"/>
  <c r="C112" i="158" s="1"/>
  <c r="B25" i="157"/>
  <c r="E25" i="157" s="1"/>
  <c r="C111" i="158" s="1"/>
  <c r="B24" i="157"/>
  <c r="E24" i="157" s="1"/>
  <c r="C110" i="158" s="1"/>
  <c r="B23" i="157"/>
  <c r="E23" i="157" s="1"/>
  <c r="C109" i="158" s="1"/>
  <c r="B22" i="157"/>
  <c r="E22" i="157" s="1"/>
  <c r="C108" i="158" s="1"/>
  <c r="B21" i="157"/>
  <c r="E21" i="157" s="1"/>
  <c r="C107" i="158" s="1"/>
  <c r="B20" i="157"/>
  <c r="E20" i="157" s="1"/>
  <c r="C106" i="158" s="1"/>
  <c r="B19" i="157"/>
  <c r="E19" i="157" s="1"/>
  <c r="C105" i="158" s="1"/>
  <c r="B18" i="157"/>
  <c r="E18" i="157" s="1"/>
  <c r="C104" i="158" s="1"/>
  <c r="B17" i="157"/>
  <c r="E17" i="157" s="1"/>
  <c r="C103" i="158" s="1"/>
  <c r="B16" i="157"/>
  <c r="E16" i="157" s="1"/>
  <c r="C102" i="158" s="1"/>
  <c r="B15" i="157"/>
  <c r="E15" i="157" s="1"/>
  <c r="C101" i="158" s="1"/>
  <c r="B14" i="157"/>
  <c r="E14" i="157" s="1"/>
  <c r="C100" i="158" s="1"/>
  <c r="B13" i="157"/>
  <c r="E13" i="157" s="1"/>
  <c r="C99" i="158" s="1"/>
  <c r="B12" i="157"/>
  <c r="E12" i="157" s="1"/>
  <c r="C98" i="158" s="1"/>
  <c r="B11" i="157"/>
  <c r="E11" i="157" s="1"/>
  <c r="C97" i="158" s="1"/>
  <c r="B10" i="157"/>
  <c r="E10" i="157" s="1"/>
  <c r="C96" i="158" s="1"/>
  <c r="E9" i="157"/>
  <c r="C95" i="158" s="1"/>
  <c r="B9" i="157"/>
  <c r="C7" i="157" s="1"/>
  <c r="E7" i="157" s="1"/>
  <c r="C92" i="158" s="1"/>
  <c r="E8" i="157"/>
  <c r="C93" i="158" s="1"/>
  <c r="E6" i="157"/>
  <c r="E5" i="157"/>
  <c r="E4" i="157"/>
  <c r="C89" i="158" s="1"/>
  <c r="E3" i="157"/>
  <c r="C88" i="158" s="1"/>
  <c r="J44" i="156"/>
  <c r="L44" i="156" s="1"/>
  <c r="L43" i="156"/>
  <c r="J43" i="156"/>
  <c r="J42" i="156"/>
  <c r="L42" i="156" s="1"/>
  <c r="C83" i="158" s="1"/>
  <c r="J41" i="156"/>
  <c r="C41" i="158" s="1"/>
  <c r="J40" i="156"/>
  <c r="C40" i="158" s="1"/>
  <c r="J39" i="156"/>
  <c r="C39" i="158" s="1"/>
  <c r="J38" i="156"/>
  <c r="L38" i="156" s="1"/>
  <c r="C79" i="158" s="1"/>
  <c r="J37" i="156"/>
  <c r="C37" i="158" s="1"/>
  <c r="J36" i="156"/>
  <c r="L36" i="156" s="1"/>
  <c r="C77" i="158" s="1"/>
  <c r="J35" i="156"/>
  <c r="C35" i="158" s="1"/>
  <c r="J34" i="156"/>
  <c r="L34" i="156" s="1"/>
  <c r="C75" i="158" s="1"/>
  <c r="J33" i="156"/>
  <c r="C33" i="158" s="1"/>
  <c r="J32" i="156"/>
  <c r="C32" i="158" s="1"/>
  <c r="J31" i="156"/>
  <c r="C31" i="158" s="1"/>
  <c r="J30" i="156"/>
  <c r="L30" i="156" s="1"/>
  <c r="C71" i="158" s="1"/>
  <c r="J29" i="156"/>
  <c r="C29" i="158" s="1"/>
  <c r="J28" i="156"/>
  <c r="L28" i="156" s="1"/>
  <c r="C69" i="158" s="1"/>
  <c r="J27" i="156"/>
  <c r="C27" i="158" s="1"/>
  <c r="J26" i="156"/>
  <c r="L26" i="156" s="1"/>
  <c r="C67" i="158" s="1"/>
  <c r="J25" i="156"/>
  <c r="C25" i="158" s="1"/>
  <c r="J24" i="156"/>
  <c r="C24" i="158" s="1"/>
  <c r="J23" i="156"/>
  <c r="C23" i="158" s="1"/>
  <c r="J22" i="156"/>
  <c r="L22" i="156" s="1"/>
  <c r="C63" i="158" s="1"/>
  <c r="J21" i="156"/>
  <c r="C21" i="158" s="1"/>
  <c r="J20" i="156"/>
  <c r="L20" i="156" s="1"/>
  <c r="C61" i="158" s="1"/>
  <c r="J19" i="156"/>
  <c r="C19" i="158" s="1"/>
  <c r="J18" i="156"/>
  <c r="L18" i="156" s="1"/>
  <c r="C59" i="158" s="1"/>
  <c r="J17" i="156"/>
  <c r="C17" i="158" s="1"/>
  <c r="J16" i="156"/>
  <c r="C16" i="158" s="1"/>
  <c r="J15" i="156"/>
  <c r="C15" i="158" s="1"/>
  <c r="J14" i="156"/>
  <c r="L14" i="156" s="1"/>
  <c r="C55" i="158" s="1"/>
  <c r="J13" i="156"/>
  <c r="C13" i="158" s="1"/>
  <c r="J12" i="156"/>
  <c r="L12" i="156" s="1"/>
  <c r="C53" i="158" s="1"/>
  <c r="J11" i="156"/>
  <c r="C11" i="158" s="1"/>
  <c r="J10" i="156"/>
  <c r="L10" i="156" s="1"/>
  <c r="C51" i="158" s="1"/>
  <c r="J9" i="156"/>
  <c r="C9" i="158" s="1"/>
  <c r="J8" i="156"/>
  <c r="C8" i="158" s="1"/>
  <c r="J7" i="156"/>
  <c r="C7" i="158" s="1"/>
  <c r="J6" i="156"/>
  <c r="C6" i="158" s="1"/>
  <c r="J5" i="156"/>
  <c r="C5" i="158" s="1"/>
  <c r="J4" i="156"/>
  <c r="C4" i="158" s="1"/>
  <c r="L3" i="156"/>
  <c r="J3" i="156"/>
  <c r="C3" i="158" s="1"/>
  <c r="L40" i="151"/>
  <c r="C81" i="153" s="1"/>
  <c r="L41" i="151"/>
  <c r="L42" i="151"/>
  <c r="C83" i="153" s="1"/>
  <c r="L43" i="151"/>
  <c r="L44" i="151"/>
  <c r="C82" i="153"/>
  <c r="L3" i="151"/>
  <c r="C128" i="153"/>
  <c r="C129" i="153"/>
  <c r="C130" i="153"/>
  <c r="E45" i="152"/>
  <c r="E42" i="152"/>
  <c r="E43" i="152"/>
  <c r="E44" i="152"/>
  <c r="B11" i="152"/>
  <c r="E11" i="152" s="1"/>
  <c r="C97" i="153" s="1"/>
  <c r="B12" i="152"/>
  <c r="B13" i="152"/>
  <c r="B14" i="152"/>
  <c r="E14" i="152" s="1"/>
  <c r="C100" i="153" s="1"/>
  <c r="B15" i="152"/>
  <c r="E15" i="152" s="1"/>
  <c r="C101" i="153" s="1"/>
  <c r="B16" i="152"/>
  <c r="E16" i="152" s="1"/>
  <c r="C102" i="153" s="1"/>
  <c r="B17" i="152"/>
  <c r="E17" i="152" s="1"/>
  <c r="C103" i="153" s="1"/>
  <c r="B18" i="152"/>
  <c r="E18" i="152" s="1"/>
  <c r="C104" i="153" s="1"/>
  <c r="B19" i="152"/>
  <c r="E19" i="152" s="1"/>
  <c r="C105" i="153" s="1"/>
  <c r="B20" i="152"/>
  <c r="B21" i="152"/>
  <c r="E21" i="152" s="1"/>
  <c r="C107" i="153" s="1"/>
  <c r="B22" i="152"/>
  <c r="E22" i="152" s="1"/>
  <c r="C108" i="153" s="1"/>
  <c r="B23" i="152"/>
  <c r="E23" i="152" s="1"/>
  <c r="C109" i="153" s="1"/>
  <c r="B24" i="152"/>
  <c r="E24" i="152" s="1"/>
  <c r="C110" i="153" s="1"/>
  <c r="B25" i="152"/>
  <c r="E25" i="152" s="1"/>
  <c r="C111" i="153" s="1"/>
  <c r="B26" i="152"/>
  <c r="E26" i="152" s="1"/>
  <c r="C112" i="153" s="1"/>
  <c r="B27" i="152"/>
  <c r="E27" i="152" s="1"/>
  <c r="C113" i="153" s="1"/>
  <c r="B28" i="152"/>
  <c r="E28" i="152" s="1"/>
  <c r="C114" i="153" s="1"/>
  <c r="B29" i="152"/>
  <c r="E29" i="152" s="1"/>
  <c r="C115" i="153" s="1"/>
  <c r="B30" i="152"/>
  <c r="E30" i="152" s="1"/>
  <c r="C116" i="153" s="1"/>
  <c r="B31" i="152"/>
  <c r="E31" i="152" s="1"/>
  <c r="C117" i="153" s="1"/>
  <c r="B32" i="152"/>
  <c r="E32" i="152" s="1"/>
  <c r="C118" i="153" s="1"/>
  <c r="B33" i="152"/>
  <c r="E33" i="152" s="1"/>
  <c r="C119" i="153" s="1"/>
  <c r="B34" i="152"/>
  <c r="E34" i="152" s="1"/>
  <c r="C120" i="153" s="1"/>
  <c r="B35" i="152"/>
  <c r="E35" i="152" s="1"/>
  <c r="C121" i="153" s="1"/>
  <c r="B36" i="152"/>
  <c r="E36" i="152" s="1"/>
  <c r="C122" i="153" s="1"/>
  <c r="B37" i="152"/>
  <c r="E37" i="152" s="1"/>
  <c r="C123" i="153" s="1"/>
  <c r="B38" i="152"/>
  <c r="E38" i="152" s="1"/>
  <c r="C124" i="153" s="1"/>
  <c r="B39" i="152"/>
  <c r="E39" i="152" s="1"/>
  <c r="C125" i="153" s="1"/>
  <c r="B40" i="152"/>
  <c r="E40" i="152" s="1"/>
  <c r="C126" i="153" s="1"/>
  <c r="B41" i="152"/>
  <c r="E41" i="152" s="1"/>
  <c r="C127" i="153" s="1"/>
  <c r="B10" i="152"/>
  <c r="E10" i="152" s="1"/>
  <c r="C96" i="153" s="1"/>
  <c r="J9" i="151"/>
  <c r="C9" i="153" s="1"/>
  <c r="J10" i="151"/>
  <c r="C10" i="153" s="1"/>
  <c r="J11" i="151"/>
  <c r="C11" i="153" s="1"/>
  <c r="J12" i="151"/>
  <c r="C12" i="153" s="1"/>
  <c r="J13" i="151"/>
  <c r="C13" i="153" s="1"/>
  <c r="J14" i="151"/>
  <c r="C14" i="153" s="1"/>
  <c r="J15" i="151"/>
  <c r="C15" i="153" s="1"/>
  <c r="J16" i="151"/>
  <c r="C16" i="153" s="1"/>
  <c r="J17" i="151"/>
  <c r="C17" i="153" s="1"/>
  <c r="J18" i="151"/>
  <c r="C18" i="153" s="1"/>
  <c r="J19" i="151"/>
  <c r="C19" i="153" s="1"/>
  <c r="J20" i="151"/>
  <c r="C20" i="153" s="1"/>
  <c r="J21" i="151"/>
  <c r="C21" i="153" s="1"/>
  <c r="J22" i="151"/>
  <c r="C22" i="153" s="1"/>
  <c r="J23" i="151"/>
  <c r="C23" i="153" s="1"/>
  <c r="J24" i="151"/>
  <c r="C24" i="153" s="1"/>
  <c r="J25" i="151"/>
  <c r="C25" i="153" s="1"/>
  <c r="J26" i="151"/>
  <c r="C26" i="153" s="1"/>
  <c r="J27" i="151"/>
  <c r="C27" i="153" s="1"/>
  <c r="J28" i="151"/>
  <c r="C28" i="153" s="1"/>
  <c r="J29" i="151"/>
  <c r="C29" i="153" s="1"/>
  <c r="J30" i="151"/>
  <c r="C30" i="153" s="1"/>
  <c r="J31" i="151"/>
  <c r="C31" i="153" s="1"/>
  <c r="J32" i="151"/>
  <c r="C32" i="153" s="1"/>
  <c r="J33" i="151"/>
  <c r="C33" i="153" s="1"/>
  <c r="J34" i="151"/>
  <c r="C34" i="153" s="1"/>
  <c r="J35" i="151"/>
  <c r="C35" i="153" s="1"/>
  <c r="J36" i="151"/>
  <c r="C36" i="153" s="1"/>
  <c r="J37" i="151"/>
  <c r="C37" i="153" s="1"/>
  <c r="J38" i="151"/>
  <c r="C38" i="153" s="1"/>
  <c r="J39" i="151"/>
  <c r="C39" i="153" s="1"/>
  <c r="J40" i="151"/>
  <c r="C40" i="153" s="1"/>
  <c r="J41" i="151"/>
  <c r="C41" i="153" s="1"/>
  <c r="J42" i="151"/>
  <c r="C42" i="153" s="1"/>
  <c r="J43" i="151"/>
  <c r="C43" i="153" s="1"/>
  <c r="J44" i="151"/>
  <c r="P184" i="154"/>
  <c r="Q184" i="154" s="1" a="1"/>
  <c r="Q184" i="154" s="1"/>
  <c r="O184" i="154"/>
  <c r="P183" i="154"/>
  <c r="O183" i="154"/>
  <c r="Q183" i="154" s="1" a="1"/>
  <c r="Q183" i="154" s="1"/>
  <c r="P182" i="154"/>
  <c r="O182" i="154"/>
  <c r="Q182" i="154" s="1" a="1"/>
  <c r="Q182" i="154" s="1"/>
  <c r="P181" i="154"/>
  <c r="O181" i="154"/>
  <c r="Q181" i="154" s="1" a="1"/>
  <c r="Q181" i="154" s="1"/>
  <c r="P180" i="154"/>
  <c r="O180" i="154"/>
  <c r="Q180" i="154" s="1" a="1"/>
  <c r="Q180" i="154" s="1"/>
  <c r="P179" i="154"/>
  <c r="O179" i="154"/>
  <c r="Q179" i="154" s="1" a="1"/>
  <c r="Q179" i="154" s="1"/>
  <c r="P178" i="154"/>
  <c r="O178" i="154"/>
  <c r="Q178" i="154" s="1" a="1"/>
  <c r="Q178" i="154" s="1"/>
  <c r="P177" i="154"/>
  <c r="O177" i="154"/>
  <c r="Q177" i="154" s="1" a="1"/>
  <c r="Q177" i="154" s="1"/>
  <c r="P176" i="154"/>
  <c r="O176" i="154"/>
  <c r="Q176" i="154" s="1" a="1"/>
  <c r="Q176" i="154" s="1"/>
  <c r="P175" i="154"/>
  <c r="O175" i="154"/>
  <c r="Q175" i="154" s="1" a="1"/>
  <c r="Q175" i="154" s="1"/>
  <c r="P174" i="154"/>
  <c r="O174" i="154"/>
  <c r="Q174" i="154" s="1" a="1"/>
  <c r="Q174" i="154" s="1"/>
  <c r="P173" i="154"/>
  <c r="O173" i="154"/>
  <c r="Q173" i="154" s="1" a="1"/>
  <c r="Q173" i="154" s="1"/>
  <c r="P172" i="154"/>
  <c r="O172" i="154"/>
  <c r="Q172" i="154" s="1" a="1"/>
  <c r="Q172" i="154" s="1"/>
  <c r="P171" i="154"/>
  <c r="O171" i="154"/>
  <c r="Q171" i="154" s="1" a="1"/>
  <c r="Q171" i="154" s="1"/>
  <c r="P170" i="154"/>
  <c r="O170" i="154"/>
  <c r="Q170" i="154" s="1" a="1"/>
  <c r="Q170" i="154" s="1"/>
  <c r="P169" i="154"/>
  <c r="O169" i="154"/>
  <c r="Q169" i="154" s="1" a="1"/>
  <c r="Q169" i="154" s="1"/>
  <c r="P168" i="154"/>
  <c r="O168" i="154"/>
  <c r="Q168" i="154" s="1" a="1"/>
  <c r="Q168" i="154" s="1"/>
  <c r="P167" i="154"/>
  <c r="O167" i="154"/>
  <c r="Q167" i="154" s="1" a="1"/>
  <c r="Q167" i="154" s="1"/>
  <c r="P166" i="154"/>
  <c r="O166" i="154"/>
  <c r="Q166" i="154" s="1" a="1"/>
  <c r="Q166" i="154" s="1"/>
  <c r="P165" i="154"/>
  <c r="O165" i="154"/>
  <c r="Q165" i="154" s="1" a="1"/>
  <c r="Q165" i="154" s="1"/>
  <c r="P164" i="154"/>
  <c r="O164" i="154"/>
  <c r="Q164" i="154" s="1" a="1"/>
  <c r="Q164" i="154" s="1"/>
  <c r="P163" i="154"/>
  <c r="O163" i="154"/>
  <c r="Q163" i="154" s="1" a="1"/>
  <c r="Q163" i="154" s="1"/>
  <c r="P162" i="154"/>
  <c r="O162" i="154"/>
  <c r="Q162" i="154" s="1" a="1"/>
  <c r="Q162" i="154" s="1"/>
  <c r="P161" i="154"/>
  <c r="O161" i="154"/>
  <c r="Q161" i="154" s="1" a="1"/>
  <c r="Q161" i="154" s="1"/>
  <c r="P160" i="154"/>
  <c r="O160" i="154"/>
  <c r="Q160" i="154" s="1" a="1"/>
  <c r="Q160" i="154" s="1"/>
  <c r="P159" i="154"/>
  <c r="O159" i="154"/>
  <c r="Q159" i="154" s="1" a="1"/>
  <c r="Q159" i="154" s="1"/>
  <c r="P158" i="154"/>
  <c r="O158" i="154"/>
  <c r="Q158" i="154" s="1" a="1"/>
  <c r="Q158" i="154" s="1"/>
  <c r="P157" i="154"/>
  <c r="O157" i="154"/>
  <c r="Q157" i="154" s="1" a="1"/>
  <c r="Q157" i="154" s="1"/>
  <c r="P156" i="154"/>
  <c r="O156" i="154"/>
  <c r="Q156" i="154" s="1" a="1"/>
  <c r="Q156" i="154" s="1"/>
  <c r="P155" i="154"/>
  <c r="O155" i="154"/>
  <c r="Q155" i="154" s="1" a="1"/>
  <c r="Q155" i="154" s="1"/>
  <c r="P154" i="154"/>
  <c r="O154" i="154"/>
  <c r="Q154" i="154" s="1" a="1"/>
  <c r="Q154" i="154" s="1"/>
  <c r="P153" i="154"/>
  <c r="O153" i="154"/>
  <c r="Q153" i="154" s="1" a="1"/>
  <c r="Q153" i="154" s="1"/>
  <c r="P152" i="154"/>
  <c r="O152" i="154"/>
  <c r="Q152" i="154" s="1" a="1"/>
  <c r="Q152" i="154" s="1"/>
  <c r="P151" i="154"/>
  <c r="O151" i="154"/>
  <c r="Q151" i="154" s="1" a="1"/>
  <c r="Q151" i="154" s="1"/>
  <c r="P150" i="154"/>
  <c r="O150" i="154"/>
  <c r="Q150" i="154" s="1" a="1"/>
  <c r="Q150" i="154" s="1"/>
  <c r="P149" i="154"/>
  <c r="O149" i="154"/>
  <c r="Q149" i="154" s="1" a="1"/>
  <c r="Q149" i="154" s="1"/>
  <c r="P148" i="154"/>
  <c r="O148" i="154"/>
  <c r="Q148" i="154" s="1" a="1"/>
  <c r="Q148" i="154" s="1"/>
  <c r="P147" i="154"/>
  <c r="O147" i="154"/>
  <c r="Q147" i="154" s="1" a="1"/>
  <c r="Q147" i="154" s="1"/>
  <c r="P146" i="154"/>
  <c r="O146" i="154"/>
  <c r="Q146" i="154" s="1" a="1"/>
  <c r="Q146" i="154" s="1"/>
  <c r="P145" i="154"/>
  <c r="O145" i="154"/>
  <c r="Q145" i="154" s="1" a="1"/>
  <c r="Q145" i="154" s="1"/>
  <c r="P144" i="154"/>
  <c r="O144" i="154"/>
  <c r="Q144" i="154" s="1" a="1"/>
  <c r="Q144" i="154" s="1"/>
  <c r="P143" i="154"/>
  <c r="O143" i="154"/>
  <c r="Q143" i="154" s="1" a="1"/>
  <c r="Q143" i="154" s="1"/>
  <c r="P142" i="154"/>
  <c r="O142" i="154"/>
  <c r="Q142" i="154" s="1" a="1"/>
  <c r="Q142" i="154" s="1"/>
  <c r="P141" i="154"/>
  <c r="O141" i="154"/>
  <c r="Q141" i="154" s="1" a="1"/>
  <c r="Q141" i="154" s="1"/>
  <c r="P140" i="154"/>
  <c r="O140" i="154"/>
  <c r="Q140" i="154" s="1" a="1"/>
  <c r="Q140" i="154" s="1"/>
  <c r="P139" i="154"/>
  <c r="O139" i="154"/>
  <c r="Q139" i="154" s="1" a="1"/>
  <c r="Q139" i="154" s="1"/>
  <c r="P138" i="154"/>
  <c r="O138" i="154"/>
  <c r="Q138" i="154" s="1" a="1"/>
  <c r="Q138" i="154" s="1"/>
  <c r="P137" i="154"/>
  <c r="O137" i="154"/>
  <c r="Q137" i="154" s="1" a="1"/>
  <c r="Q137" i="154" s="1"/>
  <c r="P136" i="154"/>
  <c r="O136" i="154"/>
  <c r="Q136" i="154" s="1" a="1"/>
  <c r="Q136" i="154" s="1"/>
  <c r="Q135" i="154"/>
  <c r="P135" i="154"/>
  <c r="O135" i="154"/>
  <c r="Q135" i="154" s="1" a="1"/>
  <c r="P134" i="154"/>
  <c r="O134" i="154"/>
  <c r="Q134" i="154" s="1" a="1"/>
  <c r="Q134" i="154" s="1"/>
  <c r="P133" i="154"/>
  <c r="O133" i="154"/>
  <c r="Q133" i="154" s="1" a="1"/>
  <c r="Q133" i="154" s="1"/>
  <c r="P132" i="154"/>
  <c r="O132" i="154"/>
  <c r="Q132" i="154" s="1" a="1"/>
  <c r="Q132" i="154" s="1"/>
  <c r="P131" i="154"/>
  <c r="O131" i="154"/>
  <c r="Q131" i="154" s="1" a="1"/>
  <c r="Q131" i="154" s="1"/>
  <c r="P130" i="154"/>
  <c r="O130" i="154"/>
  <c r="Q130" i="154" s="1" a="1"/>
  <c r="Q130" i="154" s="1"/>
  <c r="P129" i="154"/>
  <c r="O129" i="154"/>
  <c r="Q129" i="154" s="1" a="1"/>
  <c r="Q129" i="154" s="1"/>
  <c r="P128" i="154"/>
  <c r="O128" i="154"/>
  <c r="Q128" i="154" s="1" a="1"/>
  <c r="Q128" i="154" s="1"/>
  <c r="P127" i="154"/>
  <c r="O127" i="154"/>
  <c r="Q127" i="154" s="1" a="1"/>
  <c r="Q127" i="154" s="1"/>
  <c r="P126" i="154"/>
  <c r="O126" i="154"/>
  <c r="Q126" i="154" s="1" a="1"/>
  <c r="Q126" i="154" s="1"/>
  <c r="Q125" i="154"/>
  <c r="P125" i="154"/>
  <c r="O125" i="154"/>
  <c r="Q125" i="154" s="1" a="1"/>
  <c r="P124" i="154"/>
  <c r="O124" i="154"/>
  <c r="Q124" i="154" s="1" a="1"/>
  <c r="Q124" i="154" s="1"/>
  <c r="P123" i="154"/>
  <c r="O123" i="154"/>
  <c r="Q123" i="154" s="1" a="1"/>
  <c r="Q123" i="154" s="1"/>
  <c r="P122" i="154"/>
  <c r="O122" i="154"/>
  <c r="P121" i="154"/>
  <c r="O121" i="154"/>
  <c r="Q121" i="154" s="1" a="1"/>
  <c r="Q121" i="154" s="1"/>
  <c r="P120" i="154"/>
  <c r="O120" i="154"/>
  <c r="P119" i="154"/>
  <c r="O119" i="154"/>
  <c r="P118" i="154"/>
  <c r="O118" i="154"/>
  <c r="P117" i="154"/>
  <c r="O117" i="154"/>
  <c r="P116" i="154"/>
  <c r="O116" i="154"/>
  <c r="Q116" i="154" s="1" a="1"/>
  <c r="Q116" i="154" s="1"/>
  <c r="P115" i="154"/>
  <c r="O115" i="154"/>
  <c r="P114" i="154"/>
  <c r="O114" i="154"/>
  <c r="Q114" i="154" s="1" a="1"/>
  <c r="Q114" i="154" s="1"/>
  <c r="P113" i="154"/>
  <c r="O113" i="154"/>
  <c r="Q113" i="154" s="1" a="1"/>
  <c r="Q113" i="154" s="1"/>
  <c r="P112" i="154"/>
  <c r="O112" i="154"/>
  <c r="Q112" i="154" s="1" a="1"/>
  <c r="Q112" i="154" s="1"/>
  <c r="P111" i="154"/>
  <c r="O111" i="154"/>
  <c r="Q111" i="154" s="1" a="1"/>
  <c r="Q111" i="154" s="1"/>
  <c r="P110" i="154"/>
  <c r="O110" i="154"/>
  <c r="Q110" i="154" s="1" a="1"/>
  <c r="Q110" i="154" s="1"/>
  <c r="Q109" i="154"/>
  <c r="P109" i="154"/>
  <c r="O109" i="154"/>
  <c r="Q109" i="154" s="1" a="1"/>
  <c r="P108" i="154"/>
  <c r="O108" i="154"/>
  <c r="Q108" i="154" s="1" a="1"/>
  <c r="Q108" i="154" s="1"/>
  <c r="P107" i="154"/>
  <c r="O107" i="154"/>
  <c r="Q107" i="154" s="1" a="1"/>
  <c r="Q107" i="154" s="1"/>
  <c r="P106" i="154"/>
  <c r="O106" i="154"/>
  <c r="P105" i="154"/>
  <c r="O105" i="154"/>
  <c r="Q105" i="154" s="1" a="1"/>
  <c r="Q105" i="154" s="1"/>
  <c r="P104" i="154"/>
  <c r="O104" i="154"/>
  <c r="P103" i="154"/>
  <c r="O103" i="154"/>
  <c r="P102" i="154"/>
  <c r="O102" i="154"/>
  <c r="P101" i="154"/>
  <c r="O101" i="154"/>
  <c r="P100" i="154"/>
  <c r="O100" i="154"/>
  <c r="Q100" i="154" s="1" a="1"/>
  <c r="Q100" i="154" s="1"/>
  <c r="P99" i="154"/>
  <c r="O99" i="154"/>
  <c r="P98" i="154"/>
  <c r="O98" i="154"/>
  <c r="Q98" i="154" s="1" a="1"/>
  <c r="Q98" i="154" s="1"/>
  <c r="P97" i="154"/>
  <c r="O97" i="154"/>
  <c r="Q97" i="154" s="1" a="1"/>
  <c r="Q97" i="154" s="1"/>
  <c r="P96" i="154"/>
  <c r="O96" i="154"/>
  <c r="Q96" i="154" s="1" a="1"/>
  <c r="Q96" i="154" s="1"/>
  <c r="P95" i="154"/>
  <c r="O95" i="154"/>
  <c r="Q95" i="154" s="1" a="1"/>
  <c r="Q95" i="154" s="1"/>
  <c r="P94" i="154"/>
  <c r="O94" i="154"/>
  <c r="Q94" i="154" s="1" a="1"/>
  <c r="Q94" i="154" s="1"/>
  <c r="P93" i="154"/>
  <c r="O93" i="154"/>
  <c r="Q93" i="154" s="1" a="1"/>
  <c r="Q93" i="154" s="1"/>
  <c r="P92" i="154"/>
  <c r="O92" i="154"/>
  <c r="Q92" i="154" s="1" a="1"/>
  <c r="Q92" i="154" s="1"/>
  <c r="P91" i="154"/>
  <c r="O91" i="154"/>
  <c r="Q91" i="154" s="1" a="1"/>
  <c r="Q91" i="154" s="1"/>
  <c r="P90" i="154"/>
  <c r="O90" i="154"/>
  <c r="P89" i="154"/>
  <c r="O89" i="154"/>
  <c r="Q89" i="154" s="1" a="1"/>
  <c r="Q89" i="154" s="1"/>
  <c r="P88" i="154"/>
  <c r="O88" i="154"/>
  <c r="P87" i="154"/>
  <c r="O87" i="154"/>
  <c r="P86" i="154"/>
  <c r="O86" i="154"/>
  <c r="P85" i="154"/>
  <c r="O85" i="154"/>
  <c r="P84" i="154"/>
  <c r="O84" i="154"/>
  <c r="Q84" i="154" s="1" a="1"/>
  <c r="Q84" i="154" s="1"/>
  <c r="P83" i="154"/>
  <c r="O83" i="154"/>
  <c r="Q83" i="154" s="1" a="1"/>
  <c r="Q83" i="154" s="1"/>
  <c r="Q82" i="154" a="1"/>
  <c r="Q82" i="154" s="1"/>
  <c r="P82" i="154"/>
  <c r="O82" i="154"/>
  <c r="P81" i="154"/>
  <c r="O81" i="154"/>
  <c r="Q81" i="154" s="1" a="1"/>
  <c r="Q81" i="154" s="1"/>
  <c r="P80" i="154"/>
  <c r="O80" i="154"/>
  <c r="Q80" i="154" s="1" a="1"/>
  <c r="Q80" i="154" s="1"/>
  <c r="Q79" i="154" a="1"/>
  <c r="Q79" i="154" s="1"/>
  <c r="P79" i="154"/>
  <c r="O79" i="154"/>
  <c r="P78" i="154"/>
  <c r="O78" i="154"/>
  <c r="Q78" i="154" s="1" a="1"/>
  <c r="Q78" i="154" s="1"/>
  <c r="P77" i="154"/>
  <c r="Q77" i="154" s="1" a="1"/>
  <c r="Q77" i="154" s="1"/>
  <c r="O77" i="154"/>
  <c r="P76" i="154"/>
  <c r="O76" i="154"/>
  <c r="Q76" i="154" s="1" a="1"/>
  <c r="Q76" i="154" s="1"/>
  <c r="P75" i="154"/>
  <c r="O75" i="154"/>
  <c r="Q75" i="154" s="1" a="1"/>
  <c r="Q75" i="154" s="1"/>
  <c r="P74" i="154"/>
  <c r="O74" i="154"/>
  <c r="Q74" i="154" s="1" a="1"/>
  <c r="Q74" i="154" s="1"/>
  <c r="Q73" i="154" a="1"/>
  <c r="Q73" i="154" s="1"/>
  <c r="P73" i="154"/>
  <c r="O73" i="154"/>
  <c r="Q72" i="154" a="1"/>
  <c r="Q72" i="154" s="1"/>
  <c r="P72" i="154"/>
  <c r="O72" i="154"/>
  <c r="P71" i="154"/>
  <c r="O71" i="154"/>
  <c r="Q71" i="154" s="1" a="1"/>
  <c r="Q71" i="154" s="1"/>
  <c r="P70" i="154"/>
  <c r="Q70" i="154" s="1" a="1"/>
  <c r="Q70" i="154" s="1"/>
  <c r="O70" i="154"/>
  <c r="P69" i="154"/>
  <c r="O69" i="154"/>
  <c r="Q69" i="154" s="1" a="1"/>
  <c r="Q69" i="154" s="1"/>
  <c r="P68" i="154"/>
  <c r="O68" i="154"/>
  <c r="Q68" i="154" s="1" a="1"/>
  <c r="Q68" i="154" s="1"/>
  <c r="P67" i="154"/>
  <c r="O67" i="154"/>
  <c r="Q67" i="154" s="1" a="1"/>
  <c r="Q67" i="154" s="1"/>
  <c r="Q66" i="154" a="1"/>
  <c r="Q66" i="154" s="1"/>
  <c r="P66" i="154"/>
  <c r="O66" i="154"/>
  <c r="P65" i="154"/>
  <c r="Q65" i="154" s="1" a="1"/>
  <c r="Q65" i="154" s="1"/>
  <c r="O65" i="154"/>
  <c r="P64" i="154"/>
  <c r="O64" i="154"/>
  <c r="Q64" i="154" s="1" a="1"/>
  <c r="Q64" i="154" s="1"/>
  <c r="Q63" i="154" a="1"/>
  <c r="Q63" i="154" s="1"/>
  <c r="P63" i="154"/>
  <c r="O63" i="154"/>
  <c r="P62" i="154"/>
  <c r="O62" i="154"/>
  <c r="Q62" i="154" s="1" a="1"/>
  <c r="Q62" i="154" s="1"/>
  <c r="P61" i="154"/>
  <c r="Q61" i="154" s="1" a="1"/>
  <c r="Q61" i="154" s="1"/>
  <c r="O61" i="154"/>
  <c r="P60" i="154"/>
  <c r="O60" i="154"/>
  <c r="Q60" i="154" s="1" a="1"/>
  <c r="Q60" i="154" s="1"/>
  <c r="P59" i="154"/>
  <c r="O59" i="154"/>
  <c r="Q59" i="154" s="1" a="1"/>
  <c r="Q59" i="154" s="1"/>
  <c r="P58" i="154"/>
  <c r="O58" i="154"/>
  <c r="Q58" i="154" s="1" a="1"/>
  <c r="Q58" i="154" s="1"/>
  <c r="Q57" i="154" a="1"/>
  <c r="Q57" i="154" s="1"/>
  <c r="P57" i="154"/>
  <c r="O57" i="154"/>
  <c r="Q56" i="154" a="1"/>
  <c r="Q56" i="154" s="1"/>
  <c r="P56" i="154"/>
  <c r="O56" i="154"/>
  <c r="P55" i="154"/>
  <c r="O55" i="154"/>
  <c r="Q55" i="154" s="1" a="1"/>
  <c r="Q55" i="154" s="1"/>
  <c r="P54" i="154"/>
  <c r="Q54" i="154" s="1" a="1"/>
  <c r="Q54" i="154" s="1"/>
  <c r="O54" i="154"/>
  <c r="P53" i="154"/>
  <c r="O53" i="154"/>
  <c r="Q53" i="154" s="1" a="1"/>
  <c r="Q53" i="154" s="1"/>
  <c r="P52" i="154"/>
  <c r="O52" i="154"/>
  <c r="Q52" i="154" s="1" a="1"/>
  <c r="Q52" i="154" s="1"/>
  <c r="B62" i="155" s="1"/>
  <c r="P51" i="154"/>
  <c r="O51" i="154"/>
  <c r="Q51" i="154" s="1" a="1"/>
  <c r="Q51" i="154" s="1"/>
  <c r="B61" i="155" s="1"/>
  <c r="Q50" i="154" a="1"/>
  <c r="Q50" i="154" s="1"/>
  <c r="B60" i="155" s="1"/>
  <c r="P50" i="154"/>
  <c r="O50" i="154"/>
  <c r="P49" i="154"/>
  <c r="O49" i="154"/>
  <c r="Q49" i="154" s="1" a="1"/>
  <c r="Q49" i="154" s="1"/>
  <c r="B59" i="155" s="1"/>
  <c r="P48" i="154"/>
  <c r="O48" i="154"/>
  <c r="Q48" i="154" s="1" a="1"/>
  <c r="Q48" i="154" s="1"/>
  <c r="B58" i="155" s="1"/>
  <c r="P47" i="154"/>
  <c r="O47" i="154"/>
  <c r="P46" i="154"/>
  <c r="O46" i="154"/>
  <c r="P45" i="154"/>
  <c r="O45" i="154"/>
  <c r="P44" i="154"/>
  <c r="O44" i="154"/>
  <c r="Q44" i="154" s="1" a="1"/>
  <c r="Q44" i="154" s="1"/>
  <c r="B54" i="155" s="1"/>
  <c r="P43" i="154"/>
  <c r="O43" i="154"/>
  <c r="Q43" i="154" s="1" a="1"/>
  <c r="Q43" i="154" s="1"/>
  <c r="B53" i="155" s="1"/>
  <c r="P42" i="154"/>
  <c r="O42" i="154"/>
  <c r="P41" i="154"/>
  <c r="O41" i="154"/>
  <c r="P40" i="154"/>
  <c r="O40" i="154"/>
  <c r="P39" i="154"/>
  <c r="O39" i="154"/>
  <c r="Q39" i="154" s="1" a="1"/>
  <c r="Q39" i="154" s="1"/>
  <c r="B49" i="155" s="1"/>
  <c r="P38" i="154"/>
  <c r="Q38" i="154" s="1" a="1"/>
  <c r="Q38" i="154" s="1"/>
  <c r="B48" i="155" s="1"/>
  <c r="O38" i="154"/>
  <c r="P37" i="154"/>
  <c r="O37" i="154"/>
  <c r="Q37" i="154" s="1" a="1"/>
  <c r="Q37" i="154" s="1"/>
  <c r="B47" i="155" s="1"/>
  <c r="P36" i="154"/>
  <c r="O36" i="154"/>
  <c r="P35" i="154"/>
  <c r="O35" i="154"/>
  <c r="P34" i="154"/>
  <c r="O34" i="154"/>
  <c r="P33" i="154"/>
  <c r="O33" i="154"/>
  <c r="Q33" i="154" s="1" a="1"/>
  <c r="Q33" i="154" s="1"/>
  <c r="B43" i="155" s="1"/>
  <c r="P32" i="154"/>
  <c r="O32" i="154"/>
  <c r="Q32" i="154" s="1" a="1"/>
  <c r="Q32" i="154" s="1"/>
  <c r="B42" i="155" s="1"/>
  <c r="P31" i="154"/>
  <c r="O31" i="154"/>
  <c r="P30" i="154"/>
  <c r="O30" i="154"/>
  <c r="P29" i="154"/>
  <c r="Q29" i="154" s="1" a="1"/>
  <c r="Q29" i="154" s="1"/>
  <c r="B39" i="155" s="1"/>
  <c r="O29" i="154"/>
  <c r="P28" i="154"/>
  <c r="O28" i="154"/>
  <c r="Q28" i="154" s="1" a="1"/>
  <c r="Q28" i="154" s="1"/>
  <c r="B38" i="155" s="1"/>
  <c r="P27" i="154"/>
  <c r="O27" i="154"/>
  <c r="Q27" i="154" s="1" a="1"/>
  <c r="Q27" i="154" s="1"/>
  <c r="B37" i="155" s="1"/>
  <c r="P26" i="154"/>
  <c r="O26" i="154"/>
  <c r="P25" i="154"/>
  <c r="O25" i="154"/>
  <c r="P24" i="154"/>
  <c r="O24" i="154"/>
  <c r="Q24" i="154" s="1" a="1"/>
  <c r="Q24" i="154" s="1"/>
  <c r="B34" i="155" s="1"/>
  <c r="P23" i="154"/>
  <c r="O23" i="154"/>
  <c r="P22" i="154"/>
  <c r="O22" i="154"/>
  <c r="P21" i="154"/>
  <c r="O21" i="154"/>
  <c r="P20" i="154"/>
  <c r="O20" i="154"/>
  <c r="P19" i="154"/>
  <c r="O19" i="154"/>
  <c r="P18" i="154"/>
  <c r="Q18" i="154" s="1" a="1"/>
  <c r="Q18" i="154" s="1"/>
  <c r="B28" i="155" s="1"/>
  <c r="O18" i="154"/>
  <c r="P17" i="154"/>
  <c r="O17" i="154"/>
  <c r="L17" i="154"/>
  <c r="K17" i="154"/>
  <c r="J17" i="154"/>
  <c r="Q47" i="154" s="1" a="1"/>
  <c r="Q47" i="154" s="1"/>
  <c r="B57" i="155" s="1"/>
  <c r="C17" i="154"/>
  <c r="I17" i="154" s="1"/>
  <c r="P16" i="154"/>
  <c r="O16" i="154"/>
  <c r="L16" i="154"/>
  <c r="K16" i="154"/>
  <c r="E16" i="154"/>
  <c r="D16" i="154"/>
  <c r="J16" i="154" s="1"/>
  <c r="C16" i="154"/>
  <c r="I16" i="154" s="1"/>
  <c r="Q41" i="154" s="1" a="1"/>
  <c r="Q41" i="154" s="1"/>
  <c r="B51" i="155" s="1"/>
  <c r="P15" i="154"/>
  <c r="O15" i="154"/>
  <c r="L15" i="154"/>
  <c r="K15" i="154"/>
  <c r="J15" i="154"/>
  <c r="E15" i="154"/>
  <c r="D15" i="154"/>
  <c r="C15" i="154"/>
  <c r="I15" i="154" s="1"/>
  <c r="Q14" i="154" a="1"/>
  <c r="Q14" i="154" s="1"/>
  <c r="B24" i="155" s="1"/>
  <c r="P14" i="154"/>
  <c r="O14" i="154"/>
  <c r="L14" i="154"/>
  <c r="Q34" i="154" s="1" a="1"/>
  <c r="Q34" i="154" s="1"/>
  <c r="B44" i="155" s="1"/>
  <c r="K14" i="154"/>
  <c r="J14" i="154"/>
  <c r="C14" i="154"/>
  <c r="I14" i="154" s="1"/>
  <c r="Q31" i="154" s="1" a="1"/>
  <c r="Q31" i="154" s="1"/>
  <c r="B41" i="155" s="1"/>
  <c r="P13" i="154"/>
  <c r="O13" i="154"/>
  <c r="Q13" i="154" s="1" a="1"/>
  <c r="Q13" i="154" s="1"/>
  <c r="B23" i="155" s="1"/>
  <c r="L13" i="154"/>
  <c r="K13" i="154"/>
  <c r="J13" i="154"/>
  <c r="C13" i="154"/>
  <c r="I13" i="154" s="1"/>
  <c r="P12" i="154"/>
  <c r="O12" i="154"/>
  <c r="Q12" i="154" s="1" a="1"/>
  <c r="Q12" i="154" s="1"/>
  <c r="B22" i="155" s="1"/>
  <c r="L12" i="154"/>
  <c r="K12" i="154"/>
  <c r="Q23" i="154" s="1" a="1"/>
  <c r="Q23" i="154" s="1"/>
  <c r="B33" i="155" s="1"/>
  <c r="E12" i="154"/>
  <c r="D12" i="154"/>
  <c r="J12" i="154" s="1"/>
  <c r="C12" i="154"/>
  <c r="I12" i="154" s="1"/>
  <c r="Q21" i="154" s="1" a="1"/>
  <c r="Q21" i="154" s="1"/>
  <c r="B31" i="155" s="1"/>
  <c r="P11" i="154"/>
  <c r="O11" i="154"/>
  <c r="L11" i="154"/>
  <c r="Q19" i="154" s="1" a="1"/>
  <c r="Q19" i="154" s="1"/>
  <c r="B29" i="155" s="1"/>
  <c r="K11" i="154"/>
  <c r="J11" i="154"/>
  <c r="Q17" i="154" s="1" a="1"/>
  <c r="Q17" i="154" s="1"/>
  <c r="B27" i="155" s="1"/>
  <c r="E11" i="154"/>
  <c r="D11" i="154"/>
  <c r="C11" i="154"/>
  <c r="I11" i="154" s="1"/>
  <c r="P10" i="154"/>
  <c r="O10" i="154"/>
  <c r="L10" i="154"/>
  <c r="J10" i="154"/>
  <c r="E10" i="154"/>
  <c r="K10" i="154" s="1"/>
  <c r="D10" i="154"/>
  <c r="C10" i="154"/>
  <c r="I10" i="154" s="1"/>
  <c r="B10" i="154"/>
  <c r="B16" i="154" s="1"/>
  <c r="H16" i="154" s="1"/>
  <c r="Q40" i="154" s="1" a="1"/>
  <c r="Q40" i="154" s="1"/>
  <c r="B50" i="155" s="1"/>
  <c r="C87" i="153"/>
  <c r="C86" i="153"/>
  <c r="C2" i="153"/>
  <c r="C1" i="153"/>
  <c r="E20" i="152"/>
  <c r="C106" i="153" s="1"/>
  <c r="E13" i="152"/>
  <c r="C99" i="153" s="1"/>
  <c r="E12" i="152"/>
  <c r="C98" i="153" s="1"/>
  <c r="E9" i="152"/>
  <c r="C95" i="153" s="1"/>
  <c r="B9" i="152"/>
  <c r="C7" i="152" s="1"/>
  <c r="E7" i="152" s="1"/>
  <c r="C92" i="153" s="1"/>
  <c r="E8" i="152"/>
  <c r="C93" i="153" s="1"/>
  <c r="E6" i="152"/>
  <c r="C91" i="153" s="1"/>
  <c r="E5" i="152"/>
  <c r="C90" i="153" s="1"/>
  <c r="E4" i="152"/>
  <c r="C89" i="153" s="1"/>
  <c r="E3" i="152"/>
  <c r="C88" i="153" s="1"/>
  <c r="J8" i="151"/>
  <c r="C8" i="153" s="1"/>
  <c r="J7" i="151"/>
  <c r="C7" i="153" s="1"/>
  <c r="J6" i="151"/>
  <c r="C6" i="153" s="1"/>
  <c r="J5" i="151"/>
  <c r="C5" i="153" s="1"/>
  <c r="J4" i="151"/>
  <c r="C4" i="153" s="1"/>
  <c r="J3" i="151"/>
  <c r="C3" i="153" s="1"/>
  <c r="C39" i="150"/>
  <c r="D39" i="150" s="1" a="1"/>
  <c r="D39" i="150" s="1"/>
  <c r="C38" i="150"/>
  <c r="D38" i="150" s="1" a="1"/>
  <c r="D38" i="150" s="1"/>
  <c r="C37" i="150"/>
  <c r="D37" i="150" s="1" a="1"/>
  <c r="D37" i="150" s="1"/>
  <c r="D36" i="150" a="1"/>
  <c r="D36" i="150" s="1"/>
  <c r="C36" i="150"/>
  <c r="D35" i="150" a="1"/>
  <c r="D35" i="150" s="1"/>
  <c r="C35" i="150"/>
  <c r="C34" i="150"/>
  <c r="D34" i="150" s="1" a="1"/>
  <c r="D34" i="150" s="1"/>
  <c r="D33" i="150" a="1"/>
  <c r="D33" i="150" s="1"/>
  <c r="C33" i="150"/>
  <c r="D32" i="150" a="1"/>
  <c r="D32" i="150" s="1"/>
  <c r="C32" i="150"/>
  <c r="C31" i="150"/>
  <c r="D31" i="150" s="1" a="1"/>
  <c r="D31" i="150" s="1"/>
  <c r="C30" i="150"/>
  <c r="D30" i="150" s="1" a="1"/>
  <c r="D30" i="150" s="1"/>
  <c r="C29" i="150"/>
  <c r="D29" i="150" s="1" a="1"/>
  <c r="D29" i="150" s="1"/>
  <c r="C28" i="150"/>
  <c r="D28" i="150" s="1" a="1"/>
  <c r="D28" i="150" s="1"/>
  <c r="C27" i="150"/>
  <c r="D27" i="150" s="1" a="1"/>
  <c r="D27" i="150" s="1"/>
  <c r="C26" i="150"/>
  <c r="D26" i="150" s="1" a="1"/>
  <c r="D26" i="150" s="1"/>
  <c r="D25" i="150" a="1"/>
  <c r="D25" i="150" s="1"/>
  <c r="C25" i="150"/>
  <c r="D24" i="150" a="1"/>
  <c r="D24" i="150" s="1"/>
  <c r="C24" i="150"/>
  <c r="C23" i="150"/>
  <c r="D23" i="150" s="1" a="1"/>
  <c r="D23" i="150" s="1"/>
  <c r="C22" i="150"/>
  <c r="D22" i="150" s="1" a="1"/>
  <c r="D22" i="150" s="1"/>
  <c r="C21" i="150"/>
  <c r="D21" i="150" s="1" a="1"/>
  <c r="D21" i="150" s="1"/>
  <c r="C20" i="150"/>
  <c r="D20" i="150" s="1" a="1"/>
  <c r="D20" i="150" s="1"/>
  <c r="C19" i="150"/>
  <c r="D19" i="150" s="1" a="1"/>
  <c r="D19" i="150" s="1"/>
  <c r="D17" i="150" a="1"/>
  <c r="D17" i="150" s="1"/>
  <c r="D16" i="150" a="1"/>
  <c r="D16" i="150" s="1"/>
  <c r="D15" i="150"/>
  <c r="D15" i="150" a="1"/>
  <c r="D14" i="150" a="1"/>
  <c r="D14" i="150" s="1"/>
  <c r="D13" i="150" a="1"/>
  <c r="D13" i="150" s="1"/>
  <c r="D12" i="150" a="1"/>
  <c r="D12" i="150" s="1"/>
  <c r="D11" i="150"/>
  <c r="D11" i="150" a="1"/>
  <c r="D9" i="150" a="1"/>
  <c r="D9" i="150" s="1"/>
  <c r="D8" i="150" a="1"/>
  <c r="D8" i="150" s="1"/>
  <c r="D7" i="150" a="1"/>
  <c r="D7" i="150" s="1"/>
  <c r="D6" i="150"/>
  <c r="D6" i="150" a="1"/>
  <c r="D4" i="150" a="1"/>
  <c r="D4" i="150" s="1"/>
  <c r="J11" i="148"/>
  <c r="J12" i="148"/>
  <c r="J13" i="148"/>
  <c r="J14" i="148"/>
  <c r="J15" i="148"/>
  <c r="J16" i="148"/>
  <c r="J17" i="148"/>
  <c r="J10" i="148"/>
  <c r="D10" i="148"/>
  <c r="D11" i="148"/>
  <c r="D12" i="148"/>
  <c r="D15" i="148"/>
  <c r="D16" i="148"/>
  <c r="H11" i="148"/>
  <c r="H12" i="148"/>
  <c r="H13" i="148"/>
  <c r="H14" i="148"/>
  <c r="H15" i="148"/>
  <c r="H16" i="148"/>
  <c r="H17" i="148"/>
  <c r="H10" i="148"/>
  <c r="E15" i="148"/>
  <c r="E12" i="148"/>
  <c r="E11" i="148"/>
  <c r="E10" i="148"/>
  <c r="E16" i="148"/>
  <c r="B12" i="148"/>
  <c r="C12" i="148"/>
  <c r="B13" i="148"/>
  <c r="C13" i="148"/>
  <c r="B14" i="148"/>
  <c r="C14" i="148"/>
  <c r="B15" i="148"/>
  <c r="C15" i="148"/>
  <c r="I15" i="148" s="1"/>
  <c r="B16" i="148"/>
  <c r="C16" i="148"/>
  <c r="B17" i="148"/>
  <c r="C17" i="148"/>
  <c r="Q56" i="148" a="1"/>
  <c r="Q56" i="148" s="1"/>
  <c r="C11" i="148"/>
  <c r="C10" i="148"/>
  <c r="B11" i="148"/>
  <c r="B10" i="148"/>
  <c r="K14" i="148"/>
  <c r="Q184" i="148" a="1"/>
  <c r="Q184" i="148" s="1"/>
  <c r="P184" i="148"/>
  <c r="O184" i="148"/>
  <c r="P183" i="148"/>
  <c r="O183" i="148"/>
  <c r="Q183" i="148" s="1" a="1"/>
  <c r="Q183" i="148" s="1"/>
  <c r="Q182" i="148" a="1"/>
  <c r="Q182" i="148" s="1"/>
  <c r="P182" i="148"/>
  <c r="O182" i="148"/>
  <c r="P181" i="148"/>
  <c r="O181" i="148"/>
  <c r="Q181" i="148" s="1" a="1"/>
  <c r="Q181" i="148" s="1"/>
  <c r="P180" i="148"/>
  <c r="O180" i="148"/>
  <c r="Q180" i="148" s="1" a="1"/>
  <c r="Q180" i="148" s="1"/>
  <c r="P179" i="148"/>
  <c r="Q179" i="148" s="1" a="1"/>
  <c r="Q179" i="148" s="1"/>
  <c r="O179" i="148"/>
  <c r="P178" i="148"/>
  <c r="Q178" i="148" s="1" a="1"/>
  <c r="Q178" i="148" s="1"/>
  <c r="O178" i="148"/>
  <c r="P177" i="148"/>
  <c r="Q177" i="148" s="1" a="1"/>
  <c r="Q177" i="148" s="1"/>
  <c r="O177" i="148"/>
  <c r="Q176" i="148" a="1"/>
  <c r="Q176" i="148" s="1"/>
  <c r="P176" i="148"/>
  <c r="O176" i="148"/>
  <c r="P175" i="148"/>
  <c r="O175" i="148"/>
  <c r="Q175" i="148" s="1" a="1"/>
  <c r="Q175" i="148" s="1"/>
  <c r="Q174" i="148" a="1"/>
  <c r="Q174" i="148" s="1"/>
  <c r="P174" i="148"/>
  <c r="O174" i="148"/>
  <c r="P173" i="148"/>
  <c r="O173" i="148"/>
  <c r="Q173" i="148" s="1" a="1"/>
  <c r="Q173" i="148" s="1"/>
  <c r="P172" i="148"/>
  <c r="O172" i="148"/>
  <c r="Q172" i="148" s="1" a="1"/>
  <c r="Q172" i="148" s="1"/>
  <c r="P171" i="148"/>
  <c r="Q171" i="148" s="1" a="1"/>
  <c r="Q171" i="148" s="1"/>
  <c r="O171" i="148"/>
  <c r="P170" i="148"/>
  <c r="Q170" i="148" s="1" a="1"/>
  <c r="Q170" i="148" s="1"/>
  <c r="O170" i="148"/>
  <c r="P169" i="148"/>
  <c r="Q169" i="148" s="1" a="1"/>
  <c r="Q169" i="148" s="1"/>
  <c r="O169" i="148"/>
  <c r="Q168" i="148" a="1"/>
  <c r="Q168" i="148" s="1"/>
  <c r="P168" i="148"/>
  <c r="O168" i="148"/>
  <c r="P167" i="148"/>
  <c r="O167" i="148"/>
  <c r="Q167" i="148" s="1" a="1"/>
  <c r="Q167" i="148" s="1"/>
  <c r="Q166" i="148" a="1"/>
  <c r="Q166" i="148" s="1"/>
  <c r="P166" i="148"/>
  <c r="O166" i="148"/>
  <c r="P165" i="148"/>
  <c r="O165" i="148"/>
  <c r="Q165" i="148" s="1" a="1"/>
  <c r="Q165" i="148" s="1"/>
  <c r="P164" i="148"/>
  <c r="O164" i="148"/>
  <c r="Q164" i="148" s="1" a="1"/>
  <c r="Q164" i="148" s="1"/>
  <c r="P163" i="148"/>
  <c r="Q163" i="148" s="1" a="1"/>
  <c r="Q163" i="148" s="1"/>
  <c r="O163" i="148"/>
  <c r="P162" i="148"/>
  <c r="Q162" i="148" s="1" a="1"/>
  <c r="Q162" i="148" s="1"/>
  <c r="O162" i="148"/>
  <c r="P161" i="148"/>
  <c r="Q161" i="148" s="1" a="1"/>
  <c r="Q161" i="148" s="1"/>
  <c r="O161" i="148"/>
  <c r="Q160" i="148" a="1"/>
  <c r="Q160" i="148" s="1"/>
  <c r="P160" i="148"/>
  <c r="O160" i="148"/>
  <c r="P159" i="148"/>
  <c r="O159" i="148"/>
  <c r="Q159" i="148" s="1" a="1"/>
  <c r="Q159" i="148" s="1"/>
  <c r="Q158" i="148" a="1"/>
  <c r="Q158" i="148" s="1"/>
  <c r="P158" i="148"/>
  <c r="O158" i="148"/>
  <c r="P157" i="148"/>
  <c r="O157" i="148"/>
  <c r="Q157" i="148" s="1" a="1"/>
  <c r="Q157" i="148" s="1"/>
  <c r="P156" i="148"/>
  <c r="O156" i="148"/>
  <c r="Q156" i="148" s="1" a="1"/>
  <c r="Q156" i="148" s="1"/>
  <c r="P155" i="148"/>
  <c r="Q155" i="148" s="1" a="1"/>
  <c r="Q155" i="148" s="1"/>
  <c r="O155" i="148"/>
  <c r="P154" i="148"/>
  <c r="O154" i="148"/>
  <c r="Q154" i="148" s="1" a="1"/>
  <c r="Q154" i="148" s="1"/>
  <c r="P153" i="148"/>
  <c r="Q153" i="148" s="1" a="1"/>
  <c r="Q153" i="148" s="1"/>
  <c r="O153" i="148"/>
  <c r="Q152" i="148" a="1"/>
  <c r="Q152" i="148" s="1"/>
  <c r="P152" i="148"/>
  <c r="O152" i="148"/>
  <c r="P151" i="148"/>
  <c r="O151" i="148"/>
  <c r="Q151" i="148" s="1" a="1"/>
  <c r="Q151" i="148" s="1"/>
  <c r="Q150" i="148" a="1"/>
  <c r="Q150" i="148" s="1"/>
  <c r="P150" i="148"/>
  <c r="O150" i="148"/>
  <c r="P149" i="148"/>
  <c r="O149" i="148"/>
  <c r="Q149" i="148" s="1" a="1"/>
  <c r="Q149" i="148" s="1"/>
  <c r="P148" i="148"/>
  <c r="O148" i="148"/>
  <c r="Q148" i="148" s="1" a="1"/>
  <c r="Q148" i="148" s="1"/>
  <c r="P147" i="148"/>
  <c r="Q147" i="148" s="1" a="1"/>
  <c r="Q147" i="148" s="1"/>
  <c r="O147" i="148"/>
  <c r="P146" i="148"/>
  <c r="O146" i="148"/>
  <c r="Q146" i="148" s="1" a="1"/>
  <c r="Q146" i="148" s="1"/>
  <c r="P145" i="148"/>
  <c r="Q145" i="148" s="1" a="1"/>
  <c r="Q145" i="148" s="1"/>
  <c r="O145" i="148"/>
  <c r="Q144" i="148" a="1"/>
  <c r="Q144" i="148" s="1"/>
  <c r="P144" i="148"/>
  <c r="O144" i="148"/>
  <c r="P143" i="148"/>
  <c r="O143" i="148"/>
  <c r="Q143" i="148" s="1" a="1"/>
  <c r="Q143" i="148" s="1"/>
  <c r="Q142" i="148" a="1"/>
  <c r="Q142" i="148" s="1"/>
  <c r="P142" i="148"/>
  <c r="O142" i="148"/>
  <c r="P141" i="148"/>
  <c r="O141" i="148"/>
  <c r="Q141" i="148" s="1" a="1"/>
  <c r="Q141" i="148" s="1"/>
  <c r="P140" i="148"/>
  <c r="O140" i="148"/>
  <c r="Q140" i="148" s="1" a="1"/>
  <c r="Q140" i="148" s="1"/>
  <c r="P139" i="148"/>
  <c r="Q139" i="148" s="1" a="1"/>
  <c r="Q139" i="148" s="1"/>
  <c r="O139" i="148"/>
  <c r="P138" i="148"/>
  <c r="O138" i="148"/>
  <c r="Q138" i="148" s="1" a="1"/>
  <c r="Q138" i="148" s="1"/>
  <c r="P137" i="148"/>
  <c r="Q137" i="148" s="1" a="1"/>
  <c r="Q137" i="148" s="1"/>
  <c r="O137" i="148"/>
  <c r="Q136" i="148" a="1"/>
  <c r="Q136" i="148" s="1"/>
  <c r="P136" i="148"/>
  <c r="O136" i="148"/>
  <c r="P135" i="148"/>
  <c r="O135" i="148"/>
  <c r="Q135" i="148" s="1" a="1"/>
  <c r="Q135" i="148" s="1"/>
  <c r="Q134" i="148" a="1"/>
  <c r="Q134" i="148" s="1"/>
  <c r="P134" i="148"/>
  <c r="O134" i="148"/>
  <c r="P133" i="148"/>
  <c r="O133" i="148"/>
  <c r="Q133" i="148" s="1" a="1"/>
  <c r="Q133" i="148" s="1"/>
  <c r="P132" i="148"/>
  <c r="O132" i="148"/>
  <c r="Q132" i="148" s="1" a="1"/>
  <c r="Q132" i="148" s="1"/>
  <c r="P131" i="148"/>
  <c r="O131" i="148"/>
  <c r="Q131" i="148" s="1" a="1"/>
  <c r="Q131" i="148" s="1"/>
  <c r="P130" i="148"/>
  <c r="O130" i="148"/>
  <c r="Q130" i="148" s="1" a="1"/>
  <c r="Q130" i="148" s="1"/>
  <c r="P129" i="148"/>
  <c r="Q129" i="148" s="1" a="1"/>
  <c r="Q129" i="148" s="1"/>
  <c r="O129" i="148"/>
  <c r="Q128" i="148" a="1"/>
  <c r="Q128" i="148" s="1"/>
  <c r="P128" i="148"/>
  <c r="O128" i="148"/>
  <c r="P127" i="148"/>
  <c r="O127" i="148"/>
  <c r="Q127" i="148" s="1" a="1"/>
  <c r="Q127" i="148" s="1"/>
  <c r="Q126" i="148" a="1"/>
  <c r="Q126" i="148" s="1"/>
  <c r="P126" i="148"/>
  <c r="O126" i="148"/>
  <c r="P125" i="148"/>
  <c r="O125" i="148"/>
  <c r="Q125" i="148" s="1" a="1"/>
  <c r="Q125" i="148" s="1"/>
  <c r="P124" i="148"/>
  <c r="O124" i="148"/>
  <c r="Q124" i="148" s="1" a="1"/>
  <c r="Q124" i="148" s="1"/>
  <c r="P123" i="148"/>
  <c r="O123" i="148"/>
  <c r="Q123" i="148" s="1" a="1"/>
  <c r="Q123" i="148" s="1"/>
  <c r="P122" i="148"/>
  <c r="O122" i="148"/>
  <c r="Q122" i="148" s="1" a="1"/>
  <c r="Q122" i="148" s="1"/>
  <c r="P121" i="148"/>
  <c r="Q121" i="148" s="1" a="1"/>
  <c r="Q121" i="148" s="1"/>
  <c r="O121" i="148"/>
  <c r="Q120" i="148" a="1"/>
  <c r="Q120" i="148" s="1"/>
  <c r="P120" i="148"/>
  <c r="O120" i="148"/>
  <c r="P119" i="148"/>
  <c r="O119" i="148"/>
  <c r="Q119" i="148" s="1" a="1"/>
  <c r="Q119" i="148" s="1"/>
  <c r="Q118" i="148" a="1"/>
  <c r="Q118" i="148" s="1"/>
  <c r="P118" i="148"/>
  <c r="O118" i="148"/>
  <c r="P117" i="148"/>
  <c r="O117" i="148"/>
  <c r="Q117" i="148" s="1" a="1"/>
  <c r="Q117" i="148" s="1"/>
  <c r="P116" i="148"/>
  <c r="O116" i="148"/>
  <c r="Q116" i="148" s="1" a="1"/>
  <c r="Q116" i="148" s="1"/>
  <c r="P115" i="148"/>
  <c r="O115" i="148"/>
  <c r="Q115" i="148" s="1" a="1"/>
  <c r="Q115" i="148" s="1"/>
  <c r="P114" i="148"/>
  <c r="O114" i="148"/>
  <c r="Q114" i="148" s="1" a="1"/>
  <c r="Q114" i="148" s="1"/>
  <c r="P113" i="148"/>
  <c r="Q113" i="148" s="1" a="1"/>
  <c r="Q113" i="148" s="1"/>
  <c r="O113" i="148"/>
  <c r="Q112" i="148" a="1"/>
  <c r="Q112" i="148" s="1"/>
  <c r="P112" i="148"/>
  <c r="O112" i="148"/>
  <c r="P111" i="148"/>
  <c r="O111" i="148"/>
  <c r="Q111" i="148" s="1" a="1"/>
  <c r="Q111" i="148" s="1"/>
  <c r="Q110" i="148" a="1"/>
  <c r="Q110" i="148" s="1"/>
  <c r="P110" i="148"/>
  <c r="O110" i="148"/>
  <c r="P109" i="148"/>
  <c r="O109" i="148"/>
  <c r="Q109" i="148" s="1" a="1"/>
  <c r="Q109" i="148" s="1"/>
  <c r="P108" i="148"/>
  <c r="O108" i="148"/>
  <c r="Q108" i="148" s="1" a="1"/>
  <c r="Q108" i="148" s="1"/>
  <c r="P107" i="148"/>
  <c r="O107" i="148"/>
  <c r="Q107" i="148" s="1" a="1"/>
  <c r="Q107" i="148" s="1"/>
  <c r="P106" i="148"/>
  <c r="O106" i="148"/>
  <c r="Q106" i="148" s="1" a="1"/>
  <c r="Q106" i="148" s="1"/>
  <c r="P105" i="148"/>
  <c r="Q105" i="148" s="1" a="1"/>
  <c r="Q105" i="148" s="1"/>
  <c r="O105" i="148"/>
  <c r="Q104" i="148" a="1"/>
  <c r="Q104" i="148" s="1"/>
  <c r="P104" i="148"/>
  <c r="O104" i="148"/>
  <c r="P103" i="148"/>
  <c r="O103" i="148"/>
  <c r="Q103" i="148" s="1" a="1"/>
  <c r="Q103" i="148" s="1"/>
  <c r="Q102" i="148" a="1"/>
  <c r="Q102" i="148" s="1"/>
  <c r="P102" i="148"/>
  <c r="O102" i="148"/>
  <c r="P101" i="148"/>
  <c r="O101" i="148"/>
  <c r="Q101" i="148" s="1" a="1"/>
  <c r="Q101" i="148" s="1"/>
  <c r="P100" i="148"/>
  <c r="O100" i="148"/>
  <c r="Q100" i="148" s="1" a="1"/>
  <c r="Q100" i="148" s="1"/>
  <c r="P99" i="148"/>
  <c r="O99" i="148"/>
  <c r="Q99" i="148" s="1" a="1"/>
  <c r="Q99" i="148" s="1"/>
  <c r="P98" i="148"/>
  <c r="O98" i="148"/>
  <c r="Q98" i="148" s="1" a="1"/>
  <c r="Q98" i="148" s="1"/>
  <c r="P97" i="148"/>
  <c r="Q97" i="148" s="1" a="1"/>
  <c r="Q97" i="148" s="1"/>
  <c r="O97" i="148"/>
  <c r="Q96" i="148" a="1"/>
  <c r="Q96" i="148" s="1"/>
  <c r="P96" i="148"/>
  <c r="O96" i="148"/>
  <c r="P95" i="148"/>
  <c r="O95" i="148"/>
  <c r="Q95" i="148" s="1" a="1"/>
  <c r="Q95" i="148" s="1"/>
  <c r="Q94" i="148" a="1"/>
  <c r="Q94" i="148" s="1"/>
  <c r="P94" i="148"/>
  <c r="O94" i="148"/>
  <c r="P93" i="148"/>
  <c r="O93" i="148"/>
  <c r="Q93" i="148" s="1" a="1"/>
  <c r="Q93" i="148" s="1"/>
  <c r="P92" i="148"/>
  <c r="O92" i="148"/>
  <c r="Q92" i="148" s="1" a="1"/>
  <c r="Q92" i="148" s="1"/>
  <c r="P91" i="148"/>
  <c r="O91" i="148"/>
  <c r="Q91" i="148" s="1" a="1"/>
  <c r="Q91" i="148" s="1"/>
  <c r="P90" i="148"/>
  <c r="O90" i="148"/>
  <c r="Q90" i="148" s="1" a="1"/>
  <c r="Q90" i="148" s="1"/>
  <c r="P89" i="148"/>
  <c r="Q89" i="148" s="1" a="1"/>
  <c r="Q89" i="148" s="1"/>
  <c r="O89" i="148"/>
  <c r="Q88" i="148" a="1"/>
  <c r="Q88" i="148" s="1"/>
  <c r="P88" i="148"/>
  <c r="O88" i="148"/>
  <c r="P87" i="148"/>
  <c r="O87" i="148"/>
  <c r="Q87" i="148" s="1" a="1"/>
  <c r="Q87" i="148" s="1"/>
  <c r="Q86" i="148" a="1"/>
  <c r="Q86" i="148" s="1"/>
  <c r="P86" i="148"/>
  <c r="O86" i="148"/>
  <c r="P85" i="148"/>
  <c r="O85" i="148"/>
  <c r="Q85" i="148" s="1" a="1"/>
  <c r="Q85" i="148" s="1"/>
  <c r="P84" i="148"/>
  <c r="O84" i="148"/>
  <c r="Q84" i="148" s="1" a="1"/>
  <c r="Q84" i="148" s="1"/>
  <c r="P83" i="148"/>
  <c r="O83" i="148"/>
  <c r="Q83" i="148" s="1" a="1"/>
  <c r="Q83" i="148" s="1"/>
  <c r="P82" i="148"/>
  <c r="O82" i="148"/>
  <c r="Q82" i="148" s="1" a="1"/>
  <c r="Q82" i="148" s="1"/>
  <c r="P81" i="148"/>
  <c r="Q81" i="148" s="1" a="1"/>
  <c r="Q81" i="148" s="1"/>
  <c r="O81" i="148"/>
  <c r="Q80" i="148" a="1"/>
  <c r="Q80" i="148" s="1"/>
  <c r="P80" i="148"/>
  <c r="O80" i="148"/>
  <c r="P79" i="148"/>
  <c r="O79" i="148"/>
  <c r="Q79" i="148" s="1" a="1"/>
  <c r="Q79" i="148" s="1"/>
  <c r="Q78" i="148" a="1"/>
  <c r="Q78" i="148" s="1"/>
  <c r="P78" i="148"/>
  <c r="O78" i="148"/>
  <c r="P77" i="148"/>
  <c r="O77" i="148"/>
  <c r="Q77" i="148" s="1" a="1"/>
  <c r="Q77" i="148" s="1"/>
  <c r="P76" i="148"/>
  <c r="O76" i="148"/>
  <c r="Q76" i="148" s="1" a="1"/>
  <c r="Q76" i="148" s="1"/>
  <c r="P75" i="148"/>
  <c r="O75" i="148"/>
  <c r="Q75" i="148" s="1" a="1"/>
  <c r="Q75" i="148" s="1"/>
  <c r="P74" i="148"/>
  <c r="O74" i="148"/>
  <c r="Q74" i="148" s="1" a="1"/>
  <c r="Q74" i="148" s="1"/>
  <c r="P73" i="148"/>
  <c r="Q73" i="148" s="1" a="1"/>
  <c r="Q73" i="148" s="1"/>
  <c r="O73" i="148"/>
  <c r="Q72" i="148" a="1"/>
  <c r="Q72" i="148" s="1"/>
  <c r="P72" i="148"/>
  <c r="O72" i="148"/>
  <c r="P71" i="148"/>
  <c r="O71" i="148"/>
  <c r="Q71" i="148" s="1" a="1"/>
  <c r="Q71" i="148" s="1"/>
  <c r="Q70" i="148" a="1"/>
  <c r="Q70" i="148" s="1"/>
  <c r="P70" i="148"/>
  <c r="O70" i="148"/>
  <c r="P69" i="148"/>
  <c r="O69" i="148"/>
  <c r="Q69" i="148" s="1" a="1"/>
  <c r="Q69" i="148" s="1"/>
  <c r="P68" i="148"/>
  <c r="O68" i="148"/>
  <c r="Q68" i="148" s="1" a="1"/>
  <c r="Q68" i="148" s="1"/>
  <c r="P67" i="148"/>
  <c r="O67" i="148"/>
  <c r="Q67" i="148" s="1" a="1"/>
  <c r="Q67" i="148" s="1"/>
  <c r="P66" i="148"/>
  <c r="O66" i="148"/>
  <c r="Q66" i="148" s="1" a="1"/>
  <c r="Q66" i="148" s="1"/>
  <c r="P65" i="148"/>
  <c r="Q65" i="148" s="1" a="1"/>
  <c r="Q65" i="148" s="1"/>
  <c r="O65" i="148"/>
  <c r="P64" i="148"/>
  <c r="O64" i="148"/>
  <c r="P63" i="148"/>
  <c r="O63" i="148"/>
  <c r="P62" i="148"/>
  <c r="O62" i="148"/>
  <c r="P61" i="148"/>
  <c r="O61" i="148"/>
  <c r="P60" i="148"/>
  <c r="O60" i="148"/>
  <c r="P59" i="148"/>
  <c r="O59" i="148"/>
  <c r="Q59" i="148" s="1" a="1"/>
  <c r="Q59" i="148" s="1"/>
  <c r="P58" i="148"/>
  <c r="O58" i="148"/>
  <c r="P57" i="148"/>
  <c r="O57" i="148"/>
  <c r="P56" i="148"/>
  <c r="O56" i="148"/>
  <c r="P55" i="148"/>
  <c r="O55" i="148"/>
  <c r="P54" i="148"/>
  <c r="O54" i="148"/>
  <c r="P53" i="148"/>
  <c r="O53" i="148"/>
  <c r="P52" i="148"/>
  <c r="O52" i="148"/>
  <c r="P51" i="148"/>
  <c r="O51" i="148"/>
  <c r="P50" i="148"/>
  <c r="O50" i="148"/>
  <c r="P49" i="148"/>
  <c r="Q49" i="148" s="1" a="1"/>
  <c r="Q49" i="148" s="1"/>
  <c r="B59" i="149" s="1"/>
  <c r="O49" i="148"/>
  <c r="P48" i="148"/>
  <c r="O48" i="148"/>
  <c r="P47" i="148"/>
  <c r="O47" i="148"/>
  <c r="P46" i="148"/>
  <c r="O46" i="148"/>
  <c r="P45" i="148"/>
  <c r="O45" i="148"/>
  <c r="P44" i="148"/>
  <c r="O44" i="148"/>
  <c r="P43" i="148"/>
  <c r="O43" i="148"/>
  <c r="P42" i="148"/>
  <c r="O42" i="148"/>
  <c r="P41" i="148"/>
  <c r="O41" i="148"/>
  <c r="P40" i="148"/>
  <c r="O40" i="148"/>
  <c r="P39" i="148"/>
  <c r="O39" i="148"/>
  <c r="Q39" i="148" s="1" a="1"/>
  <c r="Q39" i="148" s="1"/>
  <c r="B49" i="149" s="1"/>
  <c r="P38" i="148"/>
  <c r="O38" i="148"/>
  <c r="P37" i="148"/>
  <c r="O37" i="148"/>
  <c r="P36" i="148"/>
  <c r="O36" i="148"/>
  <c r="P35" i="148"/>
  <c r="O35" i="148"/>
  <c r="P34" i="148"/>
  <c r="O34" i="148"/>
  <c r="P33" i="148"/>
  <c r="O33" i="148"/>
  <c r="P32" i="148"/>
  <c r="O32" i="148"/>
  <c r="P31" i="148"/>
  <c r="O31" i="148"/>
  <c r="P30" i="148"/>
  <c r="O30" i="148"/>
  <c r="P29" i="148"/>
  <c r="O29" i="148"/>
  <c r="Q29" i="148" s="1" a="1"/>
  <c r="Q29" i="148" s="1"/>
  <c r="B39" i="149" s="1"/>
  <c r="P28" i="148"/>
  <c r="O28" i="148"/>
  <c r="P27" i="148"/>
  <c r="O27" i="148"/>
  <c r="P26" i="148"/>
  <c r="O26" i="148"/>
  <c r="P25" i="148"/>
  <c r="O25" i="148"/>
  <c r="P24" i="148"/>
  <c r="O24" i="148"/>
  <c r="P23" i="148"/>
  <c r="O23" i="148"/>
  <c r="P22" i="148"/>
  <c r="O22" i="148"/>
  <c r="P21" i="148"/>
  <c r="O21" i="148"/>
  <c r="Q21" i="148" s="1" a="1"/>
  <c r="Q21" i="148" s="1"/>
  <c r="B31" i="149" s="1"/>
  <c r="P20" i="148"/>
  <c r="O20" i="148"/>
  <c r="Q64" i="148" a="1"/>
  <c r="Q64" i="148" s="1"/>
  <c r="Q62" i="148" a="1"/>
  <c r="Q62" i="148" s="1"/>
  <c r="P19" i="148"/>
  <c r="O19" i="148"/>
  <c r="P18" i="148"/>
  <c r="O18" i="148"/>
  <c r="Q54" i="148" a="1"/>
  <c r="Q54" i="148" s="1"/>
  <c r="P17" i="148"/>
  <c r="O17" i="148"/>
  <c r="L17" i="148"/>
  <c r="K17" i="148"/>
  <c r="Q48" i="148" s="1" a="1"/>
  <c r="Q48" i="148" s="1"/>
  <c r="B58" i="149" s="1"/>
  <c r="I17" i="148"/>
  <c r="Q46" i="148" s="1" a="1"/>
  <c r="Q46" i="148" s="1"/>
  <c r="B56" i="149" s="1"/>
  <c r="P16" i="148"/>
  <c r="O16" i="148"/>
  <c r="L16" i="148"/>
  <c r="K16" i="148"/>
  <c r="I16" i="148"/>
  <c r="P15" i="148"/>
  <c r="O15" i="148"/>
  <c r="L15" i="148"/>
  <c r="K15" i="148"/>
  <c r="Q38" i="148" s="1" a="1"/>
  <c r="Q38" i="148" s="1"/>
  <c r="B48" i="149" s="1"/>
  <c r="P14" i="148"/>
  <c r="O14" i="148"/>
  <c r="Q14" i="148" s="1" a="1"/>
  <c r="Q14" i="148" s="1"/>
  <c r="B24" i="149" s="1"/>
  <c r="L14" i="148"/>
  <c r="I14" i="148"/>
  <c r="Q30" i="148" a="1"/>
  <c r="Q30" i="148" s="1"/>
  <c r="B40" i="149" s="1"/>
  <c r="P13" i="148"/>
  <c r="O13" i="148"/>
  <c r="L13" i="148"/>
  <c r="K13" i="148"/>
  <c r="I13" i="148"/>
  <c r="P12" i="148"/>
  <c r="O12" i="148"/>
  <c r="L12" i="148"/>
  <c r="K12" i="148"/>
  <c r="I12" i="148"/>
  <c r="Q11" i="148" a="1"/>
  <c r="Q11" i="148" s="1"/>
  <c r="B21" i="149" s="1"/>
  <c r="P11" i="148"/>
  <c r="O11" i="148"/>
  <c r="L11" i="148"/>
  <c r="Q19" i="148" s="1" a="1"/>
  <c r="Q19" i="148" s="1"/>
  <c r="B29" i="149" s="1"/>
  <c r="K11" i="148"/>
  <c r="I11" i="148"/>
  <c r="Q16" i="148" s="1" a="1"/>
  <c r="Q16" i="148" s="1"/>
  <c r="B26" i="149" s="1"/>
  <c r="P10" i="148"/>
  <c r="O10" i="148"/>
  <c r="L10" i="148"/>
  <c r="K10" i="148"/>
  <c r="Q12" i="148" a="1"/>
  <c r="Q12" i="148" s="1"/>
  <c r="B22" i="149" s="1"/>
  <c r="I10" i="148"/>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L114" i="164" l="1"/>
  <c r="C296" i="166" s="1"/>
  <c r="L65" i="164"/>
  <c r="C247" i="166" s="1"/>
  <c r="C128" i="166"/>
  <c r="L163" i="164"/>
  <c r="C345" i="166" s="1"/>
  <c r="L147" i="164"/>
  <c r="C329" i="166" s="1"/>
  <c r="L98" i="164"/>
  <c r="C280" i="166" s="1"/>
  <c r="C106" i="166"/>
  <c r="L107" i="164"/>
  <c r="C289" i="166" s="1"/>
  <c r="L139" i="164"/>
  <c r="C321" i="166" s="1"/>
  <c r="C97" i="166"/>
  <c r="L155" i="164"/>
  <c r="C337" i="166" s="1"/>
  <c r="L131" i="164"/>
  <c r="C313" i="166" s="1"/>
  <c r="C120" i="166"/>
  <c r="L130" i="164"/>
  <c r="C312" i="166" s="1"/>
  <c r="L115" i="164"/>
  <c r="C297" i="166" s="1"/>
  <c r="L81" i="164"/>
  <c r="C263" i="166" s="1"/>
  <c r="L123" i="164"/>
  <c r="C305" i="166" s="1"/>
  <c r="C146" i="166"/>
  <c r="L90" i="164"/>
  <c r="C272" i="166" s="1"/>
  <c r="L154" i="164"/>
  <c r="C336" i="166" s="1"/>
  <c r="L138" i="164"/>
  <c r="C320" i="166" s="1"/>
  <c r="L122" i="164"/>
  <c r="C304" i="166" s="1"/>
  <c r="C105" i="166"/>
  <c r="C133" i="166"/>
  <c r="L89" i="164"/>
  <c r="C271" i="166" s="1"/>
  <c r="L169" i="164"/>
  <c r="C351" i="166" s="1"/>
  <c r="L153" i="164"/>
  <c r="C335" i="166" s="1"/>
  <c r="L137" i="164"/>
  <c r="C319" i="166" s="1"/>
  <c r="L121" i="164"/>
  <c r="C303" i="166" s="1"/>
  <c r="C104" i="166"/>
  <c r="C132" i="166"/>
  <c r="L82" i="164"/>
  <c r="C264" i="166" s="1"/>
  <c r="L168" i="164"/>
  <c r="C350" i="166" s="1"/>
  <c r="L152" i="164"/>
  <c r="C334" i="166" s="1"/>
  <c r="L136" i="164"/>
  <c r="C318" i="166" s="1"/>
  <c r="L74" i="164"/>
  <c r="C256" i="166" s="1"/>
  <c r="C113" i="166"/>
  <c r="L73" i="164"/>
  <c r="C255" i="166" s="1"/>
  <c r="L161" i="164"/>
  <c r="C343" i="166" s="1"/>
  <c r="L145" i="164"/>
  <c r="C327" i="166" s="1"/>
  <c r="L129" i="164"/>
  <c r="C311" i="166" s="1"/>
  <c r="C112" i="166"/>
  <c r="L66" i="164"/>
  <c r="C248" i="166" s="1"/>
  <c r="L160" i="164"/>
  <c r="C342" i="166" s="1"/>
  <c r="L144" i="164"/>
  <c r="C326" i="166" s="1"/>
  <c r="C127" i="166"/>
  <c r="C119" i="166"/>
  <c r="L87" i="164"/>
  <c r="C269" i="166" s="1"/>
  <c r="L79" i="164"/>
  <c r="C261" i="166" s="1"/>
  <c r="L63" i="164"/>
  <c r="C245" i="166" s="1"/>
  <c r="L167" i="164"/>
  <c r="C349" i="166" s="1"/>
  <c r="L159" i="164"/>
  <c r="C341" i="166" s="1"/>
  <c r="L151" i="164"/>
  <c r="C333" i="166" s="1"/>
  <c r="L143" i="164"/>
  <c r="C325" i="166" s="1"/>
  <c r="L135" i="164"/>
  <c r="C317" i="166" s="1"/>
  <c r="L111" i="164"/>
  <c r="C293" i="166" s="1"/>
  <c r="L103" i="164"/>
  <c r="C285" i="166" s="1"/>
  <c r="C126" i="166"/>
  <c r="C118" i="166"/>
  <c r="L94" i="164"/>
  <c r="C276" i="166" s="1"/>
  <c r="L86" i="164"/>
  <c r="C268" i="166" s="1"/>
  <c r="L78" i="164"/>
  <c r="C260" i="166" s="1"/>
  <c r="L70" i="164"/>
  <c r="C252" i="166" s="1"/>
  <c r="L62" i="164"/>
  <c r="C244" i="166" s="1"/>
  <c r="L166" i="164"/>
  <c r="C348" i="166" s="1"/>
  <c r="L158" i="164"/>
  <c r="C340" i="166" s="1"/>
  <c r="L150" i="164"/>
  <c r="C332" i="166" s="1"/>
  <c r="L142" i="164"/>
  <c r="C324" i="166" s="1"/>
  <c r="L134" i="164"/>
  <c r="L110" i="164"/>
  <c r="C292" i="166" s="1"/>
  <c r="L102" i="164"/>
  <c r="C284" i="166" s="1"/>
  <c r="C125" i="166"/>
  <c r="C117" i="166"/>
  <c r="L93" i="164"/>
  <c r="C275" i="166" s="1"/>
  <c r="L85" i="164"/>
  <c r="C267" i="166" s="1"/>
  <c r="L77" i="164"/>
  <c r="C259" i="166" s="1"/>
  <c r="L69" i="164"/>
  <c r="C251" i="166" s="1"/>
  <c r="L61" i="164"/>
  <c r="C243" i="166" s="1"/>
  <c r="L165" i="164"/>
  <c r="C347" i="166" s="1"/>
  <c r="L157" i="164"/>
  <c r="C339" i="166" s="1"/>
  <c r="L149" i="164"/>
  <c r="C331" i="166" s="1"/>
  <c r="L141" i="164"/>
  <c r="C323" i="166" s="1"/>
  <c r="L109" i="164"/>
  <c r="C291" i="166" s="1"/>
  <c r="L101" i="164"/>
  <c r="C283" i="166" s="1"/>
  <c r="C124" i="166"/>
  <c r="C116" i="166"/>
  <c r="L46" i="164"/>
  <c r="C228" i="166" s="1"/>
  <c r="L53" i="164"/>
  <c r="C235" i="166" s="1"/>
  <c r="L164" i="164"/>
  <c r="C346" i="166" s="1"/>
  <c r="L156" i="164"/>
  <c r="C338" i="166" s="1"/>
  <c r="L148" i="164"/>
  <c r="C330" i="166" s="1"/>
  <c r="L140" i="164"/>
  <c r="C322" i="166" s="1"/>
  <c r="L108" i="164"/>
  <c r="C290" i="166" s="1"/>
  <c r="L100" i="164"/>
  <c r="C282" i="166" s="1"/>
  <c r="Q21" i="167" a="1"/>
  <c r="Q21" i="167" s="1"/>
  <c r="B31" i="168" s="1"/>
  <c r="L91" i="164"/>
  <c r="C273" i="166" s="1"/>
  <c r="L83" i="164"/>
  <c r="C265" i="166" s="1"/>
  <c r="L75" i="164"/>
  <c r="C257" i="166" s="1"/>
  <c r="L67" i="164"/>
  <c r="C249" i="166" s="1"/>
  <c r="L59" i="164"/>
  <c r="C241" i="166" s="1"/>
  <c r="L99" i="164"/>
  <c r="C281" i="166" s="1"/>
  <c r="L45" i="164"/>
  <c r="C227" i="166" s="1"/>
  <c r="L39" i="164"/>
  <c r="C221" i="166" s="1"/>
  <c r="L54" i="164"/>
  <c r="C236" i="166" s="1"/>
  <c r="Q16" i="167" a="1"/>
  <c r="Q16" i="167" s="1"/>
  <c r="B26" i="168" s="1"/>
  <c r="H10" i="167"/>
  <c r="Q10" i="167" s="1" a="1"/>
  <c r="Q10" i="167" s="1"/>
  <c r="B20" i="168" s="1"/>
  <c r="C71" i="166"/>
  <c r="L37" i="164"/>
  <c r="C219" i="166" s="1"/>
  <c r="L55" i="164"/>
  <c r="C237" i="166" s="1"/>
  <c r="C36" i="166"/>
  <c r="L36" i="164"/>
  <c r="C218" i="166" s="1"/>
  <c r="C68" i="166"/>
  <c r="L8" i="164"/>
  <c r="C190" i="166" s="1"/>
  <c r="L12" i="164"/>
  <c r="C194" i="166" s="1"/>
  <c r="L16" i="164"/>
  <c r="C198" i="166" s="1"/>
  <c r="L20" i="164"/>
  <c r="C202" i="166" s="1"/>
  <c r="L24" i="164"/>
  <c r="C206" i="166" s="1"/>
  <c r="L28" i="164"/>
  <c r="C210" i="166" s="1"/>
  <c r="L32" i="164"/>
  <c r="C214" i="166" s="1"/>
  <c r="L41" i="164"/>
  <c r="C223" i="166" s="1"/>
  <c r="L50" i="164"/>
  <c r="C232" i="166" s="1"/>
  <c r="C64" i="166"/>
  <c r="C96" i="166"/>
  <c r="C60" i="166"/>
  <c r="C92" i="166"/>
  <c r="Q37" i="167" a="1"/>
  <c r="Q37" i="167" s="1"/>
  <c r="B47" i="168" s="1"/>
  <c r="Q41" i="167" a="1"/>
  <c r="Q41" i="167" s="1"/>
  <c r="B51" i="168" s="1"/>
  <c r="L9" i="164"/>
  <c r="C191" i="166" s="1"/>
  <c r="L13" i="164"/>
  <c r="C195" i="166" s="1"/>
  <c r="L17" i="164"/>
  <c r="C199" i="166" s="1"/>
  <c r="L21" i="164"/>
  <c r="C203" i="166" s="1"/>
  <c r="L25" i="164"/>
  <c r="C207" i="166" s="1"/>
  <c r="L29" i="164"/>
  <c r="C211" i="166" s="1"/>
  <c r="L33" i="164"/>
  <c r="C215" i="166" s="1"/>
  <c r="L42" i="164"/>
  <c r="C224" i="166" s="1"/>
  <c r="L51" i="164"/>
  <c r="C233" i="166" s="1"/>
  <c r="C56" i="166"/>
  <c r="L56" i="164"/>
  <c r="C238" i="166" s="1"/>
  <c r="C88" i="166"/>
  <c r="Q22" i="167" a="1"/>
  <c r="Q22" i="167" s="1"/>
  <c r="B32" i="168" s="1"/>
  <c r="Q26" i="167" a="1"/>
  <c r="Q26" i="167" s="1"/>
  <c r="B36" i="168" s="1"/>
  <c r="C84" i="166"/>
  <c r="C15" i="166"/>
  <c r="Q42" i="167" a="1"/>
  <c r="Q42" i="167" s="1"/>
  <c r="B52" i="168" s="1"/>
  <c r="Q46" i="167" a="1"/>
  <c r="Q46" i="167" s="1"/>
  <c r="B56" i="168" s="1"/>
  <c r="L38" i="164"/>
  <c r="C220" i="166" s="1"/>
  <c r="L47" i="164"/>
  <c r="C229" i="166" s="1"/>
  <c r="C52" i="166"/>
  <c r="L52" i="164"/>
  <c r="C234" i="166" s="1"/>
  <c r="L10" i="164"/>
  <c r="C192" i="166" s="1"/>
  <c r="L14" i="164"/>
  <c r="C196" i="166" s="1"/>
  <c r="L18" i="164"/>
  <c r="C200" i="166" s="1"/>
  <c r="L22" i="164"/>
  <c r="C204" i="166" s="1"/>
  <c r="L26" i="164"/>
  <c r="C208" i="166" s="1"/>
  <c r="L30" i="164"/>
  <c r="C212" i="166" s="1"/>
  <c r="L34" i="164"/>
  <c r="C216" i="166" s="1"/>
  <c r="L43" i="164"/>
  <c r="C225" i="166" s="1"/>
  <c r="C48" i="166"/>
  <c r="L48" i="164"/>
  <c r="C230" i="166" s="1"/>
  <c r="L57" i="164"/>
  <c r="C239" i="166" s="1"/>
  <c r="C80" i="166"/>
  <c r="C23" i="166"/>
  <c r="Q27" i="167" a="1"/>
  <c r="Q27" i="167" s="1"/>
  <c r="B37" i="168" s="1"/>
  <c r="C76" i="166"/>
  <c r="C31" i="166"/>
  <c r="C95" i="166"/>
  <c r="C44" i="166"/>
  <c r="L44" i="164"/>
  <c r="C226" i="166" s="1"/>
  <c r="L11" i="164"/>
  <c r="C193" i="166" s="1"/>
  <c r="L19" i="164"/>
  <c r="C201" i="166" s="1"/>
  <c r="L27" i="164"/>
  <c r="C209" i="166" s="1"/>
  <c r="L35" i="164"/>
  <c r="C217" i="166" s="1"/>
  <c r="C40" i="166"/>
  <c r="L40" i="164"/>
  <c r="C222" i="166" s="1"/>
  <c r="L49" i="164"/>
  <c r="C231" i="166" s="1"/>
  <c r="L58" i="164"/>
  <c r="C240" i="166" s="1"/>
  <c r="C72" i="166"/>
  <c r="Q36" i="167" a="1"/>
  <c r="Q36" i="167" s="1"/>
  <c r="B46" i="168" s="1"/>
  <c r="B12" i="167"/>
  <c r="H12" i="167" s="1"/>
  <c r="Q20" i="167" s="1" a="1"/>
  <c r="Q20" i="167" s="1"/>
  <c r="B30" i="168" s="1"/>
  <c r="B14" i="167"/>
  <c r="H14" i="167" s="1"/>
  <c r="Q30" i="167" s="1" a="1"/>
  <c r="Q30" i="167" s="1"/>
  <c r="B40" i="168" s="1"/>
  <c r="B16" i="167"/>
  <c r="H16" i="167" s="1"/>
  <c r="Q40" i="167" s="1" a="1"/>
  <c r="Q40" i="167" s="1"/>
  <c r="B50" i="168" s="1"/>
  <c r="Q100" i="167" a="1"/>
  <c r="Q100" i="167" s="1"/>
  <c r="Q104" i="167" a="1"/>
  <c r="Q104" i="167" s="1"/>
  <c r="Q108" i="167" a="1"/>
  <c r="Q108" i="167" s="1"/>
  <c r="Q112" i="167" a="1"/>
  <c r="Q112" i="167" s="1"/>
  <c r="Q116" i="167" a="1"/>
  <c r="Q116" i="167" s="1"/>
  <c r="Q120" i="167" a="1"/>
  <c r="Q120" i="167" s="1"/>
  <c r="Q124" i="167" a="1"/>
  <c r="Q124" i="167" s="1"/>
  <c r="Q128" i="167" a="1"/>
  <c r="Q128" i="167" s="1"/>
  <c r="Q132" i="167" a="1"/>
  <c r="Q132" i="167" s="1"/>
  <c r="Q136" i="167" a="1"/>
  <c r="Q136" i="167" s="1"/>
  <c r="Q140" i="167" a="1"/>
  <c r="Q140" i="167" s="1"/>
  <c r="Q144" i="167" a="1"/>
  <c r="Q144" i="167" s="1"/>
  <c r="Q148" i="167" a="1"/>
  <c r="Q148" i="167" s="1"/>
  <c r="Q152" i="167" a="1"/>
  <c r="Q152" i="167" s="1"/>
  <c r="Q156" i="167" a="1"/>
  <c r="Q156" i="167" s="1"/>
  <c r="Q160" i="167" a="1"/>
  <c r="Q160" i="167" s="1"/>
  <c r="Q164" i="167" a="1"/>
  <c r="Q164" i="167" s="1"/>
  <c r="Q168" i="167" a="1"/>
  <c r="Q168" i="167" s="1"/>
  <c r="Q172" i="167" a="1"/>
  <c r="Q172" i="167" s="1"/>
  <c r="Q176" i="167" a="1"/>
  <c r="Q176" i="167" s="1"/>
  <c r="Q180" i="167" a="1"/>
  <c r="Q180" i="167" s="1"/>
  <c r="Q184" i="167" a="1"/>
  <c r="Q184" i="167" s="1"/>
  <c r="B11" i="167"/>
  <c r="H11" i="167" s="1"/>
  <c r="Q15" i="167" s="1" a="1"/>
  <c r="Q15" i="167" s="1"/>
  <c r="B25" i="168" s="1"/>
  <c r="B15" i="167"/>
  <c r="H15" i="167" s="1"/>
  <c r="Q35" i="167" s="1" a="1"/>
  <c r="Q35" i="167" s="1"/>
  <c r="B45" i="168" s="1"/>
  <c r="B13" i="167"/>
  <c r="H13" i="167" s="1"/>
  <c r="Q25" i="167" s="1" a="1"/>
  <c r="Q25" i="167" s="1"/>
  <c r="B35" i="168" s="1"/>
  <c r="Q99" i="167" a="1"/>
  <c r="Q99" i="167" s="1"/>
  <c r="C13" i="161"/>
  <c r="Q21" i="162" a="1"/>
  <c r="Q21" i="162" s="1"/>
  <c r="B31" i="163" s="1"/>
  <c r="L33" i="159"/>
  <c r="C130" i="161" s="1"/>
  <c r="C137" i="161"/>
  <c r="L9" i="159"/>
  <c r="C106" i="161" s="1"/>
  <c r="L23" i="159"/>
  <c r="C120" i="161" s="1"/>
  <c r="C138" i="161"/>
  <c r="L11" i="159"/>
  <c r="C108" i="161" s="1"/>
  <c r="L16" i="159"/>
  <c r="C113" i="161" s="1"/>
  <c r="L25" i="159"/>
  <c r="C122" i="161" s="1"/>
  <c r="L27" i="159"/>
  <c r="C124" i="161" s="1"/>
  <c r="L36" i="159"/>
  <c r="C133" i="161" s="1"/>
  <c r="Q31" i="162" a="1"/>
  <c r="Q31" i="162" s="1"/>
  <c r="B41" i="163" s="1"/>
  <c r="L19" i="159"/>
  <c r="C116" i="161" s="1"/>
  <c r="L28" i="159"/>
  <c r="C125" i="161" s="1"/>
  <c r="L37" i="159"/>
  <c r="C134" i="161" s="1"/>
  <c r="Q36" i="162" a="1"/>
  <c r="Q36" i="162" s="1"/>
  <c r="B46" i="163" s="1"/>
  <c r="C136" i="161"/>
  <c r="C21" i="161"/>
  <c r="Q16" i="162" a="1"/>
  <c r="Q16" i="162" s="1"/>
  <c r="B26" i="163" s="1"/>
  <c r="L20" i="159"/>
  <c r="C117" i="161" s="1"/>
  <c r="L29" i="159"/>
  <c r="C126" i="161" s="1"/>
  <c r="L12" i="159"/>
  <c r="C109" i="161" s="1"/>
  <c r="L35" i="159"/>
  <c r="C132" i="161" s="1"/>
  <c r="Q26" i="162" a="1"/>
  <c r="Q26" i="162" s="1"/>
  <c r="B36" i="163" s="1"/>
  <c r="L8" i="159"/>
  <c r="C105" i="161" s="1"/>
  <c r="L17" i="159"/>
  <c r="C114" i="161" s="1"/>
  <c r="B14" i="162"/>
  <c r="H14" i="162" s="1"/>
  <c r="Q30" i="162" s="1" a="1"/>
  <c r="Q30" i="162" s="1"/>
  <c r="B40" i="163" s="1"/>
  <c r="B16" i="162"/>
  <c r="H16" i="162" s="1"/>
  <c r="Q40" i="162" s="1" a="1"/>
  <c r="Q40" i="162" s="1"/>
  <c r="B50" i="163" s="1"/>
  <c r="H10" i="162"/>
  <c r="Q10" i="162" s="1" a="1"/>
  <c r="Q10" i="162" s="1"/>
  <c r="B20" i="163" s="1"/>
  <c r="Q20" i="162" a="1"/>
  <c r="Q20" i="162" s="1"/>
  <c r="B30" i="163" s="1"/>
  <c r="Q41" i="162" a="1"/>
  <c r="Q41" i="162" s="1"/>
  <c r="B51" i="163" s="1"/>
  <c r="Q22" i="162" a="1"/>
  <c r="Q22" i="162" s="1"/>
  <c r="B32" i="163" s="1"/>
  <c r="Q12" i="162" a="1"/>
  <c r="Q12" i="162" s="1"/>
  <c r="B22" i="163" s="1"/>
  <c r="Q42" i="162" a="1"/>
  <c r="Q42" i="162" s="1"/>
  <c r="B52" i="163" s="1"/>
  <c r="C30" i="161"/>
  <c r="L10" i="159"/>
  <c r="C107" i="161" s="1"/>
  <c r="L14" i="159"/>
  <c r="C111" i="161" s="1"/>
  <c r="L18" i="159"/>
  <c r="C115" i="161" s="1"/>
  <c r="L22" i="159"/>
  <c r="C119" i="161" s="1"/>
  <c r="L26" i="159"/>
  <c r="C123" i="161" s="1"/>
  <c r="L34" i="159"/>
  <c r="C131" i="161" s="1"/>
  <c r="L38" i="159"/>
  <c r="C135" i="161" s="1"/>
  <c r="B11" i="162"/>
  <c r="H11" i="162" s="1"/>
  <c r="Q15" i="162" s="1" a="1"/>
  <c r="Q15" i="162" s="1"/>
  <c r="B25" i="163" s="1"/>
  <c r="B15" i="162"/>
  <c r="H15" i="162" s="1"/>
  <c r="Q35" i="162" s="1" a="1"/>
  <c r="Q35" i="162" s="1"/>
  <c r="B45" i="163" s="1"/>
  <c r="Q139" i="162" a="1"/>
  <c r="Q139" i="162" s="1"/>
  <c r="Q142" i="162" a="1"/>
  <c r="Q142" i="162" s="1"/>
  <c r="Q155" i="162" a="1"/>
  <c r="Q155" i="162" s="1"/>
  <c r="Q158" i="162" a="1"/>
  <c r="Q158" i="162" s="1"/>
  <c r="Q171" i="162" a="1"/>
  <c r="Q171" i="162" s="1"/>
  <c r="Q174" i="162" a="1"/>
  <c r="Q174" i="162" s="1"/>
  <c r="B13" i="162"/>
  <c r="H13" i="162" s="1"/>
  <c r="Q25" i="162" s="1" a="1"/>
  <c r="Q25" i="162" s="1"/>
  <c r="B35" i="163" s="1"/>
  <c r="Q156" i="162" a="1"/>
  <c r="Q156" i="162" s="1"/>
  <c r="Q169" i="162" a="1"/>
  <c r="Q169" i="162" s="1"/>
  <c r="Q172" i="162" a="1"/>
  <c r="Q172" i="162" s="1"/>
  <c r="Q147" i="162" a="1"/>
  <c r="Q147" i="162" s="1"/>
  <c r="Q150" i="162" a="1"/>
  <c r="Q150" i="162" s="1"/>
  <c r="Q163" i="162" a="1"/>
  <c r="Q163" i="162" s="1"/>
  <c r="Q166" i="162" a="1"/>
  <c r="Q166" i="162" s="1"/>
  <c r="Q182" i="162" a="1"/>
  <c r="Q182" i="162" s="1"/>
  <c r="L39" i="151"/>
  <c r="C80" i="153" s="1"/>
  <c r="L31" i="151"/>
  <c r="C72" i="153" s="1"/>
  <c r="L23" i="151"/>
  <c r="C64" i="153" s="1"/>
  <c r="L15" i="151"/>
  <c r="C56" i="153" s="1"/>
  <c r="L38" i="151"/>
  <c r="C79" i="153" s="1"/>
  <c r="L30" i="151"/>
  <c r="C71" i="153" s="1"/>
  <c r="L22" i="151"/>
  <c r="C63" i="153" s="1"/>
  <c r="L14" i="151"/>
  <c r="C55" i="153" s="1"/>
  <c r="L37" i="151"/>
  <c r="C78" i="153" s="1"/>
  <c r="L29" i="151"/>
  <c r="C70" i="153" s="1"/>
  <c r="L21" i="151"/>
  <c r="C62" i="153" s="1"/>
  <c r="L13" i="151"/>
  <c r="C54" i="153" s="1"/>
  <c r="L36" i="151"/>
  <c r="C77" i="153" s="1"/>
  <c r="L28" i="151"/>
  <c r="C69" i="153" s="1"/>
  <c r="L20" i="151"/>
  <c r="C61" i="153" s="1"/>
  <c r="L12" i="151"/>
  <c r="C53" i="153" s="1"/>
  <c r="L35" i="151"/>
  <c r="C76" i="153" s="1"/>
  <c r="L27" i="151"/>
  <c r="C68" i="153" s="1"/>
  <c r="L19" i="151"/>
  <c r="C60" i="153" s="1"/>
  <c r="L11" i="151"/>
  <c r="C52" i="153" s="1"/>
  <c r="L34" i="151"/>
  <c r="C75" i="153" s="1"/>
  <c r="L26" i="151"/>
  <c r="C67" i="153" s="1"/>
  <c r="L18" i="151"/>
  <c r="C59" i="153" s="1"/>
  <c r="L10" i="151"/>
  <c r="C51" i="153" s="1"/>
  <c r="L8" i="151"/>
  <c r="C49" i="153" s="1"/>
  <c r="L33" i="151"/>
  <c r="C74" i="153" s="1"/>
  <c r="L25" i="151"/>
  <c r="C66" i="153" s="1"/>
  <c r="L17" i="151"/>
  <c r="C58" i="153" s="1"/>
  <c r="L9" i="151"/>
  <c r="C50" i="153" s="1"/>
  <c r="L32" i="151"/>
  <c r="C73" i="153" s="1"/>
  <c r="L24" i="151"/>
  <c r="C65" i="153" s="1"/>
  <c r="L16" i="151"/>
  <c r="C57" i="153" s="1"/>
  <c r="L39" i="156"/>
  <c r="C80" i="158" s="1"/>
  <c r="L15" i="156"/>
  <c r="C56" i="158" s="1"/>
  <c r="L23" i="156"/>
  <c r="C64" i="158" s="1"/>
  <c r="L31" i="156"/>
  <c r="C72" i="158" s="1"/>
  <c r="C10" i="158"/>
  <c r="C18" i="158"/>
  <c r="L11" i="156"/>
  <c r="C52" i="158" s="1"/>
  <c r="C12" i="158"/>
  <c r="L19" i="156"/>
  <c r="C60" i="158" s="1"/>
  <c r="C20" i="158"/>
  <c r="C26" i="158"/>
  <c r="L27" i="156"/>
  <c r="C68" i="158" s="1"/>
  <c r="C28" i="158"/>
  <c r="C34" i="158"/>
  <c r="L35" i="156"/>
  <c r="C76" i="158" s="1"/>
  <c r="C36" i="158"/>
  <c r="L8" i="156"/>
  <c r="C49" i="158" s="1"/>
  <c r="L16" i="156"/>
  <c r="C57" i="158" s="1"/>
  <c r="L24" i="156"/>
  <c r="C65" i="158" s="1"/>
  <c r="L32" i="156"/>
  <c r="C73" i="158" s="1"/>
  <c r="L40" i="156"/>
  <c r="C81" i="158" s="1"/>
  <c r="L9" i="156"/>
  <c r="C50" i="158" s="1"/>
  <c r="L17" i="156"/>
  <c r="C58" i="158" s="1"/>
  <c r="L25" i="156"/>
  <c r="C66" i="158" s="1"/>
  <c r="L37" i="156"/>
  <c r="C78" i="158" s="1"/>
  <c r="C14" i="158"/>
  <c r="C22" i="158"/>
  <c r="C30" i="158"/>
  <c r="C38" i="158"/>
  <c r="L13" i="156"/>
  <c r="C54" i="158" s="1"/>
  <c r="L21" i="156"/>
  <c r="C62" i="158" s="1"/>
  <c r="L29" i="156"/>
  <c r="C70" i="158" s="1"/>
  <c r="L33" i="156"/>
  <c r="C74" i="158" s="1"/>
  <c r="L41" i="156"/>
  <c r="C82" i="158" s="1"/>
  <c r="H10" i="154"/>
  <c r="Q10" i="154" s="1" a="1"/>
  <c r="Q10" i="154" s="1"/>
  <c r="B20" i="155" s="1"/>
  <c r="Q11" i="154" a="1"/>
  <c r="Q11" i="154" s="1"/>
  <c r="B21" i="155" s="1"/>
  <c r="Q36" i="154" a="1"/>
  <c r="Q36" i="154" s="1"/>
  <c r="B46" i="155" s="1"/>
  <c r="Q16" i="154" a="1"/>
  <c r="Q16" i="154" s="1"/>
  <c r="B26" i="155" s="1"/>
  <c r="Q22" i="154" a="1"/>
  <c r="Q22" i="154" s="1"/>
  <c r="B32" i="155" s="1"/>
  <c r="Q26" i="154" a="1"/>
  <c r="Q26" i="154" s="1"/>
  <c r="B36" i="155" s="1"/>
  <c r="Q46" i="154" a="1"/>
  <c r="Q46" i="154" s="1"/>
  <c r="B56" i="155" s="1"/>
  <c r="Q42" i="154" a="1"/>
  <c r="Q42" i="154" s="1"/>
  <c r="B52" i="155" s="1"/>
  <c r="Q87" i="154" a="1"/>
  <c r="Q87" i="154" s="1"/>
  <c r="Q90" i="154" a="1"/>
  <c r="Q90" i="154" s="1"/>
  <c r="Q103" i="154" a="1"/>
  <c r="Q103" i="154" s="1"/>
  <c r="Q106" i="154" a="1"/>
  <c r="Q106" i="154" s="1"/>
  <c r="Q119" i="154" a="1"/>
  <c r="Q119" i="154" s="1"/>
  <c r="Q122" i="154" a="1"/>
  <c r="Q122" i="154" s="1"/>
  <c r="B11" i="154"/>
  <c r="H11" i="154" s="1"/>
  <c r="Q15" i="154" s="1" a="1"/>
  <c r="Q15" i="154" s="1"/>
  <c r="B25" i="155" s="1"/>
  <c r="B15" i="154"/>
  <c r="H15" i="154" s="1"/>
  <c r="Q35" i="154" s="1" a="1"/>
  <c r="Q35" i="154" s="1"/>
  <c r="B45" i="155" s="1"/>
  <c r="B13" i="154"/>
  <c r="H13" i="154" s="1"/>
  <c r="Q25" i="154" s="1" a="1"/>
  <c r="Q25" i="154" s="1"/>
  <c r="B35" i="155" s="1"/>
  <c r="B17" i="154"/>
  <c r="H17" i="154" s="1"/>
  <c r="Q45" i="154" s="1" a="1"/>
  <c r="Q45" i="154" s="1"/>
  <c r="B55" i="155" s="1"/>
  <c r="Q85" i="154" a="1"/>
  <c r="Q85" i="154" s="1"/>
  <c r="Q88" i="154" a="1"/>
  <c r="Q88" i="154" s="1"/>
  <c r="Q101" i="154" a="1"/>
  <c r="Q101" i="154" s="1"/>
  <c r="Q104" i="154" a="1"/>
  <c r="Q104" i="154" s="1"/>
  <c r="Q117" i="154" a="1"/>
  <c r="Q117" i="154" s="1"/>
  <c r="Q120" i="154" a="1"/>
  <c r="Q120" i="154" s="1"/>
  <c r="B12" i="154"/>
  <c r="H12" i="154" s="1"/>
  <c r="Q20" i="154" s="1" a="1"/>
  <c r="Q20" i="154" s="1"/>
  <c r="B30" i="155" s="1"/>
  <c r="B14" i="154"/>
  <c r="H14" i="154" s="1"/>
  <c r="Q30" i="154" s="1" a="1"/>
  <c r="Q30" i="154" s="1"/>
  <c r="B40" i="155" s="1"/>
  <c r="Q86" i="154" a="1"/>
  <c r="Q86" i="154" s="1"/>
  <c r="Q99" i="154" a="1"/>
  <c r="Q99" i="154" s="1"/>
  <c r="Q102" i="154" a="1"/>
  <c r="Q102" i="154" s="1"/>
  <c r="Q115" i="154" a="1"/>
  <c r="Q115" i="154" s="1"/>
  <c r="Q118" i="154" a="1"/>
  <c r="Q118" i="154" s="1"/>
  <c r="Q22" i="148" a="1"/>
  <c r="Q22" i="148" s="1"/>
  <c r="B32" i="149" s="1"/>
  <c r="Q17" i="148" a="1"/>
  <c r="Q17" i="148" s="1"/>
  <c r="B27" i="149" s="1"/>
  <c r="Q37" i="148" a="1"/>
  <c r="Q37" i="148" s="1"/>
  <c r="B47" i="149" s="1"/>
  <c r="Q34" i="148" a="1"/>
  <c r="Q34" i="148" s="1"/>
  <c r="B44" i="149" s="1"/>
  <c r="Q24" i="148" a="1"/>
  <c r="Q24" i="148" s="1"/>
  <c r="B34" i="149" s="1"/>
  <c r="Q44" i="148" a="1"/>
  <c r="Q44" i="148" s="1"/>
  <c r="B54" i="149" s="1"/>
  <c r="Q41" i="148" a="1"/>
  <c r="Q41" i="148" s="1"/>
  <c r="B51" i="149" s="1"/>
  <c r="Q50" i="148" a="1"/>
  <c r="Q50" i="148" s="1"/>
  <c r="B60" i="149" s="1"/>
  <c r="Q26" i="148" a="1"/>
  <c r="Q26" i="148" s="1"/>
  <c r="B36" i="149" s="1"/>
  <c r="Q31" i="148" a="1"/>
  <c r="Q31" i="148" s="1"/>
  <c r="B41" i="149" s="1"/>
  <c r="Q51" i="148" a="1"/>
  <c r="Q51" i="148" s="1"/>
  <c r="B61" i="149" s="1"/>
  <c r="Q43" i="148" a="1"/>
  <c r="Q43" i="148" s="1"/>
  <c r="B53" i="149" s="1"/>
  <c r="Q47" i="148" a="1"/>
  <c r="Q47" i="148" s="1"/>
  <c r="B57" i="149" s="1"/>
  <c r="Q63" i="148" a="1"/>
  <c r="Q63" i="148" s="1"/>
  <c r="Q18" i="148" a="1"/>
  <c r="Q18" i="148" s="1"/>
  <c r="B28" i="149" s="1"/>
  <c r="Q28" i="148" a="1"/>
  <c r="Q28" i="148" s="1"/>
  <c r="B38" i="149" s="1"/>
  <c r="Q52" i="148" a="1"/>
  <c r="Q52" i="148" s="1"/>
  <c r="B62" i="149" s="1"/>
  <c r="Q57" i="148" a="1"/>
  <c r="Q57" i="148" s="1"/>
  <c r="Q53" i="148" a="1"/>
  <c r="Q53" i="148" s="1"/>
  <c r="Q58" i="148" a="1"/>
  <c r="Q58" i="148" s="1"/>
  <c r="Q13" i="148" a="1"/>
  <c r="Q13" i="148" s="1"/>
  <c r="B23" i="149" s="1"/>
  <c r="Q23" i="148" a="1"/>
  <c r="Q23" i="148" s="1"/>
  <c r="B33" i="149" s="1"/>
  <c r="Q33" i="148" a="1"/>
  <c r="Q33" i="148" s="1"/>
  <c r="B43" i="149" s="1"/>
  <c r="Q61" i="148" a="1"/>
  <c r="Q61" i="148" s="1"/>
  <c r="Q27" i="148" a="1"/>
  <c r="Q27" i="148" s="1"/>
  <c r="B37" i="149" s="1"/>
  <c r="Q36" i="148" a="1"/>
  <c r="Q36" i="148" s="1"/>
  <c r="B46" i="149" s="1"/>
  <c r="Q15" i="148" a="1"/>
  <c r="Q15" i="148" s="1"/>
  <c r="B25" i="149" s="1"/>
  <c r="Q10" i="148" a="1"/>
  <c r="Q10" i="148" s="1"/>
  <c r="B20" i="149" s="1"/>
  <c r="Q20" i="148" a="1"/>
  <c r="Q20" i="148" s="1"/>
  <c r="B30" i="149" s="1"/>
  <c r="Q32" i="148" a="1"/>
  <c r="Q32" i="148" s="1"/>
  <c r="B42" i="149" s="1"/>
  <c r="Q40" i="148" a="1"/>
  <c r="Q40" i="148" s="1"/>
  <c r="B50" i="149" s="1"/>
  <c r="Q55" i="148" a="1"/>
  <c r="Q55" i="148" s="1"/>
  <c r="Q60" i="148" a="1"/>
  <c r="Q60" i="148" s="1"/>
  <c r="Q25" i="148" a="1"/>
  <c r="Q25" i="148" s="1"/>
  <c r="B35" i="149" s="1"/>
  <c r="Q35" i="148" a="1"/>
  <c r="Q35" i="148" s="1"/>
  <c r="B45" i="149" s="1"/>
  <c r="Q45" i="148" a="1"/>
  <c r="Q45" i="148" s="1"/>
  <c r="B55" i="149"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C51" i="110"/>
  <c r="C41" i="110"/>
  <c r="C42" i="110"/>
  <c r="C43" i="110"/>
  <c r="C44" i="110"/>
  <c r="C45" i="110"/>
  <c r="C46" i="110"/>
  <c r="C47" i="110"/>
  <c r="C48" i="110"/>
  <c r="C49" i="110"/>
  <c r="C50" i="110"/>
  <c r="I17" i="108"/>
  <c r="C17" i="110" s="1"/>
  <c r="I18" i="108"/>
  <c r="I19" i="108"/>
  <c r="I20" i="108"/>
  <c r="C9" i="110"/>
  <c r="C10" i="110"/>
  <c r="C11" i="110"/>
  <c r="C12" i="110"/>
  <c r="C13" i="110"/>
  <c r="C14" i="110"/>
  <c r="C15" i="110"/>
  <c r="C16" i="110"/>
  <c r="E11" i="109"/>
  <c r="E12" i="109"/>
  <c r="E13" i="109"/>
  <c r="E14" i="109"/>
  <c r="E15" i="109"/>
  <c r="E16" i="109"/>
  <c r="E17" i="109"/>
  <c r="E18" i="109"/>
  <c r="E19" i="109"/>
  <c r="E20" i="109"/>
  <c r="E21" i="109"/>
  <c r="E22" i="109"/>
  <c r="E23" i="109"/>
  <c r="E24" i="109"/>
  <c r="B20" i="109"/>
  <c r="B21" i="109"/>
  <c r="B22" i="109"/>
  <c r="B23" i="109"/>
  <c r="B24" i="109"/>
  <c r="B25" i="109"/>
  <c r="B26" i="109"/>
  <c r="B27" i="109"/>
  <c r="B28" i="109"/>
  <c r="B29" i="109"/>
  <c r="B30" i="109"/>
  <c r="B31" i="109"/>
  <c r="B32" i="109"/>
  <c r="B33" i="109"/>
  <c r="B19" i="109"/>
  <c r="B15" i="109"/>
  <c r="B16" i="109"/>
  <c r="B14" i="109"/>
  <c r="B11" i="109"/>
  <c r="B12" i="109"/>
  <c r="B13" i="109"/>
  <c r="B17" i="109"/>
  <c r="B18" i="109"/>
  <c r="B10" i="109"/>
  <c r="B9" i="109"/>
  <c r="C7" i="109" s="1"/>
  <c r="C316" i="166" l="1"/>
  <c r="C360" i="166"/>
  <c r="Q42" i="148" a="1"/>
  <c r="Q42" i="148" s="1"/>
  <c r="B52" i="149" s="1"/>
  <c r="I257" i="14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32" i="145" a="1"/>
  <c r="Q32" i="145" s="1"/>
  <c r="B42"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E25" i="109"/>
  <c r="I10" i="108"/>
  <c r="I12" i="108"/>
  <c r="I13" i="108"/>
  <c r="I14" i="108"/>
  <c r="I15" i="108"/>
  <c r="I16" i="108"/>
  <c r="E8" i="109"/>
  <c r="C37" i="110" s="1"/>
  <c r="I9" i="108"/>
  <c r="I11" i="108"/>
  <c r="C31" i="110"/>
  <c r="C30" i="110"/>
  <c r="C2" i="110"/>
  <c r="C1" i="110"/>
  <c r="E10" i="109"/>
  <c r="C40" i="110" s="1"/>
  <c r="E9" i="109"/>
  <c r="C39" i="110" s="1"/>
  <c r="E7" i="109"/>
  <c r="C36" i="110" s="1"/>
  <c r="E6" i="109"/>
  <c r="C35" i="110" s="1"/>
  <c r="E5" i="109"/>
  <c r="C34" i="110" s="1"/>
  <c r="E4" i="109"/>
  <c r="C33" i="110" s="1"/>
  <c r="E3" i="109"/>
  <c r="C32" i="110" s="1"/>
  <c r="I8" i="108"/>
  <c r="C8" i="110" s="1"/>
  <c r="I7" i="108"/>
  <c r="C7" i="110" s="1"/>
  <c r="I6" i="108"/>
  <c r="C6" i="110" s="1"/>
  <c r="I5" i="108"/>
  <c r="C5" i="110" s="1"/>
  <c r="I4" i="108"/>
  <c r="C4" i="110" s="1"/>
  <c r="I3" i="108"/>
  <c r="C3" i="110"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7" authorId="0" shapeId="0" xr:uid="{A8E192C9-A479-4DB6-888D-3EE3B6900798}">
      <text>
        <r>
          <rPr>
            <sz val="10"/>
            <color rgb="FF000000"/>
            <rFont val="Calibri"/>
            <family val="2"/>
            <scheme val="minor"/>
          </rPr>
          <t>CUS or Patient?
	-Unai Zulaika Zurimendi</t>
        </r>
      </text>
    </comment>
    <comment ref="I9" authorId="0" shapeId="0" xr:uid="{5C3B34C7-77C9-427B-A6E0-22AAA83E1938}">
      <text>
        <r>
          <rPr>
            <sz val="10"/>
            <color rgb="FF000000"/>
            <rFont val="Calibri"/>
            <family val="2"/>
            <scheme val="minor"/>
          </rPr>
          <t>check
	-Unai Zulaika Zurimendi</t>
        </r>
      </text>
    </comment>
    <comment ref="L9" authorId="0" shapeId="0" xr:uid="{A2677AD2-2BB3-4944-8B5D-73A49D8D36A1}">
      <text>
        <r>
          <rPr>
            <sz val="10"/>
            <color rgb="FF000000"/>
            <rFont val="Calibri"/>
            <family val="2"/>
            <scheme val="minor"/>
          </rPr>
          <t>Not sure whether all the variables can be mapped
	-Unai Zulaika Zurimendi</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<sst xmlns="http://schemas.openxmlformats.org/spreadsheetml/2006/main" count="6262" uniqueCount="2409">
  <si>
    <t>CodeableConcept</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</si>
  <si>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</si>
  <si>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</si>
  <si>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</si>
  <si>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</si>
  <si>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</si>
  <si>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</si>
  <si>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</si>
  <si>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</si>
  <si>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</si>
  <si>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</si>
  <si>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</si>
  <si>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</si>
  <si>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</si>
  <si>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</si>
  <si>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</si>
  <si>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</si>
  <si>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</si>
  <si>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</si>
  <si>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</si>
  <si>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</si>
  <si>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</si>
  <si>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</si>
  <si>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</si>
  <si>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</si>
  <si>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</si>
  <si>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</si>
  <si>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</si>
  <si>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</si>
  <si>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</si>
  <si>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</si>
  <si>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</si>
  <si>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</si>
  <si>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Date of birth</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</si>
  <si>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</si>
  <si>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</si>
  <si>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</si>
  <si>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</si>
  <si>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</si>
  <si>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</si>
  <si>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</si>
  <si>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</si>
  <si>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</si>
  <si>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</si>
  <si>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</si>
  <si>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</si>
  <si>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</si>
  <si>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</si>
  <si>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</si>
  <si>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</si>
  <si>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</si>
  <si>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</si>
  <si>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</si>
  <si>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</si>
  <si>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</si>
  <si>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</si>
  <si>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</si>
  <si>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</si>
  <si>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</si>
  <si>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</si>
  <si>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</si>
  <si>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</si>
  <si>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</si>
  <si>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</si>
  <si>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</si>
  <si>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</si>
  <si>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</si>
  <si>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</si>
  <si>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</si>
  <si>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</si>
  <si>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</si>
  <si>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</si>
  <si>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</si>
  <si>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</si>
  <si>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</si>
  <si>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</si>
  <si>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</si>
  <si>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</si>
  <si>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</si>
  <si>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</si>
  <si>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</si>
  <si>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</si>
  <si>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</si>
  <si>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</si>
  <si>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</si>
  <si>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</si>
  <si>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</si>
  <si>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</si>
  <si>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</si>
  <si>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</si>
  <si>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</si>
  <si>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</si>
  <si>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</si>
  <si>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</si>
  <si>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</si>
  <si>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</si>
  <si>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</si>
  <si>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</si>
  <si>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</si>
  <si>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</si>
  <si>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</si>
  <si>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</si>
  <si>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</si>
  <si>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</si>
  <si>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</si>
  <si>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</si>
  <si>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</si>
  <si>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</si>
  <si>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</si>
  <si>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</si>
  <si>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</si>
  <si>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</si>
  <si>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</si>
  <si>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</si>
  <si>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</si>
  <si>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</si>
  <si>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</si>
  <si>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</si>
  <si>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</si>
  <si>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</si>
  <si>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</si>
  <si>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</si>
  <si>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</si>
  <si>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</si>
  <si>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</si>
  <si>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</si>
  <si>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</si>
  <si>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</si>
  <si>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</si>
  <si>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</si>
  <si>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</si>
  <si>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</si>
  <si>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</si>
  <si>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</si>
  <si>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</si>
  <si>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</si>
  <si>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</si>
  <si>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</si>
  <si>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</si>
  <si>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</si>
  <si>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</si>
  <si>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</si>
  <si>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</si>
  <si>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</si>
  <si>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</si>
  <si>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</si>
  <si>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</si>
  <si>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</si>
  <si>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</si>
  <si>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</si>
  <si>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</si>
  <si>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</si>
  <si>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</si>
  <si>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</si>
  <si>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SubjectI4rc</t>
  </si>
  <si>
    <t>Subject of care</t>
  </si>
  <si>
    <t>Subject of care 
Maturity Level: 0 Draft</t>
  </si>
  <si>
    <t>dateOfBirth</t>
  </si>
  <si>
    <t>dateOfBirth.date</t>
  </si>
  <si>
    <t>dateOfBirth.unknown</t>
  </si>
  <si>
    <t>maritalStatus</t>
  </si>
  <si>
    <t>sexOrGender</t>
  </si>
  <si>
    <t>race</t>
  </si>
  <si>
    <t>countryOfResidence</t>
  </si>
  <si>
    <t>date</t>
  </si>
  <si>
    <t>boolean</t>
  </si>
  <si>
    <t>Gender/Sex</t>
  </si>
  <si>
    <r>
      <t xml:space="preserve">Describes biological sex </t>
    </r>
    <r>
      <rPr>
        <b/>
        <sz val="11"/>
        <color theme="1"/>
        <rFont val="Arial Narrow"/>
        <family val="2"/>
      </rPr>
      <t>as recorded in the patient's identity document or in the hospital record.</t>
    </r>
    <r>
      <rPr>
        <sz val="11"/>
        <color theme="1"/>
        <rFont val="Arial Narrow"/>
        <family val="2"/>
      </rPr>
      <t xml:space="preserve"> In the absence of documentation, the one declared by the patient will be recorded</t>
    </r>
  </si>
  <si>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</si>
  <si>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</si>
  <si>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</si>
  <si>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</si>
  <si>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</si>
  <si>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</si>
  <si>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</si>
  <si>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</si>
  <si>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</si>
  <si>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</si>
  <si>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</si>
  <si>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</si>
  <si>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</si>
  <si>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</si>
  <si>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</si>
  <si>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</si>
  <si>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</si>
  <si>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</si>
  <si>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</si>
  <si>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</si>
  <si>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</si>
  <si>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</si>
  <si>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</si>
  <si>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</si>
  <si>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</si>
  <si>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</si>
  <si>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</si>
  <si>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</si>
  <si>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</si>
  <si>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</si>
  <si>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</si>
  <si>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</si>
  <si>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</si>
  <si>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</si>
  <si>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</si>
  <si>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</si>
  <si>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</si>
  <si>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</si>
  <si>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</si>
  <si>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</si>
  <si>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</si>
  <si>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</si>
  <si>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</si>
  <si>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</si>
  <si>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</si>
  <si>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</si>
  <si>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</si>
  <si>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</si>
  <si>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</si>
  <si>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</si>
  <si>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</si>
  <si>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</si>
  <si>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</si>
  <si>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</si>
  <si>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</si>
  <si>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</si>
  <si>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</si>
  <si>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</si>
  <si>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</si>
  <si>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</si>
  <si>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</si>
  <si>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</si>
  <si>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</si>
  <si>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</si>
  <si>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</si>
  <si>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</si>
  <si>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</si>
  <si>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</si>
  <si>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</si>
  <si>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</si>
  <si>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</si>
  <si>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</si>
  <si>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</si>
  <si>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</si>
  <si>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</si>
  <si>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</si>
  <si>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</si>
  <si>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</si>
  <si>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</si>
  <si>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</si>
  <si>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</si>
  <si>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</si>
  <si>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</si>
  <si>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</si>
  <si>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</si>
  <si>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</si>
  <si>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</si>
  <si>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</si>
  <si>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</si>
  <si>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</si>
  <si>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</si>
  <si>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</si>
  <si>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</si>
  <si>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</si>
  <si>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</si>
  <si>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</si>
  <si>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</si>
  <si>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</si>
  <si>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</si>
  <si>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</si>
  <si>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</si>
  <si>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</si>
  <si>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</si>
  <si>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</si>
  <si>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</si>
  <si>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</si>
  <si>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</si>
  <si>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</si>
  <si>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</si>
  <si>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</si>
  <si>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</si>
  <si>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</si>
  <si>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</si>
  <si>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</si>
  <si>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</si>
  <si>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</si>
  <si>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</si>
  <si>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</si>
  <si>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</si>
  <si>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</si>
  <si>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</si>
  <si>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</si>
  <si>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</si>
  <si>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</si>
  <si>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</si>
  <si>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</si>
  <si>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</si>
  <si>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</si>
  <si>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</si>
  <si>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</si>
  <si>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</si>
  <si>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</si>
  <si>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</si>
  <si>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</si>
  <si>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</si>
  <si>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</si>
  <si>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</si>
  <si>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</si>
  <si>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</si>
  <si>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</si>
  <si>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</si>
  <si>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</si>
  <si>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</si>
  <si>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</si>
  <si>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</si>
  <si>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</si>
  <si>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</si>
  <si>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</si>
  <si>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</si>
  <si>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</si>
  <si>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</si>
  <si>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</si>
  <si>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</si>
  <si>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</si>
  <si>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</si>
  <si>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</si>
  <si>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</si>
  <si>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</si>
  <si>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</si>
  <si>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</si>
  <si>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</si>
  <si>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</si>
  <si>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</si>
  <si>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</si>
  <si>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</si>
  <si>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</si>
  <si>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</si>
  <si>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</si>
  <si>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</si>
  <si>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</si>
  <si>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</si>
  <si>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</si>
  <si>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</si>
  <si>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</si>
  <si>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</si>
  <si>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</si>
  <si>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</si>
  <si>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</si>
  <si>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</si>
  <si>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</si>
  <si>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</si>
  <si>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</si>
  <si>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</si>
  <si>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</si>
  <si>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</si>
  <si>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</si>
  <si>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</si>
  <si>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</si>
  <si>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</si>
  <si>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</si>
  <si>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</si>
  <si>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</si>
  <si>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</si>
  <si>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</si>
  <si>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</si>
  <si>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</si>
  <si>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</si>
  <si>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</si>
  <si>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</si>
  <si>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</si>
  <si>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</si>
  <si>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</si>
  <si>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</si>
  <si>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</si>
  <si>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</si>
  <si>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</si>
  <si>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</si>
  <si>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</si>
  <si>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</si>
  <si>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</si>
  <si>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</si>
  <si>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</si>
  <si>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</si>
  <si>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</si>
  <si>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</si>
  <si>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</si>
  <si>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</si>
  <si>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</si>
  <si>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</si>
  <si>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</si>
  <si>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</si>
  <si>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</si>
  <si>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</si>
  <si>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</si>
  <si>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</si>
  <si>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</si>
  <si>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</si>
  <si>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</si>
  <si>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</si>
  <si>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</si>
  <si>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</si>
  <si>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</si>
  <si>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</si>
  <si>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</si>
  <si>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</si>
  <si>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</si>
  <si>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</si>
  <si>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</si>
  <si>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</si>
  <si>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</si>
  <si>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</si>
  <si>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</si>
  <si>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</si>
  <si>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</si>
  <si>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</si>
  <si>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</si>
  <si>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</si>
  <si>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</si>
  <si>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</si>
  <si>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</si>
  <si>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</si>
  <si>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</si>
  <si>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</si>
  <si>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</si>
  <si>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</si>
  <si>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</si>
  <si>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</si>
  <si>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</si>
  <si>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</si>
  <si>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</si>
  <si>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</si>
  <si>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</si>
  <si>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</si>
  <si>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</si>
  <si>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</si>
  <si>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</si>
  <si>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</si>
  <si>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</si>
  <si>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</si>
  <si>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</si>
  <si>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</si>
  <si>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</si>
  <si>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</si>
  <si>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</si>
  <si>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</si>
  <si>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</si>
  <si>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</si>
  <si>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</si>
  <si>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</si>
  <si>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</si>
  <si>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</si>
  <si>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</si>
  <si>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</si>
  <si>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</si>
  <si>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</si>
  <si>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</si>
  <si>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</si>
  <si>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</si>
  <si>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</si>
  <si>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</si>
  <si>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</si>
  <si>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</si>
  <si>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</si>
  <si>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</si>
  <si>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</si>
  <si>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</si>
  <si>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</si>
  <si>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</si>
  <si>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</si>
  <si>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</si>
  <si>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</si>
  <si>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</si>
  <si>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</si>
  <si>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</si>
  <si>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</si>
  <si>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</si>
  <si>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</si>
  <si>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</si>
  <si>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</si>
  <si>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</si>
  <si>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</si>
  <si>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</si>
  <si>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</si>
  <si>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</si>
  <si>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</si>
  <si>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</si>
  <si>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</si>
  <si>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</si>
  <si>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</si>
  <si>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</si>
  <si>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</si>
  <si>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</si>
  <si>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</si>
  <si>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</si>
  <si>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</si>
  <si>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</si>
  <si>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</si>
  <si>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</si>
  <si>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</si>
  <si>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</si>
  <si>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</si>
  <si>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</si>
  <si>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</si>
  <si>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</si>
  <si>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</si>
  <si>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</si>
  <si>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</si>
  <si>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</si>
  <si>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</si>
  <si>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</si>
  <si>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</si>
  <si>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</si>
  <si>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</si>
  <si>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</si>
  <si>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</si>
  <si>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</si>
  <si>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</si>
  <si>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</si>
  <si>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</si>
  <si>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</si>
  <si>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</si>
  <si>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</si>
  <si>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</si>
  <si>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</si>
  <si>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</si>
  <si>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</si>
  <si>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</si>
  <si>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</si>
  <si>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</si>
  <si>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</si>
  <si>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</si>
  <si>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</si>
  <si>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</si>
  <si>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</si>
  <si>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</si>
  <si>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</si>
  <si>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</si>
  <si>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</si>
  <si>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</si>
  <si>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</si>
  <si>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</si>
  <si>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</si>
  <si>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</si>
  <si>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</si>
  <si>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</si>
  <si>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</si>
  <si>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</si>
  <si>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</si>
  <si>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</si>
  <si>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</si>
  <si>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</si>
  <si>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</si>
  <si>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</si>
  <si>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</si>
  <si>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</si>
  <si>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</si>
  <si>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</si>
  <si>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</si>
  <si>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</si>
  <si>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</si>
  <si>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</si>
  <si>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</si>
  <si>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</si>
  <si>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</si>
  <si>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</si>
  <si>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</si>
  <si>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</si>
  <si>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</si>
  <si>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</si>
  <si>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</si>
  <si>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</si>
  <si>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</si>
  <si>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</si>
  <si>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</si>
  <si>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</si>
  <si>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</si>
  <si>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</si>
  <si>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</si>
  <si>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</si>
  <si>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</si>
  <si>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</si>
  <si>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</si>
  <si>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</si>
  <si>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</si>
  <si>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</si>
  <si>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</si>
  <si>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</si>
  <si>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</si>
  <si>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</si>
  <si>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</si>
  <si>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</si>
  <si>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</si>
  <si>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</si>
  <si>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</si>
  <si>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</si>
  <si>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</si>
  <si>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</si>
  <si>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</si>
  <si>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</si>
  <si>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</si>
  <si>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</si>
  <si>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</si>
  <si>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</si>
  <si>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</si>
  <si>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</si>
  <si>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</si>
  <si>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</si>
  <si>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</si>
  <si>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</si>
  <si>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</si>
  <si>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</si>
  <si>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</si>
  <si>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</si>
  <si>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</si>
  <si>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</si>
  <si>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</si>
  <si>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</si>
  <si>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</si>
  <si>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</si>
  <si>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</si>
  <si>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</si>
  <si>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</si>
  <si>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</si>
  <si>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</si>
  <si>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</si>
  <si>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</si>
  <si>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</si>
  <si>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</si>
  <si>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</si>
  <si>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</si>
  <si>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</si>
  <si>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</si>
  <si>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</si>
  <si>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</si>
  <si>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</si>
  <si>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</si>
  <si>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</si>
  <si>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</si>
  <si>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</si>
  <si>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</si>
  <si>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</si>
  <si>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</si>
  <si>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</si>
  <si>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</si>
  <si>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</si>
  <si>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</si>
  <si>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</si>
  <si>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</si>
  <si>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</si>
  <si>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</si>
  <si>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</si>
  <si>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</si>
  <si>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</si>
  <si>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</si>
  <si>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</si>
  <si>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</si>
  <si>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</si>
  <si>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</si>
  <si>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</si>
  <si>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</si>
  <si>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</si>
  <si>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</si>
  <si>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</si>
  <si>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</si>
  <si>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</si>
  <si>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</si>
  <si>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</si>
  <si>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</si>
  <si>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</si>
  <si>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</si>
  <si>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</si>
  <si>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</si>
  <si>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</si>
  <si>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</si>
  <si>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</si>
  <si>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</si>
  <si>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</si>
  <si>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</si>
  <si>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</si>
  <si>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</si>
  <si>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</si>
  <si>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</si>
  <si>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</si>
  <si>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</si>
  <si>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</si>
  <si>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</si>
  <si>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</si>
  <si>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</si>
  <si>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</si>
  <si>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</si>
  <si>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</si>
  <si>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</si>
  <si>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</si>
  <si>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</si>
  <si>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</si>
  <si>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</si>
  <si>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</si>
  <si>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</si>
  <si>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</si>
  <si>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</si>
  <si>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</si>
  <si>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</si>
  <si>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</si>
  <si>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</si>
  <si>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</si>
  <si>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</si>
  <si>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</si>
  <si>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</si>
  <si>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</si>
  <si>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</si>
  <si>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</si>
  <si>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</si>
  <si>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</si>
  <si>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</si>
  <si>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</si>
  <si>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</si>
  <si>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</si>
  <si>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</si>
  <si>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</si>
  <si>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</si>
  <si>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</si>
  <si>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</si>
  <si>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</si>
  <si>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</si>
  <si>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</si>
  <si>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</si>
  <si>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</si>
  <si>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</si>
  <si>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</si>
  <si>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</si>
  <si>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</si>
  <si>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</si>
  <si>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</si>
  <si>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</si>
  <si>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</si>
  <si>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</si>
  <si>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</si>
  <si>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</si>
  <si>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</si>
  <si>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</si>
  <si>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</si>
  <si>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</si>
  <si>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</si>
  <si>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</si>
  <si>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</si>
  <si>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</si>
  <si>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</si>
  <si>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</si>
  <si>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</si>
  <si>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</si>
  <si>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</si>
  <si>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</si>
  <si>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</si>
  <si>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</si>
  <si>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</si>
  <si>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</si>
  <si>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</si>
  <si>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</si>
  <si>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</si>
  <si>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</si>
  <si>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</si>
  <si>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</si>
  <si>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</si>
  <si>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</si>
  <si>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</si>
  <si>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</si>
  <si>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</si>
  <si>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</si>
  <si>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</si>
  <si>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</si>
  <si>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</si>
  <si>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</si>
  <si>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</si>
  <si>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</si>
  <si>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</si>
  <si>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</si>
  <si>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</si>
  <si>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</si>
  <si>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</si>
  <si>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</si>
  <si>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</si>
  <si>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</si>
  <si>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</si>
  <si>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</si>
  <si>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</si>
  <si>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</si>
  <si>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</si>
  <si>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</si>
  <si>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</si>
  <si>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</si>
  <si>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</si>
  <si>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</si>
  <si>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</si>
  <si>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</si>
  <si>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</si>
  <si>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</si>
  <si>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</si>
  <si>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</si>
  <si>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</si>
  <si>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</si>
  <si>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</si>
  <si>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</si>
  <si>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</si>
  <si>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</si>
  <si>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</si>
  <si>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</si>
  <si>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</si>
  <si>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</si>
  <si>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</si>
  <si>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</si>
  <si>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</si>
  <si>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</si>
  <si>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</si>
  <si>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</si>
  <si>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</si>
  <si>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</si>
  <si>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</si>
  <si>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</si>
  <si>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</si>
  <si>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</si>
  <si>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</si>
  <si>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</si>
  <si>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</si>
  <si>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</si>
  <si>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</si>
  <si>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</si>
  <si>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</si>
  <si>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</si>
  <si>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</si>
  <si>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</si>
  <si>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</si>
  <si>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</si>
  <si>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</si>
  <si>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</si>
  <si>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</si>
  <si>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</si>
  <si>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</si>
  <si>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</si>
  <si>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</si>
  <si>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</si>
  <si>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</si>
  <si>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</si>
  <si>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</si>
  <si>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</si>
  <si>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</si>
  <si>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</si>
  <si>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</si>
  <si>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</si>
  <si>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</si>
  <si>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</si>
  <si>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</si>
  <si>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</si>
  <si>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</si>
  <si>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</si>
  <si>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</si>
  <si>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</si>
  <si>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</si>
  <si>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</si>
  <si>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</si>
  <si>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</si>
  <si>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</si>
  <si>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</si>
  <si>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</si>
  <si>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</si>
  <si>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</si>
  <si>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</si>
  <si>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</si>
  <si>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</si>
  <si>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</si>
  <si>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</si>
  <si>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</si>
  <si>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</si>
  <si>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</si>
  <si>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</si>
  <si>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</si>
  <si>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</si>
  <si>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</si>
  <si>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</si>
  <si>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</si>
  <si>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</si>
  <si>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</si>
  <si>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</si>
  <si>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</si>
  <si>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</si>
  <si>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</si>
  <si>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</si>
  <si>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</si>
  <si>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</si>
  <si>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</si>
  <si>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</si>
  <si>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</si>
  <si>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</si>
  <si>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</si>
  <si>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</si>
  <si>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</si>
  <si>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</si>
  <si>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</si>
  <si>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</si>
  <si>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</si>
  <si>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</si>
  <si>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</si>
  <si>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</si>
  <si>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</si>
  <si>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</si>
  <si>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</si>
  <si>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</si>
  <si>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</si>
  <si>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</si>
  <si>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</si>
  <si>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</si>
  <si>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</si>
  <si>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</si>
  <si>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</si>
  <si>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</si>
  <si>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</si>
  <si>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</si>
  <si>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</si>
  <si>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</si>
  <si>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</si>
  <si>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</si>
  <si>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</si>
  <si>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</si>
  <si>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</si>
  <si>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</si>
  <si>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</si>
  <si>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</si>
  <si>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</si>
  <si>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</si>
  <si>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</si>
  <si>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</si>
  <si>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</si>
  <si>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</si>
  <si>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</si>
  <si>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</si>
  <si>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</si>
  <si>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</si>
  <si>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</si>
  <si>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</si>
  <si>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</si>
  <si>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</si>
  <si>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</si>
  <si>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</si>
  <si>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</si>
  <si>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</si>
  <si>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</si>
  <si>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</si>
  <si>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</si>
  <si>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</si>
  <si>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</si>
  <si>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</si>
  <si>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</si>
  <si>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</si>
  <si>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</si>
  <si>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</si>
  <si>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</si>
  <si>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</si>
  <si>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</si>
  <si>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</si>
  <si>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</si>
  <si>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</si>
  <si>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</si>
  <si>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</si>
  <si>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</si>
  <si>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</si>
  <si>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</si>
  <si>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</si>
  <si>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</si>
  <si>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</si>
  <si>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</si>
  <si>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</si>
  <si>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</si>
  <si>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</si>
  <si>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</si>
  <si>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</si>
  <si>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</si>
  <si>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</si>
  <si>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</si>
  <si>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</si>
  <si>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</si>
  <si>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</si>
  <si>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</si>
  <si>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</si>
  <si>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</si>
  <si>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</si>
  <si>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</si>
  <si>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</si>
  <si>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</si>
  <si>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</si>
  <si>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</si>
  <si>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</si>
  <si>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</si>
  <si>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</si>
  <si>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</si>
  <si>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</si>
  <si>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</si>
  <si>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</si>
  <si>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</si>
  <si>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</si>
  <si>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</si>
  <si>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</si>
  <si>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</si>
  <si>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</si>
  <si>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</si>
  <si>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</si>
  <si>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</si>
  <si>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</si>
  <si>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</si>
  <si>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</si>
  <si>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</si>
  <si>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</si>
  <si>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</si>
  <si>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</si>
  <si>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</si>
  <si>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</si>
  <si>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</si>
  <si>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</si>
  <si>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</si>
  <si>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</si>
  <si>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</si>
  <si>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</si>
  <si>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</si>
  <si>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</si>
  <si>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</si>
  <si>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</si>
  <si>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</si>
  <si>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</si>
  <si>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</si>
  <si>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</si>
  <si>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</si>
  <si>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</si>
  <si>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</si>
  <si>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</si>
  <si>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</si>
  <si>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</si>
  <si>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</si>
  <si>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</si>
  <si>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</si>
  <si>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</si>
  <si>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</si>
  <si>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</si>
  <si>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</si>
  <si>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</si>
  <si>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</si>
  <si>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</si>
  <si>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</si>
  <si>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</si>
  <si>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</si>
  <si>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</si>
  <si>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</si>
  <si>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</si>
  <si>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</si>
  <si>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</si>
  <si>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</si>
  <si>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</si>
  <si>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</si>
  <si>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</si>
  <si>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</si>
  <si>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</si>
  <si>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</si>
  <si>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</si>
  <si>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</si>
  <si>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</si>
  <si>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</si>
  <si>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</si>
  <si>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</si>
  <si>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</si>
  <si>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</si>
  <si>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</si>
  <si>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</si>
  <si>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</si>
  <si>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</si>
  <si>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</si>
  <si>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</si>
  <si>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</si>
  <si>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</si>
  <si>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</si>
  <si>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</si>
  <si>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</si>
  <si>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</si>
  <si>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</si>
  <si>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</si>
  <si>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</si>
  <si>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</si>
  <si>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</si>
  <si>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</si>
  <si>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</si>
  <si>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</si>
  <si>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</si>
  <si>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</si>
  <si>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</si>
  <si>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</si>
  <si>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</si>
  <si>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</si>
  <si>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</si>
  <si>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</si>
  <si>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</si>
  <si>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</si>
  <si>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</si>
  <si>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</si>
  <si>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</si>
  <si>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</si>
  <si>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</si>
  <si>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</si>
  <si>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</si>
  <si>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</si>
  <si>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</si>
  <si>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</si>
  <si>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</si>
  <si>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</si>
  <si>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</si>
  <si>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</si>
  <si>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</si>
  <si>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</si>
  <si>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</si>
  <si>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</si>
  <si>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</si>
  <si>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</si>
  <si>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</si>
  <si>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</si>
  <si>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</si>
  <si>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</si>
  <si>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</si>
  <si>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</si>
  <si>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</si>
  <si>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</si>
  <si>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</si>
  <si>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</si>
  <si>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</si>
  <si>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</si>
  <si>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</si>
  <si>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</si>
  <si>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</si>
  <si>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</si>
  <si>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</si>
  <si>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</si>
  <si>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</si>
  <si>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</si>
  <si>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</si>
  <si>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</si>
  <si>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</si>
  <si>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</si>
  <si>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</si>
  <si>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</si>
  <si>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</si>
  <si>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</si>
  <si>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</si>
  <si>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</si>
  <si>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</si>
  <si>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</si>
  <si>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</si>
  <si>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</si>
  <si>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</si>
  <si>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</si>
  <si>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</si>
  <si>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</si>
  <si>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</si>
  <si>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</si>
  <si>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</si>
  <si>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</si>
  <si>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</si>
  <si>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</si>
  <si>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</si>
  <si>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</si>
  <si>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</si>
  <si>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</si>
  <si>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</si>
  <si>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</si>
  <si>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</si>
  <si>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</si>
  <si>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</si>
  <si>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</si>
  <si>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</si>
  <si>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</si>
  <si>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</si>
  <si>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</si>
  <si>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</si>
  <si>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</si>
  <si>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</si>
  <si>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</si>
  <si>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</si>
  <si>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</si>
  <si>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</si>
  <si>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</si>
  <si>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</si>
  <si>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</si>
  <si>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</si>
  <si>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</si>
  <si>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</si>
  <si>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</si>
  <si>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</si>
  <si>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</si>
  <si>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</si>
  <si>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</si>
  <si>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</si>
  <si>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</si>
  <si>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</si>
  <si>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</si>
  <si>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</si>
  <si>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</si>
  <si>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</si>
  <si>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</si>
  <si>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</si>
  <si>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</si>
  <si>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</si>
  <si>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</si>
  <si>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</si>
  <si>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</si>
  <si>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</si>
  <si>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</si>
  <si>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</si>
  <si>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</si>
  <si>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</si>
  <si>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</si>
  <si>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</si>
  <si>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</si>
  <si>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</si>
  <si>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</si>
  <si>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</si>
  <si>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</si>
  <si>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</si>
  <si>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</si>
  <si>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</si>
  <si>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</si>
  <si>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</si>
  <si>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</si>
  <si>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</si>
  <si>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</si>
  <si>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</si>
  <si>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</si>
  <si>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</si>
  <si>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</si>
  <si>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</si>
  <si>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</si>
  <si>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</si>
  <si>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</si>
  <si>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</si>
  <si>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</si>
  <si>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</si>
  <si>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</si>
  <si>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</si>
  <si>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</si>
  <si>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</si>
  <si>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</si>
  <si>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</si>
  <si>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</si>
  <si>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</si>
  <si>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</si>
  <si>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</si>
  <si>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</si>
  <si>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</si>
  <si>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</si>
  <si>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</si>
  <si>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</si>
  <si>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</si>
  <si>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</si>
  <si>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</si>
  <si>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</si>
  <si>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</si>
  <si>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</si>
  <si>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</si>
  <si>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</si>
  <si>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</si>
  <si>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</si>
  <si>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</si>
  <si>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</si>
  <si>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</si>
  <si>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</si>
  <si>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</si>
  <si>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</si>
  <si>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</si>
  <si>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</si>
  <si>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</si>
  <si>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</si>
  <si>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</si>
  <si>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</si>
  <si>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</si>
  <si>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</si>
  <si>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</si>
  <si>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</si>
  <si>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</si>
  <si>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</si>
  <si>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</si>
  <si>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</si>
  <si>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</si>
  <si>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</si>
  <si>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</si>
  <si>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</si>
  <si>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</si>
  <si>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</si>
  <si>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</si>
  <si>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</si>
  <si>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</si>
  <si>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</si>
  <si>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</si>
  <si>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</si>
  <si>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</si>
  <si>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</si>
  <si>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</si>
  <si>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</si>
  <si>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</si>
  <si>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</si>
  <si>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</si>
  <si>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</si>
  <si>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</si>
  <si>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</si>
  <si>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</si>
  <si>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</si>
  <si>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</si>
  <si>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</si>
  <si>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</si>
  <si>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</si>
  <si>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</si>
  <si>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</si>
  <si>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</si>
  <si>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</si>
  <si>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</si>
  <si>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</si>
  <si>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</si>
  <si>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</si>
  <si>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</si>
  <si>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</si>
  <si>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</si>
  <si>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</si>
  <si>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</si>
  <si>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</si>
  <si>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</si>
  <si>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</si>
  <si>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</si>
  <si>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</si>
  <si>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</si>
  <si>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</si>
  <si>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</si>
  <si>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</si>
  <si>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</si>
  <si>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</si>
  <si>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</si>
  <si>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</si>
  <si>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</si>
  <si>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</si>
  <si>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</si>
  <si>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</si>
  <si>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</si>
  <si>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</si>
  <si>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</si>
  <si>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</si>
  <si>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</si>
  <si>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</si>
  <si>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</si>
  <si>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</si>
  <si>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</si>
  <si>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</si>
  <si>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</si>
  <si>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</si>
  <si>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</si>
  <si>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</si>
  <si>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</si>
  <si>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</si>
  <si>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</si>
  <si>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</si>
  <si>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</si>
  <si>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</si>
  <si>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</si>
  <si>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</si>
  <si>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</si>
  <si>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</si>
  <si>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</si>
  <si>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</si>
  <si>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</si>
  <si>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</si>
  <si>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</si>
  <si>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</si>
  <si>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</si>
  <si>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</si>
  <si>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</si>
  <si>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</si>
  <si>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</si>
  <si>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</si>
  <si>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</si>
  <si>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</si>
  <si>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</si>
  <si>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</si>
  <si>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</si>
  <si>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</si>
  <si>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</si>
  <si>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</si>
  <si>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</si>
  <si>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</si>
  <si>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</si>
  <si>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</si>
  <si>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</si>
  <si>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</si>
  <si>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</si>
  <si>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</si>
  <si>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</si>
  <si>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</si>
  <si>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</si>
  <si>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</si>
  <si>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</si>
  <si>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</si>
  <si>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</si>
  <si>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</si>
  <si>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</si>
  <si>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</si>
  <si>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</si>
  <si>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</si>
  <si>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</si>
  <si>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</si>
  <si>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</si>
  <si>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</si>
  <si>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</si>
  <si>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</si>
  <si>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</si>
  <si>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</si>
  <si>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</si>
  <si>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</si>
  <si>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</si>
  <si>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</si>
  <si>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</si>
  <si>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</si>
  <si>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</si>
  <si>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</si>
  <si>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</si>
  <si>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</si>
  <si>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</si>
  <si>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</si>
  <si>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</si>
  <si>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</si>
  <si>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</si>
  <si>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</si>
  <si>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</si>
  <si>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</si>
  <si>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</si>
  <si>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</si>
  <si>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</si>
  <si>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</si>
  <si>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</si>
  <si>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</si>
  <si>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</si>
  <si>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</si>
  <si>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</si>
  <si>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</si>
  <si>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</si>
  <si>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</si>
  <si>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</si>
  <si>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</si>
  <si>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</si>
  <si>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</si>
  <si>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</si>
  <si>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</si>
  <si>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</si>
  <si>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</si>
  <si>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</si>
  <si>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</si>
  <si>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</si>
  <si>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</si>
  <si>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</si>
  <si>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</si>
  <si>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</si>
  <si>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</si>
  <si>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</si>
  <si>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</si>
  <si>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</si>
  <si>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</si>
  <si>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</si>
  <si>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</si>
  <si>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</si>
  <si>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</si>
  <si>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</si>
  <si>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</si>
  <si>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</si>
  <si>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</si>
  <si>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</si>
  <si>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</si>
  <si>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</si>
  <si>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 sourceUri = ##34#http://hl7.eu/fhir/ig/idea4rc/StructureDefinition/Subject##34#</t>
  </si>
  <si>
    <t>* targetUri = ##34#http://hl7.eu/fhir/ig/idea4rc/StructureDefinition/Osiris##34#</t>
  </si>
  <si>
    <t>* group[0].source = ##34#http://hl7.eu/fhir/ig/idea4rc/StructureDefinition/Subject##34#</t>
  </si>
  <si>
    <t>* group[=].target = ##34#http://hl7.eu/fhir/ig/idea4rc/StructureDefinition/Osiris##34#</t>
  </si>
  <si>
    <t>subject-to-osiris-map.fsh</t>
  </si>
  <si>
    <t>Instance: ConceptMapSubject2Osiris</t>
  </si>
  <si>
    <t>* url = ##34#http://terminology.hl7.it/ConceptMap/ConceptMap-subject2osiris##34#</t>
  </si>
  <si>
    <t>* name = ##34#Subject2Osiris##34#</t>
  </si>
  <si>
    <t>* title = ##34#IDEA4RC Subject model to Osiris mapping##34#</t>
  </si>
  <si>
    <t>* description = ##334#IDEA4RC Subject model to Osiris mapping##334#</t>
  </si>
  <si>
    <t>* purpose = ##34#It shows how the IDEA4RC subject model is mapped into Osiris##34#</t>
  </si>
  <si>
    <r>
      <rPr>
        <sz val="11"/>
        <color theme="1"/>
        <rFont val="&quot;Arial Narrow&quot;"/>
      </rPr>
      <t xml:space="preserve">This instrument includes information about the tumor at diagnosis. Cancer under study indicates the cancer that is being entered in the registry.
Rows colored </t>
    </r>
    <r>
      <rPr>
        <sz val="11"/>
        <color rgb="FFCC0000"/>
        <rFont val="&quot;Arial Narrow&quot;"/>
      </rPr>
      <t xml:space="preserve">red </t>
    </r>
    <r>
      <rPr>
        <sz val="11"/>
        <color theme="1"/>
        <rFont val="&quot;Arial Narrow&quot;"/>
      </rPr>
      <t xml:space="preserve">mean they might not be needed.
Rows colored in </t>
    </r>
    <r>
      <rPr>
        <sz val="11"/>
        <color rgb="FFF1C232"/>
        <rFont val="&quot;Arial Narrow&quot;"/>
      </rPr>
      <t>yellow</t>
    </r>
    <r>
      <rPr>
        <sz val="11"/>
        <color theme="1"/>
        <rFont val="&quot;Arial Narrow&quot;"/>
      </rPr>
      <t xml:space="preserve"> mean they do not belong to the DataModel but to a specific center use case.</t>
    </r>
  </si>
  <si>
    <t>Variable Name (EURACAN file)</t>
  </si>
  <si>
    <t xml:space="preserve">ObjectProperty	</t>
  </si>
  <si>
    <t xml:space="preserve">DataElementConcept        </t>
  </si>
  <si>
    <t xml:space="preserve">ObjectPropertyLabelEN        </t>
  </si>
  <si>
    <t xml:space="preserve">FormatConceptualDomain        </t>
  </si>
  <si>
    <t>ConventionEN</t>
  </si>
  <si>
    <t>ExpectedValue</t>
  </si>
  <si>
    <t>Example</t>
  </si>
  <si>
    <t>Map to</t>
  </si>
  <si>
    <t>Date of diagnosis (biopsy or surgical piece)</t>
  </si>
  <si>
    <t>CUS (Cancer under study)</t>
  </si>
  <si>
    <t>Date of diagnosis</t>
  </si>
  <si>
    <t>Date of the procedure from which the specimen was obtained that allowed the histological diagnosis.</t>
  </si>
  <si>
    <t>Must be formatted as YYYY-MM-DD. Leave empty if not known. Optional rule : Possible date anonymisation by
setting the 15th of every month i.e.: YYYY-MM-15. If the month is not known, we set it to June (06).</t>
  </si>
  <si>
    <t>Date (indicating the 15th day of the
birth month for anonymization)</t>
  </si>
  <si>
    <t>Date of diagnosis (day unknown)</t>
  </si>
  <si>
    <t>Biopsy done by</t>
  </si>
  <si>
    <t>BiopsyDoneBy</t>
  </si>
  <si>
    <t>Age at diagnosis manual</t>
  </si>
  <si>
    <t>AgeAtDiagnosis</t>
  </si>
  <si>
    <t>Age at diagnosis</t>
  </si>
  <si>
    <t>Age of the patient at the time of the diagnosis.</t>
  </si>
  <si>
    <t xml:space="preserve">Integer </t>
  </si>
  <si>
    <t>required if date of diagnosis known</t>
  </si>
  <si>
    <t>An integer value &gt; 0. We use the -1 value for unknown. Automatic  calculation from date of birth and date of diagnosis.</t>
  </si>
  <si>
    <t>Whole number greater than 0</t>
  </si>
  <si>
    <t>Histology (WHO 2017) group</t>
  </si>
  <si>
    <t>HistologyGroup</t>
  </si>
  <si>
    <t>Histology of prymary tumour  according to WHO 2017 clasification.</t>
  </si>
  <si>
    <t>A value in the WHO 2017 H&amp;N classification list.</t>
  </si>
  <si>
    <r>
      <rPr>
        <u/>
        <sz val="10"/>
        <color rgb="FF1155CC"/>
        <rFont val="Arial Narrow"/>
        <family val="2"/>
      </rPr>
      <t xml:space="preserve">WHO 2017 H&amp;N Classification
</t>
    </r>
    <r>
      <rPr>
        <sz val="10"/>
        <color rgb="FF000000"/>
        <rFont val="Arial Narrow"/>
        <family val="2"/>
      </rPr>
      <t xml:space="preserve">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r>
  </si>
  <si>
    <t>Squamous</t>
  </si>
  <si>
    <t>ICD-O</t>
  </si>
  <si>
    <t>Histology (WHO 2017) subgroup</t>
  </si>
  <si>
    <t>Histology subgroup Squamous</t>
  </si>
  <si>
    <t>HistologySquamous</t>
  </si>
  <si>
    <t>Histology Squamous</t>
  </si>
  <si>
    <t>Specifies the histological subgroup for squamous cancers</t>
  </si>
  <si>
    <t>A value in the WHO 2017 H&amp;N squamous classification list.</t>
  </si>
  <si>
    <r>
      <rPr>
        <u/>
        <sz val="10"/>
        <color rgb="FF1155CC"/>
        <rFont val="Arial Narrow"/>
        <family val="2"/>
      </rPr>
      <t xml:space="preserve">WHO 2017 H&amp;N Classification
</t>
    </r>
    <r>
      <rPr>
        <sz val="10"/>
        <rFont val="Arial Narrow"/>
        <family val="2"/>
      </rPr>
      <t xml:space="preserve">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r>
  </si>
  <si>
    <t>Histology subgroup Adenocarcinoma</t>
  </si>
  <si>
    <t>HistologyAdenocarcinoma</t>
  </si>
  <si>
    <t>Histology Adenocarcinoma</t>
  </si>
  <si>
    <t>Specifies the histological subgroup for adenocarcinomas</t>
  </si>
  <si>
    <t>A value in the WHO 2017 H&amp;N adenocarcinoma classification list.</t>
  </si>
  <si>
    <r>
      <rPr>
        <u/>
        <sz val="10"/>
        <color rgb="FF1155CC"/>
        <rFont val="Arial Narrow"/>
        <family val="2"/>
      </rPr>
      <t xml:space="preserve">WHO 2017 H&amp;N Classification
</t>
    </r>
    <r>
      <rPr>
        <sz val="10"/>
        <rFont val="Arial Narrow"/>
        <family val="2"/>
      </rPr>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r>
  </si>
  <si>
    <t>Histology subgroup Neuroendocrine</t>
  </si>
  <si>
    <t>HistologyNeuroendocrine</t>
  </si>
  <si>
    <t>Histology Neuroendocrine</t>
  </si>
  <si>
    <t xml:space="preserve">Specifies the histological subgroup for neuroendocrine cancers </t>
  </si>
  <si>
    <t>A value in the WHO 2017 H&amp;N neuroendocrine classification list.</t>
  </si>
  <si>
    <r>
      <rPr>
        <u/>
        <sz val="10"/>
        <color rgb="FF1155CC"/>
        <rFont val="Arial Narrow"/>
        <family val="2"/>
      </rPr>
      <t xml:space="preserve">WHO 2017 H&amp;N Classification
</t>
    </r>
    <r>
      <rPr>
        <sz val="10"/>
        <rFont val="Arial Narrow"/>
        <family val="2"/>
      </rPr>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r>
  </si>
  <si>
    <t>Histology subgroup Odontogenic carcinoma</t>
  </si>
  <si>
    <t>HistologyOdontogenicCarcinoma</t>
  </si>
  <si>
    <t>Histology Odontogenic Carcinoma</t>
  </si>
  <si>
    <t>Specifies the histological subgroup for odontogenic carcinomas</t>
  </si>
  <si>
    <t>A value in the WHO 2017 H&amp;N odontogenic carcinoma classification list.</t>
  </si>
  <si>
    <r>
      <rPr>
        <u/>
        <sz val="10"/>
        <color rgb="FF1155CC"/>
        <rFont val="Arial Narrow"/>
        <family val="2"/>
      </rPr>
      <t xml:space="preserve">WHO 2017 H&amp;N Classification
</t>
    </r>
    <r>
      <rPr>
        <sz val="10"/>
        <rFont val="Arial Narrow"/>
        <family val="2"/>
      </rPr>
      <t>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r>
  </si>
  <si>
    <t>Histology subgroup Sinonasal undifferentiated carcinoma (SNUC)</t>
  </si>
  <si>
    <t>HistologySNUC</t>
  </si>
  <si>
    <t>Histology Sinonasal undifferentiated carcinoma</t>
  </si>
  <si>
    <t>Specifies the histological subgroup for sinonasl undifferentiated carcinomas</t>
  </si>
  <si>
    <t>A value in the WHO 2017 H&amp;N SNUC classification list.</t>
  </si>
  <si>
    <r>
      <rPr>
        <u/>
        <sz val="10"/>
        <color rgb="FF1155CC"/>
        <rFont val="Arial Narrow"/>
        <family val="2"/>
      </rPr>
      <t xml:space="preserve">WHO 2017 H&amp;N Classification
</t>
    </r>
    <r>
      <rPr>
        <sz val="10"/>
        <rFont val="Arial Narrow"/>
        <family val="2"/>
      </rPr>
      <t>SMARCB1 (INI-1)-deficient Sinonasal undifferentiated Carcinoma;Sinonasal SMARCA4 deficient carcinoma;IDH2-mutated sinonasal undifferentiated neoplasm</t>
    </r>
  </si>
  <si>
    <t>Site  rare (AJCC)</t>
  </si>
  <si>
    <t>SiteRare</t>
  </si>
  <si>
    <t>Site Rare</t>
  </si>
  <si>
    <t>Describe the primary tumor site, according to AJCC .</t>
  </si>
  <si>
    <t>A value in the AJCC Cancer Staging Manual 8th site list</t>
  </si>
  <si>
    <r>
      <rPr>
        <u/>
        <sz val="10"/>
        <color rgb="FF1155CC"/>
        <rFont val="Arial Narrow"/>
        <family val="2"/>
      </rPr>
      <t xml:space="preserve">AJCC 8th Edition Cancer Staging Manual
</t>
    </r>
    <r>
      <rPr>
        <sz val="10"/>
        <color rgb="FF000000"/>
        <rFont val="Arial Narrow"/>
        <family val="2"/>
      </rPr>
      <t xml:space="preserve">nasal cavity and paranasal sinuses; nasopharynx;  parotid gland; submandibular gland; sublingual gland; middle ear; </t>
    </r>
  </si>
  <si>
    <r>
      <rPr>
        <u/>
        <sz val="10"/>
        <color rgb="FF1155CC"/>
        <rFont val="Arial"/>
        <family val="2"/>
      </rPr>
      <t xml:space="preserve">AJCC TNM Staging Systems
</t>
    </r>
    <r>
      <rPr>
        <sz val="10"/>
        <color rgb="FF000000"/>
        <rFont val="Arial"/>
        <family val="2"/>
      </rPr>
      <t>Based on SNOMED</t>
    </r>
  </si>
  <si>
    <t>Site common and rare (AJCC)</t>
  </si>
  <si>
    <t>SiteCommonAndRare</t>
  </si>
  <si>
    <t>Site common and rare</t>
  </si>
  <si>
    <r>
      <rPr>
        <u/>
        <sz val="10"/>
        <color rgb="FF1155CC"/>
        <rFont val="Arial Narrow"/>
        <family val="2"/>
      </rPr>
      <t xml:space="preserve">AJCC 8th Edition Cancer Staging Manual
</t>
    </r>
    <r>
      <rPr>
        <sz val="10"/>
        <rFont val="Arial Narrow"/>
        <family val="2"/>
      </rPr>
      <t xml:space="preserve">nasal cavity and paranasal sinuses; nasopharynx; parotid gland; submandibular gland; sublingual gland; middle ear; hypopharynx ; oropharynx; larynx; oral cavity ; lip </t>
    </r>
  </si>
  <si>
    <t>Subsite</t>
  </si>
  <si>
    <t>Nasal cavity and paranasal sinuses subsite</t>
  </si>
  <si>
    <t>Site</t>
  </si>
  <si>
    <t>Specifies the subsite for cancers occurred in nasal cavity and paranasal sinusess</t>
  </si>
  <si>
    <t>A string value in the AJCC Cancer Staging Manual 8th subsite list</t>
  </si>
  <si>
    <r>
      <rPr>
        <u/>
        <sz val="10"/>
        <color rgb="FF1155CC"/>
        <rFont val="Arial Narrow"/>
        <family val="2"/>
      </rPr>
      <t xml:space="preserve">AJCC 8th Edition Cancer Staging Manual
</t>
    </r>
    <r>
      <rPr>
        <sz val="10"/>
        <rFont val="Arial Narrow"/>
        <family val="2"/>
      </rPr>
      <t>Nasal cavity;Maxillary sinus;Ethmoid sinus;Frontal sinus;Sphenoid sinus</t>
    </r>
  </si>
  <si>
    <r>
      <t xml:space="preserve">e.g.
</t>
    </r>
    <r>
      <rPr>
        <u/>
        <sz val="10"/>
        <color rgb="FF1155CC"/>
        <rFont val="Arial"/>
        <family val="2"/>
      </rPr>
      <t>https://browser.ihtsdotools.org/?perspective=full&amp;conceptId1=371480007&amp;edition=MAIN/2022-12-31&amp;release=&amp;languages=en</t>
    </r>
  </si>
  <si>
    <t>Nasopharynx  subsite</t>
  </si>
  <si>
    <t>Specifies the subsite for cancers occurred in nasopharynx</t>
  </si>
  <si>
    <r>
      <rPr>
        <u/>
        <sz val="10"/>
        <color rgb="FF1155CC"/>
        <rFont val="&quot;Arial Narrow&quot;"/>
      </rPr>
      <t xml:space="preserve">AJCC 8th Edition Cancer Staging Manual
</t>
    </r>
    <r>
      <rPr>
        <sz val="10"/>
        <rFont val="&quot;Arial Narrow&quot;"/>
      </rPr>
      <t xml:space="preserve">
Superior wall of nasopharynx;Posterior wall of nasopharynx;Lateral wall of nasopharynx;Anterior wall of nasopharynx</t>
    </r>
  </si>
  <si>
    <t>Hypopharynx subsite</t>
  </si>
  <si>
    <t>Specifies the subsite for cancers occurred in hypopharynx</t>
  </si>
  <si>
    <r>
      <rPr>
        <u/>
        <sz val="10"/>
        <color rgb="FF1155CC"/>
        <rFont val="&quot;Arial Narrow&quot;"/>
      </rPr>
      <t>AJCC 8th Edition Cancer Staging Manual</t>
    </r>
    <r>
      <rPr>
        <sz val="10"/>
        <rFont val="&quot;Arial Narrow&quot;"/>
      </rPr>
      <t xml:space="preserve">
Postcricoid region; Hypopharyngeal aspect of aryepiglottic fold;
Posterior wall of hypopharynx;Pyriform sinus
</t>
    </r>
  </si>
  <si>
    <t>Oropharynx subsite</t>
  </si>
  <si>
    <t>Specifies the subsite for cancers occurred in oropharynx</t>
  </si>
  <si>
    <r>
      <rPr>
        <u/>
        <sz val="10"/>
        <color rgb="FF1155CC"/>
        <rFont val="&quot;Arial Narrow&quot;"/>
      </rPr>
      <t xml:space="preserve">https://link.springer.com/book/9783319406176
</t>
    </r>
    <r>
      <rPr>
        <sz val="10"/>
        <rFont val="&quot;Arial Narrow&quot;"/>
      </rPr>
      <t>Base of tongue, NOS;
Soft palate NOS (excludes Nasopharyngcal surface C11.3);
Uvula;
Tonsillar fossa;
Lingual tonsil;
Tonsillar pillar;
Vallecula;
Anterior surface of epiglottis;
Lateral wall oropharynx;
Posterior wall oropharynx;
Branchial cleft (site of neoplosm);</t>
    </r>
  </si>
  <si>
    <t>Larynx subsite</t>
  </si>
  <si>
    <t>Specifies the subsite for cancers occurred in larynx</t>
  </si>
  <si>
    <r>
      <rPr>
        <u/>
        <sz val="10"/>
        <color rgb="FF1155CC"/>
        <rFont val="&quot;Arial Narrow&quot;"/>
      </rPr>
      <t>AJCC 8th Edition Cancer Staging Manual</t>
    </r>
    <r>
      <rPr>
        <sz val="10"/>
        <rFont val="&quot;Arial Narrow&quot;"/>
      </rPr>
      <t xml:space="preserve">
Glottis;Supraglottis;Subglottis;Laryngeal cartilage
</t>
    </r>
  </si>
  <si>
    <t>Oral cavity subsite</t>
  </si>
  <si>
    <t>Specifies the subsite for cancers occurred in oral cavity</t>
  </si>
  <si>
    <t>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t>
  </si>
  <si>
    <t>Lip subsite</t>
  </si>
  <si>
    <t>Specifies the subsite for cancers occurred in lip</t>
  </si>
  <si>
    <t>AJCC 8th Edition Cancer Staging Manual
External lower lip;External upper lip;External lip, NOS;Mucosa of upper lip;Mucosa of lower lip;Mucosa of lip, NOS;Commissure of lip</t>
  </si>
  <si>
    <t>Plasmatic EBV DNA at baseline</t>
  </si>
  <si>
    <t xml:space="preserve">Describes the result of EBV DNA plasma testing before treatment in NPC type II and III (WHO) </t>
  </si>
  <si>
    <t>A string value representing whether the test value was positive, negative or it was untested. Empty if unknown.</t>
  </si>
  <si>
    <t xml:space="preserve"> Positive; Negative; not tested;</t>
  </si>
  <si>
    <t>Primer type</t>
  </si>
  <si>
    <t xml:space="preserve">Describes the primer used for EBV DNA plasma testing t in NPC type II and Type III (WHO) </t>
  </si>
  <si>
    <t>A string value representing the plasma testing type. Empty if unknown</t>
  </si>
  <si>
    <t xml:space="preserve"> Bamh1; Other; unknown. </t>
  </si>
  <si>
    <t>Other( please specify)</t>
  </si>
  <si>
    <t>Copy number of EBVDNA</t>
  </si>
  <si>
    <t>An integer for the number of EBVDNA. Empty if unknown</t>
  </si>
  <si>
    <t>HPV status</t>
  </si>
  <si>
    <t xml:space="preserve">Describes the result of HPV tumor testing in oral carcinoma </t>
  </si>
  <si>
    <t>A string value representing whether the result was positive, negative or not tested. Empty if unknown.</t>
  </si>
  <si>
    <t xml:space="preserve"> Positive; Negative; Not tested;</t>
  </si>
  <si>
    <t>HPV status detected by</t>
  </si>
  <si>
    <t>HPV status detecection</t>
  </si>
  <si>
    <t>Describes the technique used for HPV tumour testing in orall carcinoma</t>
  </si>
  <si>
    <t>A string value representing which was the used technique. Empty if unknown.</t>
  </si>
  <si>
    <t xml:space="preserve"> FISH; PCR; </t>
  </si>
  <si>
    <t>p16</t>
  </si>
  <si>
    <t>Describes the result of p16 tumour testing in oral carcinoma</t>
  </si>
  <si>
    <t>Positive; Negative; Not tested;</t>
  </si>
  <si>
    <t>PD-L1</t>
  </si>
  <si>
    <t>Describes the result of PDL tumour testing in oral carcinoma</t>
  </si>
  <si>
    <t>Positive; Negative;Not tested;</t>
  </si>
  <si>
    <t>PD-L1 Method</t>
  </si>
  <si>
    <t>Describes the technique used for PDL tumour testing in oral carcinoma</t>
  </si>
  <si>
    <t>TPS ; CPS ; None;</t>
  </si>
  <si>
    <t>PD-L1 CPS value</t>
  </si>
  <si>
    <t>PD-L1 CPS</t>
  </si>
  <si>
    <t>Result of PDL1CPS testing, when performed</t>
  </si>
  <si>
    <t>An integer for the PDL1CPS test. Empty if unknown.</t>
  </si>
  <si>
    <t>PD-L1 TPS value</t>
  </si>
  <si>
    <t>PD-L1 TPS</t>
  </si>
  <si>
    <t>Result of PDL1TPS testing, when performed</t>
  </si>
  <si>
    <t>An integer for the PDL1TPS test. Empty if unknown.</t>
  </si>
  <si>
    <t xml:space="preserve">CRP – C reactive protein tested </t>
  </si>
  <si>
    <t>Describes the result of C reactive protein testing</t>
  </si>
  <si>
    <t>C reactive protein - CRP (mg/dl)</t>
  </si>
  <si>
    <t>Result of CRP testing, when performed</t>
  </si>
  <si>
    <t>An integer for the CRP test. Empty if unknown.</t>
  </si>
  <si>
    <t>Instrument status</t>
  </si>
  <si>
    <t>Boolean</t>
  </si>
  <si>
    <t>A boolean for the instrument if it was fully compiled or not.</t>
  </si>
  <si>
    <t>diagnosisDate</t>
  </si>
  <si>
    <t>ageAtDiagnosis</t>
  </si>
  <si>
    <t>integer</t>
  </si>
  <si>
    <t>siteRare</t>
  </si>
  <si>
    <t>siteCommonAndRare</t>
  </si>
  <si>
    <t>histologyGroup</t>
  </si>
  <si>
    <t>Cancer Under Study</t>
  </si>
  <si>
    <t>I4RCCancerUnderStudy2Fhir</t>
  </si>
  <si>
    <t>TBD</t>
  </si>
  <si>
    <t>i4rc-cancerUnderStudy.fsh</t>
  </si>
  <si>
    <t>CancerUnderStudyI4rc</t>
  </si>
  <si>
    <t>CancerUnderStudy</t>
  </si>
  <si>
    <t>Comment</t>
  </si>
  <si>
    <t>//  Comments</t>
  </si>
  <si>
    <t>//===================================================</t>
  </si>
  <si>
    <t>//--------------------------------------------------------------------------------</t>
  </si>
  <si>
    <t>i4rc-cancerUnderStudy-test.fsh</t>
  </si>
  <si>
    <t>CancerUnderStudyI4rcTest</t>
  </si>
  <si>
    <t>Date of diagnosis biopsy or surgical piece</t>
  </si>
  <si>
    <t>Date of the procedure from which the specimen was obtained that allowed the histological diagnosis</t>
  </si>
  <si>
    <t>Age of the patient at the time of the diagnosis</t>
  </si>
  <si>
    <t>Histology WHO 2017 group</t>
  </si>
  <si>
    <t>Histology of prymary tumour  according to WHO 2017 clasification</t>
  </si>
  <si>
    <t>Histology WHO 2017 subgroup</t>
  </si>
  <si>
    <t>Histology subgroup Sinonasal undifferentiated carcinoma SNUC</t>
  </si>
  <si>
    <t>Site  rare AJCC</t>
  </si>
  <si>
    <t xml:space="preserve">Describe the primary tumor site according to AJCC </t>
  </si>
  <si>
    <t>Site common and rare AJCC</t>
  </si>
  <si>
    <t xml:space="preserve">Describes the result of EBV DNA plasma testing before treatment in NPC type II and III WHO </t>
  </si>
  <si>
    <t xml:space="preserve">Describes the primer used for EBV DNA plasma testing t in NPC type II and Type III WHO </t>
  </si>
  <si>
    <t>PDL1</t>
  </si>
  <si>
    <t>PDL1 Method</t>
  </si>
  <si>
    <t>PDL1 CPS value</t>
  </si>
  <si>
    <t>Result of PDL1CPS testing when performed</t>
  </si>
  <si>
    <t>PDL1 TPS value</t>
  </si>
  <si>
    <t>Result of PDL1TPS testing when performed</t>
  </si>
  <si>
    <t xml:space="preserve">CRP  C reactive protein tested </t>
  </si>
  <si>
    <t>C reactive protein  CRP mgdl</t>
  </si>
  <si>
    <t>Result of CRP testing when performed</t>
  </si>
  <si>
    <t>Must be formatted as YYYYMMDD Leave empty if not known Optional rule  Possible date anonymisation by
setting the 15th of every month ie YYYYMM15 If the month is not known we set it to June 06</t>
  </si>
  <si>
    <t>An integer value  0 We use the 1 value for unknown Automatic  calculation from date of birth and date of diagnosis</t>
  </si>
  <si>
    <t>A value in the WHO 2017 HN classification list</t>
  </si>
  <si>
    <t>A value in the WHO 2017 HN squamous classification list</t>
  </si>
  <si>
    <t>A value in the WHO 2017 HN adenocarcinoma classification list</t>
  </si>
  <si>
    <t>A value in the WHO 2017 HN neuroendocrine classification list</t>
  </si>
  <si>
    <t>A value in the WHO 2017 HN odontogenic carcinoma classification list</t>
  </si>
  <si>
    <t>A value in the WHO 2017 HN SNUC classification list</t>
  </si>
  <si>
    <t>A string value representing whether the test value was positive negative or it was untested Empty if unknown</t>
  </si>
  <si>
    <t>A string value representing the plasma testing type Empty if unknown</t>
  </si>
  <si>
    <t>An integer for the number of EBVDNA Empty if unknown</t>
  </si>
  <si>
    <t>A string value representing whether the result was positive negative or not tested Empty if unknown</t>
  </si>
  <si>
    <t>A string value representing which was the used technique Empty if unknown</t>
  </si>
  <si>
    <t>An integer for the PDL1CPS test Empty if unknown</t>
  </si>
  <si>
    <t>An integer for the PDL1TPS test Empty if unknown</t>
  </si>
  <si>
    <t>An integer for the CRP test Empty if unknown</t>
  </si>
  <si>
    <t>A boolean for the instrument if it was fully compiled or not</t>
  </si>
  <si>
    <t>Cancer Under Study
Maturity Level: 0 Draft</t>
  </si>
  <si>
    <t>histologyWho2017Subgroup</t>
  </si>
  <si>
    <t>histologyWho2017Subgroup.Squamous</t>
  </si>
  <si>
    <t>histologyWho2017Subgroup.Adenocarcinoma</t>
  </si>
  <si>
    <t>histologyWho2017Subgroup.Neuroendocrine</t>
  </si>
  <si>
    <t>histologyWho2017Subgroup.OdontogenicCarcinoma</t>
  </si>
  <si>
    <t>histologyWho2017Subgroup.SNUC</t>
  </si>
  <si>
    <t>subsite</t>
  </si>
  <si>
    <t>subsite.nasalCavityAndParanasalSinusesSubsite</t>
  </si>
  <si>
    <t>subsite.nasopharynxSubsite</t>
  </si>
  <si>
    <t>subsite.hypopharynxSubsite</t>
  </si>
  <si>
    <t>subsite.oropharynxSubsite</t>
  </si>
  <si>
    <t>subsite.larynxSubsite</t>
  </si>
  <si>
    <t>subsite.oralCavitySubsite</t>
  </si>
  <si>
    <t>subsite.lipSubsite</t>
  </si>
  <si>
    <t>plasmaticEbvDnaAtBaseline</t>
  </si>
  <si>
    <t>primerType</t>
  </si>
  <si>
    <t>copyNumber</t>
  </si>
  <si>
    <t>hpvStatus</t>
  </si>
  <si>
    <t>hpvStatusDetectedBy</t>
  </si>
  <si>
    <t>pdL1</t>
  </si>
  <si>
    <t>pdL1Method</t>
  </si>
  <si>
    <t>pdL1CpsValue</t>
  </si>
  <si>
    <t>pdL1TpsValue</t>
  </si>
  <si>
    <t>crpCReactiveProteinTested</t>
  </si>
  <si>
    <t>cReactiveProteinCrpMgDl</t>
  </si>
  <si>
    <t>instrumentStatus</t>
  </si>
  <si>
    <t>StagingI4rc</t>
  </si>
  <si>
    <t>Staging</t>
  </si>
  <si>
    <t>Staging
Maturity Level: 0 Draft</t>
  </si>
  <si>
    <t>stagingProceduresDoneBy</t>
  </si>
  <si>
    <t>Staging procedures done by</t>
  </si>
  <si>
    <t>imagingPerformed</t>
  </si>
  <si>
    <t>Imaging for primary site</t>
  </si>
  <si>
    <t>Imaging study for primary site</t>
  </si>
  <si>
    <t>Whether any imaging study for primary site  was performed or not</t>
  </si>
  <si>
    <t>A boolean value 1 if it was performed 0 if not empty if unknown</t>
  </si>
  <si>
    <t>imagingPerformed.cTPerformed</t>
  </si>
  <si>
    <t>CT</t>
  </si>
  <si>
    <t>Whether Computed Tomography  for primary site was performed or not and when it was performed if contrast was used</t>
  </si>
  <si>
    <t>A string value whether it was performed with contrast without contrast it was not performed or it is unknown</t>
  </si>
  <si>
    <t>imagingPerformed.mRIPerformed</t>
  </si>
  <si>
    <t>MRI</t>
  </si>
  <si>
    <t>Describes wherther Magnetic Resonance for primary site was performed or not and when it was performed if contrast was used</t>
  </si>
  <si>
    <t>imagingPerformed.uSPerformed</t>
  </si>
  <si>
    <t>US</t>
  </si>
  <si>
    <t>Describes whether Ultrasound Scan for primary site was performed or not</t>
  </si>
  <si>
    <t>imagingPerformed.fDGPETPerformed</t>
  </si>
  <si>
    <t>FDG PET</t>
  </si>
  <si>
    <t>Describes whether a  fluorodeoxyglucose positron emission tomography for primary site was performed or not</t>
  </si>
  <si>
    <t>imagingPerformed.pETwithothertracersPerformed</t>
  </si>
  <si>
    <t>PET with other tracers</t>
  </si>
  <si>
    <t>Describes whether a  positron emission tomography using other tracers for primary site was performed or not</t>
  </si>
  <si>
    <t>imagingPerformed.opticaldigitalmethodsegnarrowbandimagingPerformed</t>
  </si>
  <si>
    <t>Optical digital methods eg narrowband imaging</t>
  </si>
  <si>
    <t>Describes whether a optical digital diagnostic method for primary site was performed or not</t>
  </si>
  <si>
    <t>imagingPerformed.cTPETPerformed</t>
  </si>
  <si>
    <t>CTPET</t>
  </si>
  <si>
    <t>Describes whether a  computed tomography with positron emission tomography for primary site was performed or not</t>
  </si>
  <si>
    <t>imagingPerformed.unknownPerformed</t>
  </si>
  <si>
    <t>Unknown</t>
  </si>
  <si>
    <t>Describes whether an imaging was performed but the information about the type of imaging was not available</t>
  </si>
  <si>
    <t>imagingPerformed.otherimagingforprimarysitePerformed</t>
  </si>
  <si>
    <t>Other imaging for primary site</t>
  </si>
  <si>
    <t>Any other diagnostic imaging method performed for staging the primary tumor should be included here</t>
  </si>
  <si>
    <t>imagingforneckPerformed</t>
  </si>
  <si>
    <t>Imaging for neck</t>
  </si>
  <si>
    <t>Imaging study for the neck</t>
  </si>
  <si>
    <t>imagingforneckPerformed.flag</t>
  </si>
  <si>
    <t>Whether any imaging study for the neck was performed or not</t>
  </si>
  <si>
    <t>imagingforneckPerformed.cTPerformed</t>
  </si>
  <si>
    <t>whether Computed Tomography  for the neck was performed or not and when it was performed if contrast was used</t>
  </si>
  <si>
    <t>imagingforneckPerformed.mRIPerformed</t>
  </si>
  <si>
    <t>Describes whether Magnetic Resonance for the neck was performed or not and when it was performed if contrast was used</t>
  </si>
  <si>
    <t>imagingforneckPerformed.uSPerformed</t>
  </si>
  <si>
    <t>Describes whether Ultrasound Scan for the neck was performed or not</t>
  </si>
  <si>
    <t>imagingforneckPerformed.fDGPETPerformed</t>
  </si>
  <si>
    <t>Describes whether a  fluorodeoxyglucose positron emission tomography for the neck was performed or not</t>
  </si>
  <si>
    <t>imagingforneckPerformed.pETwithothertracersPerformed</t>
  </si>
  <si>
    <t>Describes whether a  positron emission tomography using other tracers for the neck was performed or not</t>
  </si>
  <si>
    <t>imagingforneckPerformed.cTPETPerformed</t>
  </si>
  <si>
    <t>Describes whether a  computed tomography with positron emission tomography for the neck was performed or not</t>
  </si>
  <si>
    <t>imagingforneckPerformed.unknownPerformed</t>
  </si>
  <si>
    <t>Describes whether an imaging on neck was performed but the information about the type of imaging was not available</t>
  </si>
  <si>
    <t>imagingforneckPerformed.otherimagingforneckPerformed</t>
  </si>
  <si>
    <t>Other imaging for neck</t>
  </si>
  <si>
    <t>Any other diagnostic imaging method performed for staging the neck should be included here</t>
  </si>
  <si>
    <t>imagingformetastasisPerformed</t>
  </si>
  <si>
    <t xml:space="preserve">Imaging for metastasis </t>
  </si>
  <si>
    <t>Imaging study for metastasis</t>
  </si>
  <si>
    <t>imagingformetastasisPerformed.imagingformetastasisPerformed</t>
  </si>
  <si>
    <t>Wherther any imaging study for metastasis was performed or not</t>
  </si>
  <si>
    <t>imagingformetastasisPerformed.cTPerformed</t>
  </si>
  <si>
    <t>whether Computed Tomography  for metatasis was performed or not and when it was performed if contrast was used</t>
  </si>
  <si>
    <t>imagingformetastasisPerformed.mRIPerformed</t>
  </si>
  <si>
    <t>Describes whether Magnetic Resonanc for metastasis was performed or not and when it was performed if contrast was used</t>
  </si>
  <si>
    <t>imagingformetastasisPerformed.uSPerformed</t>
  </si>
  <si>
    <t>Describes whether Ultrasound Scan for metastasis was performed or not</t>
  </si>
  <si>
    <t>imagingformetastasisPerformed.fDGPETPerformed</t>
  </si>
  <si>
    <t>Describes whether a  fluorodeoxyglucose positron emission tomography for metastasis was performed or not</t>
  </si>
  <si>
    <t>imagingformetastasisPerformed.pETwithothertracersPerformed</t>
  </si>
  <si>
    <t>Describes whether a  positron emission tomography using other tracers for metastasis was performed or not</t>
  </si>
  <si>
    <t>imagingformetastasisPerformed.cTPETPerformed</t>
  </si>
  <si>
    <t>imagingformetastasisPerformed.unknownPerformed</t>
  </si>
  <si>
    <t>Describes whether an imaging for metastasis was performed but the information about the type of imaging was not available</t>
  </si>
  <si>
    <t>imagingformetastasisPerformed.otherimagingformetastaticdiseasePerformed</t>
  </si>
  <si>
    <t>Other imaging for metastatic disease</t>
  </si>
  <si>
    <t>Any other diagnostic imaging method performed for staging metastasis should be included here</t>
  </si>
  <si>
    <t>clinicalStage</t>
  </si>
  <si>
    <t>Clinical  stage</t>
  </si>
  <si>
    <t>clinicalStage.ct</t>
  </si>
  <si>
    <t>cT</t>
  </si>
  <si>
    <t>Specifies the clinical T</t>
  </si>
  <si>
    <t>A string value for the clinical T Unknown if empty</t>
  </si>
  <si>
    <t>clinicalStage.cn</t>
  </si>
  <si>
    <t>cN</t>
  </si>
  <si>
    <t>Specifies the clinical N</t>
  </si>
  <si>
    <t>A string value for the clinical N Unknown if empty</t>
  </si>
  <si>
    <t>clinicalStage.radiologicalExtraNodalExtensionRene</t>
  </si>
  <si>
    <t>Radiological Extranodal extension rENE</t>
  </si>
  <si>
    <t>Describes the presence or absence of radiological signs of extracapsular extension as defined in the AJCC 8th Ed</t>
  </si>
  <si>
    <t>A string value for the rENE Unknown if empty</t>
  </si>
  <si>
    <t>clinicalStage.cm</t>
  </si>
  <si>
    <t>cM</t>
  </si>
  <si>
    <t>Specifies the clinical M</t>
  </si>
  <si>
    <t>A string value for the clinical M Unknown if empty</t>
  </si>
  <si>
    <t>clinicalStage.clinicalStaging</t>
  </si>
  <si>
    <t>Clinical staging</t>
  </si>
  <si>
    <t>Specifies the clinical TNM</t>
  </si>
  <si>
    <t>A string value for the clinical TNM Unknown if empty</t>
  </si>
  <si>
    <t>clinicalStage.ajccEdition</t>
  </si>
  <si>
    <t>Ajcc edition</t>
  </si>
  <si>
    <t>Describe the edition of the AJCC used for staging</t>
  </si>
  <si>
    <t>A string value for the used AJCC edition manual</t>
  </si>
  <si>
    <t>clinicalStage.nan</t>
  </si>
  <si>
    <t>M site</t>
  </si>
  <si>
    <t>Describes site of metastasic disease at the time of initial diagnosis or assesed before treatment More than one choice is allowed</t>
  </si>
  <si>
    <t>metastasisSite</t>
  </si>
  <si>
    <t>Site of Metastasis</t>
  </si>
  <si>
    <t>metastasisSite.softTissue</t>
  </si>
  <si>
    <t>Soft tissue</t>
  </si>
  <si>
    <t>Describes if site of metastasic disease  is soft tissue</t>
  </si>
  <si>
    <t>metastasisSite.distantLymphNode</t>
  </si>
  <si>
    <t>distant lymph node</t>
  </si>
  <si>
    <t>Describes if site of metastasic disease  is dystan lymph node</t>
  </si>
  <si>
    <t>metastasisSite.lung</t>
  </si>
  <si>
    <t>lung</t>
  </si>
  <si>
    <t>Describes if site of metastasic disease  is lung</t>
  </si>
  <si>
    <t>metastasisSite.bone</t>
  </si>
  <si>
    <t>bone</t>
  </si>
  <si>
    <t>Describes if site of metastasic disease  is bone</t>
  </si>
  <si>
    <t>metastasisSite.liver</t>
  </si>
  <si>
    <t>liver</t>
  </si>
  <si>
    <t>Describes if site of metastasic disease  is liver</t>
  </si>
  <si>
    <t>metastasisSite.pleura</t>
  </si>
  <si>
    <t>pleura</t>
  </si>
  <si>
    <t>Describes if site of metastasic disease  is pleura</t>
  </si>
  <si>
    <t>metastasisSite.peritoneum</t>
  </si>
  <si>
    <t>peritoneum</t>
  </si>
  <si>
    <t>Describes if site of metastasic disease  is peritoneum</t>
  </si>
  <si>
    <t>metastasisSite.brain</t>
  </si>
  <si>
    <t>brain</t>
  </si>
  <si>
    <t>Describes if site of metastasic disease  is brain</t>
  </si>
  <si>
    <t>metastasisSite.otherViscera</t>
  </si>
  <si>
    <t>other viscera</t>
  </si>
  <si>
    <t>Describes if site of metastasic disease  is other viscera</t>
  </si>
  <si>
    <t>metastasisSite.unknown</t>
  </si>
  <si>
    <t>unknown</t>
  </si>
  <si>
    <t>Describes if site of metastasic disease  is unknown</t>
  </si>
  <si>
    <t>clinicalStagingDefinedBy</t>
  </si>
  <si>
    <t>Clinical staging defined by</t>
  </si>
  <si>
    <t>Describes the institution where initial clinical staging of the disease was defined</t>
  </si>
  <si>
    <t>pathologicalStage</t>
  </si>
  <si>
    <t>Pathological stage</t>
  </si>
  <si>
    <t>pathologicalStage.pt</t>
  </si>
  <si>
    <t>pT</t>
  </si>
  <si>
    <t>Specifies the pathological T</t>
  </si>
  <si>
    <t>A string value from pathological T</t>
  </si>
  <si>
    <t>pathologicalStage.pn</t>
  </si>
  <si>
    <t>pN</t>
  </si>
  <si>
    <t>Specifies the pathological N</t>
  </si>
  <si>
    <t>A string value from pathological N</t>
  </si>
  <si>
    <t>extranodalExtensionEne</t>
  </si>
  <si>
    <t>Extranodal extension ENE</t>
  </si>
  <si>
    <t>Describes whether capsular extension is present by histopathologic examination or not</t>
  </si>
  <si>
    <t>A string value for the extranodal extension</t>
  </si>
  <si>
    <t>extranodalExtent</t>
  </si>
  <si>
    <t>Extranodal Extent</t>
  </si>
  <si>
    <t>Describes extent of extranodal extension This number must be explicitly referred to in the pathological report otherwise it is unknown</t>
  </si>
  <si>
    <t>A number describing the extent of the extranodal extension</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</si>
  <si>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</si>
  <si>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</si>
  <si>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</si>
  <si>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A string describing the category applied to the margin after surgery</t>
  </si>
  <si>
    <t>marginsAfterSurgeryIf5Mm</t>
  </si>
  <si>
    <t>Margins after surgery if 5mm</t>
  </si>
  <si>
    <t>Measurement in mm of the margin closest to the resection if any of the margins is less than 5 millimeters from it</t>
  </si>
  <si>
    <t>A number describing the margin closest to the resection</t>
  </si>
  <si>
    <t>sentinelNode</t>
  </si>
  <si>
    <t>Sentinel node</t>
  </si>
  <si>
    <t>Describes whether a sentinel node procedure was performed or not Sentinel lymph node biopsy is considered a diagnostic procedure therefore per se the neck is not considered to have been treated if it does not lead to a neck dissection</t>
  </si>
  <si>
    <t>A string describing whether a sentinel node procedure was performed</t>
  </si>
  <si>
    <t>neckDissection</t>
  </si>
  <si>
    <t>Neck dissection</t>
  </si>
  <si>
    <t>Describes whether a protocoled and standardized en block resection of lymphatic tissue is performed or not</t>
  </si>
  <si>
    <t>A string describing whether a protocoled and standardized en block resection of lymphatic tissue was performed</t>
  </si>
  <si>
    <t>numberOfLymphNodesRemovedRightSide</t>
  </si>
  <si>
    <t>Number of lymph nodes removed right side</t>
  </si>
  <si>
    <t>Refers to the total number of lymph nodes resected in the right side of the neck This number must be explicitly referred to in the pathological report otherwise it is unknown</t>
  </si>
  <si>
    <t>Number of right side lymph nodes removed</t>
  </si>
  <si>
    <t>numberOfPositiveLymphNodesRightSide</t>
  </si>
  <si>
    <t>Number of positive lymph nodes right side</t>
  </si>
  <si>
    <t>Refers to the total number of positive lymph nodes resected in the right side of the neck This number must be explicitly referred to in the pathological report otherwise it is unknown</t>
  </si>
  <si>
    <t>Number of positive right side lymph nodes removed</t>
  </si>
  <si>
    <t>lnrRightLymphNodeRatio</t>
  </si>
  <si>
    <t>LNR right Lymph node ratio</t>
  </si>
  <si>
    <t>Automatically calculated from the right results</t>
  </si>
  <si>
    <t>Ratio of right side removed lymph nodes</t>
  </si>
  <si>
    <t>numberOfLymphNodesRemovedLeftSide</t>
  </si>
  <si>
    <t>Number of lymph nodes removed left side</t>
  </si>
  <si>
    <t>Refers to the total number of lymph nodes resected in the left side of the neck This number must be explicitly referred to in the pathological report otherwise it is unknown</t>
  </si>
  <si>
    <t>Number of left side lymph nodes removed</t>
  </si>
  <si>
    <t>numberOfPositiveLymphNodesLeftSide</t>
  </si>
  <si>
    <t>Number of positive lymph nodes left side</t>
  </si>
  <si>
    <t>Refers to the total number of positive lymph nodes resected in the left side of the neck This number must be explicitly referred to in the pathological report otherwise it is unknown</t>
  </si>
  <si>
    <t>Number of positive left side lymph nodes removed</t>
  </si>
  <si>
    <t>lnrLeftLymphNodeRatio</t>
  </si>
  <si>
    <t>LNR left Lymph node ratio</t>
  </si>
  <si>
    <t>Automatically calculated from left results</t>
  </si>
  <si>
    <t>Ratio of left side removed lymph nodes</t>
  </si>
  <si>
    <t>lymphovascularSpaceInvasionLvsi</t>
  </si>
  <si>
    <t>Lymphovascular space invasion LVSI</t>
  </si>
  <si>
    <t>Describes a pathologic phenomenon in which tumor cells invade an endotheliumlinedspace of vascular or lymphatic vessels without underlying muscular walls Pathological report must include whether it is present or not otherwise it is Unknown</t>
  </si>
  <si>
    <t>A string describing whether a Lymphovascular space invasion LVSI happened</t>
  </si>
  <si>
    <t>perineuralInvasionPni</t>
  </si>
  <si>
    <t>Perineural invasion PNI</t>
  </si>
  <si>
    <t>Describes a histologic finding of tumor cell infiltration of the nerves Pathological report must include whether it is present or not otherwise it is Unknown</t>
  </si>
  <si>
    <t>A string describing whether a perineural invasion happened</t>
  </si>
  <si>
    <t>pm</t>
  </si>
  <si>
    <t>pM</t>
  </si>
  <si>
    <t>Specifies the pathological M</t>
  </si>
  <si>
    <t>A string describing the pathological M</t>
  </si>
  <si>
    <t>pathologicalStaging</t>
  </si>
  <si>
    <t>Pathological staging</t>
  </si>
  <si>
    <t>Specifies the pathological staging</t>
  </si>
  <si>
    <t>A string describing the pathological staging</t>
  </si>
  <si>
    <t>ajccEdition</t>
  </si>
  <si>
    <t>mSite</t>
  </si>
  <si>
    <t>softTissue</t>
  </si>
  <si>
    <t>Soft Tissue</t>
  </si>
  <si>
    <t>distantLymphNode</t>
  </si>
  <si>
    <t>otherViscera</t>
  </si>
  <si>
    <t>msite</t>
  </si>
  <si>
    <t>M SITE</t>
  </si>
  <si>
    <t>Specifices the M SITE</t>
  </si>
  <si>
    <t>A string or list of string describing where is the metastatic disease</t>
  </si>
  <si>
    <t>pathologicalStagingDefinedBy</t>
  </si>
  <si>
    <t>Pathological staging defined by</t>
  </si>
  <si>
    <t>//  Logical Model - Comments</t>
  </si>
  <si>
    <t>i4rc-staging.fsh</t>
  </si>
  <si>
    <t>I4RCStaging2Fhir</t>
  </si>
  <si>
    <t>Idea4RC Staging model to FHIR R4 Map</t>
  </si>
  <si>
    <t>imagingPerformed.flag</t>
  </si>
  <si>
    <t>TreatmentI4rc</t>
  </si>
  <si>
    <t>Treatment
Maturity Level: 0 Draft</t>
  </si>
  <si>
    <t xml:space="preserve">Surgery </t>
  </si>
  <si>
    <t>Surgery performed</t>
  </si>
  <si>
    <t>Whether or not a surgical procedure was performed and whether it was performed at the registering hospital or another hospital Diagnostic procedures biopsy are not included</t>
  </si>
  <si>
    <t>A string value representing if and where was the surgery performed</t>
  </si>
  <si>
    <t>Date of tumour surgery</t>
  </si>
  <si>
    <t>Date of the surgery for primary tumor with or without neck surgery</t>
  </si>
  <si>
    <t>Surgery intention</t>
  </si>
  <si>
    <t>The intention of the perfromed surgery Palliative surgery performed with the intent of improving quality of life or relieving symptoms caused by advanced disease
Curative surgery performed with the intend of oncologic cure regardless of its result R0  R1R2</t>
  </si>
  <si>
    <t>A string value whether the surgery was performed with palliative or curative intentions of it was unknown</t>
  </si>
  <si>
    <t>Tumor surgery approach</t>
  </si>
  <si>
    <t>Describes the approach to tumor resection whether it includes skin incision extenal or open   or it s aproached through a natural orifice Transnasaltransorbitaltransoral or if the approach combines two or more of the previous ones</t>
  </si>
  <si>
    <t>A string value to describe the used approach</t>
  </si>
  <si>
    <t>Tumor surgery device</t>
  </si>
  <si>
    <t>Describes  the device used LASER  Robot</t>
  </si>
  <si>
    <t>A string value to specify the used device</t>
  </si>
  <si>
    <t>Surgical procedure</t>
  </si>
  <si>
    <t>Describes the procedure performed</t>
  </si>
  <si>
    <t>Surgical procedure Nasopharynx</t>
  </si>
  <si>
    <t>Describes the procedure performed to resect tumor from nasopharynx any kind of tumor removal either open or endoscopic Diagnostic biopsy is not included</t>
  </si>
  <si>
    <t>A string value to specify the used procedure for the nasopharynx tumour</t>
  </si>
  <si>
    <t>Surgical Procedure Nasal Cavity And Paranasal Sinus</t>
  </si>
  <si>
    <t>Describes the procedure performed to resect tumor from  nasal cavity and paranasal sinus</t>
  </si>
  <si>
    <t>A string value to specify the procedure for the nasal cavity and paranasal sinus tumour</t>
  </si>
  <si>
    <t>Surgical Procedure Salivary Gland</t>
  </si>
  <si>
    <t xml:space="preserve">Describes the procedure performed on salivary glands </t>
  </si>
  <si>
    <t>A string value to specify the procedure for the salivary glands tumour</t>
  </si>
  <si>
    <t>Surgical procedure Ear</t>
  </si>
  <si>
    <t>Describes the procedure performed onear and temporal bone</t>
  </si>
  <si>
    <t>A string value to specify the procedure for the ear</t>
  </si>
  <si>
    <t>Surgical procedure  Lip</t>
  </si>
  <si>
    <t>Describes the procedure performed on the lip</t>
  </si>
  <si>
    <t>A string value to specify the procedure for the lip tumour</t>
  </si>
  <si>
    <t>Surgical procedure Oral cavity</t>
  </si>
  <si>
    <t>Describes the procedure performed on the oral cavity</t>
  </si>
  <si>
    <t>A string value to specify the procedure for the oral cavity tumour</t>
  </si>
  <si>
    <t>Surgical procedure mandibulectomy</t>
  </si>
  <si>
    <t>Describes the procedure performed on the mandible</t>
  </si>
  <si>
    <t>A string value to specify the procedure for the mandibule tumour</t>
  </si>
  <si>
    <t>Surgical procedure Oropharynx</t>
  </si>
  <si>
    <t>Describes the procedure performed on the oropharynx cavity 
Lateral Oropharyngectomy LO Types were described by De Virgilio in 2019 See references
Transoral Base Of Tongue TOBOT Resection Types were described by De Virgilio in 2021 See references</t>
  </si>
  <si>
    <t>A string value to specify the procedure for the oropharynx tumour</t>
  </si>
  <si>
    <t>Surgical procedure Hypopharynx</t>
  </si>
  <si>
    <t>Describes the procedure performed on the hypopharynx</t>
  </si>
  <si>
    <t>A string value to specify the procedure for the hypopharynx tumour</t>
  </si>
  <si>
    <t>Surgical procedure Larynx</t>
  </si>
  <si>
    <t>Laryngo fissure and cordectomy is a procololized procedure to remove tumors from the vocal cords through an incision in the skin and a vertical section of the thyroid cartilage
Vertical hemilaryngectomy is a protocoled procedure Please see references
TLM cordectomies were defined by Remacle et al in  2007 please see references
TSL were defined by Remacle et al in 2009 please see references
OPHL were defined by Succo et al in 2014 please see references
Neartotal laryngectomy refers to procolized procedures that remove the entire larynx except for some elements arytenoids  to improve speech production but the patient requires a permanent stoma to breathe
Total laryngectomy is a protocoled procedure to remove all laryngeal tissue and results in a permanent stoma</t>
  </si>
  <si>
    <t>A string value to specify the procedure for the larynx tumour</t>
  </si>
  <si>
    <t>Reconstruction</t>
  </si>
  <si>
    <t>Reconstruction procedure that was performed after tomor removal to restore either shape or function</t>
  </si>
  <si>
    <t>Describes whether a reconstruction procedure was performed after tomor removal to restore either shape or function</t>
  </si>
  <si>
    <t>A string value to specify whether a reconstruction procedure was performed</t>
  </si>
  <si>
    <t>Reconstruction Type</t>
  </si>
  <si>
    <t xml:space="preserve">Describes type of grft or flap used for the reconstruction Combined flaps is used when two or more pedicle andor microvascular flap is used for reconstruction simultaneously Otherwise the most complex flaps used must be choosen 
</t>
  </si>
  <si>
    <t>A string value to describe the type of graft or flap used for the reconstruction</t>
  </si>
  <si>
    <t>First Flap used for reconstruction</t>
  </si>
  <si>
    <t>Describes the flap used for reconstrucion when only one flap was used When two or more flaps has been used the most complex or advanced one must be choosen If the procedure performed is not defined and protocoled the most appropriate one will be chosen from the list of options</t>
  </si>
  <si>
    <t>A string value to describe the first and only if so flap used for reconstruction</t>
  </si>
  <si>
    <t>Second Flap used for reconstruction</t>
  </si>
  <si>
    <t>Describes the secind flap used for reconstruction when more than one flap was used When more than two flaps has been used the most complex or advanced one must be choosen</t>
  </si>
  <si>
    <t>A string value to describe the second flap used for reconstruction</t>
  </si>
  <si>
    <t>Neck surgery</t>
  </si>
  <si>
    <t xml:space="preserve">Describes whether a surgical procedure to treat and address the neck was performed or not </t>
  </si>
  <si>
    <t>A string value to describe whether a surgical procedure for the neck was performed</t>
  </si>
  <si>
    <t>Date of neck surgery  if different from date of tumor site surgery</t>
  </si>
  <si>
    <t xml:space="preserve">Date of the surgery for the neck when it was performed after tumor resection </t>
  </si>
  <si>
    <t>Date of neck surgery day unknown</t>
  </si>
  <si>
    <t>Describes if the day of neck surgery is unknwon</t>
  </si>
  <si>
    <t>Node picking</t>
  </si>
  <si>
    <t>Describes whether a nonprotocoled and nonstandardized resection of more than one lymph node is performed or not</t>
  </si>
  <si>
    <t>String describing whether a nonprotocoled and nonstandardized resection of more than one lymph node is performed or not</t>
  </si>
  <si>
    <t>String describing whether a protocoled and standardized en block resection of lymphatic tissue is performed or not</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</si>
  <si>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</si>
  <si>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</si>
  <si>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String describing the laterality of the neck surgical procedure</t>
  </si>
  <si>
    <t>Surgical procedure right neck</t>
  </si>
  <si>
    <t xml:space="preserve">Describes surgical procedure performed to treat the right neck if applies  
Neck Dissection clasification is described according to the Consensus published by Robbins et al in 2002 See references
Central Neck dissection includes all subtypes defined by Orloff in 2011 See reference
</t>
  </si>
  <si>
    <t>String describing the surgical procedure performed right</t>
  </si>
  <si>
    <t>Surgical procedure right neck levels dissected</t>
  </si>
  <si>
    <t>Multiple selection all lymphatic levels defined by the Consensus published by Robbins et al  in 2002 treated must be choosen</t>
  </si>
  <si>
    <t>String describing the lympathic levels</t>
  </si>
  <si>
    <t>Surgical procedure left neck</t>
  </si>
  <si>
    <t xml:space="preserve">Describes surgical procedure performed to treat the left neck if applies  
Neck Dissection clasification is described according to the Consensus published by Robbins et al in 2002 See references
Central Neck dissection includes all subtypes defined by Orloff in 2011 See reference </t>
  </si>
  <si>
    <t>String describing the surgical procedure performed left</t>
  </si>
  <si>
    <t>Surgical procedure left neck levels dissected</t>
  </si>
  <si>
    <t>Surgery on M</t>
  </si>
  <si>
    <t>Describes whether surgery is performed to treat the Metastasis</t>
  </si>
  <si>
    <t>A string describing whether the surgery on metastasis was performed or not</t>
  </si>
  <si>
    <t>Site of surgery on metastasis</t>
  </si>
  <si>
    <t>Site of surgery on metastasis soft tissue</t>
  </si>
  <si>
    <t>Describes if site of surgery on metastasis  is soft tissue</t>
  </si>
  <si>
    <t>Site of surgery on metastasis distant lymph nodes</t>
  </si>
  <si>
    <t>Describes if site of surgery on metastasis  is dystan lymph node</t>
  </si>
  <si>
    <t>Site of surgery on metastasis lung</t>
  </si>
  <si>
    <t>Describes if site of surgery on metastasis  is lung</t>
  </si>
  <si>
    <t>Site of surgery on metastasis bone</t>
  </si>
  <si>
    <t>Describes if site of surgery on metastasis  is bone</t>
  </si>
  <si>
    <t>Site of surgery on metastasis liver</t>
  </si>
  <si>
    <t>Describes if site of surgery on metastasis  is liver</t>
  </si>
  <si>
    <t>Site of surgery on metastasis pleura</t>
  </si>
  <si>
    <t>Describes if site of surgery on metastasis  is pleura</t>
  </si>
  <si>
    <t>Site of surgery on metastasis peritoneum</t>
  </si>
  <si>
    <t>Describes if site of surgery on metastasis  is peritoneum</t>
  </si>
  <si>
    <t>Site of surgery on metastasis brain</t>
  </si>
  <si>
    <t>Describes if site of surgery on metastasis  is brain</t>
  </si>
  <si>
    <t>Site of surgery on metastasis other viscera</t>
  </si>
  <si>
    <t>Describes if site of surgery on metastasis  is other viscera</t>
  </si>
  <si>
    <t>Site of surgery on metastasis unknown</t>
  </si>
  <si>
    <t>Describes if site of surgery on metastasis  is unknown</t>
  </si>
  <si>
    <t>Date of surgery on M  if different from date of tumor site surgery</t>
  </si>
  <si>
    <t>Date of the surgery on the metastasis</t>
  </si>
  <si>
    <t>A date</t>
  </si>
  <si>
    <t>Surgical complications ClavienDindo Classification please select the worst one</t>
  </si>
  <si>
    <t xml:space="preserve">Describes presence and grade of complications after a surgical procedure </t>
  </si>
  <si>
    <t>A string describing the presence and grade of complications after a surgical procedure Rank1</t>
  </si>
  <si>
    <t>Surgical complications ClavienDindo Classification 2 complications please select the 2 worst one</t>
  </si>
  <si>
    <t>A string describing the presence and grade of complications after a surgical procedure Rank2</t>
  </si>
  <si>
    <t>Unplanned surgery</t>
  </si>
  <si>
    <t>Describes whether an unplanned surgery was performed with radical intention after the first one that was not completed  inappropriate Please do not include here the surgery performed to treat a complication of the first intervention eg bleeding</t>
  </si>
  <si>
    <t xml:space="preserve">A  string describing whether an unplanned surgery was performed with radical intention after the first one that was not completed  inappropriate </t>
  </si>
  <si>
    <t>Date of unplanned surgery</t>
  </si>
  <si>
    <t>Date of the unplanned surgery</t>
  </si>
  <si>
    <t>Margins after unplanned surgery</t>
  </si>
  <si>
    <t>A  string describing the surgery margins after unplanned</t>
  </si>
  <si>
    <t>Unplanned neck surgery</t>
  </si>
  <si>
    <t xml:space="preserve">Describes whether an unplanned surgical procedure to treat and address the neck was performed or not </t>
  </si>
  <si>
    <t xml:space="preserve">A string describing whether an unplanned surgical procedure to treat and address the neck was performed or not </t>
  </si>
  <si>
    <t>Systemic Treament</t>
  </si>
  <si>
    <t xml:space="preserve">Systemic treatment performed </t>
  </si>
  <si>
    <t>Describes whether or not a systemic treatment ie chemotherapy target therapy immuntherapy was performed and whether it was performed at the registering hospital or another hospital</t>
  </si>
  <si>
    <t>Choose the single treatment</t>
  </si>
  <si>
    <t>Select the type of systemic treatment administered It is possible to directly select the single treatment as appropriate</t>
  </si>
  <si>
    <t>Intent</t>
  </si>
  <si>
    <t xml:space="preserve">Clarifies the reasons why systemic therapy is administered
 Curative chemotherapy is chemotherapy administered with the goal of achieving a complete remission and preventing the recurrence of cancer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</si>
  <si>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 xml:space="preserve">Setting </t>
  </si>
  <si>
    <t xml:space="preserve">clarifies the context  how the therapy was administered alone or in conjunction with other treatments
 Neoadjuvant treatment given as a first step to shrink a tumor before the main treatment which is usually surgery is given Examples of neoadjuvant therapy include chemotherapy radiation therapy and hormone therapy It is a type of induction therapy
 Adjuvant additional cancer treatment given after the primary treatment to lower the risk that the cancer will come back Adjuvant therapy may include chemotherapy radiation therapy hormone therapy targeted therapy or biological therapy
 Concomitantconcurrent A treatment that is given at the same time as another es Chemotherapy  radiotherapy
</t>
  </si>
  <si>
    <t>Start date systemic treatment</t>
  </si>
  <si>
    <t>Specifies when systemic treatment begins</t>
  </si>
  <si>
    <t>Start date systemic treatment  day unknown</t>
  </si>
  <si>
    <t>Describes if the day of start systemic treatment is unknwon</t>
  </si>
  <si>
    <t>End date systemic treatment</t>
  </si>
  <si>
    <t>Specifies when systemic treatment ends</t>
  </si>
  <si>
    <t>End date systemic treatment  day unknown</t>
  </si>
  <si>
    <t>Describes if the day of end of systemic treatment is unknwon</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</si>
  <si>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</si>
  <si>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</si>
  <si>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Regimen</t>
  </si>
  <si>
    <t>specifies the systemic treatment drug from a predefined list If one or more drugs used are not present in the predefined list add them in the Drug 1 Drug 2 Drug 3 variables You can add up to 3 drugs not included in the predefined list</t>
  </si>
  <si>
    <t>Drugs 1</t>
  </si>
  <si>
    <t>autosuggested functionality for realtime searching within biomedical ontologies</t>
  </si>
  <si>
    <t>Drugs 2</t>
  </si>
  <si>
    <t>Drugs 3</t>
  </si>
  <si>
    <t>Plasmatic EBV DNA during systemic treatment</t>
  </si>
  <si>
    <t>Describes the result of EBV DNA plasma testing during treatment in NPC type II and III WHO</t>
  </si>
  <si>
    <t>Describes the primer used for EBV DNA plasma testing duringin NPC type II and Type III WHO</t>
  </si>
  <si>
    <t>Copy number of EBVDNA in NPC</t>
  </si>
  <si>
    <t>Plasmatic EBV DNA after systemic treatment</t>
  </si>
  <si>
    <t>Describes the result of EBV DNA plasma testing after treatment in NPC type II and III WHO</t>
  </si>
  <si>
    <t>Describes the primer used for EBV DNA plasma testing after treatment in NPC type II and Type III WHO</t>
  </si>
  <si>
    <t>Reason for end of treatment</t>
  </si>
  <si>
    <t>Clarifies the reasons why the treatment ended or was interrupted</t>
  </si>
  <si>
    <t>Regimen changed</t>
  </si>
  <si>
    <t>Clarifies if the regimen drug changed after a toxicity or a patient intolerance</t>
  </si>
  <si>
    <t xml:space="preserve">Regimen </t>
  </si>
  <si>
    <t>Clarifies the drug that was administred after a toxicity or a patient intolerance that required to change the previous drug f one or more drugs used are not present in the predefined list add them in the Drug 1 Drug 2 Drug 3 variables You can add up to 3 drugs not included in the predefined list</t>
  </si>
  <si>
    <t>Other Drug1</t>
  </si>
  <si>
    <t>Specifies the drug if not present in the regimen list up to 3 selection</t>
  </si>
  <si>
    <t>Other Drug2</t>
  </si>
  <si>
    <t>Other Drug3</t>
  </si>
  <si>
    <t>Start date regimen changed</t>
  </si>
  <si>
    <t>specifies when the new systemic treatment begins if a combination please specify the start of the first drug</t>
  </si>
  <si>
    <t>Start date regimen changed  day unknown</t>
  </si>
  <si>
    <t>Describes if the day of the begining of the  new systemic treatment  is unknwon</t>
  </si>
  <si>
    <t>End date regimen changed</t>
  </si>
  <si>
    <t>specifies when the new  systemic treatment endsif a combination please specify the end of the last drug</t>
  </si>
  <si>
    <t>End  date regimen changed  day unknown</t>
  </si>
  <si>
    <t>Describes if the day of the end of the systemic treatment is unknwon</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</si>
  <si>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</si>
  <si>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</si>
  <si>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Treatment response defineddone</t>
  </si>
  <si>
    <t>Describes whether the treatment response was assessed at the registering hospital or another hospital</t>
  </si>
  <si>
    <t>Systemic treatment 2</t>
  </si>
  <si>
    <t>Specifies if another systemic treatment was performed</t>
  </si>
  <si>
    <t>Radiotherapy</t>
  </si>
  <si>
    <t>RadiotherapyWhere</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</si>
  <si>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</si>
  <si>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</si>
  <si>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</si>
  <si>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Postoperative Radiotherapy Indications</t>
  </si>
  <si>
    <t>Describes the reason for adjuvant or postoperative radiotherapy after surgical treatment Positive margins refer to margins positive at the inked surface</t>
  </si>
  <si>
    <t>Beam quality</t>
  </si>
  <si>
    <t>Describes the type of radiation therapy given If external beam please specify if delivered with Photons most common electrons carbon or protons</t>
  </si>
  <si>
    <t xml:space="preserve">Other specify </t>
  </si>
  <si>
    <t>Treatment technique</t>
  </si>
  <si>
    <t>Refers to the type of radiotherapy treatment delivered</t>
  </si>
  <si>
    <t>Other specify</t>
  </si>
  <si>
    <t>Boost type</t>
  </si>
  <si>
    <t>Refers to whether the boost dose given was done after the initial dose was delivered sequential or if the dose was delivered simultaneously with the initial dose</t>
  </si>
  <si>
    <t>Treatment Plan</t>
  </si>
  <si>
    <t>Refers to whether the plan is a single plan with multiple doses delivered during the same plan or if there is a sequential boost plan Finally if the radiotherapy was adapted or changed due to change in the patients tumor or anatomy this is referred to as adaptive planning</t>
  </si>
  <si>
    <t>Total Dose TD Gy</t>
  </si>
  <si>
    <t>Refers to the total dose delivered to the patient in Gy</t>
  </si>
  <si>
    <t>Quantity</t>
  </si>
  <si>
    <t>Fraction Size FS</t>
  </si>
  <si>
    <t>Refers to the Dose per fraction delivered to the patient</t>
  </si>
  <si>
    <t>Number of fractions</t>
  </si>
  <si>
    <t>Refers to the total number of fractions delivered to the patient</t>
  </si>
  <si>
    <t>Total High Dose Gy</t>
  </si>
  <si>
    <t>Refers to the highest dose delivered to the patient</t>
  </si>
  <si>
    <t>Total High DoseFraction</t>
  </si>
  <si>
    <t>Refers to the dose per fraction delivered to the patient in relation to the high dose  Calculated as the ratio of total high dose and numbers of fractions</t>
  </si>
  <si>
    <t>Total Intermediate Dose Gy</t>
  </si>
  <si>
    <t>Refers to the dose that was intermediate between the low and high dose and was delivered to the patients tumor This dose is typically referred to as the high risk microscopic disease dose</t>
  </si>
  <si>
    <t>Total Intermediate DoseFraction</t>
  </si>
  <si>
    <t>Refers to the dose per fraction delivered to the patient in relation to the intermediate dose  Calculated as the ratio of total intermediate dose and numbers of fractions</t>
  </si>
  <si>
    <t>Total Low Dose Gy</t>
  </si>
  <si>
    <t>The lowest dose prescribed to the patients tumor</t>
  </si>
  <si>
    <t>Total Low DoseFraction</t>
  </si>
  <si>
    <t>Refers to the dose per fraction delivered to the patient in relation to the low dose  Calculated as the ratio of total low dose and numbers of fractions</t>
  </si>
  <si>
    <t>Fractionation Pattern</t>
  </si>
  <si>
    <t>Refers to the pattern of how the radiation was delivered</t>
  </si>
  <si>
    <t>Altered Fractionation Scheme</t>
  </si>
  <si>
    <t>BID refers to radiotherapy delivered twice daily This could be either daily BID Daily or once weekly BID once weekly Other options are also available included 6 fractions per week and hypofractionation</t>
  </si>
  <si>
    <t>Adaptive RT</t>
  </si>
  <si>
    <t>Refers to whether treatment planning was changed or adapted after the initial radiation plan was developed This could be due to a change in the patients anatomy or if the tumor changed in size</t>
  </si>
  <si>
    <t>IGRT  image guide radiotherapy</t>
  </si>
  <si>
    <t>Refers to whether image guided radiotherapy was used for delivery of radiotherapy and to check the patient set up This includes MV KV or Cone Beam CT imaging</t>
  </si>
  <si>
    <t>Second beam quality</t>
  </si>
  <si>
    <t>Describes the type of radiation therapy given as second beam If external beam please specify if delivered with Photons most common electrons carbon or protons</t>
  </si>
  <si>
    <t>Other specify 2</t>
  </si>
  <si>
    <t>Specifies if the second beam quality is other</t>
  </si>
  <si>
    <t>Treatment technique2</t>
  </si>
  <si>
    <t>Refers to the type of radiotherapy treatment delivered as second beam</t>
  </si>
  <si>
    <t xml:space="preserve">Treatment technique2 other specify </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</si>
  <si>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</si>
  <si>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Start date</t>
  </si>
  <si>
    <t>Date when  the first radiation treatment was delivered</t>
  </si>
  <si>
    <t>Start date radiotherapy day unknown</t>
  </si>
  <si>
    <t>Describes if the day of start radiotherapy  is unknwon</t>
  </si>
  <si>
    <t>End  date</t>
  </si>
  <si>
    <t>Date when the last radiation treatment ended</t>
  </si>
  <si>
    <t>End date radiotherapy day unknown</t>
  </si>
  <si>
    <t>Describes if the day of end of radiotherapy  is unknwon</t>
  </si>
  <si>
    <t>Treatment Interruption 2 days not including intended breaks</t>
  </si>
  <si>
    <t>referred to an interruption in the prescribed radiation schedule of 2 days but which does not include intended days such as on days in which the department is not treating Holidays</t>
  </si>
  <si>
    <t>Treatment days missed</t>
  </si>
  <si>
    <t>Refers to the number of days missed during treatment</t>
  </si>
  <si>
    <t>Overall Treatment TimeOTT</t>
  </si>
  <si>
    <t>Number of days that the radiation treatment took inclusive of  the first and last day Automatic calculated</t>
  </si>
  <si>
    <t xml:space="preserve">Overall Treatment TimeOTT  manual in days </t>
  </si>
  <si>
    <t>Number of days that the radiation treatment took inclusive of  the first and last day</t>
  </si>
  <si>
    <t>Treatment Sites</t>
  </si>
  <si>
    <t>Refers to the areas that the radiation is targeting This could include the primary tumor  the neck lymph nodes the ipsilateral neck and the primary the bilateral neck and the primary or a distant metastatic lesion</t>
  </si>
  <si>
    <t xml:space="preserve">Primary </t>
  </si>
  <si>
    <t xml:space="preserve">Neck </t>
  </si>
  <si>
    <t>Primary and Ipsilateral Neck</t>
  </si>
  <si>
    <t>Primary and Bilateral Neck</t>
  </si>
  <si>
    <t>Distant Metastasis</t>
  </si>
  <si>
    <t>Metastatic Treatment Sites</t>
  </si>
  <si>
    <t>Designates which treatment sites were irradiated Lung Vs Mediastinum Vs Bone Vs soft tissue vs liver Vs other</t>
  </si>
  <si>
    <t xml:space="preserve">Lung
</t>
  </si>
  <si>
    <t xml:space="preserve">Mediastinum
</t>
  </si>
  <si>
    <t xml:space="preserve">Bone
</t>
  </si>
  <si>
    <t xml:space="preserve">Soft Tissue
</t>
  </si>
  <si>
    <t xml:space="preserve">Liver
</t>
  </si>
  <si>
    <t xml:space="preserve">Other </t>
  </si>
  <si>
    <t>Neck Levels Irradiated Right</t>
  </si>
  <si>
    <t>Refers to which neck levels were irradiated during treatment Please use the consensus guideline for nodal level delineation in the N0 neck 2013 update to specify neck levels</t>
  </si>
  <si>
    <t>Neck Levels Irradiated Left</t>
  </si>
  <si>
    <t>Same as above but for the left neck</t>
  </si>
  <si>
    <t>CTV High Expansion</t>
  </si>
  <si>
    <t>Refers to the margin that was used from GTV to CTV for the highest prescription dose</t>
  </si>
  <si>
    <t>PTV High expansion</t>
  </si>
  <si>
    <t>Refers to the margin that was used from CTV to PTV</t>
  </si>
  <si>
    <t>V60 of Skin</t>
  </si>
  <si>
    <t>Refers to the volume of skin receiving at least 60 Gy</t>
  </si>
  <si>
    <t xml:space="preserve">Treatment Completed as Planned </t>
  </si>
  <si>
    <t>Hospitalized during RT</t>
  </si>
  <si>
    <t>Did the patient has been hospitalized during RT</t>
  </si>
  <si>
    <t xml:space="preserve">Carotid Blowout </t>
  </si>
  <si>
    <t>Did the patient develop a carotid blow out during or after radiation</t>
  </si>
  <si>
    <t>Feeding Tube during RT</t>
  </si>
  <si>
    <t>Was a feeding tube required after RT</t>
  </si>
  <si>
    <t>Feeding Tube reason</t>
  </si>
  <si>
    <t>Was the feeding tube placed only prophylactically or reactively due to significant weight loss during treatment</t>
  </si>
  <si>
    <t>Smoking during RT</t>
  </si>
  <si>
    <t>Did the patient smoke cigarettes during radiation</t>
  </si>
  <si>
    <t>Alcohol during RT</t>
  </si>
  <si>
    <t>Did the patient drink alcohol during radiation</t>
  </si>
  <si>
    <t>Other type of treatment</t>
  </si>
  <si>
    <t>Other treatment performed</t>
  </si>
  <si>
    <t xml:space="preserve">Date of start other treatment </t>
  </si>
  <si>
    <t>Date of other treatment day unknown</t>
  </si>
  <si>
    <t xml:space="preserve">Date of end other treatment </t>
  </si>
  <si>
    <t>Date of end other treatment day unknown</t>
  </si>
  <si>
    <t>Overall treatment response</t>
  </si>
  <si>
    <t xml:space="preserve">PATIENT INCLUDED IN CLINICAL TRIAL </t>
  </si>
  <si>
    <t>Patient included in a clinical trial</t>
  </si>
  <si>
    <t>Clinical trial code</t>
  </si>
  <si>
    <t>surgery</t>
  </si>
  <si>
    <t>surgeryPerformed</t>
  </si>
  <si>
    <t>dateOfTumourSurgery</t>
  </si>
  <si>
    <t>surgeryIntention</t>
  </si>
  <si>
    <t>tumorSurgeryApproach</t>
  </si>
  <si>
    <t>tumorSurgeryDevice</t>
  </si>
  <si>
    <t>surgicalProcedure</t>
  </si>
  <si>
    <t>surgicalProcedure.surgicalProcedureNasopharynx</t>
  </si>
  <si>
    <t>surgicalProcedure.surgicalProcedureNasalCavityAndParanasalSinus</t>
  </si>
  <si>
    <t>surgicalProcedure.surgicalProcedureSalivaryGland</t>
  </si>
  <si>
    <t>surgicalProcedure.surgicalProcedureEar</t>
  </si>
  <si>
    <t>surgicalProcedure.surgicalProcedureLip</t>
  </si>
  <si>
    <t>surgicalProcedure.surgicalProcedureOralCavity</t>
  </si>
  <si>
    <t>surgicalProcedure.surgicalProcedureMandibulectomy</t>
  </si>
  <si>
    <t>surgicalProcedure.surgicalProcedureOropharynx</t>
  </si>
  <si>
    <t>surgicalProcedure.surgicalProcedureHypopharynx</t>
  </si>
  <si>
    <t>surgicalProcedure.surgicalProcedureLarynx</t>
  </si>
  <si>
    <t>reconstruction</t>
  </si>
  <si>
    <t>reconstruction.flag</t>
  </si>
  <si>
    <t>reconstruction.reconstructionType</t>
  </si>
  <si>
    <t>reconstruction.firstFlapUsedForReconstruction</t>
  </si>
  <si>
    <t>reconstruction.secondFlapUsedForReconstruction</t>
  </si>
  <si>
    <t>neckSurgery</t>
  </si>
  <si>
    <t>dateOfNeckSurgeryIfDifferentFromDateOfTumorSiteSurgery</t>
  </si>
  <si>
    <t>dateOfNeckSurgeryDayUnknown</t>
  </si>
  <si>
    <t>nodePicking</t>
  </si>
  <si>
    <t>lateralityOfTheDissection</t>
  </si>
  <si>
    <t>surgicalProcedureRightNeck</t>
  </si>
  <si>
    <t>surgicalProcedureRightNeckLevelsDissected</t>
  </si>
  <si>
    <t>surgicalProcedureLeftNeck</t>
  </si>
  <si>
    <t>surgicalProcedureLeftNeckLevelsDissected</t>
  </si>
  <si>
    <t>surgeryOnM</t>
  </si>
  <si>
    <t>siteOfSurgeryOnMetastasis</t>
  </si>
  <si>
    <t>siteOfSurgeryOnMetastasisSoftTissue</t>
  </si>
  <si>
    <t>siteOfSurgeryOnMetastasisDistantLymphNodes</t>
  </si>
  <si>
    <t>siteOfSurgeryOnMetastasisLung</t>
  </si>
  <si>
    <t>siteOfSurgeryOnMetastasisBone</t>
  </si>
  <si>
    <t>siteOfSurgeryOnMetastasisLiver</t>
  </si>
  <si>
    <t>siteOfSurgeryOnMetastasisPleura</t>
  </si>
  <si>
    <t>siteOfSurgeryOnMetastasisPeritoneum</t>
  </si>
  <si>
    <t>siteOfSurgeryOnMetastasisBrain</t>
  </si>
  <si>
    <t>siteOfSurgeryOnMetastasisOtherViscera</t>
  </si>
  <si>
    <t>siteOfSurgeryOnMetastasisUnknown</t>
  </si>
  <si>
    <t>dateOfSurgeryOnMIfDifferentFromDateOfTumorSiteSurgery</t>
  </si>
  <si>
    <t>unplannedSurgery</t>
  </si>
  <si>
    <t>dateOfUnplannedSurgery</t>
  </si>
  <si>
    <t>marginsAfterUnplannedSurgery</t>
  </si>
  <si>
    <t>unplannedNeckSurgery</t>
  </si>
  <si>
    <t>systemicTreament</t>
  </si>
  <si>
    <t>systemicTreatmentPerformed</t>
  </si>
  <si>
    <t>chooseTheSingleTreatment</t>
  </si>
  <si>
    <t>intent</t>
  </si>
  <si>
    <t>setting</t>
  </si>
  <si>
    <t>startDateSystemicTreatment</t>
  </si>
  <si>
    <t>startDateSystemicTreatmentDayUnknown</t>
  </si>
  <si>
    <t>endDateSystemicTreatment</t>
  </si>
  <si>
    <t>endDateSystemicTreatmentDayUnknown</t>
  </si>
  <si>
    <t>numberOfCyclesAdministrations</t>
  </si>
  <si>
    <t>regimen</t>
  </si>
  <si>
    <t>drugs1</t>
  </si>
  <si>
    <t>drugs2</t>
  </si>
  <si>
    <t>drugs3</t>
  </si>
  <si>
    <t>plasmaticEbvDnaDuringSystemicTreatment</t>
  </si>
  <si>
    <t>plasmaticEbvDnaAfterSystemicTreatment</t>
  </si>
  <si>
    <t>reasonForEndOfTreatment</t>
  </si>
  <si>
    <t>regimenChanged</t>
  </si>
  <si>
    <t>startDateRegimenChanged</t>
  </si>
  <si>
    <t>startDateRegimenChangedDayUnknown</t>
  </si>
  <si>
    <t>endDateRegimenChanged</t>
  </si>
  <si>
    <t>endDateRegimenChangedDayUnknown</t>
  </si>
  <si>
    <t>treatmentResponseBasedOnImagingAloneNoRecistOrOtherCriteria</t>
  </si>
  <si>
    <t>treatmentResponseDefinedDone</t>
  </si>
  <si>
    <t>systemicTreatment2</t>
  </si>
  <si>
    <t>radiotherapy</t>
  </si>
  <si>
    <t>radiotherapywhere</t>
  </si>
  <si>
    <t>postoperativeRadiotherapyIndications</t>
  </si>
  <si>
    <t>beamQuality</t>
  </si>
  <si>
    <t>otherSpecify</t>
  </si>
  <si>
    <t>treatmentTechnique</t>
  </si>
  <si>
    <t>boostType</t>
  </si>
  <si>
    <t>treatmentPlan</t>
  </si>
  <si>
    <t>totalDoseTdGy</t>
  </si>
  <si>
    <t>fractionSizeFs</t>
  </si>
  <si>
    <t>numberOfFractions</t>
  </si>
  <si>
    <t>totalHighDoseGy</t>
  </si>
  <si>
    <t>totalHighDoseFraction</t>
  </si>
  <si>
    <t>totalIntermediateDoseGy</t>
  </si>
  <si>
    <t>totalIntermediateDoseFraction</t>
  </si>
  <si>
    <t>totalLowDoseGy</t>
  </si>
  <si>
    <t>totalLowDoseFraction</t>
  </si>
  <si>
    <t>fractionationPattern</t>
  </si>
  <si>
    <t>alteredFractionationScheme</t>
  </si>
  <si>
    <t>adaptiveRt</t>
  </si>
  <si>
    <t>igrtImageGuideRadiotherapy</t>
  </si>
  <si>
    <t>secondBeamQuality</t>
  </si>
  <si>
    <t>otherSpecify2</t>
  </si>
  <si>
    <t>treatmentTechnique2</t>
  </si>
  <si>
    <t>treatmentTechnique2OtherSpecify</t>
  </si>
  <si>
    <t>startDate</t>
  </si>
  <si>
    <t>startDateRadiotherapyDayUnknown</t>
  </si>
  <si>
    <t>endDate</t>
  </si>
  <si>
    <t>endDateRadiotherapyDayUnknown</t>
  </si>
  <si>
    <t>treatmentInterruption2DaysNotIncludingIntendedBreaks</t>
  </si>
  <si>
    <t>treatmentDaysMissed</t>
  </si>
  <si>
    <t>overallTreatmentTimeOtt</t>
  </si>
  <si>
    <t>overallTreatmentTimeOttManualInDays</t>
  </si>
  <si>
    <t>treatmentSites</t>
  </si>
  <si>
    <t>primary</t>
  </si>
  <si>
    <t>neck</t>
  </si>
  <si>
    <t>primaryAndIpsilateralNeck</t>
  </si>
  <si>
    <t>primaryAndBilateralNeck</t>
  </si>
  <si>
    <t>distantMetastasis</t>
  </si>
  <si>
    <t>metastaticTreatmentSites</t>
  </si>
  <si>
    <t xml:space="preserve">lung
</t>
  </si>
  <si>
    <t xml:space="preserve">mediastinum
</t>
  </si>
  <si>
    <t xml:space="preserve">bone
</t>
  </si>
  <si>
    <t xml:space="preserve">softTissue
</t>
  </si>
  <si>
    <t xml:space="preserve">liver
</t>
  </si>
  <si>
    <t>other</t>
  </si>
  <si>
    <t>neckLevelsIrradiatedRight</t>
  </si>
  <si>
    <t>neckLevelsIrradiatedLeft</t>
  </si>
  <si>
    <t>ctvHighExpansion</t>
  </si>
  <si>
    <t>ptvHighExpansion</t>
  </si>
  <si>
    <t>v60OfSkin</t>
  </si>
  <si>
    <t>treatmentCompletedAsPlanned</t>
  </si>
  <si>
    <t>hospitalizedDuringRt</t>
  </si>
  <si>
    <t>carotidBlowout</t>
  </si>
  <si>
    <t>feedingTubeDuringRt</t>
  </si>
  <si>
    <t>feedingTubeReason</t>
  </si>
  <si>
    <t>smokingDuringRt</t>
  </si>
  <si>
    <t>alcoholDuringRt</t>
  </si>
  <si>
    <t>otherTypeOfTreatment</t>
  </si>
  <si>
    <t>otherTreatmentPerformed</t>
  </si>
  <si>
    <t>dateOfStart</t>
  </si>
  <si>
    <t>dateOfOtherTreatmentDayUnknown</t>
  </si>
  <si>
    <t>dateOfEnd</t>
  </si>
  <si>
    <t>dateOfEndOtherTreatmentDayUnknown</t>
  </si>
  <si>
    <t>type</t>
  </si>
  <si>
    <t>treatmentCompleted</t>
  </si>
  <si>
    <t>overallTreatmentResponse</t>
  </si>
  <si>
    <t>treatmentResponseDefineddone</t>
  </si>
  <si>
    <t>patientIncludedInClinicalTrial</t>
  </si>
  <si>
    <t>patientIncludedInAClinicalTrial</t>
  </si>
  <si>
    <t>clinicalTrialCode</t>
  </si>
  <si>
    <t>i4rc-treatment.fsh</t>
  </si>
  <si>
    <t>regimenChanged-regimen</t>
  </si>
  <si>
    <t>regimenChanged-otherDrug1</t>
  </si>
  <si>
    <t>regimenChanged-otherDrug2</t>
  </si>
  <si>
    <t>regimenChanged-otherDrug3</t>
  </si>
  <si>
    <t>regimenChanged-reasonForEndOfTreatment</t>
  </si>
  <si>
    <t>beamQuality-otherSpecify</t>
  </si>
  <si>
    <t>treatmentTechnique-otherSpecify</t>
  </si>
  <si>
    <t>I4RCTreatment2Fhir</t>
  </si>
  <si>
    <t>Idea4RC Treatment model to FHIR R4 Map</t>
  </si>
  <si>
    <t>afterTreatment-primerType</t>
  </si>
  <si>
    <t>setting-2</t>
  </si>
  <si>
    <t>treatmentResponseBasedOnImagingAloneNoRecistOrOtherCriteria-2</t>
  </si>
  <si>
    <t>afterTreatment-copyNumber</t>
  </si>
  <si>
    <t>intent-2</t>
  </si>
  <si>
    <t>surgicalWorstComplications</t>
  </si>
  <si>
    <t>surgical2ndWorstComplications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</si>
</sst>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name val="Calibri"/>
      <family val="2"/>
      <scheme val="minor"/>
    </font>
    <font>
      <sz val="11"/>
      <color rgb="FF212529"/>
      <name val="Helvetica"/>
      <family val="2"/>
    </font>
    <font>
      <strike/>
      <sz val="11"/>
      <color theme="1"/>
      <name val="Arial Narrow"/>
      <family val="2"/>
    </font>
    <font>
      <sz val="11"/>
      <color theme="1"/>
      <name val="Calibri"/>
      <family val="2"/>
      <scheme val="minor"/>
    </font>
    <font>
      <sz val="5"/>
      <color rgb="FFCE9178"/>
      <name val="Consolas"/>
      <family val="3"/>
    </font>
    <font>
      <sz val="10"/>
      <color rgb="FF000000"/>
      <name val="Calibri"/>
      <family val="2"/>
      <scheme val="minor"/>
    </font>
    <font>
      <sz val="11"/>
      <color theme="1"/>
      <name val="&quot;Arial Narrow&quot;"/>
    </font>
    <font>
      <sz val="11"/>
      <color rgb="FFCC0000"/>
      <name val="&quot;Arial Narrow&quot;"/>
    </font>
    <font>
      <sz val="11"/>
      <color rgb="FFF1C232"/>
      <name val="&quot;Arial Narrow&quot;"/>
    </font>
    <font>
      <sz val="11"/>
      <color theme="1"/>
      <name val="Calibri"/>
      <family val="2"/>
    </font>
    <font>
      <sz val="10"/>
      <color theme="1"/>
      <name val="Calibri"/>
      <family val="2"/>
      <scheme val="minor"/>
    </font>
    <font>
      <b/>
      <sz val="14"/>
      <color theme="1"/>
      <name val="Arial Narrow"/>
      <family val="2"/>
    </font>
    <font>
      <sz val="10"/>
      <color theme="1"/>
      <name val="Arial Narrow"/>
      <family val="2"/>
    </font>
    <font>
      <u/>
      <sz val="10"/>
      <color rgb="FF0000FF"/>
      <name val="Arial Narrow"/>
      <family val="2"/>
    </font>
    <font>
      <u/>
      <sz val="10"/>
      <color rgb="FF1155CC"/>
      <name val="Arial Narrow"/>
      <family val="2"/>
    </font>
    <font>
      <sz val="10"/>
      <color rgb="FF000000"/>
      <name val="Arial Narrow"/>
      <family val="2"/>
    </font>
    <font>
      <u/>
      <sz val="10"/>
      <color rgb="FF0000FF"/>
      <name val="Arial"/>
      <family val="2"/>
    </font>
    <font>
      <i/>
      <sz val="11"/>
      <color theme="1"/>
      <name val="Arial Narrow"/>
      <family val="2"/>
    </font>
    <font>
      <sz val="10"/>
      <name val="Arial"/>
      <family val="2"/>
    </font>
    <font>
      <sz val="10"/>
      <name val="Arial Narrow"/>
      <family val="2"/>
    </font>
    <font>
      <u/>
      <sz val="10"/>
      <color rgb="FF1155CC"/>
      <name val="Arial"/>
      <family val="2"/>
    </font>
    <font>
      <sz val="10"/>
      <color rgb="FF000000"/>
      <name val="Arial"/>
      <family val="2"/>
    </font>
    <font>
      <i/>
      <sz val="12"/>
      <color theme="1"/>
      <name val="Arial Narrow"/>
      <family val="2"/>
    </font>
    <font>
      <u/>
      <sz val="10"/>
      <color rgb="FF0000FF"/>
      <name val="&quot;Arial Narrow&quot;"/>
    </font>
    <font>
      <u/>
      <sz val="10"/>
      <color rgb="FF1155CC"/>
      <name val="&quot;Arial Narrow&quot;"/>
    </font>
    <font>
      <sz val="10"/>
      <name val="&quot;Arial Narrow&quot;"/>
    </font>
    <font>
      <sz val="10"/>
      <color theme="1"/>
      <name val="&quot;Arial Narrow&quot;"/>
    </font>
    <font>
      <b/>
      <sz val="11"/>
      <name val="Calibri"/>
      <family val="2"/>
    </font>
  </fonts>
  <fills count="21">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C9DAF8"/>
        <bgColor rgb="FFC9DAF8"/>
      </patternFill>
    </fill>
    <fill>
      <patternFill patternType="solid">
        <fgColor rgb="FFE06666"/>
        <bgColor rgb="FFE06666"/>
      </patternFill>
    </fill>
    <fill>
      <patternFill patternType="solid">
        <fgColor rgb="FFFFF2CC"/>
        <bgColor rgb="FFFFF2CC"/>
      </patternFill>
    </fill>
    <fill>
      <patternFill patternType="solid">
        <fgColor theme="6"/>
        <bgColor theme="6"/>
      </patternFill>
    </fill>
    <fill>
      <patternFill patternType="solid">
        <fgColor theme="9" tint="0.79998168889431442"/>
        <bgColor indexed="64"/>
      </patternFill>
    </fill>
    <fill>
      <patternFill patternType="solid">
        <fgColor rgb="FFFFFF99"/>
        <bgColor indexed="64"/>
      </patternFill>
    </fill>
    <fill>
      <patternFill patternType="solid">
        <fgColor theme="5" tint="0.39997558519241921"/>
        <bgColor indexed="64"/>
      </patternFill>
    </fill>
    <fill>
      <patternFill patternType="solid">
        <fgColor theme="7" tint="0.39997558519241921"/>
        <bgColor indexed="64"/>
      </patternFill>
    </fill>
  </fills>
  <borders count="27">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medium">
        <color indexed="64"/>
      </right>
      <top style="thin">
        <color auto="1"/>
      </top>
      <bottom/>
      <diagonal/>
    </border>
  </borders>
  <cellStyleXfs count="6">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7" fillId="12" borderId="22" applyNumberFormat="0" applyFont="0" applyAlignment="0" applyProtection="0"/>
    <xf numFmtId="0" fontId="19" fillId="0" borderId="0"/>
  </cellStyleXfs>
  <cellXfs count="129">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0" fillId="0" borderId="8" xfId="0" applyBorder="1"/>
    <xf numFmtId="0" fontId="1" fillId="0" borderId="6" xfId="0" applyFont="1" applyBorder="1"/>
    <xf numFmtId="0" fontId="6" fillId="7" borderId="11"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2" xfId="0" applyFont="1" applyFill="1" applyBorder="1"/>
    <xf numFmtId="0" fontId="1" fillId="0" borderId="13" xfId="0" applyFont="1" applyBorder="1" applyAlignment="1">
      <alignment wrapText="1"/>
    </xf>
    <xf numFmtId="0" fontId="1" fillId="0" borderId="14" xfId="0" applyFont="1" applyBorder="1" applyAlignment="1">
      <alignment wrapText="1"/>
    </xf>
    <xf numFmtId="0" fontId="1" fillId="0" borderId="15" xfId="0" applyFont="1" applyBorder="1" applyAlignment="1">
      <alignment wrapText="1"/>
    </xf>
    <xf numFmtId="0" fontId="6" fillId="7" borderId="0" xfId="2" applyBorder="1" applyAlignment="1">
      <alignment wrapText="1"/>
    </xf>
    <xf numFmtId="0" fontId="8" fillId="7" borderId="11" xfId="2" applyFont="1" applyBorder="1" applyAlignment="1">
      <alignment wrapText="1"/>
    </xf>
    <xf numFmtId="0" fontId="8" fillId="7" borderId="0" xfId="2" applyFont="1" applyBorder="1" applyAlignment="1">
      <alignment wrapText="1"/>
    </xf>
    <xf numFmtId="0" fontId="0" fillId="0" borderId="16" xfId="0" applyBorder="1"/>
    <xf numFmtId="0" fontId="1" fillId="0" borderId="17"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8" xfId="3" applyFont="1" applyBorder="1" applyAlignment="1">
      <alignment horizontal="center" vertical="center"/>
    </xf>
    <xf numFmtId="0" fontId="10" fillId="0" borderId="0" xfId="0" applyFont="1" applyAlignment="1">
      <alignment horizontal="center" vertical="top" wrapText="1"/>
    </xf>
    <xf numFmtId="0" fontId="0" fillId="0" borderId="0" xfId="0" applyAlignment="1">
      <alignment horizontal="center" vertical="top" wrapText="1"/>
    </xf>
    <xf numFmtId="0" fontId="10" fillId="0" borderId="0" xfId="0" applyFont="1" applyAlignment="1">
      <alignment horizontal="center" wrapText="1"/>
    </xf>
    <xf numFmtId="0" fontId="11" fillId="0" borderId="0" xfId="0" applyFont="1" applyAlignment="1">
      <alignment horizontal="center" vertical="top" wrapText="1"/>
    </xf>
    <xf numFmtId="0" fontId="11" fillId="0" borderId="0" xfId="0" applyFont="1" applyAlignment="1">
      <alignment horizontal="center" wrapText="1"/>
    </xf>
    <xf numFmtId="14" fontId="10" fillId="0" borderId="0" xfId="0" quotePrefix="1" applyNumberFormat="1" applyFont="1" applyAlignment="1">
      <alignment horizontal="center" vertical="top" wrapText="1"/>
    </xf>
    <xf numFmtId="0" fontId="10" fillId="0" borderId="0" xfId="0" quotePrefix="1" applyFont="1" applyAlignment="1">
      <alignment horizontal="center" vertical="top" wrapText="1"/>
    </xf>
    <xf numFmtId="16" fontId="10" fillId="0" borderId="0" xfId="0" quotePrefix="1" applyNumberFormat="1" applyFont="1" applyAlignment="1">
      <alignment horizontal="center" vertical="top" wrapText="1"/>
    </xf>
    <xf numFmtId="0" fontId="12" fillId="0" borderId="0" xfId="0" applyFont="1" applyAlignment="1">
      <alignment horizontal="center" vertical="top" wrapText="1"/>
    </xf>
    <xf numFmtId="0" fontId="13" fillId="0" borderId="0" xfId="0" applyFont="1" applyAlignment="1">
      <alignment horizontal="center" vertical="top" wrapText="1"/>
    </xf>
    <xf numFmtId="0" fontId="13" fillId="0" borderId="0" xfId="0" applyFont="1" applyAlignment="1">
      <alignment horizontal="center" wrapText="1"/>
    </xf>
    <xf numFmtId="0" fontId="14" fillId="0" borderId="0" xfId="0" applyFont="1" applyAlignment="1">
      <alignment horizontal="center" vertical="top" wrapText="1"/>
    </xf>
    <xf numFmtId="0" fontId="15" fillId="0" borderId="0" xfId="0" applyFont="1" applyAlignment="1">
      <alignment horizontal="center" wrapText="1"/>
    </xf>
    <xf numFmtId="0" fontId="16" fillId="0" borderId="0" xfId="0" applyFont="1" applyAlignment="1">
      <alignment horizontal="center" vertical="top" wrapText="1"/>
    </xf>
    <xf numFmtId="0" fontId="0" fillId="0" borderId="0" xfId="0" applyAlignment="1">
      <alignment horizontal="center" wrapText="1"/>
    </xf>
    <xf numFmtId="0" fontId="0" fillId="0" borderId="5" xfId="0" applyBorder="1"/>
    <xf numFmtId="0" fontId="3" fillId="0" borderId="9" xfId="0" applyFont="1" applyBorder="1"/>
    <xf numFmtId="0" fontId="0" fillId="0" borderId="9" xfId="0" applyBorder="1"/>
    <xf numFmtId="0" fontId="0" fillId="0" borderId="10" xfId="0" applyBorder="1"/>
    <xf numFmtId="0" fontId="0" fillId="9" borderId="8" xfId="0" applyFill="1" applyBorder="1"/>
    <xf numFmtId="0" fontId="10" fillId="9" borderId="0" xfId="0" applyFont="1" applyFill="1" applyAlignment="1">
      <alignment horizontal="left" vertical="top" wrapText="1"/>
    </xf>
    <xf numFmtId="0" fontId="0" fillId="0" borderId="10"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9" xfId="0" applyBorder="1"/>
    <xf numFmtId="0" fontId="1" fillId="6" borderId="20" xfId="0" applyFont="1" applyFill="1" applyBorder="1"/>
    <xf numFmtId="0" fontId="0" fillId="0" borderId="21"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4" fillId="10" borderId="0" xfId="0" applyFont="1" applyFill="1"/>
    <xf numFmtId="0" fontId="0" fillId="4" borderId="0" xfId="0" applyFill="1"/>
    <xf numFmtId="0" fontId="3" fillId="2" borderId="0" xfId="0" applyFont="1" applyFill="1"/>
    <xf numFmtId="0" fontId="0" fillId="12" borderId="22" xfId="4" applyFont="1"/>
    <xf numFmtId="0" fontId="18" fillId="0" borderId="0" xfId="0" applyFont="1" applyAlignment="1">
      <alignment vertical="center"/>
    </xf>
    <xf numFmtId="0" fontId="0" fillId="3" borderId="0" xfId="0" applyFill="1"/>
    <xf numFmtId="0" fontId="19" fillId="0" borderId="0" xfId="5"/>
    <xf numFmtId="0" fontId="23" fillId="0" borderId="0" xfId="5" applyFont="1" applyAlignment="1">
      <alignment vertical="top"/>
    </xf>
    <xf numFmtId="0" fontId="24" fillId="0" borderId="0" xfId="5" applyFont="1" applyAlignment="1">
      <alignment vertical="center" wrapText="1"/>
    </xf>
    <xf numFmtId="0" fontId="25" fillId="13" borderId="23" xfId="5" applyFont="1" applyFill="1" applyBorder="1" applyAlignment="1">
      <alignment horizontal="center" vertical="center" wrapText="1"/>
    </xf>
    <xf numFmtId="0" fontId="25" fillId="13" borderId="24" xfId="5" applyFont="1" applyFill="1" applyBorder="1" applyAlignment="1">
      <alignment horizontal="center" vertical="center" wrapText="1"/>
    </xf>
    <xf numFmtId="0" fontId="24" fillId="13" borderId="24" xfId="5" applyFont="1" applyFill="1" applyBorder="1" applyAlignment="1">
      <alignment horizontal="center" vertical="center" wrapText="1"/>
    </xf>
    <xf numFmtId="0" fontId="24" fillId="13" borderId="25" xfId="5" applyFont="1" applyFill="1" applyBorder="1" applyAlignment="1">
      <alignment horizontal="center" vertical="center" wrapText="1"/>
    </xf>
    <xf numFmtId="0" fontId="11" fillId="0" borderId="0" xfId="5" applyFont="1" applyAlignment="1">
      <alignment horizontal="center" vertical="center" wrapText="1"/>
    </xf>
    <xf numFmtId="0" fontId="26" fillId="0" borderId="0" xfId="5" applyFont="1" applyAlignment="1">
      <alignment horizontal="center" vertical="center" wrapText="1"/>
    </xf>
    <xf numFmtId="0" fontId="24" fillId="0" borderId="0" xfId="5" applyFont="1" applyAlignment="1">
      <alignment horizontal="center" vertical="center" wrapText="1"/>
    </xf>
    <xf numFmtId="0" fontId="11" fillId="14" borderId="0" xfId="5" applyFont="1" applyFill="1" applyAlignment="1">
      <alignment horizontal="center" vertical="center" wrapText="1"/>
    </xf>
    <xf numFmtId="0" fontId="26" fillId="14" borderId="0" xfId="5" applyFont="1" applyFill="1" applyAlignment="1">
      <alignment horizontal="center" vertical="center" wrapText="1"/>
    </xf>
    <xf numFmtId="0" fontId="24" fillId="14" borderId="0" xfId="5" applyFont="1" applyFill="1" applyAlignment="1">
      <alignment horizontal="center" vertical="center" wrapText="1"/>
    </xf>
    <xf numFmtId="0" fontId="11" fillId="15" borderId="0" xfId="5" applyFont="1" applyFill="1" applyAlignment="1">
      <alignment horizontal="center" vertical="center" wrapText="1"/>
    </xf>
    <xf numFmtId="0" fontId="26" fillId="15" borderId="0" xfId="5" applyFont="1" applyFill="1" applyAlignment="1">
      <alignment horizontal="center" vertical="center" wrapText="1"/>
    </xf>
    <xf numFmtId="0" fontId="24" fillId="15" borderId="0" xfId="5" applyFont="1" applyFill="1" applyAlignment="1">
      <alignment horizontal="center" vertical="center" wrapText="1"/>
    </xf>
    <xf numFmtId="0" fontId="27" fillId="0" borderId="0" xfId="5" applyFont="1" applyAlignment="1">
      <alignment horizontal="center" vertical="center" wrapText="1"/>
    </xf>
    <xf numFmtId="0" fontId="30" fillId="0" borderId="0" xfId="5" applyFont="1" applyAlignment="1">
      <alignment horizontal="center" vertical="center" wrapText="1"/>
    </xf>
    <xf numFmtId="0" fontId="10" fillId="0" borderId="0" xfId="5" applyFont="1" applyAlignment="1">
      <alignment horizontal="center" vertical="top" wrapText="1"/>
    </xf>
    <xf numFmtId="0" fontId="20" fillId="0" borderId="0" xfId="5" applyFont="1" applyAlignment="1">
      <alignment horizontal="center" vertical="top" wrapText="1"/>
    </xf>
    <xf numFmtId="0" fontId="10" fillId="0" borderId="0" xfId="5" applyFont="1" applyAlignment="1">
      <alignment horizontal="center" vertical="center" wrapText="1"/>
    </xf>
    <xf numFmtId="0" fontId="37" fillId="0" borderId="0" xfId="5" applyFont="1" applyAlignment="1">
      <alignment horizontal="center" vertical="top" wrapText="1"/>
    </xf>
    <xf numFmtId="0" fontId="40" fillId="0" borderId="0" xfId="5" applyFont="1" applyAlignment="1">
      <alignment horizontal="center" vertical="top" wrapText="1"/>
    </xf>
    <xf numFmtId="0" fontId="11" fillId="16" borderId="0" xfId="5" applyFont="1" applyFill="1" applyAlignment="1">
      <alignment horizontal="center" vertical="center" wrapText="1"/>
    </xf>
    <xf numFmtId="0" fontId="26" fillId="16" borderId="0" xfId="5" applyFont="1" applyFill="1" applyAlignment="1">
      <alignment horizontal="center" vertical="center" wrapText="1"/>
    </xf>
    <xf numFmtId="0" fontId="24" fillId="16" borderId="0" xfId="5" applyFont="1" applyFill="1" applyAlignment="1">
      <alignment horizontal="center" vertical="center" wrapText="1"/>
    </xf>
    <xf numFmtId="0" fontId="0" fillId="0" borderId="8" xfId="0" applyBorder="1" applyAlignment="1">
      <alignment wrapText="1"/>
    </xf>
    <xf numFmtId="0" fontId="0" fillId="9" borderId="8" xfId="0" applyFill="1" applyBorder="1" applyAlignment="1">
      <alignment wrapText="1"/>
    </xf>
    <xf numFmtId="0" fontId="26" fillId="0" borderId="0" xfId="0" applyFont="1"/>
    <xf numFmtId="0" fontId="6" fillId="8" borderId="1" xfId="3" applyBorder="1" applyAlignment="1">
      <alignment wrapText="1"/>
    </xf>
    <xf numFmtId="0" fontId="41" fillId="0" borderId="1" xfId="0" applyFont="1" applyBorder="1" applyAlignment="1">
      <alignment horizontal="center" vertical="top"/>
    </xf>
    <xf numFmtId="0" fontId="0" fillId="17" borderId="0" xfId="0" applyFill="1"/>
    <xf numFmtId="0" fontId="0" fillId="18" borderId="0" xfId="0" applyFill="1"/>
    <xf numFmtId="0" fontId="41" fillId="3" borderId="1" xfId="0" applyFont="1" applyFill="1" applyBorder="1" applyAlignment="1">
      <alignment horizontal="center" vertical="top"/>
    </xf>
    <xf numFmtId="0" fontId="0" fillId="3" borderId="0" xfId="0" applyFill="1" applyAlignment="1">
      <alignment wrapText="1"/>
    </xf>
    <xf numFmtId="0" fontId="0" fillId="19" borderId="0" xfId="0" applyFill="1"/>
    <xf numFmtId="0" fontId="0" fillId="19" borderId="0" xfId="0" applyFill="1" applyAlignment="1">
      <alignment wrapText="1"/>
    </xf>
    <xf numFmtId="0" fontId="0" fillId="5" borderId="0" xfId="0" applyFill="1"/>
    <xf numFmtId="0" fontId="3" fillId="0" borderId="1" xfId="0" applyFont="1" applyBorder="1" applyAlignment="1">
      <alignment wrapText="1"/>
    </xf>
    <xf numFmtId="0" fontId="0" fillId="0" borderId="26" xfId="0" applyBorder="1" applyAlignment="1">
      <alignment wrapText="1"/>
    </xf>
    <xf numFmtId="0" fontId="6" fillId="8" borderId="2" xfId="3" applyBorder="1" applyAlignment="1">
      <alignment wrapText="1"/>
    </xf>
    <xf numFmtId="0" fontId="0" fillId="18" borderId="0" xfId="0" applyFill="1" applyAlignment="1">
      <alignment wrapText="1"/>
    </xf>
    <xf numFmtId="0" fontId="3" fillId="19" borderId="0" xfId="0" applyFont="1" applyFill="1"/>
    <xf numFmtId="0" fontId="0" fillId="20" borderId="0" xfId="0" applyFill="1"/>
    <xf numFmtId="0" fontId="20" fillId="0" borderId="0" xfId="5" applyFont="1" applyAlignment="1">
      <alignment vertical="center" wrapText="1"/>
    </xf>
    <xf numFmtId="0" fontId="19" fillId="0" borderId="0" xfId="5"/>
    <xf numFmtId="0" fontId="31" fillId="0" borderId="24" xfId="5" applyFont="1" applyBorder="1" applyAlignment="1">
      <alignment horizontal="center" vertical="center" wrapText="1"/>
    </xf>
    <xf numFmtId="0" fontId="32" fillId="0" borderId="24" xfId="5" applyFont="1" applyBorder="1"/>
    <xf numFmtId="0" fontId="36" fillId="0" borderId="24" xfId="5" applyFont="1" applyBorder="1" applyAlignment="1">
      <alignment horizontal="center" vertical="center" wrapText="1"/>
    </xf>
    <xf numFmtId="0" fontId="10" fillId="0" borderId="0" xfId="0" applyFont="1" applyAlignment="1">
      <alignment horizontal="left" vertical="top" wrapText="1"/>
    </xf>
    <xf numFmtId="0" fontId="10" fillId="0" borderId="0" xfId="0" applyFont="1" applyAlignment="1">
      <alignment horizontal="center" vertical="top" wrapText="1"/>
    </xf>
  </cellXfs>
  <cellStyles count="6">
    <cellStyle name="Collegamento ipertestuale" xfId="1" builtinId="8"/>
    <cellStyle name="Colore 1" xfId="2" builtinId="29"/>
    <cellStyle name="Colore 2" xfId="3" builtinId="33"/>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95</xdr:row>
          <xdr:rowOff>171450</xdr:rowOff>
        </xdr:from>
        <xdr:to>
          <xdr:col>2</xdr:col>
          <xdr:colOff>1117600</xdr:colOff>
          <xdr:row>97</xdr:row>
          <xdr:rowOff>88900</xdr:rowOff>
        </xdr:to>
        <xdr:sp macro="" textlink="">
          <xdr:nvSpPr>
            <xdr:cNvPr id="63489" name="Button 1" hidden="1">
              <a:extLst>
                <a:ext uri="{63B3BB69-23CF-44E3-9099-C40C66FF867C}">
                  <a14:compatExt spid="_x0000_s63489"/>
                </a:ext>
                <a:ext uri="{FF2B5EF4-FFF2-40B4-BE49-F238E27FC236}">
                  <a16:creationId xmlns:a16="http://schemas.microsoft.com/office/drawing/2014/main" id="{00000000-0008-0000-0200-000001F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3490" name="Button 2" hidden="1">
              <a:extLst>
                <a:ext uri="{63B3BB69-23CF-44E3-9099-C40C66FF867C}">
                  <a14:compatExt spid="_x0000_s63490"/>
                </a:ext>
                <a:ext uri="{FF2B5EF4-FFF2-40B4-BE49-F238E27FC236}">
                  <a16:creationId xmlns:a16="http://schemas.microsoft.com/office/drawing/2014/main" id="{00000000-0008-0000-0200-000002F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95</xdr:row>
          <xdr:rowOff>171450</xdr:rowOff>
        </xdr:from>
        <xdr:to>
          <xdr:col>2</xdr:col>
          <xdr:colOff>1117600</xdr:colOff>
          <xdr:row>97</xdr:row>
          <xdr:rowOff>88900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900-000001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900-000002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B00-000001D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E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E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1000-000001C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3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3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3185" name="Button 1" hidden="1">
              <a:extLst>
                <a:ext uri="{63B3BB69-23CF-44E3-9099-C40C66FF867C}">
                  <a14:compatExt spid="_x0000_s93185"/>
                </a:ext>
                <a:ext uri="{FF2B5EF4-FFF2-40B4-BE49-F238E27FC236}">
                  <a16:creationId xmlns:a16="http://schemas.microsoft.com/office/drawing/2014/main" id="{00000000-0008-0000-1500-0000016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373</xdr:row>
          <xdr:rowOff>171450</xdr:rowOff>
        </xdr:from>
        <xdr:to>
          <xdr:col>2</xdr:col>
          <xdr:colOff>1117600</xdr:colOff>
          <xdr:row>375</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18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18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1A00-0000018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E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F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F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21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hyperlink" Target="https://seer.cancer.gov/icd-o-3/sitetype.icdo3.20220429.pdf" TargetMode="External"/><Relationship Id="rId13" Type="http://schemas.openxmlformats.org/officeDocument/2006/relationships/hyperlink" Target="https://link.springer.com/book/9783319406176" TargetMode="External"/><Relationship Id="rId18" Type="http://schemas.openxmlformats.org/officeDocument/2006/relationships/hyperlink" Target="https://terminology.hl7.org/3.1.0/CodeSystem-TNM.html" TargetMode="External"/><Relationship Id="rId26" Type="http://schemas.openxmlformats.org/officeDocument/2006/relationships/hyperlink" Target="https://link.springer.com/book/9783319406176" TargetMode="External"/><Relationship Id="rId3" Type="http://schemas.openxmlformats.org/officeDocument/2006/relationships/hyperlink" Target="https://publications.iarc.fr/Book-And-Report-Series/Who-Classification-Of-Tumours/WHO-Classification-Of-Head-And-Neck-Tumours-2017" TargetMode="External"/><Relationship Id="rId21" Type="http://schemas.openxmlformats.org/officeDocument/2006/relationships/hyperlink" Target="https://terminology.hl7.org/3.1.0/CodeSystem-TNM.html" TargetMode="External"/><Relationship Id="rId7" Type="http://schemas.openxmlformats.org/officeDocument/2006/relationships/hyperlink" Target="https://publications.iarc.fr/Book-And-Report-Series/Who-Classification-Of-Tumours/WHO-Classification-Of-Head-And-Neck-Tumours-2017" TargetMode="External"/><Relationship Id="rId12" Type="http://schemas.openxmlformats.org/officeDocument/2006/relationships/hyperlink" Target="https://seer.cancer.gov/icd-o-3/sitetype.icdo3.20220429.pdf" TargetMode="External"/><Relationship Id="rId17" Type="http://schemas.openxmlformats.org/officeDocument/2006/relationships/hyperlink" Target="https://link.springer.com/book/9783319406176" TargetMode="External"/><Relationship Id="rId25" Type="http://schemas.openxmlformats.org/officeDocument/2006/relationships/hyperlink" Target="https://terminology.hl7.org/3.1.0/CodeSystem-TNM.html" TargetMode="External"/><Relationship Id="rId2" Type="http://schemas.openxmlformats.org/officeDocument/2006/relationships/hyperlink" Target="https://seer.cancer.gov/icd-o-3/sitetype.icdo3.20220429.pdf" TargetMode="External"/><Relationship Id="rId16" Type="http://schemas.openxmlformats.org/officeDocument/2006/relationships/hyperlink" Target="https://terminology.hl7.org/3.1.0/CodeSystem-TNM.html" TargetMode="External"/><Relationship Id="rId20" Type="http://schemas.openxmlformats.org/officeDocument/2006/relationships/hyperlink" Target="https://link.springer.com/book/9783319406176" TargetMode="External"/><Relationship Id="rId29" Type="http://schemas.openxmlformats.org/officeDocument/2006/relationships/hyperlink" Target="https://terminology.hl7.org/3.1.0/CodeSystem-TNM.html" TargetMode="External"/><Relationship Id="rId1" Type="http://schemas.openxmlformats.org/officeDocument/2006/relationships/hyperlink" Target="https://publications.iarc.fr/Book-And-Report-Series/Who-Classification-Of-Tumours/WHO-Classification-Of-Head-And-Neck-Tumours-2017" TargetMode="External"/><Relationship Id="rId6" Type="http://schemas.openxmlformats.org/officeDocument/2006/relationships/hyperlink" Target="https://seer.cancer.gov/icd-o-3/sitetype.icdo3.20220429.pdf" TargetMode="External"/><Relationship Id="rId11" Type="http://schemas.openxmlformats.org/officeDocument/2006/relationships/hyperlink" Target="https://publications.iarc.fr/Book-And-Report-Series/Who-Classification-Of-Tumours/WHO-Classification-Of-Head-And-Neck-Tumours-2017" TargetMode="External"/><Relationship Id="rId24" Type="http://schemas.openxmlformats.org/officeDocument/2006/relationships/hyperlink" Target="https://link.springer.com/book/9783319406176" TargetMode="External"/><Relationship Id="rId5" Type="http://schemas.openxmlformats.org/officeDocument/2006/relationships/hyperlink" Target="https://publications.iarc.fr/Book-And-Report-Series/Who-Classification-Of-Tumours/WHO-Classification-Of-Head-And-Neck-Tumours-2017" TargetMode="External"/><Relationship Id="rId15" Type="http://schemas.openxmlformats.org/officeDocument/2006/relationships/hyperlink" Target="https://link.springer.com/book/9783319406176" TargetMode="External"/><Relationship Id="rId23" Type="http://schemas.openxmlformats.org/officeDocument/2006/relationships/hyperlink" Target="https://terminology.hl7.org/3.1.0/CodeSystem-TNM.html" TargetMode="External"/><Relationship Id="rId28" Type="http://schemas.openxmlformats.org/officeDocument/2006/relationships/hyperlink" Target="https://terminology.hl7.org/3.1.0/CodeSystem-TNM.html" TargetMode="External"/><Relationship Id="rId10" Type="http://schemas.openxmlformats.org/officeDocument/2006/relationships/hyperlink" Target="https://seer.cancer.gov/icd-o-3/sitetype.icdo3.20220429.pdf" TargetMode="External"/><Relationship Id="rId19" Type="http://schemas.openxmlformats.org/officeDocument/2006/relationships/hyperlink" Target="https://browser.ihtsdotools.org/?perspective=full&amp;conceptId1=371480007&amp;edition=MAIN/2022-12-31&amp;release=&amp;languages=en" TargetMode="External"/><Relationship Id="rId31" Type="http://schemas.openxmlformats.org/officeDocument/2006/relationships/comments" Target="../comments1.xml"/><Relationship Id="rId4" Type="http://schemas.openxmlformats.org/officeDocument/2006/relationships/hyperlink" Target="https://seer.cancer.gov/icd-o-3/sitetype.icdo3.20220429.pdf" TargetMode="External"/><Relationship Id="rId9" Type="http://schemas.openxmlformats.org/officeDocument/2006/relationships/hyperlink" Target="https://publications.iarc.fr/Book-And-Report-Series/Who-Classification-Of-Tumours/WHO-Classification-Of-Head-And-Neck-Tumours-2017" TargetMode="External"/><Relationship Id="rId14" Type="http://schemas.openxmlformats.org/officeDocument/2006/relationships/hyperlink" Target="https://terminology.hl7.org/3.1.0/CodeSystem-TNM.html" TargetMode="External"/><Relationship Id="rId22" Type="http://schemas.openxmlformats.org/officeDocument/2006/relationships/hyperlink" Target="https://link.springer.com/book/9783319406176" TargetMode="External"/><Relationship Id="rId27" Type="http://schemas.openxmlformats.org/officeDocument/2006/relationships/hyperlink" Target="https://terminology.hl7.org/3.1.0/CodeSystem-TNM.html" TargetMode="External"/><Relationship Id="rId30"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8.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8.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1.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2.bin"/><Relationship Id="rId4" Type="http://schemas.openxmlformats.org/officeDocument/2006/relationships/ctrlProp" Target="../ctrlProps/ctrlProp11.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4.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5.bin"/><Relationship Id="rId4" Type="http://schemas.openxmlformats.org/officeDocument/2006/relationships/ctrlProp" Target="../ctrlProps/ctrlProp14.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4" Type="http://schemas.openxmlformats.org/officeDocument/2006/relationships/ctrlProp" Target="../ctrlProps/ctrlProp15.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8.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5831-5BFF-480E-9F65-493C0CFB2512}">
  <sheetPr codeName="Foglio29">
    <tabColor theme="7" tint="0.39997558519241921"/>
  </sheetPr>
  <dimension ref="A1:M44"/>
  <sheetViews>
    <sheetView zoomScale="115" zoomScaleNormal="115" workbookViewId="0">
      <selection activeCell="B7" sqref="B7"/>
    </sheetView>
  </sheetViews>
  <sheetFormatPr defaultRowHeight="14.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4" t="s">
        <v>1643</v>
      </c>
      <c r="L1" s="24" t="s">
        <v>21</v>
      </c>
    </row>
    <row r="2" spans="1:12">
      <c r="J2" s="25" t="s">
        <v>20</v>
      </c>
      <c r="L2" s="25" t="s">
        <v>1642</v>
      </c>
    </row>
    <row r="3" spans="1:12" ht="17.75" customHeight="1" thickBot="1">
      <c r="J3" s="25" t="str">
        <f>J1</f>
        <v>//===================================================</v>
      </c>
      <c r="L3" s="25" t="str">
        <f>L1</f>
        <v>// -------------------------------------------------------------------------------</v>
      </c>
    </row>
    <row r="4" spans="1:12">
      <c r="A4" s="5" t="s">
        <v>12</v>
      </c>
      <c r="B4" s="46" t="s">
        <v>1646</v>
      </c>
      <c r="J4" s="17" t="str">
        <f>CONCATENATE("Logical: ",B4)</f>
        <v>Logical: CancerUnderStudyI4rcTest</v>
      </c>
    </row>
    <row r="5" spans="1:12">
      <c r="A5" s="15" t="s">
        <v>17</v>
      </c>
      <c r="B5" s="47" t="s">
        <v>1640</v>
      </c>
      <c r="J5" s="17" t="str">
        <f>CONCATENATE("Id: ",B5)</f>
        <v>Id: CancerUnderStudy</v>
      </c>
    </row>
    <row r="6" spans="1:12">
      <c r="A6" s="15" t="s">
        <v>11</v>
      </c>
      <c r="B6" s="48" t="s">
        <v>1635</v>
      </c>
      <c r="J6" s="18" t="str">
        <f>CONCATENATE("Title: ##34#",B6,"##34#")</f>
        <v>Title: ##34#Cancer Under Study##34#</v>
      </c>
    </row>
    <row r="7" spans="1:12" ht="30.25" thickBot="1">
      <c r="A7" s="27" t="s">
        <v>3</v>
      </c>
      <c r="B7" s="52" t="s">
        <v>1685</v>
      </c>
      <c r="C7" s="9" t="s">
        <v>4</v>
      </c>
      <c r="D7" s="1" t="s">
        <v>5</v>
      </c>
      <c r="E7" s="3" t="s">
        <v>6</v>
      </c>
      <c r="F7" s="3" t="s">
        <v>7</v>
      </c>
      <c r="G7" s="3" t="s">
        <v>8</v>
      </c>
      <c r="H7" s="107" t="s">
        <v>1641</v>
      </c>
      <c r="J7" s="18" t="str">
        <f>CONCATENATE("Description: "," ##334#",B7,"##334#",)</f>
        <v>Description:  ##334#Cancer Under Study
Maturity Level: 0 Draft##334#</v>
      </c>
    </row>
    <row r="8" spans="1:12" ht="73.75">
      <c r="A8" s="108">
        <v>0</v>
      </c>
      <c r="B8" t="s">
        <v>1629</v>
      </c>
      <c r="C8" t="s">
        <v>1647</v>
      </c>
      <c r="D8" t="s">
        <v>1648</v>
      </c>
      <c r="E8">
        <v>0</v>
      </c>
      <c r="F8" s="109">
        <v>1</v>
      </c>
      <c r="G8" s="77" t="s">
        <v>164</v>
      </c>
      <c r="H8" t="s">
        <v>1668</v>
      </c>
      <c r="I8" s="26"/>
      <c r="J8" s="12" t="str">
        <f t="shared" ref="J8:J44" si="0">CONCATENATE("* ",B8, " ",E8,"..",F8," ",G8," ##34#",C8,"##34# ##334#",D8,"##334#")</f>
        <v>* diagnosisDate 0..1 date ##34#Date of diagnosis biopsy or surgical piece##34# ##334#Date of the procedure from which the specimen was obtained that allowed the histological diagnosis##334#</v>
      </c>
      <c r="L8" s="12" t="str">
        <f>IF(H8="",IF(J8="*  ..  ##34###34# ##334###334#",J8,""),IF(J8="*  ..  ##34###34# ##334###334#",J8,CONCATENATE("* ",B8," ^comment = ##334#",H8,"##334#")))</f>
        <v>* diagnosisDate ^comment = ##334#Must be formatted as YYYYMMDD Leave empty if not known Optional rule  Possible date anonymisation by
setting the 15th of every month ie YYYYMM15 If the month is not known we set it to June 06##334#</v>
      </c>
    </row>
    <row r="9" spans="1:12" ht="44.25">
      <c r="A9" s="108">
        <v>1</v>
      </c>
      <c r="B9" t="s">
        <v>1630</v>
      </c>
      <c r="C9" t="s">
        <v>1502</v>
      </c>
      <c r="D9" t="s">
        <v>1649</v>
      </c>
      <c r="E9">
        <v>0</v>
      </c>
      <c r="F9" s="109">
        <v>1</v>
      </c>
      <c r="G9" t="s">
        <v>1631</v>
      </c>
      <c r="H9" t="s">
        <v>1669</v>
      </c>
      <c r="I9" s="26"/>
      <c r="J9" s="12" t="str">
        <f t="shared" si="0"/>
        <v>* ageAtDiagnosis 0..1 integer ##34#Age at diagnosis manual##34# ##334#Age of the patient at the time of the diagnosis##334#</v>
      </c>
      <c r="L9" s="12" t="str">
        <f t="shared" ref="L9:L44" si="1">IF(H9="",IF(J9="*  ..  ##34###34# ##334###334#",J9,""),IF(J9="*  ..  ##34###34# ##334###334#",J9,CONCATENATE("* ",B9," ^comment = ##334#",H9,"##334#")))</f>
        <v>* ageAtDiagnosis ^comment = ##334#An integer value  0 We use the 1 value for unknown Automatic  calculation from date of birth and date of diagnosis##334#</v>
      </c>
    </row>
    <row r="10" spans="1:12" ht="44.25">
      <c r="A10" s="108">
        <v>2</v>
      </c>
      <c r="B10" t="s">
        <v>1634</v>
      </c>
      <c r="C10" t="s">
        <v>1650</v>
      </c>
      <c r="D10" t="s">
        <v>1651</v>
      </c>
      <c r="E10">
        <v>0</v>
      </c>
      <c r="F10" s="109">
        <v>1</v>
      </c>
      <c r="G10" t="s">
        <v>1</v>
      </c>
      <c r="H10" t="s">
        <v>1670</v>
      </c>
      <c r="I10" s="26"/>
      <c r="J10" s="12" t="str">
        <f t="shared" si="0"/>
        <v>* histologyGroup 0..1 string ##34#Histology WHO 2017 group##34# ##334#Histology of prymary tumour  according to WHO 2017 clasification##334#</v>
      </c>
      <c r="L10" s="12" t="str">
        <f t="shared" si="1"/>
        <v>* histologyGroup ^comment = ##334#A value in the WHO 2017 HN classification list##334#</v>
      </c>
    </row>
    <row r="11" spans="1:12" ht="29.5">
      <c r="A11" s="108">
        <v>3</v>
      </c>
      <c r="B11" s="109" t="s">
        <v>1686</v>
      </c>
      <c r="C11" t="s">
        <v>1652</v>
      </c>
      <c r="D11" s="77" t="s">
        <v>1652</v>
      </c>
      <c r="E11">
        <v>0</v>
      </c>
      <c r="F11" s="109">
        <v>1</v>
      </c>
      <c r="G11" t="s">
        <v>2</v>
      </c>
      <c r="H11"/>
      <c r="I11" s="26"/>
      <c r="J11" s="12" t="str">
        <f t="shared" si="0"/>
        <v>* histologyWho2017Subgroup 0..1 BackboneElement ##34#Histology WHO 2017 subgroup##34# ##334#Histology WHO 2017 subgroup##334#</v>
      </c>
      <c r="L11" s="12" t="str">
        <f t="shared" si="1"/>
        <v/>
      </c>
    </row>
    <row r="12" spans="1:12" ht="44.25">
      <c r="A12" s="108">
        <v>4</v>
      </c>
      <c r="B12" s="77" t="s">
        <v>1687</v>
      </c>
      <c r="C12" t="s">
        <v>1518</v>
      </c>
      <c r="D12" t="s">
        <v>1521</v>
      </c>
      <c r="E12">
        <v>0</v>
      </c>
      <c r="F12" s="109">
        <v>1</v>
      </c>
      <c r="G12" t="s">
        <v>1</v>
      </c>
      <c r="H12" t="s">
        <v>1671</v>
      </c>
      <c r="I12" s="26"/>
      <c r="J12" s="12" t="str">
        <f t="shared" si="0"/>
        <v>* histologyWho2017Subgroup.Squamous 0..1 string ##34#Histology subgroup Squamous##34# ##334#Specifies the histological subgroup for squamous cancers##334#</v>
      </c>
      <c r="L12" s="12" t="str">
        <f t="shared" si="1"/>
        <v>* histologyWho2017Subgroup.Squamous ^comment = ##334#A value in the WHO 2017 HN squamous classification list##334#</v>
      </c>
    </row>
    <row r="13" spans="1:12" ht="44.25">
      <c r="A13" s="108">
        <v>5</v>
      </c>
      <c r="B13" s="77" t="s">
        <v>1688</v>
      </c>
      <c r="C13" t="s">
        <v>1524</v>
      </c>
      <c r="D13" t="s">
        <v>1527</v>
      </c>
      <c r="E13">
        <v>0</v>
      </c>
      <c r="F13" s="109">
        <v>1</v>
      </c>
      <c r="G13" t="s">
        <v>1</v>
      </c>
      <c r="H13" t="s">
        <v>1672</v>
      </c>
      <c r="I13" s="26"/>
      <c r="J13" s="12" t="str">
        <f t="shared" si="0"/>
        <v>* histologyWho2017Subgroup.Adenocarcinoma 0..1 string ##34#Histology subgroup Adenocarcinoma##34# ##334#Specifies the histological subgroup for adenocarcinomas##334#</v>
      </c>
      <c r="L13" s="12" t="str">
        <f t="shared" si="1"/>
        <v>* histologyWho2017Subgroup.Adenocarcinoma ^comment = ##334#A value in the WHO 2017 HN adenocarcinoma classification list##334#</v>
      </c>
    </row>
    <row r="14" spans="1:12" ht="44.25">
      <c r="A14" s="108">
        <v>6</v>
      </c>
      <c r="B14" s="77" t="s">
        <v>1689</v>
      </c>
      <c r="C14" t="s">
        <v>1530</v>
      </c>
      <c r="D14" t="s">
        <v>1533</v>
      </c>
      <c r="E14">
        <v>0</v>
      </c>
      <c r="F14" s="109">
        <v>1</v>
      </c>
      <c r="G14" t="s">
        <v>1</v>
      </c>
      <c r="H14" t="s">
        <v>1673</v>
      </c>
      <c r="I14" s="26"/>
      <c r="J14" s="12" t="str">
        <f t="shared" si="0"/>
        <v>* histologyWho2017Subgroup.Neuroendocrine 0..1 string ##34#Histology subgroup Neuroendocrine##34# ##334#Specifies the histological subgroup for neuroendocrine cancers ##334#</v>
      </c>
      <c r="L14" s="12" t="str">
        <f t="shared" si="1"/>
        <v>* histologyWho2017Subgroup.Neuroendocrine ^comment = ##334#A value in the WHO 2017 HN neuroendocrine classification list##334#</v>
      </c>
    </row>
    <row r="15" spans="1:12" ht="44.25">
      <c r="A15" s="108">
        <v>7</v>
      </c>
      <c r="B15" s="77" t="s">
        <v>1690</v>
      </c>
      <c r="C15" t="s">
        <v>1536</v>
      </c>
      <c r="D15" t="s">
        <v>1539</v>
      </c>
      <c r="E15">
        <v>0</v>
      </c>
      <c r="F15" s="109">
        <v>1</v>
      </c>
      <c r="G15" t="s">
        <v>1</v>
      </c>
      <c r="H15" t="s">
        <v>1674</v>
      </c>
      <c r="I15" s="26"/>
      <c r="J15" s="12" t="str">
        <f t="shared" si="0"/>
        <v>* histologyWho2017Subgroup.OdontogenicCarcinoma 0..1 string ##34#Histology subgroup Odontogenic carcinoma##34# ##334#Specifies the histological subgroup for odontogenic carcinomas##334#</v>
      </c>
      <c r="L15" s="12" t="str">
        <f t="shared" si="1"/>
        <v>* histologyWho2017Subgroup.OdontogenicCarcinoma ^comment = ##334#A value in the WHO 2017 HN odontogenic carcinoma classification list##334#</v>
      </c>
    </row>
    <row r="16" spans="1:12" ht="44.25">
      <c r="A16" s="108">
        <v>8</v>
      </c>
      <c r="B16" s="77" t="s">
        <v>1691</v>
      </c>
      <c r="C16" t="s">
        <v>1653</v>
      </c>
      <c r="D16" t="s">
        <v>1545</v>
      </c>
      <c r="E16">
        <v>0</v>
      </c>
      <c r="F16" s="109">
        <v>1</v>
      </c>
      <c r="G16" t="s">
        <v>1</v>
      </c>
      <c r="H16" t="s">
        <v>1675</v>
      </c>
      <c r="I16" s="26"/>
      <c r="J16" s="12" t="str">
        <f t="shared" si="0"/>
        <v>* histologyWho2017Subgroup.SNUC 0..1 string ##34#Histology subgroup Sinonasal undifferentiated carcinoma SNUC##34# ##334#Specifies the histological subgroup for sinonasl undifferentiated carcinomas##334#</v>
      </c>
      <c r="L16" s="12" t="str">
        <f t="shared" si="1"/>
        <v>* histologyWho2017Subgroup.SNUC ^comment = ##334#A value in the WHO 2017 HN SNUC classification list##334#</v>
      </c>
    </row>
    <row r="17" spans="1:13" ht="29.5">
      <c r="A17" s="108">
        <v>9</v>
      </c>
      <c r="B17" t="s">
        <v>1632</v>
      </c>
      <c r="C17" t="s">
        <v>1654</v>
      </c>
      <c r="D17" t="s">
        <v>1655</v>
      </c>
      <c r="E17">
        <v>0</v>
      </c>
      <c r="F17" s="109">
        <v>1</v>
      </c>
      <c r="G17" t="s">
        <v>1</v>
      </c>
      <c r="H17" t="s">
        <v>1552</v>
      </c>
      <c r="I17" s="26"/>
      <c r="J17" s="12" t="str">
        <f t="shared" si="0"/>
        <v>* siteRare 0..1 string ##34#Site  rare AJCC##34# ##334#Describe the primary tumor site according to AJCC ##334#</v>
      </c>
      <c r="L17" s="12" t="str">
        <f t="shared" si="1"/>
        <v>* siteRare ^comment = ##334#A value in the AJCC Cancer Staging Manual 8th site list##334#</v>
      </c>
    </row>
    <row r="18" spans="1:13" ht="29.5">
      <c r="A18" s="108">
        <v>10</v>
      </c>
      <c r="B18" t="s">
        <v>1633</v>
      </c>
      <c r="C18" t="s">
        <v>1656</v>
      </c>
      <c r="D18" t="s">
        <v>1655</v>
      </c>
      <c r="E18">
        <v>0</v>
      </c>
      <c r="F18" s="109">
        <v>1</v>
      </c>
      <c r="G18" t="s">
        <v>1</v>
      </c>
      <c r="H18" t="s">
        <v>1552</v>
      </c>
      <c r="J18" s="12" t="str">
        <f t="shared" si="0"/>
        <v>* siteCommonAndRare 0..1 string ##34#Site common and rare AJCC##34# ##334#Describe the primary tumor site according to AJCC ##334#</v>
      </c>
      <c r="L18" s="12" t="str">
        <f t="shared" si="1"/>
        <v>* siteCommonAndRare ^comment = ##334#A value in the AJCC Cancer Staging Manual 8th site list##334#</v>
      </c>
    </row>
    <row r="19" spans="1:13">
      <c r="A19" s="108">
        <v>11</v>
      </c>
      <c r="B19" t="s">
        <v>1692</v>
      </c>
      <c r="C19" t="s">
        <v>1559</v>
      </c>
      <c r="D19" s="77" t="s">
        <v>1559</v>
      </c>
      <c r="E19">
        <v>0</v>
      </c>
      <c r="F19" s="109">
        <v>1</v>
      </c>
      <c r="G19" t="s">
        <v>2</v>
      </c>
      <c r="H19"/>
      <c r="J19" s="12" t="str">
        <f t="shared" si="0"/>
        <v>* subsite 0..1 BackboneElement ##34#Subsite##34# ##334#Subsite##334#</v>
      </c>
      <c r="L19" s="12" t="str">
        <f t="shared" si="1"/>
        <v/>
      </c>
    </row>
    <row r="20" spans="1:13" ht="44.25">
      <c r="A20" s="108">
        <v>12</v>
      </c>
      <c r="B20" s="77" t="s">
        <v>1693</v>
      </c>
      <c r="C20" t="s">
        <v>1560</v>
      </c>
      <c r="D20" t="s">
        <v>1562</v>
      </c>
      <c r="E20">
        <v>0</v>
      </c>
      <c r="F20" s="109">
        <v>1</v>
      </c>
      <c r="G20" t="s">
        <v>1</v>
      </c>
      <c r="H20" t="s">
        <v>1563</v>
      </c>
      <c r="J20" s="12" t="str">
        <f t="shared" si="0"/>
        <v>* subsite.nasalCavityAndParanasalSinusesSubsite 0..1 string ##34#Nasal cavity and paranasal sinuses subsite##34# ##334#Specifies the subsite for cancers occurred in nasal cavity and paranasal sinusess##334#</v>
      </c>
      <c r="L20" s="12" t="str">
        <f t="shared" si="1"/>
        <v>* subsite.nasalCavityAndParanasalSinusesSubsite ^comment = ##334#A string value in the AJCC Cancer Staging Manual 8th subsite list##334#</v>
      </c>
    </row>
    <row r="21" spans="1:13" ht="29.5">
      <c r="A21" s="108">
        <v>13</v>
      </c>
      <c r="B21" s="77" t="s">
        <v>1694</v>
      </c>
      <c r="C21" t="s">
        <v>1566</v>
      </c>
      <c r="D21" t="s">
        <v>1567</v>
      </c>
      <c r="E21">
        <v>0</v>
      </c>
      <c r="F21" s="109">
        <v>1</v>
      </c>
      <c r="G21" t="s">
        <v>1</v>
      </c>
      <c r="H21" t="s">
        <v>1563</v>
      </c>
      <c r="J21" s="12" t="str">
        <f t="shared" si="0"/>
        <v>* subsite.nasopharynxSubsite 0..1 string ##34#Nasopharynx  subsite##34# ##334#Specifies the subsite for cancers occurred in nasopharynx##334#</v>
      </c>
      <c r="L21" s="12" t="str">
        <f t="shared" si="1"/>
        <v>* subsite.nasopharynxSubsite ^comment = ##334#A string value in the AJCC Cancer Staging Manual 8th subsite list##334#</v>
      </c>
      <c r="M21"/>
    </row>
    <row r="22" spans="1:13" ht="29.5">
      <c r="A22" s="108">
        <v>14</v>
      </c>
      <c r="B22" s="77" t="s">
        <v>1695</v>
      </c>
      <c r="C22" t="s">
        <v>1569</v>
      </c>
      <c r="D22" t="s">
        <v>1570</v>
      </c>
      <c r="E22">
        <v>0</v>
      </c>
      <c r="F22" s="109">
        <v>1</v>
      </c>
      <c r="G22" t="s">
        <v>1</v>
      </c>
      <c r="H22" t="s">
        <v>1563</v>
      </c>
      <c r="J22" s="12" t="str">
        <f t="shared" si="0"/>
        <v>* subsite.hypopharynxSubsite 0..1 string ##34#Hypopharynx subsite##34# ##334#Specifies the subsite for cancers occurred in hypopharynx##334#</v>
      </c>
      <c r="L22" s="12" t="str">
        <f t="shared" si="1"/>
        <v>* subsite.hypopharynxSubsite ^comment = ##334#A string value in the AJCC Cancer Staging Manual 8th subsite list##334#</v>
      </c>
      <c r="M22"/>
    </row>
    <row r="23" spans="1:13" ht="29.5">
      <c r="A23" s="108">
        <v>15</v>
      </c>
      <c r="B23" s="77" t="s">
        <v>1696</v>
      </c>
      <c r="C23" t="s">
        <v>1572</v>
      </c>
      <c r="D23" t="s">
        <v>1573</v>
      </c>
      <c r="E23">
        <v>0</v>
      </c>
      <c r="F23" s="109">
        <v>1</v>
      </c>
      <c r="G23" t="s">
        <v>1</v>
      </c>
      <c r="H23" t="s">
        <v>1563</v>
      </c>
      <c r="J23" s="12" t="str">
        <f t="shared" si="0"/>
        <v>* subsite.oropharynxSubsite 0..1 string ##34#Oropharynx subsite##34# ##334#Specifies the subsite for cancers occurred in oropharynx##334#</v>
      </c>
      <c r="L23" s="12" t="str">
        <f t="shared" si="1"/>
        <v>* subsite.oropharynxSubsite ^comment = ##334#A string value in the AJCC Cancer Staging Manual 8th subsite list##334#</v>
      </c>
      <c r="M23"/>
    </row>
    <row r="24" spans="1:13" ht="29.5">
      <c r="A24" s="108">
        <v>16</v>
      </c>
      <c r="B24" s="77" t="s">
        <v>1697</v>
      </c>
      <c r="C24" t="s">
        <v>1575</v>
      </c>
      <c r="D24" t="s">
        <v>1576</v>
      </c>
      <c r="E24">
        <v>0</v>
      </c>
      <c r="F24" s="109">
        <v>1</v>
      </c>
      <c r="G24" t="s">
        <v>1</v>
      </c>
      <c r="H24" t="s">
        <v>1563</v>
      </c>
      <c r="J24" s="12" t="str">
        <f t="shared" si="0"/>
        <v>* subsite.larynxSubsite 0..1 string ##34#Larynx subsite##34# ##334#Specifies the subsite for cancers occurred in larynx##334#</v>
      </c>
      <c r="L24" s="12" t="str">
        <f t="shared" si="1"/>
        <v>* subsite.larynxSubsite ^comment = ##334#A string value in the AJCC Cancer Staging Manual 8th subsite list##334#</v>
      </c>
      <c r="M24"/>
    </row>
    <row r="25" spans="1:13" ht="29.5">
      <c r="A25" s="108">
        <v>17</v>
      </c>
      <c r="B25" s="77" t="s">
        <v>1698</v>
      </c>
      <c r="C25" t="s">
        <v>1578</v>
      </c>
      <c r="D25" t="s">
        <v>1579</v>
      </c>
      <c r="E25">
        <v>0</v>
      </c>
      <c r="F25" s="109">
        <v>1</v>
      </c>
      <c r="G25" t="s">
        <v>1</v>
      </c>
      <c r="H25" t="s">
        <v>1563</v>
      </c>
      <c r="J25" s="12" t="str">
        <f t="shared" si="0"/>
        <v>* subsite.oralCavitySubsite 0..1 string ##34#Oral cavity subsite##34# ##334#Specifies the subsite for cancers occurred in oral cavity##334#</v>
      </c>
      <c r="L25" s="12" t="str">
        <f t="shared" si="1"/>
        <v>* subsite.oralCavitySubsite ^comment = ##334#A string value in the AJCC Cancer Staging Manual 8th subsite list##334#</v>
      </c>
      <c r="M25"/>
    </row>
    <row r="26" spans="1:13" ht="29.5">
      <c r="A26" s="108">
        <v>18</v>
      </c>
      <c r="B26" s="77" t="s">
        <v>1699</v>
      </c>
      <c r="C26" t="s">
        <v>1581</v>
      </c>
      <c r="D26" t="s">
        <v>1582</v>
      </c>
      <c r="E26">
        <v>0</v>
      </c>
      <c r="F26" s="109">
        <v>1</v>
      </c>
      <c r="G26" t="s">
        <v>1</v>
      </c>
      <c r="H26" t="s">
        <v>1563</v>
      </c>
      <c r="J26" s="12" t="str">
        <f t="shared" si="0"/>
        <v>* subsite.lipSubsite 0..1 string ##34#Lip subsite##34# ##334#Specifies the subsite for cancers occurred in lip##334#</v>
      </c>
      <c r="L26" s="12" t="str">
        <f t="shared" si="1"/>
        <v>* subsite.lipSubsite ^comment = ##334#A string value in the AJCC Cancer Staging Manual 8th subsite list##334#</v>
      </c>
      <c r="M26"/>
    </row>
    <row r="27" spans="1:13" ht="44.25">
      <c r="A27" s="108">
        <v>19</v>
      </c>
      <c r="B27" t="s">
        <v>1700</v>
      </c>
      <c r="C27" t="s">
        <v>1584</v>
      </c>
      <c r="D27" t="s">
        <v>1657</v>
      </c>
      <c r="E27">
        <v>0</v>
      </c>
      <c r="F27" s="109">
        <v>1</v>
      </c>
      <c r="G27" t="s">
        <v>1</v>
      </c>
      <c r="H27" t="s">
        <v>1676</v>
      </c>
      <c r="J27" s="12" t="str">
        <f t="shared" si="0"/>
        <v>* plasmaticEbvDnaAtBaseline 0..1 string ##34#Plasmatic EBV DNA at baseline##34# ##334#Describes the result of EBV DNA plasma testing before treatment in NPC type II and III WHO ##334#</v>
      </c>
      <c r="L27" s="12" t="str">
        <f t="shared" si="1"/>
        <v>* plasmaticEbvDnaAtBaseline ^comment = ##334#A string value representing whether the test value was positive negative or it was untested Empty if unknown##334#</v>
      </c>
      <c r="M27"/>
    </row>
    <row r="28" spans="1:13" ht="29.5">
      <c r="A28" s="108">
        <v>20</v>
      </c>
      <c r="B28" t="s">
        <v>1701</v>
      </c>
      <c r="C28" t="s">
        <v>1588</v>
      </c>
      <c r="D28" t="s">
        <v>1658</v>
      </c>
      <c r="E28">
        <v>0</v>
      </c>
      <c r="F28" s="109">
        <v>1</v>
      </c>
      <c r="G28" t="s">
        <v>1</v>
      </c>
      <c r="H28" t="s">
        <v>1677</v>
      </c>
      <c r="J28" s="12" t="str">
        <f t="shared" si="0"/>
        <v>* primerType 0..1 string ##34#Primer type##34# ##334#Describes the primer used for EBV DNA plasma testing t in NPC type II and Type III WHO ##334#</v>
      </c>
      <c r="L28" s="12" t="str">
        <f t="shared" si="1"/>
        <v>* primerType ^comment = ##334#A string value representing the plasma testing type Empty if unknown##334#</v>
      </c>
      <c r="M28"/>
    </row>
    <row r="29" spans="1:13" ht="29.5">
      <c r="A29" s="108">
        <v>21</v>
      </c>
      <c r="B29" t="s">
        <v>1702</v>
      </c>
      <c r="C29" t="s">
        <v>876</v>
      </c>
      <c r="D29" t="s">
        <v>1593</v>
      </c>
      <c r="E29">
        <v>0</v>
      </c>
      <c r="F29" s="109">
        <v>1</v>
      </c>
      <c r="G29" t="s">
        <v>1631</v>
      </c>
      <c r="H29" t="s">
        <v>1678</v>
      </c>
      <c r="I29" s="2"/>
      <c r="J29" s="12" t="str">
        <f t="shared" si="0"/>
        <v>* copyNumber 0..1 integer ##34#Copy Number##34# ##334#Copy number of EBVDNA##334#</v>
      </c>
      <c r="L29" s="12" t="str">
        <f t="shared" si="1"/>
        <v>* copyNumber ^comment = ##334#An integer for the number of EBVDNA Empty if unknown##334#</v>
      </c>
      <c r="M29"/>
    </row>
    <row r="30" spans="1:13" ht="44.25">
      <c r="A30" s="108">
        <v>22</v>
      </c>
      <c r="B30" t="s">
        <v>1703</v>
      </c>
      <c r="C30" t="s">
        <v>1595</v>
      </c>
      <c r="D30" t="s">
        <v>1596</v>
      </c>
      <c r="E30">
        <v>0</v>
      </c>
      <c r="F30" s="109">
        <v>1</v>
      </c>
      <c r="G30" t="s">
        <v>1</v>
      </c>
      <c r="H30" t="s">
        <v>1679</v>
      </c>
      <c r="J30" s="12" t="str">
        <f t="shared" si="0"/>
        <v>* hpvStatus 0..1 string ##34#HPV status##34# ##334#Describes the result of HPV tumor testing in oral carcinoma ##334#</v>
      </c>
      <c r="L30" s="12" t="str">
        <f t="shared" si="1"/>
        <v>* hpvStatus ^comment = ##334#A string value representing whether the result was positive negative or not tested Empty if unknown##334#</v>
      </c>
    </row>
    <row r="31" spans="1:13" ht="44.25">
      <c r="A31" s="108">
        <v>23</v>
      </c>
      <c r="B31" t="s">
        <v>1704</v>
      </c>
      <c r="C31" t="s">
        <v>1599</v>
      </c>
      <c r="D31" t="s">
        <v>1601</v>
      </c>
      <c r="E31">
        <v>0</v>
      </c>
      <c r="F31" s="109">
        <v>1</v>
      </c>
      <c r="G31" t="s">
        <v>1</v>
      </c>
      <c r="H31" t="s">
        <v>1680</v>
      </c>
      <c r="J31" s="12" t="str">
        <f t="shared" si="0"/>
        <v>* hpvStatusDetectedBy 0..1 string ##34#HPV status detected by##34# ##334#Describes the technique used for HPV tumour testing in orall carcinoma##334#</v>
      </c>
      <c r="L31" s="12" t="str">
        <f t="shared" si="1"/>
        <v>* hpvStatusDetectedBy ^comment = ##334#A string value representing which was the used technique Empty if unknown##334#</v>
      </c>
    </row>
    <row r="32" spans="1:13" ht="44.25">
      <c r="A32" s="108">
        <v>24</v>
      </c>
      <c r="B32" t="s">
        <v>1604</v>
      </c>
      <c r="C32" t="s">
        <v>1604</v>
      </c>
      <c r="D32" t="s">
        <v>1605</v>
      </c>
      <c r="E32">
        <v>0</v>
      </c>
      <c r="F32" s="109">
        <v>1</v>
      </c>
      <c r="G32" t="s">
        <v>1</v>
      </c>
      <c r="H32" t="s">
        <v>1679</v>
      </c>
      <c r="J32" s="12" t="str">
        <f t="shared" si="0"/>
        <v>* p16 0..1 string ##34#p16##34# ##334#Describes the result of p16 tumour testing in oral carcinoma##334#</v>
      </c>
      <c r="L32" s="12" t="str">
        <f t="shared" si="1"/>
        <v>* p16 ^comment = ##334#A string value representing whether the result was positive negative or not tested Empty if unknown##334#</v>
      </c>
    </row>
    <row r="33" spans="1:12" ht="44.25">
      <c r="A33" s="108">
        <v>25</v>
      </c>
      <c r="B33" t="s">
        <v>1705</v>
      </c>
      <c r="C33" t="s">
        <v>1659</v>
      </c>
      <c r="D33" t="s">
        <v>1608</v>
      </c>
      <c r="E33">
        <v>0</v>
      </c>
      <c r="F33" s="109">
        <v>1</v>
      </c>
      <c r="G33" t="s">
        <v>1</v>
      </c>
      <c r="H33" t="s">
        <v>1679</v>
      </c>
      <c r="J33" s="12" t="str">
        <f t="shared" si="0"/>
        <v>* pdL1 0..1 string ##34#PDL1##34# ##334#Describes the result of PDL tumour testing in oral carcinoma##334#</v>
      </c>
      <c r="L33" s="12" t="str">
        <f t="shared" si="1"/>
        <v>* pdL1 ^comment = ##334#A string value representing whether the result was positive negative or not tested Empty if unknown##334#</v>
      </c>
    </row>
    <row r="34" spans="1:12" ht="29.5">
      <c r="A34" s="108">
        <v>26</v>
      </c>
      <c r="B34" t="s">
        <v>1706</v>
      </c>
      <c r="C34" t="s">
        <v>1660</v>
      </c>
      <c r="D34" t="s">
        <v>1611</v>
      </c>
      <c r="E34">
        <v>0</v>
      </c>
      <c r="F34" s="109">
        <v>1</v>
      </c>
      <c r="G34" t="s">
        <v>1</v>
      </c>
      <c r="H34" t="s">
        <v>1680</v>
      </c>
      <c r="J34" s="12" t="str">
        <f t="shared" si="0"/>
        <v>* pdL1Method 0..1 string ##34#PDL1 Method##34# ##334#Describes the technique used for PDL tumour testing in oral carcinoma##334#</v>
      </c>
      <c r="L34" s="12" t="str">
        <f t="shared" si="1"/>
        <v>* pdL1Method ^comment = ##334#A string value representing which was the used technique Empty if unknown##334#</v>
      </c>
    </row>
    <row r="35" spans="1:12" ht="29.5">
      <c r="A35" s="108">
        <v>27</v>
      </c>
      <c r="B35" t="s">
        <v>1707</v>
      </c>
      <c r="C35" t="s">
        <v>1661</v>
      </c>
      <c r="D35" t="s">
        <v>1662</v>
      </c>
      <c r="E35">
        <v>0</v>
      </c>
      <c r="F35" s="109">
        <v>1</v>
      </c>
      <c r="G35" t="s">
        <v>1631</v>
      </c>
      <c r="H35" t="s">
        <v>1681</v>
      </c>
      <c r="J35" s="12" t="str">
        <f t="shared" si="0"/>
        <v>* pdL1CpsValue 0..1 integer ##34#PDL1 CPS value##34# ##334#Result of PDL1CPS testing when performed##334#</v>
      </c>
      <c r="L35" s="12" t="str">
        <f t="shared" si="1"/>
        <v>* pdL1CpsValue ^comment = ##334#An integer for the PDL1CPS test Empty if unknown##334#</v>
      </c>
    </row>
    <row r="36" spans="1:12" ht="29.5">
      <c r="A36" s="108">
        <v>28</v>
      </c>
      <c r="B36" t="s">
        <v>1708</v>
      </c>
      <c r="C36" t="s">
        <v>1663</v>
      </c>
      <c r="D36" t="s">
        <v>1664</v>
      </c>
      <c r="E36">
        <v>0</v>
      </c>
      <c r="F36" s="109">
        <v>1</v>
      </c>
      <c r="G36" t="s">
        <v>1631</v>
      </c>
      <c r="H36" t="s">
        <v>1682</v>
      </c>
      <c r="J36" s="12" t="str">
        <f t="shared" si="0"/>
        <v>* pdL1TpsValue 0..1 integer ##34#PDL1 TPS value##34# ##334#Result of PDL1TPS testing when performed##334#</v>
      </c>
      <c r="L36" s="12" t="str">
        <f t="shared" si="1"/>
        <v>* pdL1TpsValue ^comment = ##334#An integer for the PDL1TPS test Empty if unknown##334#</v>
      </c>
    </row>
    <row r="37" spans="1:12" ht="44.25">
      <c r="A37" s="108">
        <v>29</v>
      </c>
      <c r="B37" t="s">
        <v>1709</v>
      </c>
      <c r="C37" t="s">
        <v>1665</v>
      </c>
      <c r="D37" t="s">
        <v>1622</v>
      </c>
      <c r="E37">
        <v>0</v>
      </c>
      <c r="F37" s="109">
        <v>1</v>
      </c>
      <c r="G37" t="s">
        <v>1</v>
      </c>
      <c r="H37" t="s">
        <v>1679</v>
      </c>
      <c r="J37" s="12" t="str">
        <f t="shared" si="0"/>
        <v>* crpCReactiveProteinTested 0..1 string ##34#CRP  C reactive protein tested ##34# ##334#Describes the result of C reactive protein testing##334#</v>
      </c>
      <c r="L37" s="12" t="str">
        <f t="shared" si="1"/>
        <v>* crpCReactiveProteinTested ^comment = ##334#A string value representing whether the result was positive negative or not tested Empty if unknown##334#</v>
      </c>
    </row>
    <row r="38" spans="1:12" ht="29.5">
      <c r="A38" s="108">
        <v>30</v>
      </c>
      <c r="B38" t="s">
        <v>1710</v>
      </c>
      <c r="C38" t="s">
        <v>1666</v>
      </c>
      <c r="D38" t="s">
        <v>1667</v>
      </c>
      <c r="E38">
        <v>0</v>
      </c>
      <c r="F38" s="109">
        <v>1</v>
      </c>
      <c r="G38" t="s">
        <v>1631</v>
      </c>
      <c r="H38" t="s">
        <v>1683</v>
      </c>
      <c r="J38" s="12" t="str">
        <f t="shared" si="0"/>
        <v>* cReactiveProteinCrpMgDl 0..1 integer ##34#C reactive protein  CRP mgdl##34# ##334#Result of CRP testing when performed##334#</v>
      </c>
      <c r="L38" s="12" t="str">
        <f t="shared" si="1"/>
        <v>* cReactiveProteinCrpMgDl ^comment = ##334#An integer for the CRP test Empty if unknown##334#</v>
      </c>
    </row>
    <row r="39" spans="1:12" ht="29.5">
      <c r="A39" s="108">
        <v>31</v>
      </c>
      <c r="B39" t="s">
        <v>1711</v>
      </c>
      <c r="C39" t="s">
        <v>1626</v>
      </c>
      <c r="D39" t="s">
        <v>153</v>
      </c>
      <c r="E39">
        <v>0</v>
      </c>
      <c r="F39" s="109">
        <v>1</v>
      </c>
      <c r="G39" t="s">
        <v>165</v>
      </c>
      <c r="H39" t="s">
        <v>1684</v>
      </c>
      <c r="J39" s="12" t="str">
        <f t="shared" si="0"/>
        <v>* instrumentStatus 0..1 boolean ##34#Instrument status##34# ##334#Describe if the instument is fully compiled or not##334#</v>
      </c>
      <c r="L39" s="12" t="str">
        <f t="shared" si="1"/>
        <v>* instrumentStatus ^comment = ##334#A boolean for the instrument if it was fully compiled or not##334#</v>
      </c>
    </row>
    <row r="40" spans="1:12">
      <c r="J40" s="12" t="str">
        <f t="shared" si="0"/>
        <v>*  ..  ##34###34# ##334###334#</v>
      </c>
      <c r="L40" s="12" t="str">
        <f t="shared" si="1"/>
        <v>*  ..  ##34###34# ##334###334#</v>
      </c>
    </row>
    <row r="41" spans="1:12">
      <c r="J41" s="12" t="str">
        <f t="shared" si="0"/>
        <v>*  ..  ##34###34# ##334###334#</v>
      </c>
      <c r="L41" s="12" t="str">
        <f t="shared" si="1"/>
        <v>*  ..  ##34###34# ##334###334#</v>
      </c>
    </row>
    <row r="42" spans="1:12">
      <c r="J42" s="12" t="str">
        <f t="shared" si="0"/>
        <v>*  ..  ##34###34# ##334###334#</v>
      </c>
      <c r="L42" s="12" t="str">
        <f t="shared" si="1"/>
        <v>*  ..  ##34###34# ##334###334#</v>
      </c>
    </row>
    <row r="43" spans="1:12">
      <c r="J43" s="12" t="str">
        <f t="shared" si="0"/>
        <v>*  ..  ##34###34# ##334###334#</v>
      </c>
      <c r="L43" s="12" t="str">
        <f t="shared" si="1"/>
        <v>*  ..  ##34###34# ##334###334#</v>
      </c>
    </row>
    <row r="44" spans="1:12">
      <c r="J44" s="12" t="str">
        <f t="shared" si="0"/>
        <v>*  ..  ##34###34# ##334###334#</v>
      </c>
      <c r="L44" s="12" t="str">
        <f t="shared" si="1"/>
        <v>*  ..  ##34###34# ##334###334#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8E7A6-8F71-491B-98D0-90CB3B431D7B}">
  <sheetPr codeName="Foglio46"/>
  <dimension ref="A1:O48"/>
  <sheetViews>
    <sheetView topLeftCell="A6" workbookViewId="0">
      <selection activeCell="B9" sqref="B9"/>
    </sheetView>
  </sheetViews>
  <sheetFormatPr defaultRowHeight="14.75"/>
  <cols>
    <col min="2" max="2" width="49.5" customWidth="1"/>
    <col min="3" max="3" width="76.40625" style="2" customWidth="1"/>
    <col min="4" max="4" width="8.04296875" customWidth="1"/>
    <col min="5" max="5" width="101.2265625" style="2" customWidth="1"/>
    <col min="6" max="6" width="10.76953125" customWidth="1"/>
    <col min="7" max="7" width="45.26953125" customWidth="1"/>
  </cols>
  <sheetData>
    <row r="1" spans="1:15">
      <c r="E1" s="16" t="s">
        <v>21</v>
      </c>
      <c r="H1" s="7"/>
      <c r="I1" s="7"/>
      <c r="J1" s="7"/>
      <c r="K1" s="7"/>
      <c r="L1" s="7"/>
      <c r="M1" s="7"/>
      <c r="N1" s="7"/>
      <c r="O1" s="7"/>
    </row>
    <row r="2" spans="1:15">
      <c r="E2" s="23" t="s">
        <v>22</v>
      </c>
      <c r="H2" s="7"/>
      <c r="I2" s="7"/>
      <c r="J2" s="7"/>
      <c r="K2" s="7"/>
      <c r="L2" s="7"/>
      <c r="M2" s="7"/>
      <c r="N2" s="7"/>
      <c r="O2" s="7"/>
    </row>
    <row r="3" spans="1:15" ht="15.5" thickBot="1">
      <c r="E3" s="23" t="str">
        <f>E1</f>
        <v>// -------------------------------------------------------------------------------</v>
      </c>
      <c r="H3" s="7"/>
      <c r="I3" s="7"/>
      <c r="J3" s="7"/>
      <c r="K3" s="7"/>
      <c r="L3" s="7"/>
      <c r="M3" s="7"/>
      <c r="N3" s="7"/>
      <c r="O3" s="7"/>
    </row>
    <row r="4" spans="1:15" ht="15.5" thickBot="1">
      <c r="B4" s="10" t="s">
        <v>18</v>
      </c>
      <c r="C4" s="29" t="s">
        <v>1636</v>
      </c>
      <c r="E4" s="20" t="str">
        <f>CONCATENATE("Mapping: ",C4)</f>
        <v>Mapping: I4RCCancerUnderStudy2Fhir</v>
      </c>
      <c r="H4" s="7"/>
      <c r="I4" s="7"/>
      <c r="J4" s="7"/>
      <c r="K4" s="7"/>
      <c r="L4" s="7"/>
      <c r="M4" s="7"/>
      <c r="N4" s="7"/>
      <c r="O4" s="7"/>
    </row>
    <row r="5" spans="1:15" ht="15.5" thickBot="1">
      <c r="B5" s="10" t="s">
        <v>17</v>
      </c>
      <c r="C5" s="13" t="s">
        <v>14</v>
      </c>
      <c r="E5" s="21" t="str">
        <f>CONCATENATE("Id: ",C5)</f>
        <v>Id: fhir</v>
      </c>
      <c r="H5" s="7"/>
      <c r="I5" s="7"/>
      <c r="J5" s="7"/>
      <c r="K5" s="7"/>
      <c r="L5" s="7"/>
      <c r="M5" s="7"/>
      <c r="N5" s="7"/>
      <c r="O5" s="7"/>
    </row>
    <row r="6" spans="1:15" ht="15.5" thickBot="1">
      <c r="B6" s="10" t="s">
        <v>11</v>
      </c>
      <c r="C6" s="7" t="s">
        <v>168</v>
      </c>
      <c r="E6" s="21" t="str">
        <f>CONCATENATE("Title: ##34#",C6,"##34#")</f>
        <v>Title: ##34#Idea4RC Subject model to FHIR R4 Map##34#</v>
      </c>
      <c r="H6" s="7"/>
      <c r="I6" s="7"/>
      <c r="J6" s="7"/>
      <c r="K6" s="7"/>
      <c r="L6" s="7"/>
      <c r="M6" s="7"/>
      <c r="N6" s="7"/>
      <c r="O6" s="7"/>
    </row>
    <row r="7" spans="1:15" ht="15.5" thickBot="1">
      <c r="B7" s="10" t="s">
        <v>19</v>
      </c>
      <c r="C7" s="8" t="str">
        <f>B9</f>
        <v>CancerUnderStudy</v>
      </c>
      <c r="E7" s="21" t="str">
        <f>CONCATENATE("Source: ",C7)</f>
        <v>Source: CancerUnderStudy</v>
      </c>
      <c r="H7" s="7"/>
      <c r="I7" s="7"/>
      <c r="J7" s="7"/>
      <c r="K7" s="7"/>
      <c r="L7" s="7"/>
      <c r="M7" s="7"/>
      <c r="N7" s="7"/>
      <c r="O7" s="7"/>
    </row>
    <row r="8" spans="1:15" ht="15.5" thickBot="1">
      <c r="B8" s="19" t="s">
        <v>16</v>
      </c>
      <c r="C8" t="s">
        <v>13</v>
      </c>
      <c r="E8" s="22" t="str">
        <f>CONCATENATE("Target: ##34#",C8,"##34#")</f>
        <v>Target: ##34#hl7.org/fhir/r4##34#</v>
      </c>
      <c r="H8" s="7"/>
      <c r="I8" s="7"/>
      <c r="J8" s="7"/>
      <c r="K8" s="7"/>
      <c r="L8" s="7"/>
      <c r="M8" s="7"/>
      <c r="N8" s="7"/>
      <c r="O8" s="7"/>
    </row>
    <row r="9" spans="1:15">
      <c r="A9" s="11"/>
      <c r="B9" s="6" t="str">
        <f>'CancerUnderStudy-test'!B5</f>
        <v>CancerUnderStudy</v>
      </c>
      <c r="C9" s="6" t="s">
        <v>1637</v>
      </c>
      <c r="E9" s="28" t="str">
        <f>CONCATENATE("* -&gt; ##34#",C9,"##34#")</f>
        <v>* -&gt; ##34#TBD##34#</v>
      </c>
      <c r="H9" s="7"/>
      <c r="I9" s="7"/>
      <c r="J9" s="7"/>
      <c r="K9" s="7"/>
      <c r="L9" s="7"/>
      <c r="M9" s="7"/>
      <c r="N9" s="7"/>
      <c r="O9" s="7"/>
    </row>
    <row r="10" spans="1:15">
      <c r="A10" s="11"/>
      <c r="B10" s="11" t="str">
        <f>'CancerUnderStudy-test'!B8</f>
        <v>diagnosisDate</v>
      </c>
      <c r="C10" s="11" t="s">
        <v>1637</v>
      </c>
      <c r="E10" s="12" t="str">
        <f t="shared" ref="E10:E45" si="0">IF(B10=0,"*  -&gt; ##34###34#",CONCATENATE("* ",B10," -&gt; ##34#",C10,"##34#"))</f>
        <v>* diagnosisDate -&gt; ##34#TBD##34#</v>
      </c>
      <c r="H10" s="7"/>
      <c r="I10" s="7"/>
      <c r="J10" s="7"/>
      <c r="K10" s="7"/>
      <c r="L10" s="7"/>
      <c r="M10" s="7"/>
      <c r="N10" s="7"/>
      <c r="O10" s="7"/>
    </row>
    <row r="11" spans="1:15">
      <c r="A11" s="11"/>
      <c r="B11" s="11" t="str">
        <f>'CancerUnderStudy-test'!B9</f>
        <v>ageAtDiagnosis</v>
      </c>
      <c r="C11" s="11" t="s">
        <v>1637</v>
      </c>
      <c r="E11" s="12" t="str">
        <f t="shared" si="0"/>
        <v>* ageAtDiagnosis -&gt; ##34#TBD##34#</v>
      </c>
      <c r="H11" s="7"/>
      <c r="I11" s="7"/>
      <c r="J11" s="7"/>
      <c r="K11" s="7"/>
      <c r="L11" s="7"/>
      <c r="M11" s="7"/>
      <c r="N11" s="7"/>
      <c r="O11" s="7"/>
    </row>
    <row r="12" spans="1:15">
      <c r="A12" s="11"/>
      <c r="B12" s="11" t="str">
        <f>'CancerUnderStudy-test'!B10</f>
        <v>histologyGroup</v>
      </c>
      <c r="C12" s="11" t="s">
        <v>1637</v>
      </c>
      <c r="E12" s="12" t="str">
        <f t="shared" si="0"/>
        <v>* histologyGroup -&gt; ##34#TBD##34#</v>
      </c>
      <c r="H12" s="7"/>
      <c r="I12" s="7"/>
      <c r="J12" s="7"/>
      <c r="K12" s="7"/>
      <c r="L12" s="7"/>
      <c r="M12" s="7"/>
      <c r="N12" s="7"/>
      <c r="O12" s="7"/>
    </row>
    <row r="13" spans="1:15">
      <c r="A13" s="11"/>
      <c r="B13" s="11" t="str">
        <f>'CancerUnderStudy-test'!B11</f>
        <v>histologyWho2017Subgroup</v>
      </c>
      <c r="C13" s="11" t="s">
        <v>1637</v>
      </c>
      <c r="E13" s="12" t="str">
        <f t="shared" si="0"/>
        <v>* histologyWho2017Subgroup -&gt; ##34#TBD##34#</v>
      </c>
      <c r="H13" s="7"/>
      <c r="I13" s="7"/>
      <c r="J13" s="7"/>
      <c r="K13" s="7"/>
      <c r="L13" s="7"/>
      <c r="M13" s="7"/>
      <c r="N13" s="7"/>
      <c r="O13" s="7"/>
    </row>
    <row r="14" spans="1:15">
      <c r="A14" s="11"/>
      <c r="B14" s="11" t="str">
        <f>'CancerUnderStudy-test'!B12</f>
        <v>histologyWho2017Subgroup.Squamous</v>
      </c>
      <c r="C14" s="11" t="s">
        <v>1637</v>
      </c>
      <c r="E14" s="12" t="str">
        <f t="shared" si="0"/>
        <v>* histologyWho2017Subgroup.Squamous -&gt; ##34#TBD##34#</v>
      </c>
      <c r="H14" s="7"/>
      <c r="I14" s="7"/>
      <c r="J14" s="7"/>
      <c r="K14" s="7"/>
      <c r="L14" s="7"/>
      <c r="M14" s="7"/>
      <c r="N14" s="7"/>
      <c r="O14" s="7"/>
    </row>
    <row r="15" spans="1:15">
      <c r="A15" s="11"/>
      <c r="B15" s="11" t="str">
        <f>'CancerUnderStudy-test'!B13</f>
        <v>histologyWho2017Subgroup.Adenocarcinoma</v>
      </c>
      <c r="C15" s="11" t="s">
        <v>1637</v>
      </c>
      <c r="E15" s="12" t="str">
        <f t="shared" si="0"/>
        <v>* histologyWho2017Subgroup.Adenocarcinoma -&gt; ##34#TBD##34#</v>
      </c>
      <c r="H15" s="7"/>
      <c r="I15" s="7"/>
      <c r="J15" s="7"/>
      <c r="K15" s="7"/>
      <c r="L15" s="7"/>
      <c r="M15" s="7"/>
      <c r="N15" s="7"/>
      <c r="O15" s="7"/>
    </row>
    <row r="16" spans="1:15">
      <c r="A16" s="11"/>
      <c r="B16" s="11" t="str">
        <f>'CancerUnderStudy-test'!B14</f>
        <v>histologyWho2017Subgroup.Neuroendocrine</v>
      </c>
      <c r="C16" s="11" t="s">
        <v>1637</v>
      </c>
      <c r="E16" s="12" t="str">
        <f t="shared" si="0"/>
        <v>* histologyWho2017Subgroup.Neuroendocrine -&gt; ##34#TBD##34#</v>
      </c>
      <c r="H16" s="7"/>
      <c r="I16" s="7"/>
      <c r="J16" s="7"/>
      <c r="K16" s="7"/>
      <c r="L16" s="7"/>
      <c r="M16" s="7"/>
      <c r="N16" s="7"/>
      <c r="O16" s="7"/>
    </row>
    <row r="17" spans="1:5">
      <c r="A17" s="11"/>
      <c r="B17" s="11" t="str">
        <f>'CancerUnderStudy-test'!B15</f>
        <v>histologyWho2017Subgroup.OdontogenicCarcinoma</v>
      </c>
      <c r="C17" s="11" t="s">
        <v>1637</v>
      </c>
      <c r="E17" s="12" t="str">
        <f t="shared" si="0"/>
        <v>* histologyWho2017Subgroup.OdontogenicCarcinoma -&gt; ##34#TBD##34#</v>
      </c>
    </row>
    <row r="18" spans="1:5">
      <c r="A18" s="11"/>
      <c r="B18" s="11" t="str">
        <f>'CancerUnderStudy-test'!B16</f>
        <v>histologyWho2017Subgroup.SNUC</v>
      </c>
      <c r="C18" s="11" t="s">
        <v>1637</v>
      </c>
      <c r="E18" s="12" t="str">
        <f t="shared" si="0"/>
        <v>* histologyWho2017Subgroup.SNUC -&gt; ##34#TBD##34#</v>
      </c>
    </row>
    <row r="19" spans="1:5">
      <c r="A19" s="11"/>
      <c r="B19" s="11" t="str">
        <f>'CancerUnderStudy-test'!B17</f>
        <v>siteRare</v>
      </c>
      <c r="C19" s="11" t="s">
        <v>1637</v>
      </c>
      <c r="E19" s="12" t="str">
        <f t="shared" si="0"/>
        <v>* siteRare -&gt; ##34#TBD##34#</v>
      </c>
    </row>
    <row r="20" spans="1:5">
      <c r="A20" s="11"/>
      <c r="B20" s="11" t="str">
        <f>'CancerUnderStudy-test'!B18</f>
        <v>siteCommonAndRare</v>
      </c>
      <c r="C20" s="11" t="s">
        <v>1637</v>
      </c>
      <c r="E20" s="12" t="str">
        <f t="shared" si="0"/>
        <v>* siteCommonAndRare -&gt; ##34#TBD##34#</v>
      </c>
    </row>
    <row r="21" spans="1:5">
      <c r="B21" s="11" t="str">
        <f>'CancerUnderStudy-test'!B19</f>
        <v>subsite</v>
      </c>
      <c r="C21" s="11" t="s">
        <v>1637</v>
      </c>
      <c r="E21" s="12" t="str">
        <f t="shared" si="0"/>
        <v>* subsite -&gt; ##34#TBD##34#</v>
      </c>
    </row>
    <row r="22" spans="1:5">
      <c r="B22" s="11" t="str">
        <f>'CancerUnderStudy-test'!B20</f>
        <v>subsite.nasalCavityAndParanasalSinusesSubsite</v>
      </c>
      <c r="C22" s="11" t="s">
        <v>1637</v>
      </c>
      <c r="E22" s="12" t="str">
        <f t="shared" si="0"/>
        <v>* subsite.nasalCavityAndParanasalSinusesSubsite -&gt; ##34#TBD##34#</v>
      </c>
    </row>
    <row r="23" spans="1:5">
      <c r="B23" s="11" t="str">
        <f>'CancerUnderStudy-test'!B21</f>
        <v>subsite.nasopharynxSubsite</v>
      </c>
      <c r="C23" s="11" t="s">
        <v>1637</v>
      </c>
      <c r="E23" s="12" t="str">
        <f t="shared" si="0"/>
        <v>* subsite.nasopharynxSubsite -&gt; ##34#TBD##34#</v>
      </c>
    </row>
    <row r="24" spans="1:5">
      <c r="B24" s="11" t="str">
        <f>'CancerUnderStudy-test'!B22</f>
        <v>subsite.hypopharynxSubsite</v>
      </c>
      <c r="C24" s="11" t="s">
        <v>1637</v>
      </c>
      <c r="E24" s="12" t="str">
        <f t="shared" si="0"/>
        <v>* subsite.hypopharynxSubsite -&gt; ##34#TBD##34#</v>
      </c>
    </row>
    <row r="25" spans="1:5">
      <c r="B25" s="11" t="str">
        <f>'CancerUnderStudy-test'!B23</f>
        <v>subsite.oropharynxSubsite</v>
      </c>
      <c r="C25" s="11" t="s">
        <v>1637</v>
      </c>
      <c r="E25" s="12" t="str">
        <f t="shared" si="0"/>
        <v>* subsite.oropharynxSubsite -&gt; ##34#TBD##34#</v>
      </c>
    </row>
    <row r="26" spans="1:5">
      <c r="B26" s="11" t="str">
        <f>'CancerUnderStudy-test'!B24</f>
        <v>subsite.larynxSubsite</v>
      </c>
      <c r="C26" s="11" t="s">
        <v>1637</v>
      </c>
      <c r="E26" s="12" t="str">
        <f t="shared" si="0"/>
        <v>* subsite.larynxSubsite -&gt; ##34#TBD##34#</v>
      </c>
    </row>
    <row r="27" spans="1:5">
      <c r="B27" s="11" t="str">
        <f>'CancerUnderStudy-test'!B25</f>
        <v>subsite.oralCavitySubsite</v>
      </c>
      <c r="C27" s="11" t="s">
        <v>1637</v>
      </c>
      <c r="E27" s="12" t="str">
        <f t="shared" si="0"/>
        <v>* subsite.oralCavitySubsite -&gt; ##34#TBD##34#</v>
      </c>
    </row>
    <row r="28" spans="1:5">
      <c r="B28" s="11" t="str">
        <f>'CancerUnderStudy-test'!B26</f>
        <v>subsite.lipSubsite</v>
      </c>
      <c r="C28" s="11" t="s">
        <v>1637</v>
      </c>
      <c r="E28" s="12" t="str">
        <f t="shared" si="0"/>
        <v>* subsite.lipSubsite -&gt; ##34#TBD##34#</v>
      </c>
    </row>
    <row r="29" spans="1:5">
      <c r="B29" s="11" t="str">
        <f>'CancerUnderStudy-test'!B27</f>
        <v>plasmaticEbvDnaAtBaseline</v>
      </c>
      <c r="C29" s="11" t="s">
        <v>1637</v>
      </c>
      <c r="E29" s="12" t="str">
        <f t="shared" si="0"/>
        <v>* plasmaticEbvDnaAtBaseline -&gt; ##34#TBD##34#</v>
      </c>
    </row>
    <row r="30" spans="1:5">
      <c r="B30" s="11" t="str">
        <f>'CancerUnderStudy-test'!B28</f>
        <v>primerType</v>
      </c>
      <c r="C30" s="11" t="s">
        <v>1637</v>
      </c>
      <c r="E30" s="12" t="str">
        <f t="shared" si="0"/>
        <v>* primerType -&gt; ##34#TBD##34#</v>
      </c>
    </row>
    <row r="31" spans="1:5">
      <c r="B31" s="11" t="str">
        <f>'CancerUnderStudy-test'!B29</f>
        <v>copyNumber</v>
      </c>
      <c r="C31" s="11" t="s">
        <v>1637</v>
      </c>
      <c r="E31" s="12" t="str">
        <f t="shared" si="0"/>
        <v>* copyNumber -&gt; ##34#TBD##34#</v>
      </c>
    </row>
    <row r="32" spans="1:5">
      <c r="B32" s="11" t="str">
        <f>'CancerUnderStudy-test'!B30</f>
        <v>hpvStatus</v>
      </c>
      <c r="C32" s="11" t="s">
        <v>1637</v>
      </c>
      <c r="E32" s="12" t="str">
        <f t="shared" si="0"/>
        <v>* hpvStatus -&gt; ##34#TBD##34#</v>
      </c>
    </row>
    <row r="33" spans="2:5">
      <c r="B33" s="11" t="str">
        <f>'CancerUnderStudy-test'!B31</f>
        <v>hpvStatusDetectedBy</v>
      </c>
      <c r="C33" s="11" t="s">
        <v>1637</v>
      </c>
      <c r="E33" s="12" t="str">
        <f t="shared" si="0"/>
        <v>* hpvStatusDetectedBy -&gt; ##34#TBD##34#</v>
      </c>
    </row>
    <row r="34" spans="2:5">
      <c r="B34" s="11" t="str">
        <f>'CancerUnderStudy-test'!B32</f>
        <v>p16</v>
      </c>
      <c r="C34" s="11" t="s">
        <v>1637</v>
      </c>
      <c r="E34" s="12" t="str">
        <f t="shared" si="0"/>
        <v>* p16 -&gt; ##34#TBD##34#</v>
      </c>
    </row>
    <row r="35" spans="2:5">
      <c r="B35" s="11" t="str">
        <f>'CancerUnderStudy-test'!B33</f>
        <v>pdL1</v>
      </c>
      <c r="C35" s="11" t="s">
        <v>1637</v>
      </c>
      <c r="E35" s="12" t="str">
        <f t="shared" si="0"/>
        <v>* pdL1 -&gt; ##34#TBD##34#</v>
      </c>
    </row>
    <row r="36" spans="2:5">
      <c r="B36" s="11" t="str">
        <f>'CancerUnderStudy-test'!B34</f>
        <v>pdL1Method</v>
      </c>
      <c r="C36" s="11" t="s">
        <v>1637</v>
      </c>
      <c r="E36" s="12" t="str">
        <f t="shared" si="0"/>
        <v>* pdL1Method -&gt; ##34#TBD##34#</v>
      </c>
    </row>
    <row r="37" spans="2:5">
      <c r="B37" s="11" t="str">
        <f>'CancerUnderStudy-test'!B35</f>
        <v>pdL1CpsValue</v>
      </c>
      <c r="C37" s="11" t="s">
        <v>1637</v>
      </c>
      <c r="E37" s="12" t="str">
        <f t="shared" si="0"/>
        <v>* pdL1CpsValue -&gt; ##34#TBD##34#</v>
      </c>
    </row>
    <row r="38" spans="2:5">
      <c r="B38" s="11" t="str">
        <f>'CancerUnderStudy-test'!B36</f>
        <v>pdL1TpsValue</v>
      </c>
      <c r="C38" s="11" t="s">
        <v>1637</v>
      </c>
      <c r="E38" s="12" t="str">
        <f t="shared" si="0"/>
        <v>* pdL1TpsValue -&gt; ##34#TBD##34#</v>
      </c>
    </row>
    <row r="39" spans="2:5">
      <c r="B39" s="11" t="str">
        <f>'CancerUnderStudy-test'!B37</f>
        <v>crpCReactiveProteinTested</v>
      </c>
      <c r="C39" s="11" t="s">
        <v>1637</v>
      </c>
      <c r="E39" s="12" t="str">
        <f t="shared" si="0"/>
        <v>* crpCReactiveProteinTested -&gt; ##34#TBD##34#</v>
      </c>
    </row>
    <row r="40" spans="2:5">
      <c r="B40" s="11" t="str">
        <f>'CancerUnderStudy-test'!B38</f>
        <v>cReactiveProteinCrpMgDl</v>
      </c>
      <c r="C40" s="11" t="s">
        <v>1637</v>
      </c>
      <c r="E40" s="12" t="str">
        <f t="shared" si="0"/>
        <v>* cReactiveProteinCrpMgDl -&gt; ##34#TBD##34#</v>
      </c>
    </row>
    <row r="41" spans="2:5">
      <c r="B41" s="11" t="str">
        <f>'CancerUnderStudy-test'!B39</f>
        <v>instrumentStatus</v>
      </c>
      <c r="C41" s="11" t="s">
        <v>1637</v>
      </c>
      <c r="E41" s="12" t="str">
        <f t="shared" si="0"/>
        <v>* instrumentStatus -&gt; ##34#TBD##34#</v>
      </c>
    </row>
    <row r="42" spans="2:5">
      <c r="B42" s="11"/>
      <c r="C42" s="11"/>
      <c r="E42" s="12" t="str">
        <f t="shared" si="0"/>
        <v>*  -&gt; ##34###34#</v>
      </c>
    </row>
    <row r="43" spans="2:5">
      <c r="B43" s="11"/>
      <c r="C43" s="11"/>
      <c r="E43" s="12" t="str">
        <f t="shared" si="0"/>
        <v>*  -&gt; ##34###34#</v>
      </c>
    </row>
    <row r="44" spans="2:5">
      <c r="B44" s="11"/>
      <c r="C44" s="11"/>
      <c r="E44" s="12" t="str">
        <f t="shared" si="0"/>
        <v>*  -&gt; ##34###34#</v>
      </c>
    </row>
    <row r="45" spans="2:5">
      <c r="B45" s="11"/>
      <c r="C45" s="11"/>
      <c r="E45" s="12" t="str">
        <f t="shared" si="0"/>
        <v>*  -&gt; ##34###34#</v>
      </c>
    </row>
    <row r="46" spans="2:5">
      <c r="B46" s="11"/>
      <c r="C46" s="11"/>
    </row>
    <row r="47" spans="2:5">
      <c r="B47" s="11"/>
    </row>
    <row r="48" spans="2:5">
      <c r="B48" s="1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F16B5-84C3-42BB-B6A9-44654C6A8709}">
  <sheetPr codeName="Foglio20">
    <tabColor theme="8" tint="-0.249977111117893"/>
  </sheetPr>
  <dimension ref="C1:G130"/>
  <sheetViews>
    <sheetView workbookViewId="0">
      <selection activeCell="C8" sqref="C8"/>
    </sheetView>
  </sheetViews>
  <sheetFormatPr defaultRowHeight="14.75"/>
  <cols>
    <col min="3" max="3" width="108.2265625" style="12" customWidth="1"/>
    <col min="7" max="7" width="29.54296875" customWidth="1"/>
    <col min="8" max="8" width="54.90625" customWidth="1"/>
  </cols>
  <sheetData>
    <row r="1" spans="3:7" ht="15.5" thickBot="1">
      <c r="C1" s="24" t="str">
        <f>'CancerUnderStudy-test'!J1</f>
        <v>//===================================================</v>
      </c>
    </row>
    <row r="2" spans="3:7" ht="16.75" thickBot="1">
      <c r="C2" s="25" t="str">
        <f>'CancerUnderStudy-test'!J2</f>
        <v>//  Logical Model</v>
      </c>
      <c r="G2" s="30" t="s">
        <v>1645</v>
      </c>
    </row>
    <row r="3" spans="3:7">
      <c r="C3" s="25" t="str">
        <f>'CancerUnderStudy-test'!J3</f>
        <v>//===================================================</v>
      </c>
    </row>
    <row r="4" spans="3:7">
      <c r="C4" s="17" t="str">
        <f>'CancerUnderStudy-test'!J4</f>
        <v>Logical: CancerUnderStudyI4rcTest</v>
      </c>
    </row>
    <row r="5" spans="3:7">
      <c r="C5" s="17" t="str">
        <f>'CancerUnderStudy-test'!J5</f>
        <v>Id: CancerUnderStudy</v>
      </c>
    </row>
    <row r="6" spans="3:7">
      <c r="C6" s="17" t="str">
        <f>'CancerUnderStudy-test'!J6</f>
        <v>Title: ##34#Cancer Under Study##34#</v>
      </c>
    </row>
    <row r="7" spans="3:7" ht="29.5">
      <c r="C7" s="17" t="str">
        <f>'CancerUnderStudy-test'!J7</f>
        <v>Description:  ##334#Cancer Under Study
Maturity Level: 0 Draft##334#</v>
      </c>
    </row>
    <row r="8" spans="3:7" ht="29.5">
      <c r="C8" s="12" t="str">
        <f>IF('CancerUnderStudy-test'!J8="*  ..  ##34###34# ##334###334#","//--- END",'CancerUnderStudy-test'!J8)</f>
        <v>* diagnosisDate 0..1 date ##34#Date of diagnosis biopsy or surgical piece##34# ##334#Date of the procedure from which the specimen was obtained that allowed the histological diagnosis##334#</v>
      </c>
    </row>
    <row r="9" spans="3:7">
      <c r="C9" s="12" t="str">
        <f>IF('CancerUnderStudy-test'!J9="*  ..  ##34###34# ##334###334#","//--- END",'CancerUnderStudy-test'!J9)</f>
        <v>* ageAtDiagnosis 0..1 integer ##34#Age at diagnosis manual##34# ##334#Age of the patient at the time of the diagnosis##334#</v>
      </c>
    </row>
    <row r="10" spans="3:7" ht="29.5">
      <c r="C10" s="12" t="str">
        <f>IF('CancerUnderStudy-test'!J10="*  ..  ##34###34# ##334###334#","//--- END",'CancerUnderStudy-test'!J10)</f>
        <v>* histologyGroup 0..1 string ##34#Histology WHO 2017 group##34# ##334#Histology of prymary tumour  according to WHO 2017 clasification##334#</v>
      </c>
    </row>
    <row r="11" spans="3:7" ht="29.5">
      <c r="C11" s="12" t="str">
        <f>IF('CancerUnderStudy-test'!J11="*  ..  ##34###34# ##334###334#","//--- END",'CancerUnderStudy-test'!J11)</f>
        <v>* histologyWho2017Subgroup 0..1 BackboneElement ##34#Histology WHO 2017 subgroup##34# ##334#Histology WHO 2017 subgroup##334#</v>
      </c>
    </row>
    <row r="12" spans="3:7" ht="29.5">
      <c r="C12" s="12" t="str">
        <f>IF('CancerUnderStudy-test'!J12="*  ..  ##34###34# ##334###334#","//--- END",'CancerUnderStudy-test'!J12)</f>
        <v>* histologyWho2017Subgroup.Squamous 0..1 string ##34#Histology subgroup Squamous##34# ##334#Specifies the histological subgroup for squamous cancers##334#</v>
      </c>
    </row>
    <row r="13" spans="3:7" ht="29.5">
      <c r="C13" s="12" t="str">
        <f>IF('CancerUnderStudy-test'!J13="*  ..  ##34###34# ##334###334#","//--- END",'CancerUnderStudy-test'!J13)</f>
        <v>* histologyWho2017Subgroup.Adenocarcinoma 0..1 string ##34#Histology subgroup Adenocarcinoma##34# ##334#Specifies the histological subgroup for adenocarcinomas##334#</v>
      </c>
    </row>
    <row r="14" spans="3:7" ht="29.5">
      <c r="C14" s="12" t="str">
        <f>IF('CancerUnderStudy-test'!J14="*  ..  ##34###34# ##334###334#","//--- END",'CancerUnderStudy-test'!J14)</f>
        <v>* histologyWho2017Subgroup.Neuroendocrine 0..1 string ##34#Histology subgroup Neuroendocrine##34# ##334#Specifies the histological subgroup for neuroendocrine cancers ##334#</v>
      </c>
    </row>
    <row r="15" spans="3:7" ht="29.5">
      <c r="C15" s="12" t="str">
        <f>IF('CancerUnderStudy-test'!J15="*  ..  ##34###34# ##334###334#","//--- END",'CancerUnderStudy-test'!J15)</f>
        <v>* histologyWho2017Subgroup.OdontogenicCarcinoma 0..1 string ##34#Histology subgroup Odontogenic carcinoma##34# ##334#Specifies the histological subgroup for odontogenic carcinomas##334#</v>
      </c>
    </row>
    <row r="16" spans="3:7" ht="29.5">
      <c r="C16" s="12" t="str">
        <f>IF('CancerUnderStudy-test'!J16="*  ..  ##34###34# ##334###334#","//--- END",'CancerUnderStudy-test'!J16)</f>
        <v>* histologyWho2017Subgroup.SNUC 0..1 string ##34#Histology subgroup Sinonasal undifferentiated carcinoma SNUC##34# ##334#Specifies the histological subgroup for sinonasl undifferentiated carcinomas##334#</v>
      </c>
    </row>
    <row r="17" spans="3:3">
      <c r="C17" s="12" t="str">
        <f>IF('CancerUnderStudy-test'!J17="*  ..  ##34###34# ##334###334#","//--- END",'CancerUnderStudy-test'!J17)</f>
        <v>* siteRare 0..1 string ##34#Site  rare AJCC##34# ##334#Describe the primary tumor site according to AJCC ##334#</v>
      </c>
    </row>
    <row r="18" spans="3:3" ht="29.5">
      <c r="C18" s="12" t="str">
        <f>IF('CancerUnderStudy-test'!J18="*  ..  ##34###34# ##334###334#","//--- END",'CancerUnderStudy-test'!J18)</f>
        <v>* siteCommonAndRare 0..1 string ##34#Site common and rare AJCC##34# ##334#Describe the primary tumor site according to AJCC ##334#</v>
      </c>
    </row>
    <row r="19" spans="3:3">
      <c r="C19" s="12" t="str">
        <f>IF('CancerUnderStudy-test'!J19="*  ..  ##34###34# ##334###334#","//--- END",'CancerUnderStudy-test'!J19)</f>
        <v>* subsite 0..1 BackboneElement ##34#Subsite##34# ##334#Subsite##334#</v>
      </c>
    </row>
    <row r="20" spans="3:3" ht="29.5">
      <c r="C20" s="12" t="str">
        <f>IF('CancerUnderStudy-test'!J20="*  ..  ##34###34# ##334###334#","//--- END",'CancerUnderStudy-test'!J20)</f>
        <v>* subsite.nasalCavityAndParanasalSinusesSubsite 0..1 string ##34#Nasal cavity and paranasal sinuses subsite##34# ##334#Specifies the subsite for cancers occurred in nasal cavity and paranasal sinusess##334#</v>
      </c>
    </row>
    <row r="21" spans="3:3" ht="29.5">
      <c r="C21" s="12" t="str">
        <f>IF('CancerUnderStudy-test'!J21="*  ..  ##34###34# ##334###334#","//--- END",'CancerUnderStudy-test'!J21)</f>
        <v>* subsite.nasopharynxSubsite 0..1 string ##34#Nasopharynx  subsite##34# ##334#Specifies the subsite for cancers occurred in nasopharynx##334#</v>
      </c>
    </row>
    <row r="22" spans="3:3" ht="29.5">
      <c r="C22" s="12" t="str">
        <f>IF('CancerUnderStudy-test'!J22="*  ..  ##34###34# ##334###334#","//--- END",'CancerUnderStudy-test'!J22)</f>
        <v>* subsite.hypopharynxSubsite 0..1 string ##34#Hypopharynx subsite##34# ##334#Specifies the subsite for cancers occurred in hypopharynx##334#</v>
      </c>
    </row>
    <row r="23" spans="3:3" ht="29.5">
      <c r="C23" s="12" t="str">
        <f>IF('CancerUnderStudy-test'!J23="*  ..  ##34###34# ##334###334#","//--- END",'CancerUnderStudy-test'!J23)</f>
        <v>* subsite.oropharynxSubsite 0..1 string ##34#Oropharynx subsite##34# ##334#Specifies the subsite for cancers occurred in oropharynx##334#</v>
      </c>
    </row>
    <row r="24" spans="3:3">
      <c r="C24" s="12" t="str">
        <f>IF('CancerUnderStudy-test'!J24="*  ..  ##34###34# ##334###334#","//--- END",'CancerUnderStudy-test'!J24)</f>
        <v>* subsite.larynxSubsite 0..1 string ##34#Larynx subsite##34# ##334#Specifies the subsite for cancers occurred in larynx##334#</v>
      </c>
    </row>
    <row r="25" spans="3:3" ht="29.5">
      <c r="C25" s="12" t="str">
        <f>IF('CancerUnderStudy-test'!J25="*  ..  ##34###34# ##334###334#","//--- END",'CancerUnderStudy-test'!J25)</f>
        <v>* subsite.oralCavitySubsite 0..1 string ##34#Oral cavity subsite##34# ##334#Specifies the subsite for cancers occurred in oral cavity##334#</v>
      </c>
    </row>
    <row r="26" spans="3:3">
      <c r="C26" s="12" t="str">
        <f>IF('CancerUnderStudy-test'!J26="*  ..  ##34###34# ##334###334#","//--- END",'CancerUnderStudy-test'!J26)</f>
        <v>* subsite.lipSubsite 0..1 string ##34#Lip subsite##34# ##334#Specifies the subsite for cancers occurred in lip##334#</v>
      </c>
    </row>
    <row r="27" spans="3:3" ht="29.5">
      <c r="C27" s="12" t="str">
        <f>IF('CancerUnderStudy-test'!J27="*  ..  ##34###34# ##334###334#","//--- END",'CancerUnderStudy-test'!J27)</f>
        <v>* plasmaticEbvDnaAtBaseline 0..1 string ##34#Plasmatic EBV DNA at baseline##34# ##334#Describes the result of EBV DNA plasma testing before treatment in NPC type II and III WHO ##334#</v>
      </c>
    </row>
    <row r="28" spans="3:3" ht="29.5">
      <c r="C28" s="12" t="str">
        <f>IF('CancerUnderStudy-test'!J28="*  ..  ##34###34# ##334###334#","//--- END",'CancerUnderStudy-test'!J28)</f>
        <v>* primerType 0..1 string ##34#Primer type##34# ##334#Describes the primer used for EBV DNA plasma testing t in NPC type II and Type III WHO ##334#</v>
      </c>
    </row>
    <row r="29" spans="3:3">
      <c r="C29" s="12" t="str">
        <f>IF('CancerUnderStudy-test'!J29="*  ..  ##34###34# ##334###334#","//--- END",'CancerUnderStudy-test'!J29)</f>
        <v>* copyNumber 0..1 integer ##34#Copy Number##34# ##334#Copy number of EBVDNA##334#</v>
      </c>
    </row>
    <row r="30" spans="3:3">
      <c r="C30" s="12" t="str">
        <f>IF('CancerUnderStudy-test'!J30="*  ..  ##34###34# ##334###334#","//--- END",'CancerUnderStudy-test'!J30)</f>
        <v>* hpvStatus 0..1 string ##34#HPV status##34# ##334#Describes the result of HPV tumor testing in oral carcinoma ##334#</v>
      </c>
    </row>
    <row r="31" spans="3:3" ht="29.5">
      <c r="C31" s="12" t="str">
        <f>IF('CancerUnderStudy-test'!J31="*  ..  ##34###34# ##334###334#","//--- END",'CancerUnderStudy-test'!J31)</f>
        <v>* hpvStatusDetectedBy 0..1 string ##34#HPV status detected by##34# ##334#Describes the technique used for HPV tumour testing in orall carcinoma##334#</v>
      </c>
    </row>
    <row r="32" spans="3:3">
      <c r="C32" s="12" t="str">
        <f>IF('CancerUnderStudy-test'!J32="*  ..  ##34###34# ##334###334#","//--- END",'CancerUnderStudy-test'!J32)</f>
        <v>* p16 0..1 string ##34#p16##34# ##334#Describes the result of p16 tumour testing in oral carcinoma##334#</v>
      </c>
    </row>
    <row r="33" spans="3:3">
      <c r="C33" s="12" t="str">
        <f>IF('CancerUnderStudy-test'!J33="*  ..  ##34###34# ##334###334#","//--- END",'CancerUnderStudy-test'!J33)</f>
        <v>* pdL1 0..1 string ##34#PDL1##34# ##334#Describes the result of PDL tumour testing in oral carcinoma##334#</v>
      </c>
    </row>
    <row r="34" spans="3:3" ht="29.5">
      <c r="C34" s="12" t="str">
        <f>IF('CancerUnderStudy-test'!J34="*  ..  ##34###34# ##334###334#","//--- END",'CancerUnderStudy-test'!J34)</f>
        <v>* pdL1Method 0..1 string ##34#PDL1 Method##34# ##334#Describes the technique used for PDL tumour testing in oral carcinoma##334#</v>
      </c>
    </row>
    <row r="35" spans="3:3">
      <c r="C35" s="12" t="str">
        <f>IF('CancerUnderStudy-test'!J35="*  ..  ##34###34# ##334###334#","//--- END",'CancerUnderStudy-test'!J35)</f>
        <v>* pdL1CpsValue 0..1 integer ##34#PDL1 CPS value##34# ##334#Result of PDL1CPS testing when performed##334#</v>
      </c>
    </row>
    <row r="36" spans="3:3">
      <c r="C36" s="12" t="str">
        <f>IF('CancerUnderStudy-test'!J36="*  ..  ##34###34# ##334###334#","//--- END",'CancerUnderStudy-test'!J36)</f>
        <v>* pdL1TpsValue 0..1 integer ##34#PDL1 TPS value##34# ##334#Result of PDL1TPS testing when performed##334#</v>
      </c>
    </row>
    <row r="37" spans="3:3" ht="29.5">
      <c r="C37" s="12" t="str">
        <f>IF('CancerUnderStudy-test'!J37="*  ..  ##34###34# ##334###334#","//--- END",'CancerUnderStudy-test'!J37)</f>
        <v>* crpCReactiveProteinTested 0..1 string ##34#CRP  C reactive protein tested ##34# ##334#Describes the result of C reactive protein testing##334#</v>
      </c>
    </row>
    <row r="38" spans="3:3" ht="29.5">
      <c r="C38" s="12" t="str">
        <f>IF('CancerUnderStudy-test'!J38="*  ..  ##34###34# ##334###334#","//--- END",'CancerUnderStudy-test'!J38)</f>
        <v>* cReactiveProteinCrpMgDl 0..1 integer ##34#C reactive protein  CRP mgdl##34# ##334#Result of CRP testing when performed##334#</v>
      </c>
    </row>
    <row r="39" spans="3:3">
      <c r="C39" s="12" t="str">
        <f>IF('CancerUnderStudy-test'!J39="*  ..  ##34###34# ##334###334#","//--- END",'CancerUnderStudy-test'!J39)</f>
        <v>* instrumentStatus 0..1 boolean ##34#Instrument status##34# ##334#Describe if the instument is fully compiled or not##334#</v>
      </c>
    </row>
    <row r="40" spans="3:3">
      <c r="C40" s="12" t="str">
        <f>IF('CancerUnderStudy-test'!J40="*  ..  ##34###34# ##334###334#","//--- END",'CancerUnderStudy-test'!J40)</f>
        <v>//--- END</v>
      </c>
    </row>
    <row r="41" spans="3:3">
      <c r="C41" s="12" t="str">
        <f>IF('CancerUnderStudy-test'!J41="*  ..  ##34###34# ##334###334#","//--- END",'CancerUnderStudy-test'!J41)</f>
        <v>//--- END</v>
      </c>
    </row>
    <row r="42" spans="3:3">
      <c r="C42" s="12" t="str">
        <f>IF('CancerUnderStudy-test'!J42="*  ..  ##34###34# ##334###334#","//--- END",'CancerUnderStudy-test'!J42)</f>
        <v>//--- END</v>
      </c>
    </row>
    <row r="43" spans="3:3">
      <c r="C43" s="12" t="str">
        <f>IF('CancerUnderStudy-test'!J43="*  ..  ##34###34# ##334###334#","//--- END",'CancerUnderStudy-test'!J43)</f>
        <v>//--- END</v>
      </c>
    </row>
    <row r="46" spans="3:3">
      <c r="C46" s="24" t="s">
        <v>1644</v>
      </c>
    </row>
    <row r="47" spans="3:3">
      <c r="C47" s="25" t="s">
        <v>20</v>
      </c>
    </row>
    <row r="48" spans="3:3">
      <c r="C48" s="25" t="s">
        <v>1644</v>
      </c>
    </row>
    <row r="49" spans="3:3" ht="44.25">
      <c r="C49" s="12" t="str">
        <f>IF('CancerUnderStudy-test'!L8="*  ..  ##34###34# ##334###334#","//--- END",'CancerUnderStudy-test'!L8)</f>
        <v>* diagnosisDate ^comment = ##334#Must be formatted as YYYYMMDD Leave empty if not known Optional rule  Possible date anonymisation by
setting the 15th of every month ie YYYYMM15 If the month is not known we set it to June 06##334#</v>
      </c>
    </row>
    <row r="50" spans="3:3" ht="29.5">
      <c r="C50" s="12" t="str">
        <f>IF('CancerUnderStudy-test'!L9="*  ..  ##34###34# ##334###334#","//--- END",'CancerUnderStudy-test'!L9)</f>
        <v>* ageAtDiagnosis ^comment = ##334#An integer value  0 We use the 1 value for unknown Automatic  calculation from date of birth and date of diagnosis##334#</v>
      </c>
    </row>
    <row r="51" spans="3:3">
      <c r="C51" s="12" t="str">
        <f>IF('CancerUnderStudy-test'!L10="*  ..  ##34###34# ##334###334#","//--- END",'CancerUnderStudy-test'!L10)</f>
        <v>* histologyGroup ^comment = ##334#A value in the WHO 2017 HN classification list##334#</v>
      </c>
    </row>
    <row r="52" spans="3:3">
      <c r="C52" s="12" t="str">
        <f>IF('CancerUnderStudy-test'!L11="*  ..  ##34###34# ##334###334#","//--- END",'CancerUnderStudy-test'!L11)</f>
        <v/>
      </c>
    </row>
    <row r="53" spans="3:3">
      <c r="C53" s="12" t="str">
        <f>IF('CancerUnderStudy-test'!L12="*  ..  ##34###34# ##334###334#","//--- END",'CancerUnderStudy-test'!L12)</f>
        <v>* histologyWho2017Subgroup.Squamous ^comment = ##334#A value in the WHO 2017 HN squamous classification list##334#</v>
      </c>
    </row>
    <row r="54" spans="3:3" ht="29.5">
      <c r="C54" s="12" t="str">
        <f>IF('CancerUnderStudy-test'!L13="*  ..  ##34###34# ##334###334#","//--- END",'CancerUnderStudy-test'!L13)</f>
        <v>* histologyWho2017Subgroup.Adenocarcinoma ^comment = ##334#A value in the WHO 2017 HN adenocarcinoma classification list##334#</v>
      </c>
    </row>
    <row r="55" spans="3:3" ht="29.5">
      <c r="C55" s="12" t="str">
        <f>IF('CancerUnderStudy-test'!L14="*  ..  ##34###34# ##334###334#","//--- END",'CancerUnderStudy-test'!L14)</f>
        <v>* histologyWho2017Subgroup.Neuroendocrine ^comment = ##334#A value in the WHO 2017 HN neuroendocrine classification list##334#</v>
      </c>
    </row>
    <row r="56" spans="3:3" ht="29.5">
      <c r="C56" s="12" t="str">
        <f>IF('CancerUnderStudy-test'!L15="*  ..  ##34###34# ##334###334#","//--- END",'CancerUnderStudy-test'!L15)</f>
        <v>* histologyWho2017Subgroup.OdontogenicCarcinoma ^comment = ##334#A value in the WHO 2017 HN odontogenic carcinoma classification list##334#</v>
      </c>
    </row>
    <row r="57" spans="3:3">
      <c r="C57" s="12" t="str">
        <f>IF('CancerUnderStudy-test'!L16="*  ..  ##34###34# ##334###334#","//--- END",'CancerUnderStudy-test'!L16)</f>
        <v>* histologyWho2017Subgroup.SNUC ^comment = ##334#A value in the WHO 2017 HN SNUC classification list##334#</v>
      </c>
    </row>
    <row r="58" spans="3:3">
      <c r="C58" s="12" t="str">
        <f>IF('CancerUnderStudy-test'!L17="*  ..  ##34###34# ##334###334#","//--- END",'CancerUnderStudy-test'!L17)</f>
        <v>* siteRare ^comment = ##334#A value in the AJCC Cancer Staging Manual 8th site list##334#</v>
      </c>
    </row>
    <row r="59" spans="3:3">
      <c r="C59" s="12" t="str">
        <f>IF('CancerUnderStudy-test'!L18="*  ..  ##34###34# ##334###334#","//--- END",'CancerUnderStudy-test'!L18)</f>
        <v>* siteCommonAndRare ^comment = ##334#A value in the AJCC Cancer Staging Manual 8th site list##334#</v>
      </c>
    </row>
    <row r="60" spans="3:3">
      <c r="C60" s="12" t="str">
        <f>IF('CancerUnderStudy-test'!L19="*  ..  ##34###34# ##334###334#","//--- END",'CancerUnderStudy-test'!L19)</f>
        <v/>
      </c>
    </row>
    <row r="61" spans="3:3" ht="29.5">
      <c r="C61" s="12" t="str">
        <f>IF('CancerUnderStudy-test'!L20="*  ..  ##34###34# ##334###334#","//--- END",'CancerUnderStudy-test'!L20)</f>
        <v>* subsite.nasalCavityAndParanasalSinusesSubsite ^comment = ##334#A string value in the AJCC Cancer Staging Manual 8th subsite list##334#</v>
      </c>
    </row>
    <row r="62" spans="3:3">
      <c r="C62" s="12" t="str">
        <f>IF('CancerUnderStudy-test'!L21="*  ..  ##34###34# ##334###334#","//--- END",'CancerUnderStudy-test'!L21)</f>
        <v>* subsite.nasopharynxSubsite ^comment = ##334#A string value in the AJCC Cancer Staging Manual 8th subsite list##334#</v>
      </c>
    </row>
    <row r="63" spans="3:3">
      <c r="C63" s="12" t="str">
        <f>IF('CancerUnderStudy-test'!L22="*  ..  ##34###34# ##334###334#","//--- END",'CancerUnderStudy-test'!L22)</f>
        <v>* subsite.hypopharynxSubsite ^comment = ##334#A string value in the AJCC Cancer Staging Manual 8th subsite list##334#</v>
      </c>
    </row>
    <row r="64" spans="3:3">
      <c r="C64" s="12" t="str">
        <f>IF('CancerUnderStudy-test'!L23="*  ..  ##34###34# ##334###334#","//--- END",'CancerUnderStudy-test'!L23)</f>
        <v>* subsite.oropharynxSubsite ^comment = ##334#A string value in the AJCC Cancer Staging Manual 8th subsite list##334#</v>
      </c>
    </row>
    <row r="65" spans="3:3">
      <c r="C65" s="12" t="str">
        <f>IF('CancerUnderStudy-test'!L24="*  ..  ##34###34# ##334###334#","//--- END",'CancerUnderStudy-test'!L24)</f>
        <v>* subsite.larynxSubsite ^comment = ##334#A string value in the AJCC Cancer Staging Manual 8th subsite list##334#</v>
      </c>
    </row>
    <row r="66" spans="3:3">
      <c r="C66" s="12" t="str">
        <f>IF('CancerUnderStudy-test'!L25="*  ..  ##34###34# ##334###334#","//--- END",'CancerUnderStudy-test'!L25)</f>
        <v>* subsite.oralCavitySubsite ^comment = ##334#A string value in the AJCC Cancer Staging Manual 8th subsite list##334#</v>
      </c>
    </row>
    <row r="67" spans="3:3">
      <c r="C67" s="12" t="str">
        <f>IF('CancerUnderStudy-test'!L26="*  ..  ##34###34# ##334###334#","//--- END",'CancerUnderStudy-test'!L26)</f>
        <v>* subsite.lipSubsite ^comment = ##334#A string value in the AJCC Cancer Staging Manual 8th subsite list##334#</v>
      </c>
    </row>
    <row r="68" spans="3:3" ht="29.5">
      <c r="C68" s="12" t="str">
        <f>IF('CancerUnderStudy-test'!L27="*  ..  ##34###34# ##334###334#","//--- END",'CancerUnderStudy-test'!L27)</f>
        <v>* plasmaticEbvDnaAtBaseline ^comment = ##334#A string value representing whether the test value was positive negative or it was untested Empty if unknown##334#</v>
      </c>
    </row>
    <row r="69" spans="3:3">
      <c r="C69" s="12" t="str">
        <f>IF('CancerUnderStudy-test'!L28="*  ..  ##34###34# ##334###334#","//--- END",'CancerUnderStudy-test'!L28)</f>
        <v>* primerType ^comment = ##334#A string value representing the plasma testing type Empty if unknown##334#</v>
      </c>
    </row>
    <row r="70" spans="3:3">
      <c r="C70" s="12" t="str">
        <f>IF('CancerUnderStudy-test'!L29="*  ..  ##34###34# ##334###334#","//--- END",'CancerUnderStudy-test'!L29)</f>
        <v>* copyNumber ^comment = ##334#An integer for the number of EBVDNA Empty if unknown##334#</v>
      </c>
    </row>
    <row r="71" spans="3:3" ht="29.5">
      <c r="C71" s="12" t="str">
        <f>IF('CancerUnderStudy-test'!L30="*  ..  ##34###34# ##334###334#","//--- END",'CancerUnderStudy-test'!L30)</f>
        <v>* hpvStatus ^comment = ##334#A string value representing whether the result was positive negative or not tested Empty if unknown##334#</v>
      </c>
    </row>
    <row r="72" spans="3:3" ht="29.5">
      <c r="C72" s="12" t="str">
        <f>IF('CancerUnderStudy-test'!L31="*  ..  ##34###34# ##334###334#","//--- END",'CancerUnderStudy-test'!L31)</f>
        <v>* hpvStatusDetectedBy ^comment = ##334#A string value representing which was the used technique Empty if unknown##334#</v>
      </c>
    </row>
    <row r="73" spans="3:3" ht="29.5">
      <c r="C73" s="12" t="str">
        <f>IF('CancerUnderStudy-test'!L32="*  ..  ##34###34# ##334###334#","//--- END",'CancerUnderStudy-test'!L32)</f>
        <v>* p16 ^comment = ##334#A string value representing whether the result was positive negative or not tested Empty if unknown##334#</v>
      </c>
    </row>
    <row r="74" spans="3:3" ht="29.5">
      <c r="C74" s="12" t="str">
        <f>IF('CancerUnderStudy-test'!L33="*  ..  ##34###34# ##334###334#","//--- END",'CancerUnderStudy-test'!L33)</f>
        <v>* pdL1 ^comment = ##334#A string value representing whether the result was positive negative or not tested Empty if unknown##334#</v>
      </c>
    </row>
    <row r="75" spans="3:3">
      <c r="C75" s="12" t="str">
        <f>IF('CancerUnderStudy-test'!L34="*  ..  ##34###34# ##334###334#","//--- END",'CancerUnderStudy-test'!L34)</f>
        <v>* pdL1Method ^comment = ##334#A string value representing which was the used technique Empty if unknown##334#</v>
      </c>
    </row>
    <row r="76" spans="3:3">
      <c r="C76" s="12" t="str">
        <f>IF('CancerUnderStudy-test'!L35="*  ..  ##34###34# ##334###334#","//--- END",'CancerUnderStudy-test'!L35)</f>
        <v>* pdL1CpsValue ^comment = ##334#An integer for the PDL1CPS test Empty if unknown##334#</v>
      </c>
    </row>
    <row r="77" spans="3:3">
      <c r="C77" s="12" t="str">
        <f>IF('CancerUnderStudy-test'!L36="*  ..  ##34###34# ##334###334#","//--- END",'CancerUnderStudy-test'!L36)</f>
        <v>* pdL1TpsValue ^comment = ##334#An integer for the PDL1TPS test Empty if unknown##334#</v>
      </c>
    </row>
    <row r="78" spans="3:3" ht="29.5">
      <c r="C78" s="12" t="str">
        <f>IF('CancerUnderStudy-test'!L37="*  ..  ##34###34# ##334###334#","//--- END",'CancerUnderStudy-test'!L37)</f>
        <v>* crpCReactiveProteinTested ^comment = ##334#A string value representing whether the result was positive negative or not tested Empty if unknown##334#</v>
      </c>
    </row>
    <row r="79" spans="3:3">
      <c r="C79" s="12" t="str">
        <f>IF('CancerUnderStudy-test'!L38="*  ..  ##34###34# ##334###334#","//--- END",'CancerUnderStudy-test'!L38)</f>
        <v>* cReactiveProteinCrpMgDl ^comment = ##334#An integer for the CRP test Empty if unknown##334#</v>
      </c>
    </row>
    <row r="80" spans="3:3">
      <c r="C80" s="12" t="str">
        <f>IF('CancerUnderStudy-test'!L39="*  ..  ##34###34# ##334###334#","//--- END",'CancerUnderStudy-test'!L39)</f>
        <v>* instrumentStatus ^comment = ##334#A boolean for the instrument if it was fully compiled or not##334#</v>
      </c>
    </row>
    <row r="81" spans="3:3">
      <c r="C81" s="12" t="str">
        <f>IF('CancerUnderStudy-test'!L40="*  ..  ##34###34# ##334###334#","//--- END",'CancerUnderStudy-test'!L40)</f>
        <v>//--- END</v>
      </c>
    </row>
    <row r="82" spans="3:3">
      <c r="C82" s="12" t="str">
        <f>IF('CancerUnderStudy-test'!L41="*  ..  ##34###34# ##334###334#","//--- END",'CancerUnderStudy-test'!L41)</f>
        <v>//--- END</v>
      </c>
    </row>
    <row r="83" spans="3:3">
      <c r="C83" s="12" t="str">
        <f>IF('CancerUnderStudy-test'!L42="*  ..  ##34###34# ##334###334#","//--- END",'CancerUnderStudy-test'!L42)</f>
        <v>//--- END</v>
      </c>
    </row>
    <row r="84" spans="3:3">
      <c r="C84"/>
    </row>
    <row r="86" spans="3:3">
      <c r="C86" s="24" t="str">
        <f>'CancerUnderStudy-Map-1-test'!E1</f>
        <v>// -------------------------------------------------------------------------------</v>
      </c>
    </row>
    <row r="87" spans="3:3">
      <c r="C87" s="25" t="str">
        <f>'CancerUnderStudy-Map-1-test'!E2</f>
        <v>//  Map to FHIR R4</v>
      </c>
    </row>
    <row r="88" spans="3:3">
      <c r="C88" s="25" t="str">
        <f>'CancerUnderStudy-Map-1-test'!E3</f>
        <v>// -------------------------------------------------------------------------------</v>
      </c>
    </row>
    <row r="89" spans="3:3">
      <c r="C89" s="12" t="str">
        <f>'CancerUnderStudy-Map-1-test'!E4</f>
        <v>Mapping: I4RCCancerUnderStudy2Fhir</v>
      </c>
    </row>
    <row r="90" spans="3:3">
      <c r="C90" s="12" t="str">
        <f>'CancerUnderStudy-Map-1-test'!E5</f>
        <v>Id: fhir</v>
      </c>
    </row>
    <row r="91" spans="3:3">
      <c r="C91" s="12" t="str">
        <f>'CancerUnderStudy-Map-1-test'!E6</f>
        <v>Title: ##34#Idea4RC Subject model to FHIR R4 Map##34#</v>
      </c>
    </row>
    <row r="92" spans="3:3">
      <c r="C92" s="12" t="str">
        <f>'CancerUnderStudy-Map-1-test'!E7</f>
        <v>Source: CancerUnderStudy</v>
      </c>
    </row>
    <row r="93" spans="3:3">
      <c r="C93" s="12" t="str">
        <f>'CancerUnderStudy-Map-1-test'!E8</f>
        <v>Target: ##34#hl7.org/fhir/r4##34#</v>
      </c>
    </row>
    <row r="95" spans="3:3">
      <c r="C95" s="4" t="str">
        <f>'CancerUnderStudy-Map-1-test'!E9</f>
        <v>* -&gt; ##34#TBD##34#</v>
      </c>
    </row>
    <row r="96" spans="3:3">
      <c r="C96" s="12" t="str">
        <f>IF('CancerUnderStudy-Map-1-test'!E10="*  -&gt; ##34###34#","// --END",'CancerUnderStudy-Map-1-test'!E10)</f>
        <v>* diagnosisDate -&gt; ##34#TBD##34#</v>
      </c>
    </row>
    <row r="97" spans="3:3">
      <c r="C97" s="12" t="str">
        <f>IF('CancerUnderStudy-Map-1-test'!E11="*  -&gt; ##34###34#","// --END",'CancerUnderStudy-Map-1-test'!E11)</f>
        <v>* ageAtDiagnosis -&gt; ##34#TBD##34#</v>
      </c>
    </row>
    <row r="98" spans="3:3">
      <c r="C98" s="12" t="str">
        <f>IF('CancerUnderStudy-Map-1-test'!E12="*  -&gt; ##34###34#","// --END",'CancerUnderStudy-Map-1-test'!E12)</f>
        <v>* histologyGroup -&gt; ##34#TBD##34#</v>
      </c>
    </row>
    <row r="99" spans="3:3">
      <c r="C99" s="12" t="str">
        <f>IF('CancerUnderStudy-Map-1-test'!E13="*  -&gt; ##34###34#","// --END",'CancerUnderStudy-Map-1-test'!E13)</f>
        <v>* histologyWho2017Subgroup -&gt; ##34#TBD##34#</v>
      </c>
    </row>
    <row r="100" spans="3:3">
      <c r="C100" s="12" t="str">
        <f>IF('CancerUnderStudy-Map-1-test'!E14="*  -&gt; ##34###34#","// --END",'CancerUnderStudy-Map-1-test'!E14)</f>
        <v>* histologyWho2017Subgroup.Squamous -&gt; ##34#TBD##34#</v>
      </c>
    </row>
    <row r="101" spans="3:3">
      <c r="C101" s="12" t="str">
        <f>IF('CancerUnderStudy-Map-1-test'!E15="*  -&gt; ##34###34#","// --END",'CancerUnderStudy-Map-1-test'!E15)</f>
        <v>* histologyWho2017Subgroup.Adenocarcinoma -&gt; ##34#TBD##34#</v>
      </c>
    </row>
    <row r="102" spans="3:3">
      <c r="C102" s="12" t="str">
        <f>IF('CancerUnderStudy-Map-1-test'!E16="*  -&gt; ##34###34#","// --END",'CancerUnderStudy-Map-1-test'!E16)</f>
        <v>* histologyWho2017Subgroup.Neuroendocrine -&gt; ##34#TBD##34#</v>
      </c>
    </row>
    <row r="103" spans="3:3">
      <c r="C103" s="12" t="str">
        <f>IF('CancerUnderStudy-Map-1-test'!E17="*  -&gt; ##34###34#","// --END",'CancerUnderStudy-Map-1-test'!E17)</f>
        <v>* histologyWho2017Subgroup.OdontogenicCarcinoma -&gt; ##34#TBD##34#</v>
      </c>
    </row>
    <row r="104" spans="3:3">
      <c r="C104" s="12" t="str">
        <f>IF('CancerUnderStudy-Map-1-test'!E18="*  -&gt; ##34###34#","// --END",'CancerUnderStudy-Map-1-test'!E18)</f>
        <v>* histologyWho2017Subgroup.SNUC -&gt; ##34#TBD##34#</v>
      </c>
    </row>
    <row r="105" spans="3:3">
      <c r="C105" s="12" t="str">
        <f>IF('CancerUnderStudy-Map-1-test'!E19="*  -&gt; ##34###34#","// --END",'CancerUnderStudy-Map-1-test'!E19)</f>
        <v>* siteRare -&gt; ##34#TBD##34#</v>
      </c>
    </row>
    <row r="106" spans="3:3">
      <c r="C106" s="12" t="str">
        <f>IF('CancerUnderStudy-Map-1-test'!E20="*  -&gt; ##34###34#","// --END",'CancerUnderStudy-Map-1-test'!E20)</f>
        <v>* siteCommonAndRare -&gt; ##34#TBD##34#</v>
      </c>
    </row>
    <row r="107" spans="3:3">
      <c r="C107" s="12" t="str">
        <f>IF('CancerUnderStudy-Map-1-test'!E21="*  -&gt; ##34###34#","// --END",'CancerUnderStudy-Map-1-test'!E21)</f>
        <v>* subsite -&gt; ##34#TBD##34#</v>
      </c>
    </row>
    <row r="108" spans="3:3">
      <c r="C108" s="12" t="str">
        <f>IF('CancerUnderStudy-Map-1-test'!E22="*  -&gt; ##34###34#","// --END",'CancerUnderStudy-Map-1-test'!E22)</f>
        <v>* subsite.nasalCavityAndParanasalSinusesSubsite -&gt; ##34#TBD##34#</v>
      </c>
    </row>
    <row r="109" spans="3:3">
      <c r="C109" s="12" t="str">
        <f>IF('CancerUnderStudy-Map-1-test'!E23="*  -&gt; ##34###34#","// --END",'CancerUnderStudy-Map-1-test'!E23)</f>
        <v>* subsite.nasopharynxSubsite -&gt; ##34#TBD##34#</v>
      </c>
    </row>
    <row r="110" spans="3:3">
      <c r="C110" s="12" t="str">
        <f>IF('CancerUnderStudy-Map-1-test'!E24="*  -&gt; ##34###34#","// --END",'CancerUnderStudy-Map-1-test'!E24)</f>
        <v>* subsite.hypopharynxSubsite -&gt; ##34#TBD##34#</v>
      </c>
    </row>
    <row r="111" spans="3:3">
      <c r="C111" s="12" t="str">
        <f>IF('CancerUnderStudy-Map-1-test'!E25="*  -&gt; ##34###34#","// --END",'CancerUnderStudy-Map-1-test'!E25)</f>
        <v>* subsite.oropharynxSubsite -&gt; ##34#TBD##34#</v>
      </c>
    </row>
    <row r="112" spans="3:3">
      <c r="C112" s="12" t="str">
        <f>IF('CancerUnderStudy-Map-1-test'!E26="*  -&gt; ##34###34#","// --END",'CancerUnderStudy-Map-1-test'!E26)</f>
        <v>* subsite.larynxSubsite -&gt; ##34#TBD##34#</v>
      </c>
    </row>
    <row r="113" spans="3:3">
      <c r="C113" s="12" t="str">
        <f>IF('CancerUnderStudy-Map-1-test'!E27="*  -&gt; ##34###34#","// --END",'CancerUnderStudy-Map-1-test'!E27)</f>
        <v>* subsite.oralCavitySubsite -&gt; ##34#TBD##34#</v>
      </c>
    </row>
    <row r="114" spans="3:3">
      <c r="C114" s="12" t="str">
        <f>IF('CancerUnderStudy-Map-1-test'!E28="*  -&gt; ##34###34#","// --END",'CancerUnderStudy-Map-1-test'!E28)</f>
        <v>* subsite.lipSubsite -&gt; ##34#TBD##34#</v>
      </c>
    </row>
    <row r="115" spans="3:3">
      <c r="C115" s="12" t="str">
        <f>IF('CancerUnderStudy-Map-1-test'!E29="*  -&gt; ##34###34#","// --END",'CancerUnderStudy-Map-1-test'!E29)</f>
        <v>* plasmaticEbvDnaAtBaseline -&gt; ##34#TBD##34#</v>
      </c>
    </row>
    <row r="116" spans="3:3">
      <c r="C116" s="12" t="str">
        <f>IF('CancerUnderStudy-Map-1-test'!E30="*  -&gt; ##34###34#","// --END",'CancerUnderStudy-Map-1-test'!E30)</f>
        <v>* primerType -&gt; ##34#TBD##34#</v>
      </c>
    </row>
    <row r="117" spans="3:3">
      <c r="C117" s="12" t="str">
        <f>IF('CancerUnderStudy-Map-1-test'!E31="*  -&gt; ##34###34#","// --END",'CancerUnderStudy-Map-1-test'!E31)</f>
        <v>* copyNumber -&gt; ##34#TBD##34#</v>
      </c>
    </row>
    <row r="118" spans="3:3">
      <c r="C118" s="12" t="str">
        <f>IF('CancerUnderStudy-Map-1-test'!E32="*  -&gt; ##34###34#","// --END",'CancerUnderStudy-Map-1-test'!E32)</f>
        <v>* hpvStatus -&gt; ##34#TBD##34#</v>
      </c>
    </row>
    <row r="119" spans="3:3">
      <c r="C119" s="12" t="str">
        <f>IF('CancerUnderStudy-Map-1-test'!E33="*  -&gt; ##34###34#","// --END",'CancerUnderStudy-Map-1-test'!E33)</f>
        <v>* hpvStatusDetectedBy -&gt; ##34#TBD##34#</v>
      </c>
    </row>
    <row r="120" spans="3:3">
      <c r="C120" s="12" t="str">
        <f>IF('CancerUnderStudy-Map-1-test'!E34="*  -&gt; ##34###34#","// --END",'CancerUnderStudy-Map-1-test'!E34)</f>
        <v>* p16 -&gt; ##34#TBD##34#</v>
      </c>
    </row>
    <row r="121" spans="3:3">
      <c r="C121" s="12" t="str">
        <f>IF('CancerUnderStudy-Map-1-test'!E35="*  -&gt; ##34###34#","// --END",'CancerUnderStudy-Map-1-test'!E35)</f>
        <v>* pdL1 -&gt; ##34#TBD##34#</v>
      </c>
    </row>
    <row r="122" spans="3:3">
      <c r="C122" s="12" t="str">
        <f>IF('CancerUnderStudy-Map-1-test'!E36="*  -&gt; ##34###34#","// --END",'CancerUnderStudy-Map-1-test'!E36)</f>
        <v>* pdL1Method -&gt; ##34#TBD##34#</v>
      </c>
    </row>
    <row r="123" spans="3:3">
      <c r="C123" s="12" t="str">
        <f>IF('CancerUnderStudy-Map-1-test'!E37="*  -&gt; ##34###34#","// --END",'CancerUnderStudy-Map-1-test'!E37)</f>
        <v>* pdL1CpsValue -&gt; ##34#TBD##34#</v>
      </c>
    </row>
    <row r="124" spans="3:3">
      <c r="C124" s="12" t="str">
        <f>IF('CancerUnderStudy-Map-1-test'!E38="*  -&gt; ##34###34#","// --END",'CancerUnderStudy-Map-1-test'!E38)</f>
        <v>* pdL1TpsValue -&gt; ##34#TBD##34#</v>
      </c>
    </row>
    <row r="125" spans="3:3">
      <c r="C125" s="12" t="str">
        <f>IF('CancerUnderStudy-Map-1-test'!E39="*  -&gt; ##34###34#","// --END",'CancerUnderStudy-Map-1-test'!E39)</f>
        <v>* crpCReactiveProteinTested -&gt; ##34#TBD##34#</v>
      </c>
    </row>
    <row r="126" spans="3:3">
      <c r="C126" s="12" t="str">
        <f>IF('CancerUnderStudy-Map-1-test'!E40="*  -&gt; ##34###34#","// --END",'CancerUnderStudy-Map-1-test'!E40)</f>
        <v>* cReactiveProteinCrpMgDl -&gt; ##34#TBD##34#</v>
      </c>
    </row>
    <row r="127" spans="3:3">
      <c r="C127" s="12" t="str">
        <f>IF('CancerUnderStudy-Map-1-test'!E41="*  -&gt; ##34###34#","// --END",'CancerUnderStudy-Map-1-test'!E41)</f>
        <v>* instrumentStatus -&gt; ##34#TBD##34#</v>
      </c>
    </row>
    <row r="128" spans="3:3">
      <c r="C128" s="12" t="str">
        <f>IF('CancerUnderStudy-Map-1-test'!E42="*  -&gt; ##34###34#","// --END",'CancerUnderStudy-Map-1-test'!E42)</f>
        <v>// --END</v>
      </c>
    </row>
    <row r="129" spans="3:3">
      <c r="C129" s="12" t="str">
        <f>IF('CancerUnderStudy-Map-1-test'!E43="*  -&gt; ##34###34#","// --END",'CancerUnderStudy-Map-1-test'!E43)</f>
        <v>// --END</v>
      </c>
    </row>
    <row r="130" spans="3:3">
      <c r="C130" s="12" t="str">
        <f>IF('CancerUnderStudy-Map-1-test'!E44="*  -&gt; ##34###34#","// --END",'CancerUnderStudy-Map-1-test'!E44)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utton 1">
              <controlPr defaultSize="0" print="0" autoFill="0" autoPict="0" macro="[0]!export">
                <anchor moveWithCells="1">
                  <from>
                    <xdr:col>2</xdr:col>
                    <xdr:colOff>444500</xdr:colOff>
                    <xdr:row>95</xdr:row>
                    <xdr:rowOff>171450</xdr:rowOff>
                  </from>
                  <to>
                    <xdr:col>2</xdr:col>
                    <xdr:colOff>1117600</xdr:colOff>
                    <xdr:row>97</xdr:row>
                    <xdr:rowOff>88900</xdr:rowOff>
                  </to>
                </anchor>
              </controlPr>
            </control>
          </mc:Choice>
        </mc:AlternateContent>
        <mc:AlternateContent xmlns:mc="http://schemas.openxmlformats.org/markup-compatibility/2006">
          <mc:Choice Requires="x14">
            <control shapeId="6349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352C-CDBD-4A8C-A0DE-B2000042EDE6}">
  <sheetPr codeName="Foglio2">
    <outlinePr summaryBelow="0" summaryRight="0"/>
  </sheetPr>
  <dimension ref="A1:Z1000"/>
  <sheetViews>
    <sheetView topLeftCell="E1" zoomScale="115" zoomScaleNormal="115" workbookViewId="0">
      <selection activeCell="J16" sqref="J16"/>
    </sheetView>
  </sheetViews>
  <sheetFormatPr defaultColWidth="12.6328125" defaultRowHeight="15.75" customHeight="1"/>
  <cols>
    <col min="1" max="1" width="36.86328125" style="78" customWidth="1"/>
    <col min="2" max="2" width="17.36328125" style="78" customWidth="1"/>
    <col min="3" max="3" width="21" style="78" customWidth="1"/>
    <col min="4" max="4" width="23.7265625" style="78" customWidth="1"/>
    <col min="5" max="5" width="29.1328125" style="78" customWidth="1"/>
    <col min="6" max="6" width="31.2265625" style="78" customWidth="1"/>
    <col min="7" max="7" width="30.36328125" style="78" customWidth="1"/>
    <col min="8" max="8" width="14.5" style="78" customWidth="1"/>
    <col min="9" max="9" width="38.6328125" style="78" customWidth="1"/>
    <col min="10" max="10" width="34.5" style="78" customWidth="1"/>
    <col min="11" max="11" width="12.6328125" style="78"/>
    <col min="12" max="12" width="21.86328125" style="78" customWidth="1"/>
    <col min="13" max="16384" width="12.6328125" style="78"/>
  </cols>
  <sheetData>
    <row r="1" spans="1:26" ht="74.25" customHeight="1">
      <c r="A1" s="122" t="s">
        <v>1483</v>
      </c>
      <c r="B1" s="123"/>
      <c r="C1" s="123"/>
      <c r="D1" s="123"/>
      <c r="E1" s="123"/>
      <c r="F1" s="123"/>
      <c r="G1" s="123"/>
      <c r="H1" s="123"/>
      <c r="I1" s="123"/>
      <c r="J1" s="123"/>
      <c r="K1" s="123"/>
      <c r="L1" s="123"/>
      <c r="M1" s="79"/>
      <c r="N1" s="79"/>
      <c r="O1" s="79"/>
      <c r="P1" s="79"/>
      <c r="Q1" s="79"/>
      <c r="R1" s="79"/>
      <c r="S1" s="79"/>
      <c r="T1" s="79"/>
      <c r="U1" s="79"/>
      <c r="V1" s="79"/>
      <c r="W1" s="79"/>
      <c r="X1" s="79"/>
      <c r="Y1" s="79"/>
      <c r="Z1" s="79"/>
    </row>
    <row r="2" spans="1:26" ht="13.5">
      <c r="A2" s="80"/>
    </row>
    <row r="3" spans="1:26" ht="30.75" customHeight="1">
      <c r="A3" s="81" t="s">
        <v>1484</v>
      </c>
      <c r="B3" s="82" t="s">
        <v>178</v>
      </c>
      <c r="C3" s="82" t="s">
        <v>1485</v>
      </c>
      <c r="D3" s="82" t="s">
        <v>1486</v>
      </c>
      <c r="E3" s="82" t="s">
        <v>1487</v>
      </c>
      <c r="F3" s="82" t="s">
        <v>188</v>
      </c>
      <c r="G3" s="82" t="s">
        <v>1488</v>
      </c>
      <c r="H3" s="82" t="s">
        <v>186</v>
      </c>
      <c r="I3" s="82" t="s">
        <v>1489</v>
      </c>
      <c r="J3" s="82" t="s">
        <v>1490</v>
      </c>
      <c r="K3" s="82" t="s">
        <v>1491</v>
      </c>
      <c r="L3" s="82" t="s">
        <v>1492</v>
      </c>
      <c r="M3" s="83"/>
      <c r="N3" s="83"/>
      <c r="O3" s="83"/>
      <c r="P3" s="83"/>
      <c r="Q3" s="83"/>
      <c r="R3" s="83"/>
      <c r="S3" s="83"/>
      <c r="T3" s="83"/>
      <c r="U3" s="83"/>
      <c r="V3" s="83"/>
      <c r="W3" s="83"/>
      <c r="X3" s="83"/>
      <c r="Y3" s="83"/>
      <c r="Z3" s="84"/>
    </row>
    <row r="4" spans="1:26" ht="65.25" customHeight="1">
      <c r="A4" s="85" t="s">
        <v>1493</v>
      </c>
      <c r="B4" s="86" t="s">
        <v>1494</v>
      </c>
      <c r="C4" s="86" t="s">
        <v>292</v>
      </c>
      <c r="D4" s="86" t="str">
        <f t="array" ref="D4">"CUS_"&amp;C4</f>
        <v>CUS_DiagnosisDate</v>
      </c>
      <c r="E4" s="86" t="s">
        <v>1495</v>
      </c>
      <c r="F4" s="86" t="s">
        <v>1496</v>
      </c>
      <c r="G4" s="86" t="s">
        <v>219</v>
      </c>
      <c r="H4" s="86" t="s">
        <v>211</v>
      </c>
      <c r="I4" s="86" t="s">
        <v>1497</v>
      </c>
      <c r="J4" s="86" t="s">
        <v>1498</v>
      </c>
      <c r="K4" s="86" t="s">
        <v>223</v>
      </c>
      <c r="L4" s="87"/>
      <c r="M4" s="87"/>
      <c r="N4" s="87"/>
      <c r="O4" s="87"/>
      <c r="P4" s="87"/>
      <c r="Q4" s="87"/>
      <c r="R4" s="87"/>
      <c r="S4" s="87"/>
      <c r="T4" s="87"/>
      <c r="U4" s="87"/>
      <c r="V4" s="87"/>
      <c r="W4" s="87"/>
      <c r="X4" s="87"/>
      <c r="Y4" s="87"/>
      <c r="Z4" s="87"/>
    </row>
    <row r="5" spans="1:26" ht="65.25" customHeight="1">
      <c r="A5" s="88" t="s">
        <v>1499</v>
      </c>
      <c r="B5" s="89" t="s">
        <v>1494</v>
      </c>
      <c r="C5" s="89"/>
      <c r="D5" s="89"/>
      <c r="E5" s="89"/>
      <c r="F5" s="89"/>
      <c r="G5" s="89"/>
      <c r="H5" s="89"/>
      <c r="I5" s="89"/>
      <c r="J5" s="89"/>
      <c r="K5" s="89"/>
      <c r="L5" s="90"/>
      <c r="M5" s="90"/>
      <c r="N5" s="90"/>
      <c r="O5" s="90"/>
      <c r="P5" s="90"/>
      <c r="Q5" s="90"/>
      <c r="R5" s="90"/>
      <c r="S5" s="90"/>
      <c r="T5" s="90"/>
      <c r="U5" s="90"/>
      <c r="V5" s="90"/>
      <c r="W5" s="90"/>
      <c r="X5" s="90"/>
      <c r="Y5" s="90"/>
      <c r="Z5" s="90"/>
    </row>
    <row r="6" spans="1:26" ht="65.25" customHeight="1">
      <c r="A6" s="91" t="s">
        <v>1500</v>
      </c>
      <c r="B6" s="92" t="s">
        <v>1494</v>
      </c>
      <c r="C6" s="92" t="s">
        <v>1501</v>
      </c>
      <c r="D6" s="92" t="str">
        <f t="array" ref="D6">"CUS_ "&amp;C6</f>
        <v>CUS_ BiopsyDoneBy</v>
      </c>
      <c r="E6" s="92"/>
      <c r="F6" s="92"/>
      <c r="G6" s="92"/>
      <c r="H6" s="92"/>
      <c r="I6" s="92"/>
      <c r="J6" s="92"/>
      <c r="K6" s="92"/>
      <c r="L6" s="93"/>
      <c r="M6" s="93"/>
      <c r="N6" s="93"/>
      <c r="O6" s="93"/>
      <c r="P6" s="93"/>
      <c r="Q6" s="93"/>
      <c r="R6" s="93"/>
      <c r="S6" s="93"/>
      <c r="T6" s="93"/>
      <c r="U6" s="93"/>
      <c r="V6" s="93"/>
      <c r="W6" s="93"/>
      <c r="X6" s="93"/>
      <c r="Y6" s="93"/>
      <c r="Z6" s="93"/>
    </row>
    <row r="7" spans="1:26" ht="65.25" customHeight="1">
      <c r="A7" s="85" t="s">
        <v>1502</v>
      </c>
      <c r="B7" s="86" t="s">
        <v>1494</v>
      </c>
      <c r="C7" s="86" t="s">
        <v>1503</v>
      </c>
      <c r="D7" s="86" t="str">
        <f t="array" ref="D7">"CUS_"&amp;C7</f>
        <v>CUS_AgeAtDiagnosis</v>
      </c>
      <c r="E7" s="86" t="s">
        <v>1504</v>
      </c>
      <c r="F7" s="86" t="s">
        <v>1505</v>
      </c>
      <c r="G7" s="86" t="s">
        <v>1506</v>
      </c>
      <c r="H7" s="86" t="s">
        <v>1507</v>
      </c>
      <c r="I7" s="86" t="s">
        <v>1508</v>
      </c>
      <c r="J7" s="86" t="s">
        <v>1509</v>
      </c>
      <c r="K7" s="86">
        <v>62</v>
      </c>
      <c r="L7" s="87"/>
      <c r="M7" s="87"/>
      <c r="N7" s="87"/>
      <c r="O7" s="87"/>
      <c r="P7" s="87"/>
      <c r="Q7" s="87"/>
      <c r="R7" s="87"/>
      <c r="S7" s="87"/>
      <c r="T7" s="87"/>
      <c r="U7" s="87"/>
      <c r="V7" s="87"/>
      <c r="W7" s="87"/>
      <c r="X7" s="87"/>
      <c r="Y7" s="87"/>
      <c r="Z7" s="87"/>
    </row>
    <row r="8" spans="1:26" ht="65.25" customHeight="1">
      <c r="A8" s="88" t="s">
        <v>1502</v>
      </c>
      <c r="B8" s="89" t="s">
        <v>1494</v>
      </c>
      <c r="C8" s="89"/>
      <c r="D8" s="89" t="str">
        <f t="array" ref="D8">"CUS_ "&amp;C8</f>
        <v xml:space="preserve">CUS_ </v>
      </c>
      <c r="E8" s="89"/>
      <c r="F8" s="89"/>
      <c r="G8" s="89"/>
      <c r="H8" s="89"/>
      <c r="I8" s="89"/>
      <c r="J8" s="89"/>
      <c r="K8" s="89"/>
      <c r="L8" s="90"/>
      <c r="M8" s="90"/>
      <c r="N8" s="90"/>
      <c r="O8" s="90"/>
      <c r="P8" s="90"/>
      <c r="Q8" s="90"/>
      <c r="R8" s="90"/>
      <c r="S8" s="90"/>
      <c r="T8" s="90"/>
      <c r="U8" s="90"/>
      <c r="V8" s="90"/>
      <c r="W8" s="90"/>
      <c r="X8" s="90"/>
      <c r="Y8" s="90"/>
      <c r="Z8" s="90"/>
    </row>
    <row r="9" spans="1:26" ht="138.75" customHeight="1">
      <c r="A9" s="85" t="s">
        <v>1510</v>
      </c>
      <c r="B9" s="86" t="s">
        <v>1494</v>
      </c>
      <c r="C9" s="86" t="s">
        <v>1511</v>
      </c>
      <c r="D9" s="86" t="str">
        <f t="array" ref="D9">"CUS_"&amp;C9</f>
        <v>CUS_HistologyGroup</v>
      </c>
      <c r="E9" s="86" t="s">
        <v>1510</v>
      </c>
      <c r="F9" s="86" t="s">
        <v>1512</v>
      </c>
      <c r="G9" s="86" t="s">
        <v>195</v>
      </c>
      <c r="H9" s="86" t="s">
        <v>211</v>
      </c>
      <c r="I9" s="86" t="s">
        <v>1513</v>
      </c>
      <c r="J9" s="94" t="s">
        <v>1514</v>
      </c>
      <c r="K9" s="86" t="s">
        <v>1515</v>
      </c>
      <c r="L9" s="95" t="s">
        <v>1516</v>
      </c>
      <c r="M9" s="87"/>
      <c r="N9" s="87"/>
      <c r="O9" s="87"/>
      <c r="P9" s="87"/>
      <c r="Q9" s="87"/>
      <c r="R9" s="87"/>
      <c r="S9" s="87"/>
      <c r="T9" s="87"/>
      <c r="U9" s="87"/>
      <c r="V9" s="87"/>
      <c r="W9" s="87"/>
      <c r="X9" s="87"/>
      <c r="Y9" s="87"/>
      <c r="Z9" s="87"/>
    </row>
    <row r="10" spans="1:26" ht="65.25" customHeight="1">
      <c r="A10" s="124" t="s">
        <v>1517</v>
      </c>
      <c r="B10" s="125"/>
      <c r="C10" s="125"/>
      <c r="D10" s="125"/>
      <c r="E10" s="125"/>
      <c r="F10" s="125"/>
      <c r="G10" s="125"/>
      <c r="H10" s="125"/>
      <c r="I10" s="125"/>
      <c r="J10" s="125"/>
      <c r="K10" s="125"/>
      <c r="L10" s="87"/>
      <c r="M10" s="87"/>
      <c r="N10" s="87"/>
      <c r="O10" s="87"/>
      <c r="P10" s="87"/>
      <c r="Q10" s="87"/>
      <c r="R10" s="87"/>
      <c r="S10" s="87"/>
      <c r="T10" s="87"/>
      <c r="U10" s="87"/>
      <c r="V10" s="87"/>
      <c r="W10" s="87"/>
      <c r="X10" s="87"/>
      <c r="Y10" s="87"/>
      <c r="Z10" s="87"/>
    </row>
    <row r="11" spans="1:26" ht="65.25" customHeight="1">
      <c r="A11" s="85" t="s">
        <v>1518</v>
      </c>
      <c r="B11" s="86" t="s">
        <v>1511</v>
      </c>
      <c r="C11" s="86" t="s">
        <v>1519</v>
      </c>
      <c r="D11" s="86" t="str">
        <f t="array" ref="D11">"CUS_"&amp;C11</f>
        <v>CUS_HistologySquamous</v>
      </c>
      <c r="E11" s="86" t="s">
        <v>1520</v>
      </c>
      <c r="F11" s="86" t="s">
        <v>1521</v>
      </c>
      <c r="G11" s="86" t="s">
        <v>195</v>
      </c>
      <c r="H11" s="86" t="s">
        <v>211</v>
      </c>
      <c r="I11" s="86" t="s">
        <v>1522</v>
      </c>
      <c r="J11" s="94" t="s">
        <v>1523</v>
      </c>
      <c r="K11" s="86"/>
      <c r="L11" s="95" t="s">
        <v>1516</v>
      </c>
      <c r="M11" s="87"/>
      <c r="N11" s="87"/>
      <c r="O11" s="87"/>
      <c r="P11" s="87"/>
      <c r="Q11" s="87"/>
      <c r="R11" s="87"/>
      <c r="S11" s="87"/>
      <c r="T11" s="87"/>
      <c r="U11" s="87"/>
      <c r="V11" s="87"/>
      <c r="W11" s="87"/>
      <c r="X11" s="87"/>
      <c r="Y11" s="87"/>
      <c r="Z11" s="87"/>
    </row>
    <row r="12" spans="1:26" ht="65.25" customHeight="1">
      <c r="A12" s="85" t="s">
        <v>1524</v>
      </c>
      <c r="B12" s="86" t="s">
        <v>1511</v>
      </c>
      <c r="C12" s="86" t="s">
        <v>1525</v>
      </c>
      <c r="D12" s="86" t="str">
        <f t="array" ref="D12">"CUS_"&amp;C12</f>
        <v>CUS_HistologyAdenocarcinoma</v>
      </c>
      <c r="E12" s="86" t="s">
        <v>1526</v>
      </c>
      <c r="F12" s="96" t="s">
        <v>1527</v>
      </c>
      <c r="G12" s="86" t="s">
        <v>195</v>
      </c>
      <c r="H12" s="86" t="s">
        <v>211</v>
      </c>
      <c r="I12" s="86" t="s">
        <v>1528</v>
      </c>
      <c r="J12" s="94" t="s">
        <v>1529</v>
      </c>
      <c r="K12" s="86"/>
      <c r="L12" s="95" t="s">
        <v>1516</v>
      </c>
      <c r="M12" s="87"/>
      <c r="N12" s="87"/>
      <c r="O12" s="87"/>
      <c r="P12" s="87"/>
      <c r="Q12" s="87"/>
      <c r="R12" s="87"/>
      <c r="S12" s="87"/>
      <c r="T12" s="87"/>
      <c r="U12" s="87"/>
      <c r="V12" s="87"/>
      <c r="W12" s="87"/>
      <c r="X12" s="87"/>
      <c r="Y12" s="87"/>
      <c r="Z12" s="87"/>
    </row>
    <row r="13" spans="1:26" ht="65.25" customHeight="1">
      <c r="A13" s="85" t="s">
        <v>1530</v>
      </c>
      <c r="B13" s="86" t="s">
        <v>1511</v>
      </c>
      <c r="C13" s="86" t="s">
        <v>1531</v>
      </c>
      <c r="D13" s="86" t="str">
        <f t="array" ref="D13">"CUS_"&amp;C13</f>
        <v>CUS_HistologyNeuroendocrine</v>
      </c>
      <c r="E13" s="86" t="s">
        <v>1532</v>
      </c>
      <c r="F13" s="97" t="s">
        <v>1533</v>
      </c>
      <c r="G13" s="86" t="s">
        <v>195</v>
      </c>
      <c r="H13" s="86" t="s">
        <v>211</v>
      </c>
      <c r="I13" s="86" t="s">
        <v>1534</v>
      </c>
      <c r="J13" s="94" t="s">
        <v>1535</v>
      </c>
      <c r="K13" s="86"/>
      <c r="L13" s="95" t="s">
        <v>1516</v>
      </c>
      <c r="M13" s="87"/>
      <c r="N13" s="87"/>
      <c r="O13" s="87"/>
      <c r="P13" s="87"/>
      <c r="Q13" s="87"/>
      <c r="R13" s="87"/>
      <c r="S13" s="87"/>
      <c r="T13" s="87"/>
      <c r="U13" s="87"/>
      <c r="V13" s="87"/>
      <c r="W13" s="87"/>
      <c r="X13" s="87"/>
      <c r="Y13" s="87"/>
      <c r="Z13" s="87"/>
    </row>
    <row r="14" spans="1:26" ht="65.25" customHeight="1">
      <c r="A14" s="85" t="s">
        <v>1536</v>
      </c>
      <c r="B14" s="86" t="s">
        <v>1511</v>
      </c>
      <c r="C14" s="86" t="s">
        <v>1537</v>
      </c>
      <c r="D14" s="86" t="str">
        <f t="array" ref="D14">"CUS_"&amp;C14</f>
        <v>CUS_HistologyOdontogenicCarcinoma</v>
      </c>
      <c r="E14" s="86" t="s">
        <v>1538</v>
      </c>
      <c r="F14" s="97" t="s">
        <v>1539</v>
      </c>
      <c r="G14" s="86" t="s">
        <v>195</v>
      </c>
      <c r="H14" s="86" t="s">
        <v>211</v>
      </c>
      <c r="I14" s="86" t="s">
        <v>1540</v>
      </c>
      <c r="J14" s="94" t="s">
        <v>1541</v>
      </c>
      <c r="K14" s="86"/>
      <c r="L14" s="95" t="s">
        <v>1516</v>
      </c>
      <c r="M14" s="87"/>
      <c r="N14" s="87"/>
      <c r="O14" s="87"/>
      <c r="P14" s="87"/>
      <c r="Q14" s="87"/>
      <c r="R14" s="87"/>
      <c r="S14" s="87"/>
      <c r="T14" s="87"/>
      <c r="U14" s="87"/>
      <c r="V14" s="87"/>
      <c r="W14" s="87"/>
      <c r="X14" s="87"/>
      <c r="Y14" s="87"/>
      <c r="Z14" s="87"/>
    </row>
    <row r="15" spans="1:26" ht="65.25" customHeight="1">
      <c r="A15" s="85" t="s">
        <v>1542</v>
      </c>
      <c r="B15" s="86" t="s">
        <v>1511</v>
      </c>
      <c r="C15" s="86" t="s">
        <v>1543</v>
      </c>
      <c r="D15" s="86" t="str">
        <f t="array" ref="D15">"CUS_"&amp;C15</f>
        <v>CUS_HistologySNUC</v>
      </c>
      <c r="E15" s="86" t="s">
        <v>1544</v>
      </c>
      <c r="F15" s="97" t="s">
        <v>1545</v>
      </c>
      <c r="G15" s="86" t="s">
        <v>195</v>
      </c>
      <c r="H15" s="86" t="s">
        <v>211</v>
      </c>
      <c r="I15" s="86" t="s">
        <v>1546</v>
      </c>
      <c r="J15" s="94" t="s">
        <v>1547</v>
      </c>
      <c r="K15" s="86"/>
      <c r="L15" s="95" t="s">
        <v>1516</v>
      </c>
      <c r="M15" s="87"/>
      <c r="N15" s="87"/>
      <c r="O15" s="87"/>
      <c r="P15" s="87"/>
      <c r="Q15" s="87"/>
      <c r="R15" s="87"/>
      <c r="S15" s="87"/>
      <c r="T15" s="87"/>
      <c r="U15" s="87"/>
      <c r="V15" s="87"/>
      <c r="W15" s="87"/>
      <c r="X15" s="87"/>
      <c r="Y15" s="87"/>
      <c r="Z15" s="87"/>
    </row>
    <row r="16" spans="1:26" ht="65.25" customHeight="1">
      <c r="A16" s="85" t="s">
        <v>1548</v>
      </c>
      <c r="B16" s="86" t="s">
        <v>1494</v>
      </c>
      <c r="C16" s="86" t="s">
        <v>1549</v>
      </c>
      <c r="D16" s="86" t="str">
        <f t="array" ref="D16">"CUS_"&amp;C16</f>
        <v>CUS_SiteRare</v>
      </c>
      <c r="E16" s="86" t="s">
        <v>1550</v>
      </c>
      <c r="F16" s="98" t="s">
        <v>1551</v>
      </c>
      <c r="G16" s="86" t="s">
        <v>195</v>
      </c>
      <c r="H16" s="86" t="s">
        <v>211</v>
      </c>
      <c r="I16" s="86" t="s">
        <v>1552</v>
      </c>
      <c r="J16" s="94" t="s">
        <v>1553</v>
      </c>
      <c r="K16" s="86"/>
      <c r="L16" s="95" t="s">
        <v>1554</v>
      </c>
      <c r="M16" s="87"/>
      <c r="N16" s="87"/>
      <c r="O16" s="87"/>
      <c r="P16" s="87"/>
      <c r="Q16" s="87"/>
      <c r="R16" s="87"/>
      <c r="S16" s="87"/>
      <c r="T16" s="87"/>
      <c r="U16" s="87"/>
      <c r="V16" s="87"/>
      <c r="W16" s="87"/>
      <c r="X16" s="87"/>
      <c r="Y16" s="87"/>
      <c r="Z16" s="87"/>
    </row>
    <row r="17" spans="1:26" ht="65.25" customHeight="1">
      <c r="A17" s="85" t="s">
        <v>1555</v>
      </c>
      <c r="B17" s="86" t="s">
        <v>1494</v>
      </c>
      <c r="C17" s="86" t="s">
        <v>1556</v>
      </c>
      <c r="D17" s="86" t="str">
        <f t="array" ref="D17">"CUS_"&amp;C17</f>
        <v>CUS_SiteCommonAndRare</v>
      </c>
      <c r="E17" s="86" t="s">
        <v>1557</v>
      </c>
      <c r="F17" s="98" t="s">
        <v>1551</v>
      </c>
      <c r="G17" s="86" t="s">
        <v>195</v>
      </c>
      <c r="H17" s="86" t="s">
        <v>211</v>
      </c>
      <c r="I17" s="86" t="s">
        <v>1552</v>
      </c>
      <c r="J17" s="94" t="s">
        <v>1558</v>
      </c>
      <c r="K17" s="86"/>
      <c r="L17" s="95" t="s">
        <v>1554</v>
      </c>
      <c r="M17" s="87"/>
      <c r="N17" s="87"/>
      <c r="O17" s="87"/>
      <c r="P17" s="87"/>
      <c r="Q17" s="87"/>
      <c r="R17" s="87"/>
      <c r="S17" s="87"/>
      <c r="T17" s="87"/>
      <c r="U17" s="87"/>
      <c r="V17" s="87"/>
      <c r="W17" s="87"/>
      <c r="X17" s="87"/>
      <c r="Y17" s="87"/>
      <c r="Z17" s="87"/>
    </row>
    <row r="18" spans="1:26" ht="65.25" customHeight="1">
      <c r="A18" s="126" t="s">
        <v>1559</v>
      </c>
      <c r="B18" s="125"/>
      <c r="C18" s="125"/>
      <c r="D18" s="125"/>
      <c r="E18" s="125"/>
      <c r="F18" s="125"/>
      <c r="G18" s="125"/>
      <c r="H18" s="125"/>
      <c r="I18" s="125"/>
      <c r="J18" s="125"/>
      <c r="K18" s="86"/>
      <c r="L18" s="87"/>
      <c r="M18" s="87"/>
      <c r="N18" s="87"/>
      <c r="O18" s="87"/>
      <c r="P18" s="87"/>
      <c r="Q18" s="87"/>
      <c r="R18" s="87"/>
      <c r="S18" s="87"/>
      <c r="T18" s="87"/>
      <c r="U18" s="87"/>
      <c r="V18" s="87"/>
      <c r="W18" s="87"/>
      <c r="X18" s="87"/>
      <c r="Y18" s="87"/>
      <c r="Z18" s="87"/>
    </row>
    <row r="19" spans="1:26" ht="65.25" customHeight="1">
      <c r="A19" s="85" t="s">
        <v>1560</v>
      </c>
      <c r="B19" s="86" t="s">
        <v>1561</v>
      </c>
      <c r="C19" s="86" t="str">
        <f t="shared" ref="C19:C39" si="0">SUBSTITUTE(PROPER(A19), " ","")</f>
        <v>NasalCavityAndParanasalSinusesSubsite</v>
      </c>
      <c r="D19" s="86" t="str">
        <f t="array" ref="D19">"CUS_"&amp;C19</f>
        <v>CUS_NasalCavityAndParanasalSinusesSubsite</v>
      </c>
      <c r="E19" s="86" t="s">
        <v>1560</v>
      </c>
      <c r="F19" s="86" t="s">
        <v>1562</v>
      </c>
      <c r="G19" s="86" t="s">
        <v>195</v>
      </c>
      <c r="H19" s="86" t="s">
        <v>211</v>
      </c>
      <c r="I19" s="86" t="s">
        <v>1563</v>
      </c>
      <c r="J19" s="94" t="s">
        <v>1564</v>
      </c>
      <c r="K19" s="86"/>
      <c r="L19" s="95" t="s">
        <v>1554</v>
      </c>
      <c r="M19" s="95" t="s">
        <v>1565</v>
      </c>
      <c r="N19" s="87"/>
      <c r="O19" s="87"/>
      <c r="P19" s="87"/>
      <c r="Q19" s="87"/>
      <c r="R19" s="87"/>
      <c r="S19" s="87"/>
      <c r="T19" s="87"/>
      <c r="U19" s="87"/>
      <c r="V19" s="87"/>
      <c r="W19" s="87"/>
      <c r="X19" s="87"/>
      <c r="Y19" s="87"/>
      <c r="Z19" s="87"/>
    </row>
    <row r="20" spans="1:26" ht="65.25" customHeight="1">
      <c r="A20" s="85" t="s">
        <v>1566</v>
      </c>
      <c r="B20" s="86" t="s">
        <v>1561</v>
      </c>
      <c r="C20" s="86" t="str">
        <f t="shared" si="0"/>
        <v>NasopharynxSubsite</v>
      </c>
      <c r="D20" s="86" t="str">
        <f t="array" ref="D20">"CUS_"&amp;C20</f>
        <v>CUS_NasopharynxSubsite</v>
      </c>
      <c r="E20" s="86" t="s">
        <v>1566</v>
      </c>
      <c r="F20" s="86" t="s">
        <v>1567</v>
      </c>
      <c r="G20" s="86" t="s">
        <v>195</v>
      </c>
      <c r="H20" s="86" t="s">
        <v>211</v>
      </c>
      <c r="I20" s="86" t="s">
        <v>1563</v>
      </c>
      <c r="J20" s="99" t="s">
        <v>1568</v>
      </c>
      <c r="K20" s="86"/>
      <c r="L20" s="95" t="s">
        <v>1554</v>
      </c>
      <c r="M20" s="87"/>
      <c r="N20" s="87"/>
      <c r="O20" s="87"/>
      <c r="P20" s="87"/>
      <c r="Q20" s="87"/>
      <c r="R20" s="87"/>
      <c r="S20" s="87"/>
      <c r="T20" s="87"/>
      <c r="U20" s="87"/>
      <c r="V20" s="87"/>
      <c r="W20" s="87"/>
      <c r="X20" s="87"/>
      <c r="Y20" s="87"/>
      <c r="Z20" s="87"/>
    </row>
    <row r="21" spans="1:26" ht="65.25" customHeight="1">
      <c r="A21" s="85" t="s">
        <v>1569</v>
      </c>
      <c r="B21" s="86" t="s">
        <v>1561</v>
      </c>
      <c r="C21" s="86" t="str">
        <f t="shared" si="0"/>
        <v>HypopharynxSubsite</v>
      </c>
      <c r="D21" s="86" t="str">
        <f t="array" ref="D21">"CUS_"&amp;C21</f>
        <v>CUS_HypopharynxSubsite</v>
      </c>
      <c r="E21" s="86" t="s">
        <v>1569</v>
      </c>
      <c r="F21" s="86" t="s">
        <v>1570</v>
      </c>
      <c r="G21" s="86" t="s">
        <v>195</v>
      </c>
      <c r="H21" s="86" t="s">
        <v>211</v>
      </c>
      <c r="I21" s="86" t="s">
        <v>1563</v>
      </c>
      <c r="J21" s="99" t="s">
        <v>1571</v>
      </c>
      <c r="K21" s="86"/>
      <c r="L21" s="95" t="s">
        <v>1554</v>
      </c>
      <c r="M21" s="87"/>
      <c r="N21" s="87"/>
      <c r="O21" s="87"/>
      <c r="P21" s="87"/>
      <c r="Q21" s="87"/>
      <c r="R21" s="87"/>
      <c r="S21" s="87"/>
      <c r="T21" s="87"/>
      <c r="U21" s="87"/>
      <c r="V21" s="87"/>
      <c r="W21" s="87"/>
      <c r="X21" s="87"/>
      <c r="Y21" s="87"/>
      <c r="Z21" s="87"/>
    </row>
    <row r="22" spans="1:26" ht="65.25" customHeight="1">
      <c r="A22" s="85" t="s">
        <v>1572</v>
      </c>
      <c r="B22" s="86" t="s">
        <v>1561</v>
      </c>
      <c r="C22" s="86" t="str">
        <f t="shared" si="0"/>
        <v>OropharynxSubsite</v>
      </c>
      <c r="D22" s="86" t="str">
        <f t="array" ref="D22">"CUS_"&amp;C22</f>
        <v>CUS_OropharynxSubsite</v>
      </c>
      <c r="E22" s="86" t="s">
        <v>1572</v>
      </c>
      <c r="F22" s="86" t="s">
        <v>1573</v>
      </c>
      <c r="G22" s="86" t="s">
        <v>195</v>
      </c>
      <c r="H22" s="86" t="s">
        <v>211</v>
      </c>
      <c r="I22" s="86" t="s">
        <v>1563</v>
      </c>
      <c r="J22" s="99" t="s">
        <v>1574</v>
      </c>
      <c r="K22" s="86"/>
      <c r="L22" s="95" t="s">
        <v>1554</v>
      </c>
      <c r="M22" s="87"/>
      <c r="N22" s="87"/>
      <c r="O22" s="87"/>
      <c r="P22" s="87"/>
      <c r="Q22" s="87"/>
      <c r="R22" s="87"/>
      <c r="S22" s="87"/>
      <c r="T22" s="87"/>
      <c r="U22" s="87"/>
      <c r="V22" s="87"/>
      <c r="W22" s="87"/>
      <c r="X22" s="87"/>
      <c r="Y22" s="87"/>
      <c r="Z22" s="87"/>
    </row>
    <row r="23" spans="1:26" ht="65.25" customHeight="1">
      <c r="A23" s="85" t="s">
        <v>1575</v>
      </c>
      <c r="B23" s="86" t="s">
        <v>1561</v>
      </c>
      <c r="C23" s="86" t="str">
        <f t="shared" si="0"/>
        <v>LarynxSubsite</v>
      </c>
      <c r="D23" s="86" t="str">
        <f t="array" ref="D23">"CUS_"&amp;C23</f>
        <v>CUS_LarynxSubsite</v>
      </c>
      <c r="E23" s="86" t="s">
        <v>1575</v>
      </c>
      <c r="F23" s="86" t="s">
        <v>1576</v>
      </c>
      <c r="G23" s="86" t="s">
        <v>195</v>
      </c>
      <c r="H23" s="86" t="s">
        <v>211</v>
      </c>
      <c r="I23" s="86" t="s">
        <v>1563</v>
      </c>
      <c r="J23" s="99" t="s">
        <v>1577</v>
      </c>
      <c r="K23" s="86"/>
      <c r="L23" s="95" t="s">
        <v>1554</v>
      </c>
      <c r="M23" s="87"/>
      <c r="N23" s="87"/>
      <c r="O23" s="87"/>
      <c r="P23" s="87"/>
      <c r="Q23" s="87"/>
      <c r="R23" s="87"/>
      <c r="S23" s="87"/>
      <c r="T23" s="87"/>
      <c r="U23" s="87"/>
      <c r="V23" s="87"/>
      <c r="W23" s="87"/>
      <c r="X23" s="87"/>
      <c r="Y23" s="87"/>
      <c r="Z23" s="87"/>
    </row>
    <row r="24" spans="1:26" ht="65.25" customHeight="1">
      <c r="A24" s="85" t="s">
        <v>1578</v>
      </c>
      <c r="B24" s="86" t="s">
        <v>1561</v>
      </c>
      <c r="C24" s="86" t="str">
        <f t="shared" si="0"/>
        <v>OralCavitySubsite</v>
      </c>
      <c r="D24" s="86" t="str">
        <f t="array" ref="D24">"CUS_"&amp;C24</f>
        <v>CUS_OralCavitySubsite</v>
      </c>
      <c r="E24" s="86" t="s">
        <v>1578</v>
      </c>
      <c r="F24" s="86" t="s">
        <v>1579</v>
      </c>
      <c r="G24" s="86" t="s">
        <v>195</v>
      </c>
      <c r="H24" s="86" t="s">
        <v>211</v>
      </c>
      <c r="I24" s="86" t="s">
        <v>1563</v>
      </c>
      <c r="J24" s="100" t="s">
        <v>1580</v>
      </c>
      <c r="K24" s="86"/>
      <c r="L24" s="95" t="s">
        <v>1554</v>
      </c>
      <c r="M24" s="87"/>
      <c r="N24" s="87"/>
      <c r="O24" s="87"/>
      <c r="P24" s="87"/>
      <c r="Q24" s="87"/>
      <c r="R24" s="87"/>
      <c r="S24" s="87"/>
      <c r="T24" s="87"/>
      <c r="U24" s="87"/>
      <c r="V24" s="87"/>
      <c r="W24" s="87"/>
      <c r="X24" s="87"/>
      <c r="Y24" s="87"/>
      <c r="Z24" s="87"/>
    </row>
    <row r="25" spans="1:26" ht="65.25" customHeight="1">
      <c r="A25" s="85" t="s">
        <v>1581</v>
      </c>
      <c r="B25" s="86" t="s">
        <v>1561</v>
      </c>
      <c r="C25" s="86" t="str">
        <f t="shared" si="0"/>
        <v>LipSubsite</v>
      </c>
      <c r="D25" s="86" t="str">
        <f t="array" ref="D25">"CUS_"&amp;C25</f>
        <v>CUS_LipSubsite</v>
      </c>
      <c r="E25" s="86" t="s">
        <v>1581</v>
      </c>
      <c r="F25" s="86" t="s">
        <v>1582</v>
      </c>
      <c r="G25" s="86" t="s">
        <v>195</v>
      </c>
      <c r="H25" s="86" t="s">
        <v>211</v>
      </c>
      <c r="I25" s="86" t="s">
        <v>1563</v>
      </c>
      <c r="J25" s="100" t="s">
        <v>1583</v>
      </c>
      <c r="K25" s="86"/>
      <c r="L25" s="95" t="s">
        <v>1554</v>
      </c>
      <c r="M25" s="87"/>
      <c r="N25" s="87"/>
      <c r="O25" s="87"/>
      <c r="P25" s="87"/>
      <c r="Q25" s="87"/>
      <c r="R25" s="87"/>
      <c r="S25" s="87"/>
      <c r="T25" s="87"/>
      <c r="U25" s="87"/>
      <c r="V25" s="87"/>
      <c r="W25" s="87"/>
      <c r="X25" s="87"/>
      <c r="Y25" s="87"/>
      <c r="Z25" s="87"/>
    </row>
    <row r="26" spans="1:26" ht="65.25" customHeight="1">
      <c r="A26" s="85" t="s">
        <v>1584</v>
      </c>
      <c r="B26" s="86" t="s">
        <v>1494</v>
      </c>
      <c r="C26" s="86" t="str">
        <f t="shared" si="0"/>
        <v>PlasmaticEbvDnaAtBaseline</v>
      </c>
      <c r="D26" s="86" t="str">
        <f t="array" ref="D26">"CUS_"&amp;C26</f>
        <v>CUS_PlasmaticEbvDnaAtBaseline</v>
      </c>
      <c r="E26" s="86" t="s">
        <v>1584</v>
      </c>
      <c r="F26" s="86" t="s">
        <v>1585</v>
      </c>
      <c r="G26" s="86" t="s">
        <v>195</v>
      </c>
      <c r="H26" s="86" t="s">
        <v>211</v>
      </c>
      <c r="I26" s="86" t="s">
        <v>1586</v>
      </c>
      <c r="J26" s="86" t="s">
        <v>1587</v>
      </c>
      <c r="K26" s="86"/>
      <c r="L26" s="87"/>
      <c r="M26" s="87"/>
      <c r="N26" s="87"/>
      <c r="O26" s="87"/>
      <c r="P26" s="87"/>
      <c r="Q26" s="87"/>
      <c r="R26" s="87"/>
      <c r="S26" s="87"/>
      <c r="T26" s="87"/>
      <c r="U26" s="87"/>
      <c r="V26" s="87"/>
      <c r="W26" s="87"/>
      <c r="X26" s="87"/>
      <c r="Y26" s="87"/>
      <c r="Z26" s="87"/>
    </row>
    <row r="27" spans="1:26" ht="65.25" customHeight="1">
      <c r="A27" s="85" t="s">
        <v>1588</v>
      </c>
      <c r="B27" s="86" t="s">
        <v>1494</v>
      </c>
      <c r="C27" s="86" t="str">
        <f t="shared" si="0"/>
        <v>PrimerType</v>
      </c>
      <c r="D27" s="86" t="str">
        <f t="array" ref="D27">"CUS_"&amp;C27</f>
        <v>CUS_PrimerType</v>
      </c>
      <c r="E27" s="86" t="s">
        <v>1588</v>
      </c>
      <c r="F27" s="86" t="s">
        <v>1589</v>
      </c>
      <c r="G27" s="86" t="s">
        <v>195</v>
      </c>
      <c r="H27" s="86" t="s">
        <v>211</v>
      </c>
      <c r="I27" s="86" t="s">
        <v>1590</v>
      </c>
      <c r="J27" s="86" t="s">
        <v>1591</v>
      </c>
      <c r="K27" s="86"/>
      <c r="L27" s="87"/>
      <c r="M27" s="87"/>
      <c r="N27" s="87"/>
      <c r="O27" s="87"/>
      <c r="P27" s="87"/>
      <c r="Q27" s="87"/>
      <c r="R27" s="87"/>
      <c r="S27" s="87"/>
      <c r="T27" s="87"/>
      <c r="U27" s="87"/>
      <c r="V27" s="87"/>
      <c r="W27" s="87"/>
      <c r="X27" s="87"/>
      <c r="Y27" s="87"/>
      <c r="Z27" s="87"/>
    </row>
    <row r="28" spans="1:26" ht="65.25" customHeight="1">
      <c r="A28" s="101" t="s">
        <v>1592</v>
      </c>
      <c r="B28" s="102"/>
      <c r="C28" s="102" t="str">
        <f t="shared" si="0"/>
        <v>Other(PleaseSpecify)</v>
      </c>
      <c r="D28" s="102" t="str">
        <f t="array" ref="D28">"CUS_"&amp;C28</f>
        <v>CUS_Other(PleaseSpecify)</v>
      </c>
      <c r="E28" s="102"/>
      <c r="F28" s="102"/>
      <c r="G28" s="102"/>
      <c r="H28" s="102"/>
      <c r="I28" s="102"/>
      <c r="J28" s="102"/>
      <c r="K28" s="102"/>
      <c r="L28" s="103"/>
      <c r="M28" s="103"/>
      <c r="N28" s="103"/>
      <c r="O28" s="103"/>
      <c r="P28" s="103"/>
      <c r="Q28" s="103"/>
      <c r="R28" s="103"/>
      <c r="S28" s="103"/>
      <c r="T28" s="103"/>
      <c r="U28" s="103"/>
      <c r="V28" s="103"/>
      <c r="W28" s="103"/>
      <c r="X28" s="103"/>
      <c r="Y28" s="103"/>
      <c r="Z28" s="103"/>
    </row>
    <row r="29" spans="1:26" ht="65.25" customHeight="1">
      <c r="A29" s="85" t="s">
        <v>876</v>
      </c>
      <c r="B29" s="86" t="s">
        <v>1494</v>
      </c>
      <c r="C29" s="86" t="str">
        <f t="shared" si="0"/>
        <v>CopyNumber</v>
      </c>
      <c r="D29" s="86" t="str">
        <f t="array" ref="D29">"CUS_"&amp;C29</f>
        <v>CUS_CopyNumber</v>
      </c>
      <c r="E29" s="86" t="s">
        <v>876</v>
      </c>
      <c r="F29" s="86" t="s">
        <v>1593</v>
      </c>
      <c r="G29" s="86" t="s">
        <v>354</v>
      </c>
      <c r="H29" s="86" t="s">
        <v>211</v>
      </c>
      <c r="I29" s="86" t="s">
        <v>1594</v>
      </c>
      <c r="J29" s="86" t="s">
        <v>354</v>
      </c>
      <c r="K29" s="86"/>
      <c r="L29" s="87"/>
      <c r="M29" s="87"/>
      <c r="N29" s="87"/>
      <c r="O29" s="87"/>
      <c r="P29" s="87"/>
      <c r="Q29" s="87"/>
      <c r="R29" s="87"/>
      <c r="S29" s="87"/>
      <c r="T29" s="87"/>
      <c r="U29" s="87"/>
      <c r="V29" s="87"/>
      <c r="W29" s="87"/>
      <c r="X29" s="87"/>
      <c r="Y29" s="87"/>
      <c r="Z29" s="87"/>
    </row>
    <row r="30" spans="1:26" ht="65.25" customHeight="1">
      <c r="A30" s="85" t="s">
        <v>1595</v>
      </c>
      <c r="B30" s="86" t="s">
        <v>1494</v>
      </c>
      <c r="C30" s="86" t="str">
        <f t="shared" si="0"/>
        <v>HpvStatus</v>
      </c>
      <c r="D30" s="86" t="str">
        <f t="array" ref="D30">"CUS_"&amp;C30</f>
        <v>CUS_HpvStatus</v>
      </c>
      <c r="E30" s="86" t="s">
        <v>1595</v>
      </c>
      <c r="F30" s="86" t="s">
        <v>1596</v>
      </c>
      <c r="G30" s="86" t="s">
        <v>195</v>
      </c>
      <c r="H30" s="86" t="s">
        <v>211</v>
      </c>
      <c r="I30" s="86" t="s">
        <v>1597</v>
      </c>
      <c r="J30" s="86" t="s">
        <v>1598</v>
      </c>
      <c r="K30" s="86"/>
      <c r="L30" s="87"/>
      <c r="M30" s="87"/>
      <c r="N30" s="87"/>
      <c r="O30" s="87"/>
      <c r="P30" s="87"/>
      <c r="Q30" s="87"/>
      <c r="R30" s="87"/>
      <c r="S30" s="87"/>
      <c r="T30" s="87"/>
      <c r="U30" s="87"/>
      <c r="V30" s="87"/>
      <c r="W30" s="87"/>
      <c r="X30" s="87"/>
      <c r="Y30" s="87"/>
      <c r="Z30" s="87"/>
    </row>
    <row r="31" spans="1:26" ht="65.25" customHeight="1">
      <c r="A31" s="85" t="s">
        <v>1599</v>
      </c>
      <c r="B31" s="86" t="s">
        <v>1494</v>
      </c>
      <c r="C31" s="86" t="str">
        <f t="shared" si="0"/>
        <v>HpvStatusDetectedBy</v>
      </c>
      <c r="D31" s="86" t="str">
        <f t="array" ref="D31">"CUS_"&amp;C31</f>
        <v>CUS_HpvStatusDetectedBy</v>
      </c>
      <c r="E31" s="86" t="s">
        <v>1600</v>
      </c>
      <c r="F31" s="86" t="s">
        <v>1601</v>
      </c>
      <c r="G31" s="86" t="s">
        <v>195</v>
      </c>
      <c r="H31" s="86" t="s">
        <v>211</v>
      </c>
      <c r="I31" s="86" t="s">
        <v>1602</v>
      </c>
      <c r="J31" s="86" t="s">
        <v>1603</v>
      </c>
      <c r="K31" s="86"/>
      <c r="L31" s="87"/>
      <c r="M31" s="87"/>
      <c r="N31" s="87"/>
      <c r="O31" s="87"/>
      <c r="P31" s="87"/>
      <c r="Q31" s="87"/>
      <c r="R31" s="87"/>
      <c r="S31" s="87"/>
      <c r="T31" s="87"/>
      <c r="U31" s="87"/>
      <c r="V31" s="87"/>
      <c r="W31" s="87"/>
      <c r="X31" s="87"/>
      <c r="Y31" s="87"/>
      <c r="Z31" s="87"/>
    </row>
    <row r="32" spans="1:26" ht="65.25" customHeight="1">
      <c r="A32" s="85" t="s">
        <v>1604</v>
      </c>
      <c r="B32" s="86" t="s">
        <v>1494</v>
      </c>
      <c r="C32" s="86" t="str">
        <f t="shared" si="0"/>
        <v>P16</v>
      </c>
      <c r="D32" s="86" t="str">
        <f t="array" ref="D32">"CUS_"&amp;C32</f>
        <v>CUS_P16</v>
      </c>
      <c r="E32" s="86" t="s">
        <v>1604</v>
      </c>
      <c r="F32" s="86" t="s">
        <v>1605</v>
      </c>
      <c r="G32" s="86" t="s">
        <v>195</v>
      </c>
      <c r="H32" s="86" t="s">
        <v>211</v>
      </c>
      <c r="I32" s="86" t="s">
        <v>1597</v>
      </c>
      <c r="J32" s="86" t="s">
        <v>1606</v>
      </c>
      <c r="K32" s="86"/>
      <c r="L32" s="87"/>
      <c r="M32" s="87"/>
      <c r="N32" s="87"/>
      <c r="O32" s="87"/>
      <c r="P32" s="87"/>
      <c r="Q32" s="87"/>
      <c r="R32" s="87"/>
      <c r="S32" s="87"/>
      <c r="T32" s="87"/>
      <c r="U32" s="87"/>
      <c r="V32" s="87"/>
      <c r="W32" s="87"/>
      <c r="X32" s="87"/>
      <c r="Y32" s="87"/>
      <c r="Z32" s="87"/>
    </row>
    <row r="33" spans="1:26" ht="65.25" customHeight="1">
      <c r="A33" s="85" t="s">
        <v>1607</v>
      </c>
      <c r="B33" s="86" t="s">
        <v>1494</v>
      </c>
      <c r="C33" s="86" t="str">
        <f t="shared" si="0"/>
        <v>Pd-L1</v>
      </c>
      <c r="D33" s="86" t="str">
        <f t="array" ref="D33">"CUS_"&amp;C33</f>
        <v>CUS_Pd-L1</v>
      </c>
      <c r="E33" s="86" t="s">
        <v>1607</v>
      </c>
      <c r="F33" s="86" t="s">
        <v>1608</v>
      </c>
      <c r="G33" s="86" t="s">
        <v>195</v>
      </c>
      <c r="H33" s="86" t="s">
        <v>211</v>
      </c>
      <c r="I33" s="86" t="s">
        <v>1597</v>
      </c>
      <c r="J33" s="86" t="s">
        <v>1609</v>
      </c>
      <c r="K33" s="86"/>
      <c r="L33" s="87"/>
      <c r="M33" s="87"/>
      <c r="N33" s="87"/>
      <c r="O33" s="87"/>
      <c r="P33" s="87"/>
      <c r="Q33" s="87"/>
      <c r="R33" s="87"/>
      <c r="S33" s="87"/>
      <c r="T33" s="87"/>
      <c r="U33" s="87"/>
      <c r="V33" s="87"/>
      <c r="W33" s="87"/>
      <c r="X33" s="87"/>
      <c r="Y33" s="87"/>
      <c r="Z33" s="87"/>
    </row>
    <row r="34" spans="1:26" ht="65.25" customHeight="1">
      <c r="A34" s="85" t="s">
        <v>1610</v>
      </c>
      <c r="B34" s="86" t="s">
        <v>1494</v>
      </c>
      <c r="C34" s="86" t="str">
        <f t="shared" si="0"/>
        <v>Pd-L1Method</v>
      </c>
      <c r="D34" s="86" t="str">
        <f t="array" ref="D34">"CUS_"&amp;C34</f>
        <v>CUS_Pd-L1Method</v>
      </c>
      <c r="E34" s="86" t="s">
        <v>1610</v>
      </c>
      <c r="F34" s="86" t="s">
        <v>1611</v>
      </c>
      <c r="G34" s="86" t="s">
        <v>195</v>
      </c>
      <c r="H34" s="86" t="s">
        <v>211</v>
      </c>
      <c r="I34" s="86" t="s">
        <v>1602</v>
      </c>
      <c r="J34" s="86" t="s">
        <v>1612</v>
      </c>
      <c r="K34" s="86"/>
      <c r="L34" s="87"/>
      <c r="M34" s="87"/>
      <c r="N34" s="87"/>
      <c r="O34" s="87"/>
      <c r="P34" s="87"/>
      <c r="Q34" s="87"/>
      <c r="R34" s="87"/>
      <c r="S34" s="87"/>
      <c r="T34" s="87"/>
      <c r="U34" s="87"/>
      <c r="V34" s="87"/>
      <c r="W34" s="87"/>
      <c r="X34" s="87"/>
      <c r="Y34" s="87"/>
      <c r="Z34" s="87"/>
    </row>
    <row r="35" spans="1:26" ht="65.25" customHeight="1">
      <c r="A35" s="85" t="s">
        <v>1613</v>
      </c>
      <c r="B35" s="86" t="s">
        <v>1494</v>
      </c>
      <c r="C35" s="86" t="str">
        <f t="shared" si="0"/>
        <v>Pd-L1CpsValue</v>
      </c>
      <c r="D35" s="86" t="str">
        <f t="array" ref="D35">"CUS_"&amp;C35</f>
        <v>CUS_Pd-L1CpsValue</v>
      </c>
      <c r="E35" s="86" t="s">
        <v>1614</v>
      </c>
      <c r="F35" s="86" t="s">
        <v>1615</v>
      </c>
      <c r="G35" s="86" t="s">
        <v>354</v>
      </c>
      <c r="H35" s="86" t="s">
        <v>211</v>
      </c>
      <c r="I35" s="86" t="s">
        <v>1616</v>
      </c>
      <c r="J35" s="86" t="s">
        <v>81</v>
      </c>
      <c r="K35" s="86"/>
      <c r="L35" s="87"/>
      <c r="M35" s="87"/>
      <c r="N35" s="87"/>
      <c r="O35" s="87"/>
      <c r="P35" s="87"/>
      <c r="Q35" s="87"/>
      <c r="R35" s="87"/>
      <c r="S35" s="87"/>
      <c r="T35" s="87"/>
      <c r="U35" s="87"/>
      <c r="V35" s="87"/>
      <c r="W35" s="87"/>
      <c r="X35" s="87"/>
      <c r="Y35" s="87"/>
      <c r="Z35" s="87"/>
    </row>
    <row r="36" spans="1:26" ht="65.25" customHeight="1">
      <c r="A36" s="85" t="s">
        <v>1617</v>
      </c>
      <c r="B36" s="86" t="s">
        <v>1494</v>
      </c>
      <c r="C36" s="86" t="str">
        <f t="shared" si="0"/>
        <v>Pd-L1TpsValue</v>
      </c>
      <c r="D36" s="86" t="str">
        <f t="array" ref="D36">"CUS_"&amp;C36</f>
        <v>CUS_Pd-L1TpsValue</v>
      </c>
      <c r="E36" s="86" t="s">
        <v>1618</v>
      </c>
      <c r="F36" s="86" t="s">
        <v>1619</v>
      </c>
      <c r="G36" s="86" t="s">
        <v>354</v>
      </c>
      <c r="H36" s="86" t="s">
        <v>211</v>
      </c>
      <c r="I36" s="86" t="s">
        <v>1620</v>
      </c>
      <c r="J36" s="86" t="s">
        <v>81</v>
      </c>
      <c r="K36" s="86"/>
      <c r="L36" s="87"/>
      <c r="M36" s="87"/>
      <c r="N36" s="87"/>
      <c r="O36" s="87"/>
      <c r="P36" s="87"/>
      <c r="Q36" s="87"/>
      <c r="R36" s="87"/>
      <c r="S36" s="87"/>
      <c r="T36" s="87"/>
      <c r="U36" s="87"/>
      <c r="V36" s="87"/>
      <c r="W36" s="87"/>
      <c r="X36" s="87"/>
      <c r="Y36" s="87"/>
      <c r="Z36" s="87"/>
    </row>
    <row r="37" spans="1:26" ht="65.25" customHeight="1">
      <c r="A37" s="85" t="s">
        <v>1621</v>
      </c>
      <c r="B37" s="86"/>
      <c r="C37" s="86" t="str">
        <f t="shared" si="0"/>
        <v>Crp–CReactiveProteinTested</v>
      </c>
      <c r="D37" s="86" t="str">
        <f t="array" ref="D37">"CUS_"&amp;C37</f>
        <v>CUS_Crp–CReactiveProteinTested</v>
      </c>
      <c r="E37" s="86" t="s">
        <v>1621</v>
      </c>
      <c r="F37" s="86" t="s">
        <v>1622</v>
      </c>
      <c r="G37" s="86" t="s">
        <v>195</v>
      </c>
      <c r="H37" s="86" t="s">
        <v>211</v>
      </c>
      <c r="I37" s="86" t="s">
        <v>1597</v>
      </c>
      <c r="J37" s="86" t="s">
        <v>1606</v>
      </c>
      <c r="K37" s="86"/>
      <c r="L37" s="87"/>
      <c r="M37" s="87"/>
      <c r="N37" s="87"/>
      <c r="O37" s="87"/>
      <c r="P37" s="87"/>
      <c r="Q37" s="87"/>
      <c r="R37" s="87"/>
      <c r="S37" s="87"/>
      <c r="T37" s="87"/>
      <c r="U37" s="87"/>
      <c r="V37" s="87"/>
      <c r="W37" s="87"/>
      <c r="X37" s="87"/>
      <c r="Y37" s="87"/>
      <c r="Z37" s="87"/>
    </row>
    <row r="38" spans="1:26" ht="65.25" customHeight="1">
      <c r="A38" s="85" t="s">
        <v>1623</v>
      </c>
      <c r="B38" s="86"/>
      <c r="C38" s="86" t="str">
        <f t="shared" si="0"/>
        <v>CReactiveProtein-Crp(Mg/Dl)</v>
      </c>
      <c r="D38" s="86" t="str">
        <f t="array" ref="D38">"CUS_"&amp;C38</f>
        <v>CUS_CReactiveProtein-Crp(Mg/Dl)</v>
      </c>
      <c r="E38" s="86" t="s">
        <v>1623</v>
      </c>
      <c r="F38" s="86" t="s">
        <v>1624</v>
      </c>
      <c r="G38" s="86" t="s">
        <v>195</v>
      </c>
      <c r="H38" s="86" t="s">
        <v>211</v>
      </c>
      <c r="I38" s="86" t="s">
        <v>1625</v>
      </c>
      <c r="J38" s="86" t="s">
        <v>81</v>
      </c>
      <c r="K38" s="86"/>
      <c r="L38" s="87"/>
      <c r="M38" s="87"/>
      <c r="N38" s="87"/>
      <c r="O38" s="87"/>
      <c r="P38" s="87"/>
      <c r="Q38" s="87"/>
      <c r="R38" s="87"/>
      <c r="S38" s="87"/>
      <c r="T38" s="87"/>
      <c r="U38" s="87"/>
      <c r="V38" s="87"/>
      <c r="W38" s="87"/>
      <c r="X38" s="87"/>
      <c r="Y38" s="87"/>
      <c r="Z38" s="87"/>
    </row>
    <row r="39" spans="1:26" ht="65.25" customHeight="1">
      <c r="A39" s="85" t="s">
        <v>1626</v>
      </c>
      <c r="B39" s="86"/>
      <c r="C39" s="86" t="str">
        <f t="shared" si="0"/>
        <v>InstrumentStatus</v>
      </c>
      <c r="D39" s="86" t="str">
        <f t="array" ref="D39">"CUS_"&amp;C39</f>
        <v>CUS_InstrumentStatus</v>
      </c>
      <c r="E39" s="86" t="s">
        <v>1626</v>
      </c>
      <c r="F39" s="86" t="s">
        <v>153</v>
      </c>
      <c r="G39" s="86" t="s">
        <v>1627</v>
      </c>
      <c r="H39" s="86" t="s">
        <v>211</v>
      </c>
      <c r="I39" s="86" t="s">
        <v>1628</v>
      </c>
      <c r="J39" s="86" t="s">
        <v>152</v>
      </c>
      <c r="K39" s="86"/>
      <c r="L39" s="87"/>
      <c r="M39" s="87"/>
      <c r="N39" s="87"/>
      <c r="O39" s="87"/>
      <c r="P39" s="87"/>
      <c r="Q39" s="87"/>
      <c r="R39" s="87"/>
      <c r="S39" s="87"/>
      <c r="T39" s="87"/>
      <c r="U39" s="87"/>
      <c r="V39" s="87"/>
      <c r="W39" s="87"/>
      <c r="X39" s="87"/>
      <c r="Y39" s="87"/>
      <c r="Z39" s="87"/>
    </row>
    <row r="40" spans="1:26" ht="13.5">
      <c r="A40" s="80"/>
    </row>
    <row r="41" spans="1:26" ht="13.5">
      <c r="A41" s="80"/>
    </row>
    <row r="42" spans="1:26" ht="13.5">
      <c r="A42" s="80"/>
    </row>
    <row r="43" spans="1:26" ht="13.5">
      <c r="A43" s="80"/>
    </row>
    <row r="44" spans="1:26" ht="13.5">
      <c r="A44" s="80"/>
    </row>
    <row r="45" spans="1:26" ht="13.5">
      <c r="A45" s="80"/>
    </row>
    <row r="46" spans="1:26" ht="13.5">
      <c r="A46" s="80"/>
    </row>
    <row r="47" spans="1:26" ht="13.5">
      <c r="A47" s="80"/>
    </row>
    <row r="48" spans="1:26" ht="13.5">
      <c r="A48" s="80"/>
    </row>
    <row r="49" spans="1:1" ht="13.5">
      <c r="A49" s="80"/>
    </row>
    <row r="50" spans="1:1" ht="13.5">
      <c r="A50" s="80"/>
    </row>
    <row r="51" spans="1:1" ht="13.5">
      <c r="A51" s="80"/>
    </row>
    <row r="52" spans="1:1" ht="13.5">
      <c r="A52" s="80"/>
    </row>
    <row r="53" spans="1:1" ht="13.5">
      <c r="A53" s="80"/>
    </row>
    <row r="54" spans="1:1" ht="13.5">
      <c r="A54" s="80"/>
    </row>
    <row r="55" spans="1:1" ht="13.5">
      <c r="A55" s="80"/>
    </row>
    <row r="56" spans="1:1" ht="13.5">
      <c r="A56" s="80"/>
    </row>
    <row r="57" spans="1:1" ht="13.5">
      <c r="A57" s="80"/>
    </row>
    <row r="58" spans="1:1" ht="13.5">
      <c r="A58" s="80"/>
    </row>
    <row r="59" spans="1:1" ht="13.5">
      <c r="A59" s="80"/>
    </row>
    <row r="60" spans="1:1" ht="13.5">
      <c r="A60" s="80"/>
    </row>
    <row r="61" spans="1:1" ht="13.5">
      <c r="A61" s="80"/>
    </row>
    <row r="62" spans="1:1" ht="13.5">
      <c r="A62" s="80"/>
    </row>
    <row r="63" spans="1:1" ht="13.5">
      <c r="A63" s="80"/>
    </row>
    <row r="64" spans="1:1" ht="13.5">
      <c r="A64" s="80"/>
    </row>
    <row r="65" spans="1:1" ht="13.5">
      <c r="A65" s="80"/>
    </row>
    <row r="66" spans="1:1" ht="13.5">
      <c r="A66" s="80"/>
    </row>
    <row r="67" spans="1:1" ht="13.5">
      <c r="A67" s="80"/>
    </row>
    <row r="68" spans="1:1" ht="13.5">
      <c r="A68" s="80"/>
    </row>
    <row r="69" spans="1:1" ht="13.5">
      <c r="A69" s="80"/>
    </row>
    <row r="70" spans="1:1" ht="13.5">
      <c r="A70" s="80"/>
    </row>
    <row r="71" spans="1:1" ht="13.5">
      <c r="A71" s="80"/>
    </row>
    <row r="72" spans="1:1" ht="13.5">
      <c r="A72" s="80"/>
    </row>
    <row r="73" spans="1:1" ht="13.5">
      <c r="A73" s="80"/>
    </row>
    <row r="74" spans="1:1" ht="13.5">
      <c r="A74" s="80"/>
    </row>
    <row r="75" spans="1:1" ht="13.5">
      <c r="A75" s="80"/>
    </row>
    <row r="76" spans="1:1" ht="13.5">
      <c r="A76" s="80"/>
    </row>
    <row r="77" spans="1:1" ht="13.5">
      <c r="A77" s="80"/>
    </row>
    <row r="78" spans="1:1" ht="13.5">
      <c r="A78" s="80"/>
    </row>
    <row r="79" spans="1:1" ht="13.5">
      <c r="A79" s="80"/>
    </row>
    <row r="80" spans="1:1" ht="13.5">
      <c r="A80" s="80"/>
    </row>
    <row r="81" spans="1:1" ht="13.5">
      <c r="A81" s="80"/>
    </row>
    <row r="82" spans="1:1" ht="13.5">
      <c r="A82" s="80"/>
    </row>
    <row r="83" spans="1:1" ht="13.5">
      <c r="A83" s="80"/>
    </row>
    <row r="84" spans="1:1" ht="13.5">
      <c r="A84" s="80"/>
    </row>
    <row r="85" spans="1:1" ht="13.5">
      <c r="A85" s="80"/>
    </row>
    <row r="86" spans="1:1" ht="13.5">
      <c r="A86" s="80"/>
    </row>
    <row r="87" spans="1:1" ht="13.5">
      <c r="A87" s="80"/>
    </row>
    <row r="88" spans="1:1" ht="13.5">
      <c r="A88" s="80"/>
    </row>
    <row r="89" spans="1:1" ht="13.5">
      <c r="A89" s="80"/>
    </row>
    <row r="90" spans="1:1" ht="13.5">
      <c r="A90" s="80"/>
    </row>
    <row r="91" spans="1:1" ht="13.5">
      <c r="A91" s="80"/>
    </row>
    <row r="92" spans="1:1" ht="13.5">
      <c r="A92" s="80"/>
    </row>
    <row r="93" spans="1:1" ht="13.5">
      <c r="A93" s="80"/>
    </row>
    <row r="94" spans="1:1" ht="13.5">
      <c r="A94" s="80"/>
    </row>
    <row r="95" spans="1:1" ht="13.5">
      <c r="A95" s="80"/>
    </row>
    <row r="96" spans="1:1" ht="13.5">
      <c r="A96" s="80"/>
    </row>
    <row r="97" spans="1:1" ht="13.5">
      <c r="A97" s="80"/>
    </row>
    <row r="98" spans="1:1" ht="13.5">
      <c r="A98" s="80"/>
    </row>
    <row r="99" spans="1:1" ht="13.5">
      <c r="A99" s="80"/>
    </row>
    <row r="100" spans="1:1" ht="13.5">
      <c r="A100" s="80"/>
    </row>
    <row r="101" spans="1:1" ht="13.5">
      <c r="A101" s="80"/>
    </row>
    <row r="102" spans="1:1" ht="13.5">
      <c r="A102" s="80"/>
    </row>
    <row r="103" spans="1:1" ht="13.5">
      <c r="A103" s="80"/>
    </row>
    <row r="104" spans="1:1" ht="13.5">
      <c r="A104" s="80"/>
    </row>
    <row r="105" spans="1:1" ht="13.5">
      <c r="A105" s="80"/>
    </row>
    <row r="106" spans="1:1" ht="13.5">
      <c r="A106" s="80"/>
    </row>
    <row r="107" spans="1:1" ht="13.5">
      <c r="A107" s="80"/>
    </row>
    <row r="108" spans="1:1" ht="13.5">
      <c r="A108" s="80"/>
    </row>
    <row r="109" spans="1:1" ht="13.5">
      <c r="A109" s="80"/>
    </row>
    <row r="110" spans="1:1" ht="13.5">
      <c r="A110" s="80"/>
    </row>
    <row r="111" spans="1:1" ht="13.5">
      <c r="A111" s="80"/>
    </row>
    <row r="112" spans="1:1" ht="13.5">
      <c r="A112" s="80"/>
    </row>
    <row r="113" spans="1:1" ht="13.5">
      <c r="A113" s="80"/>
    </row>
    <row r="114" spans="1:1" ht="13.5">
      <c r="A114" s="80"/>
    </row>
    <row r="115" spans="1:1" ht="13.5">
      <c r="A115" s="80"/>
    </row>
    <row r="116" spans="1:1" ht="13.5">
      <c r="A116" s="80"/>
    </row>
    <row r="117" spans="1:1" ht="13.5">
      <c r="A117" s="80"/>
    </row>
    <row r="118" spans="1:1" ht="13.5">
      <c r="A118" s="80"/>
    </row>
    <row r="119" spans="1:1" ht="13.5">
      <c r="A119" s="80"/>
    </row>
    <row r="120" spans="1:1" ht="13.5">
      <c r="A120" s="80"/>
    </row>
    <row r="121" spans="1:1" ht="13.5">
      <c r="A121" s="80"/>
    </row>
    <row r="122" spans="1:1" ht="13.5">
      <c r="A122" s="80"/>
    </row>
    <row r="123" spans="1:1" ht="13.5">
      <c r="A123" s="80"/>
    </row>
    <row r="124" spans="1:1" ht="13.5">
      <c r="A124" s="80"/>
    </row>
    <row r="125" spans="1:1" ht="13.5">
      <c r="A125" s="80"/>
    </row>
    <row r="126" spans="1:1" ht="13.5">
      <c r="A126" s="80"/>
    </row>
    <row r="127" spans="1:1" ht="13.5">
      <c r="A127" s="80"/>
    </row>
    <row r="128" spans="1:1" ht="13.5">
      <c r="A128" s="80"/>
    </row>
    <row r="129" spans="1:1" ht="13.5">
      <c r="A129" s="80"/>
    </row>
    <row r="130" spans="1:1" ht="13.5">
      <c r="A130" s="80"/>
    </row>
    <row r="131" spans="1:1" ht="13.5">
      <c r="A131" s="80"/>
    </row>
    <row r="132" spans="1:1" ht="13.5">
      <c r="A132" s="80"/>
    </row>
    <row r="133" spans="1:1" ht="13.5">
      <c r="A133" s="80"/>
    </row>
    <row r="134" spans="1:1" ht="13.5">
      <c r="A134" s="80"/>
    </row>
    <row r="135" spans="1:1" ht="13.5">
      <c r="A135" s="80"/>
    </row>
    <row r="136" spans="1:1" ht="13.5">
      <c r="A136" s="80"/>
    </row>
    <row r="137" spans="1:1" ht="13.5">
      <c r="A137" s="80"/>
    </row>
    <row r="138" spans="1:1" ht="13.5">
      <c r="A138" s="80"/>
    </row>
    <row r="139" spans="1:1" ht="13.5">
      <c r="A139" s="80"/>
    </row>
    <row r="140" spans="1:1" ht="13.5">
      <c r="A140" s="80"/>
    </row>
    <row r="141" spans="1:1" ht="13.5">
      <c r="A141" s="80"/>
    </row>
    <row r="142" spans="1:1" ht="13.5">
      <c r="A142" s="80"/>
    </row>
    <row r="143" spans="1:1" ht="13.5">
      <c r="A143" s="80"/>
    </row>
    <row r="144" spans="1:1" ht="13.5">
      <c r="A144" s="80"/>
    </row>
    <row r="145" spans="1:1" ht="13.5">
      <c r="A145" s="80"/>
    </row>
    <row r="146" spans="1:1" ht="13.5">
      <c r="A146" s="80"/>
    </row>
    <row r="147" spans="1:1" ht="13.5">
      <c r="A147" s="80"/>
    </row>
    <row r="148" spans="1:1" ht="13.5">
      <c r="A148" s="80"/>
    </row>
    <row r="149" spans="1:1" ht="13.5">
      <c r="A149" s="80"/>
    </row>
    <row r="150" spans="1:1" ht="13.5">
      <c r="A150" s="80"/>
    </row>
    <row r="151" spans="1:1" ht="13.5">
      <c r="A151" s="80"/>
    </row>
    <row r="152" spans="1:1" ht="13.5">
      <c r="A152" s="80"/>
    </row>
    <row r="153" spans="1:1" ht="13.5">
      <c r="A153" s="80"/>
    </row>
    <row r="154" spans="1:1" ht="13.5">
      <c r="A154" s="80"/>
    </row>
    <row r="155" spans="1:1" ht="13.5">
      <c r="A155" s="80"/>
    </row>
    <row r="156" spans="1:1" ht="13.5">
      <c r="A156" s="80"/>
    </row>
    <row r="157" spans="1:1" ht="13.5">
      <c r="A157" s="80"/>
    </row>
    <row r="158" spans="1:1" ht="13.5">
      <c r="A158" s="80"/>
    </row>
    <row r="159" spans="1:1" ht="13.5">
      <c r="A159" s="80"/>
    </row>
    <row r="160" spans="1:1" ht="13.5">
      <c r="A160" s="80"/>
    </row>
    <row r="161" spans="1:1" ht="13.5">
      <c r="A161" s="80"/>
    </row>
    <row r="162" spans="1:1" ht="13.5">
      <c r="A162" s="80"/>
    </row>
    <row r="163" spans="1:1" ht="13.5">
      <c r="A163" s="80"/>
    </row>
    <row r="164" spans="1:1" ht="13.5">
      <c r="A164" s="80"/>
    </row>
    <row r="165" spans="1:1" ht="13.5">
      <c r="A165" s="80"/>
    </row>
    <row r="166" spans="1:1" ht="13.5">
      <c r="A166" s="80"/>
    </row>
    <row r="167" spans="1:1" ht="13.5">
      <c r="A167" s="80"/>
    </row>
    <row r="168" spans="1:1" ht="13.5">
      <c r="A168" s="80"/>
    </row>
    <row r="169" spans="1:1" ht="13.5">
      <c r="A169" s="80"/>
    </row>
    <row r="170" spans="1:1" ht="13.5">
      <c r="A170" s="80"/>
    </row>
    <row r="171" spans="1:1" ht="13.5">
      <c r="A171" s="80"/>
    </row>
    <row r="172" spans="1:1" ht="13.5">
      <c r="A172" s="80"/>
    </row>
    <row r="173" spans="1:1" ht="13.5">
      <c r="A173" s="80"/>
    </row>
    <row r="174" spans="1:1" ht="13.5">
      <c r="A174" s="80"/>
    </row>
    <row r="175" spans="1:1" ht="13.5">
      <c r="A175" s="80"/>
    </row>
    <row r="176" spans="1:1" ht="13.5">
      <c r="A176" s="80"/>
    </row>
    <row r="177" spans="1:1" ht="13.5">
      <c r="A177" s="80"/>
    </row>
    <row r="178" spans="1:1" ht="13.5">
      <c r="A178" s="80"/>
    </row>
    <row r="179" spans="1:1" ht="13.5">
      <c r="A179" s="80"/>
    </row>
    <row r="180" spans="1:1" ht="13.5">
      <c r="A180" s="80"/>
    </row>
    <row r="181" spans="1:1" ht="13.5">
      <c r="A181" s="80"/>
    </row>
    <row r="182" spans="1:1" ht="13.5">
      <c r="A182" s="80"/>
    </row>
    <row r="183" spans="1:1" ht="13.5">
      <c r="A183" s="80"/>
    </row>
    <row r="184" spans="1:1" ht="13.5">
      <c r="A184" s="80"/>
    </row>
    <row r="185" spans="1:1" ht="13.5">
      <c r="A185" s="80"/>
    </row>
    <row r="186" spans="1:1" ht="13.5">
      <c r="A186" s="80"/>
    </row>
    <row r="187" spans="1:1" ht="13.5">
      <c r="A187" s="80"/>
    </row>
    <row r="188" spans="1:1" ht="13.5">
      <c r="A188" s="80"/>
    </row>
    <row r="189" spans="1:1" ht="13.5">
      <c r="A189" s="80"/>
    </row>
    <row r="190" spans="1:1" ht="13.5">
      <c r="A190" s="80"/>
    </row>
    <row r="191" spans="1:1" ht="13.5">
      <c r="A191" s="80"/>
    </row>
    <row r="192" spans="1:1" ht="13.5">
      <c r="A192" s="80"/>
    </row>
    <row r="193" spans="1:1" ht="13.5">
      <c r="A193" s="80"/>
    </row>
    <row r="194" spans="1:1" ht="13.5">
      <c r="A194" s="80"/>
    </row>
    <row r="195" spans="1:1" ht="13.5">
      <c r="A195" s="80"/>
    </row>
    <row r="196" spans="1:1" ht="13.5">
      <c r="A196" s="80"/>
    </row>
    <row r="197" spans="1:1" ht="13.5">
      <c r="A197" s="80"/>
    </row>
    <row r="198" spans="1:1" ht="13.5">
      <c r="A198" s="80"/>
    </row>
    <row r="199" spans="1:1" ht="13.5">
      <c r="A199" s="80"/>
    </row>
    <row r="200" spans="1:1" ht="13.5">
      <c r="A200" s="80"/>
    </row>
    <row r="201" spans="1:1" ht="13.5">
      <c r="A201" s="80"/>
    </row>
    <row r="202" spans="1:1" ht="13.5">
      <c r="A202" s="80"/>
    </row>
    <row r="203" spans="1:1" ht="13.5">
      <c r="A203" s="80"/>
    </row>
    <row r="204" spans="1:1" ht="13.5">
      <c r="A204" s="80"/>
    </row>
    <row r="205" spans="1:1" ht="13.5">
      <c r="A205" s="80"/>
    </row>
    <row r="206" spans="1:1" ht="13.5">
      <c r="A206" s="80"/>
    </row>
    <row r="207" spans="1:1" ht="13.5">
      <c r="A207" s="80"/>
    </row>
    <row r="208" spans="1:1" ht="13.5">
      <c r="A208" s="80"/>
    </row>
    <row r="209" spans="1:1" ht="13.5">
      <c r="A209" s="80"/>
    </row>
    <row r="210" spans="1:1" ht="13.5">
      <c r="A210" s="80"/>
    </row>
    <row r="211" spans="1:1" ht="13.5">
      <c r="A211" s="80"/>
    </row>
    <row r="212" spans="1:1" ht="13.5">
      <c r="A212" s="80"/>
    </row>
    <row r="213" spans="1:1" ht="13.5">
      <c r="A213" s="80"/>
    </row>
    <row r="214" spans="1:1" ht="13.5">
      <c r="A214" s="80"/>
    </row>
    <row r="215" spans="1:1" ht="13.5">
      <c r="A215" s="80"/>
    </row>
    <row r="216" spans="1:1" ht="13.5">
      <c r="A216" s="80"/>
    </row>
    <row r="217" spans="1:1" ht="13.5">
      <c r="A217" s="80"/>
    </row>
    <row r="218" spans="1:1" ht="13.5">
      <c r="A218" s="80"/>
    </row>
    <row r="219" spans="1:1" ht="13.5">
      <c r="A219" s="80"/>
    </row>
    <row r="220" spans="1:1" ht="13.5">
      <c r="A220" s="80"/>
    </row>
    <row r="221" spans="1:1" ht="13.5">
      <c r="A221" s="80"/>
    </row>
    <row r="222" spans="1:1" ht="13.5">
      <c r="A222" s="80"/>
    </row>
    <row r="223" spans="1:1" ht="13.5">
      <c r="A223" s="80"/>
    </row>
    <row r="224" spans="1:1" ht="13.5">
      <c r="A224" s="80"/>
    </row>
    <row r="225" spans="1:1" ht="13.5">
      <c r="A225" s="80"/>
    </row>
    <row r="226" spans="1:1" ht="13.5">
      <c r="A226" s="80"/>
    </row>
    <row r="227" spans="1:1" ht="13.5">
      <c r="A227" s="80"/>
    </row>
    <row r="228" spans="1:1" ht="13.5">
      <c r="A228" s="80"/>
    </row>
    <row r="229" spans="1:1" ht="13.5">
      <c r="A229" s="80"/>
    </row>
    <row r="230" spans="1:1" ht="13.5">
      <c r="A230" s="80"/>
    </row>
    <row r="231" spans="1:1" ht="13.5">
      <c r="A231" s="80"/>
    </row>
    <row r="232" spans="1:1" ht="13.5">
      <c r="A232" s="80"/>
    </row>
    <row r="233" spans="1:1" ht="13.5">
      <c r="A233" s="80"/>
    </row>
    <row r="234" spans="1:1" ht="13.5">
      <c r="A234" s="80"/>
    </row>
    <row r="235" spans="1:1" ht="13.5">
      <c r="A235" s="80"/>
    </row>
    <row r="236" spans="1:1" ht="13.5">
      <c r="A236" s="80"/>
    </row>
    <row r="237" spans="1:1" ht="13.5">
      <c r="A237" s="80"/>
    </row>
    <row r="238" spans="1:1" ht="13.5">
      <c r="A238" s="80"/>
    </row>
    <row r="239" spans="1:1" ht="13.5">
      <c r="A239" s="80"/>
    </row>
    <row r="240" spans="1:1" ht="13.5">
      <c r="A240" s="80"/>
    </row>
    <row r="241" spans="1:1" ht="13.5">
      <c r="A241" s="80"/>
    </row>
    <row r="242" spans="1:1" ht="13.5">
      <c r="A242" s="80"/>
    </row>
    <row r="243" spans="1:1" ht="13.5">
      <c r="A243" s="80"/>
    </row>
    <row r="244" spans="1:1" ht="13.5">
      <c r="A244" s="80"/>
    </row>
    <row r="245" spans="1:1" ht="13.5">
      <c r="A245" s="80"/>
    </row>
    <row r="246" spans="1:1" ht="13.5">
      <c r="A246" s="80"/>
    </row>
    <row r="247" spans="1:1" ht="13.5">
      <c r="A247" s="80"/>
    </row>
    <row r="248" spans="1:1" ht="13.5">
      <c r="A248" s="80"/>
    </row>
    <row r="249" spans="1:1" ht="13.5">
      <c r="A249" s="80"/>
    </row>
    <row r="250" spans="1:1" ht="13.5">
      <c r="A250" s="80"/>
    </row>
    <row r="251" spans="1:1" ht="13.5">
      <c r="A251" s="80"/>
    </row>
    <row r="252" spans="1:1" ht="13.5">
      <c r="A252" s="80"/>
    </row>
    <row r="253" spans="1:1" ht="13.5">
      <c r="A253" s="80"/>
    </row>
    <row r="254" spans="1:1" ht="13.5">
      <c r="A254" s="80"/>
    </row>
    <row r="255" spans="1:1" ht="13.5">
      <c r="A255" s="80"/>
    </row>
    <row r="256" spans="1:1" ht="13.5">
      <c r="A256" s="80"/>
    </row>
    <row r="257" spans="1:1" ht="13.5">
      <c r="A257" s="80"/>
    </row>
    <row r="258" spans="1:1" ht="13.5">
      <c r="A258" s="80"/>
    </row>
    <row r="259" spans="1:1" ht="13.5">
      <c r="A259" s="80"/>
    </row>
    <row r="260" spans="1:1" ht="13.5">
      <c r="A260" s="80"/>
    </row>
    <row r="261" spans="1:1" ht="13.5">
      <c r="A261" s="80"/>
    </row>
    <row r="262" spans="1:1" ht="13.5">
      <c r="A262" s="80"/>
    </row>
    <row r="263" spans="1:1" ht="13.5">
      <c r="A263" s="80"/>
    </row>
    <row r="264" spans="1:1" ht="13.5">
      <c r="A264" s="80"/>
    </row>
    <row r="265" spans="1:1" ht="13.5">
      <c r="A265" s="80"/>
    </row>
    <row r="266" spans="1:1" ht="13.5">
      <c r="A266" s="80"/>
    </row>
    <row r="267" spans="1:1" ht="13.5">
      <c r="A267" s="80"/>
    </row>
    <row r="268" spans="1:1" ht="13.5">
      <c r="A268" s="80"/>
    </row>
    <row r="269" spans="1:1" ht="13.5">
      <c r="A269" s="80"/>
    </row>
    <row r="270" spans="1:1" ht="13.5">
      <c r="A270" s="80"/>
    </row>
    <row r="271" spans="1:1" ht="13.5">
      <c r="A271" s="80"/>
    </row>
    <row r="272" spans="1:1" ht="13.5">
      <c r="A272" s="80"/>
    </row>
    <row r="273" spans="1:1" ht="13.5">
      <c r="A273" s="80"/>
    </row>
    <row r="274" spans="1:1" ht="13.5">
      <c r="A274" s="80"/>
    </row>
    <row r="275" spans="1:1" ht="13.5">
      <c r="A275" s="80"/>
    </row>
    <row r="276" spans="1:1" ht="13.5">
      <c r="A276" s="80"/>
    </row>
    <row r="277" spans="1:1" ht="13.5">
      <c r="A277" s="80"/>
    </row>
    <row r="278" spans="1:1" ht="13.5">
      <c r="A278" s="80"/>
    </row>
    <row r="279" spans="1:1" ht="13.5">
      <c r="A279" s="80"/>
    </row>
    <row r="280" spans="1:1" ht="13.5">
      <c r="A280" s="80"/>
    </row>
    <row r="281" spans="1:1" ht="13.5">
      <c r="A281" s="80"/>
    </row>
    <row r="282" spans="1:1" ht="13.5">
      <c r="A282" s="80"/>
    </row>
    <row r="283" spans="1:1" ht="13.5">
      <c r="A283" s="80"/>
    </row>
    <row r="284" spans="1:1" ht="13.5">
      <c r="A284" s="80"/>
    </row>
    <row r="285" spans="1:1" ht="13.5">
      <c r="A285" s="80"/>
    </row>
    <row r="286" spans="1:1" ht="13.5">
      <c r="A286" s="80"/>
    </row>
    <row r="287" spans="1:1" ht="13.5">
      <c r="A287" s="80"/>
    </row>
    <row r="288" spans="1:1" ht="13.5">
      <c r="A288" s="80"/>
    </row>
    <row r="289" spans="1:1" ht="13.5">
      <c r="A289" s="80"/>
    </row>
    <row r="290" spans="1:1" ht="13.5">
      <c r="A290" s="80"/>
    </row>
    <row r="291" spans="1:1" ht="13.5">
      <c r="A291" s="80"/>
    </row>
    <row r="292" spans="1:1" ht="13.5">
      <c r="A292" s="80"/>
    </row>
    <row r="293" spans="1:1" ht="13.5">
      <c r="A293" s="80"/>
    </row>
    <row r="294" spans="1:1" ht="13.5">
      <c r="A294" s="80"/>
    </row>
    <row r="295" spans="1:1" ht="13.5">
      <c r="A295" s="80"/>
    </row>
    <row r="296" spans="1:1" ht="13.5">
      <c r="A296" s="80"/>
    </row>
    <row r="297" spans="1:1" ht="13.5">
      <c r="A297" s="80"/>
    </row>
    <row r="298" spans="1:1" ht="13.5">
      <c r="A298" s="80"/>
    </row>
    <row r="299" spans="1:1" ht="13.5">
      <c r="A299" s="80"/>
    </row>
    <row r="300" spans="1:1" ht="13.5">
      <c r="A300" s="80"/>
    </row>
    <row r="301" spans="1:1" ht="13.5">
      <c r="A301" s="80"/>
    </row>
    <row r="302" spans="1:1" ht="13.5">
      <c r="A302" s="80"/>
    </row>
    <row r="303" spans="1:1" ht="13.5">
      <c r="A303" s="80"/>
    </row>
    <row r="304" spans="1:1" ht="13.5">
      <c r="A304" s="80"/>
    </row>
    <row r="305" spans="1:1" ht="13.5">
      <c r="A305" s="80"/>
    </row>
    <row r="306" spans="1:1" ht="13.5">
      <c r="A306" s="80"/>
    </row>
    <row r="307" spans="1:1" ht="13.5">
      <c r="A307" s="80"/>
    </row>
    <row r="308" spans="1:1" ht="13.5">
      <c r="A308" s="80"/>
    </row>
    <row r="309" spans="1:1" ht="13.5">
      <c r="A309" s="80"/>
    </row>
    <row r="310" spans="1:1" ht="13.5">
      <c r="A310" s="80"/>
    </row>
    <row r="311" spans="1:1" ht="13.5">
      <c r="A311" s="80"/>
    </row>
    <row r="312" spans="1:1" ht="13.5">
      <c r="A312" s="80"/>
    </row>
    <row r="313" spans="1:1" ht="13.5">
      <c r="A313" s="80"/>
    </row>
    <row r="314" spans="1:1" ht="13.5">
      <c r="A314" s="80"/>
    </row>
    <row r="315" spans="1:1" ht="13.5">
      <c r="A315" s="80"/>
    </row>
    <row r="316" spans="1:1" ht="13.5">
      <c r="A316" s="80"/>
    </row>
    <row r="317" spans="1:1" ht="13.5">
      <c r="A317" s="80"/>
    </row>
    <row r="318" spans="1:1" ht="13.5">
      <c r="A318" s="80"/>
    </row>
    <row r="319" spans="1:1" ht="13.5">
      <c r="A319" s="80"/>
    </row>
    <row r="320" spans="1:1" ht="13.5">
      <c r="A320" s="80"/>
    </row>
    <row r="321" spans="1:1" ht="13.5">
      <c r="A321" s="80"/>
    </row>
    <row r="322" spans="1:1" ht="13.5">
      <c r="A322" s="80"/>
    </row>
    <row r="323" spans="1:1" ht="13.5">
      <c r="A323" s="80"/>
    </row>
    <row r="324" spans="1:1" ht="13.5">
      <c r="A324" s="80"/>
    </row>
    <row r="325" spans="1:1" ht="13.5">
      <c r="A325" s="80"/>
    </row>
    <row r="326" spans="1:1" ht="13.5">
      <c r="A326" s="80"/>
    </row>
    <row r="327" spans="1:1" ht="13.5">
      <c r="A327" s="80"/>
    </row>
    <row r="328" spans="1:1" ht="13.5">
      <c r="A328" s="80"/>
    </row>
    <row r="329" spans="1:1" ht="13.5">
      <c r="A329" s="80"/>
    </row>
    <row r="330" spans="1:1" ht="13.5">
      <c r="A330" s="80"/>
    </row>
    <row r="331" spans="1:1" ht="13.5">
      <c r="A331" s="80"/>
    </row>
    <row r="332" spans="1:1" ht="13.5">
      <c r="A332" s="80"/>
    </row>
    <row r="333" spans="1:1" ht="13.5">
      <c r="A333" s="80"/>
    </row>
    <row r="334" spans="1:1" ht="13.5">
      <c r="A334" s="80"/>
    </row>
    <row r="335" spans="1:1" ht="13.5">
      <c r="A335" s="80"/>
    </row>
    <row r="336" spans="1:1" ht="13.5">
      <c r="A336" s="80"/>
    </row>
    <row r="337" spans="1:1" ht="13.5">
      <c r="A337" s="80"/>
    </row>
    <row r="338" spans="1:1" ht="13.5">
      <c r="A338" s="80"/>
    </row>
    <row r="339" spans="1:1" ht="13.5">
      <c r="A339" s="80"/>
    </row>
    <row r="340" spans="1:1" ht="13.5">
      <c r="A340" s="80"/>
    </row>
    <row r="341" spans="1:1" ht="13.5">
      <c r="A341" s="80"/>
    </row>
    <row r="342" spans="1:1" ht="13.5">
      <c r="A342" s="80"/>
    </row>
    <row r="343" spans="1:1" ht="13.5">
      <c r="A343" s="80"/>
    </row>
    <row r="344" spans="1:1" ht="13.5">
      <c r="A344" s="80"/>
    </row>
    <row r="345" spans="1:1" ht="13.5">
      <c r="A345" s="80"/>
    </row>
    <row r="346" spans="1:1" ht="13.5">
      <c r="A346" s="80"/>
    </row>
    <row r="347" spans="1:1" ht="13.5">
      <c r="A347" s="80"/>
    </row>
    <row r="348" spans="1:1" ht="13.5">
      <c r="A348" s="80"/>
    </row>
    <row r="349" spans="1:1" ht="13.5">
      <c r="A349" s="80"/>
    </row>
    <row r="350" spans="1:1" ht="13.5">
      <c r="A350" s="80"/>
    </row>
    <row r="351" spans="1:1" ht="13.5">
      <c r="A351" s="80"/>
    </row>
    <row r="352" spans="1:1" ht="13.5">
      <c r="A352" s="80"/>
    </row>
    <row r="353" spans="1:1" ht="13.5">
      <c r="A353" s="80"/>
    </row>
    <row r="354" spans="1:1" ht="13.5">
      <c r="A354" s="80"/>
    </row>
    <row r="355" spans="1:1" ht="13.5">
      <c r="A355" s="80"/>
    </row>
    <row r="356" spans="1:1" ht="13.5">
      <c r="A356" s="80"/>
    </row>
    <row r="357" spans="1:1" ht="13.5">
      <c r="A357" s="80"/>
    </row>
    <row r="358" spans="1:1" ht="13.5">
      <c r="A358" s="80"/>
    </row>
    <row r="359" spans="1:1" ht="13.5">
      <c r="A359" s="80"/>
    </row>
    <row r="360" spans="1:1" ht="13.5">
      <c r="A360" s="80"/>
    </row>
    <row r="361" spans="1:1" ht="13.5">
      <c r="A361" s="80"/>
    </row>
    <row r="362" spans="1:1" ht="13.5">
      <c r="A362" s="80"/>
    </row>
    <row r="363" spans="1:1" ht="13.5">
      <c r="A363" s="80"/>
    </row>
    <row r="364" spans="1:1" ht="13.5">
      <c r="A364" s="80"/>
    </row>
    <row r="365" spans="1:1" ht="13.5">
      <c r="A365" s="80"/>
    </row>
    <row r="366" spans="1:1" ht="13.5">
      <c r="A366" s="80"/>
    </row>
    <row r="367" spans="1:1" ht="13.5">
      <c r="A367" s="80"/>
    </row>
    <row r="368" spans="1:1" ht="13.5">
      <c r="A368" s="80"/>
    </row>
    <row r="369" spans="1:1" ht="13.5">
      <c r="A369" s="80"/>
    </row>
    <row r="370" spans="1:1" ht="13.5">
      <c r="A370" s="80"/>
    </row>
    <row r="371" spans="1:1" ht="13.5">
      <c r="A371" s="80"/>
    </row>
    <row r="372" spans="1:1" ht="13.5">
      <c r="A372" s="80"/>
    </row>
    <row r="373" spans="1:1" ht="13.5">
      <c r="A373" s="80"/>
    </row>
    <row r="374" spans="1:1" ht="13.5">
      <c r="A374" s="80"/>
    </row>
    <row r="375" spans="1:1" ht="13.5">
      <c r="A375" s="80"/>
    </row>
    <row r="376" spans="1:1" ht="13.5">
      <c r="A376" s="80"/>
    </row>
    <row r="377" spans="1:1" ht="13.5">
      <c r="A377" s="80"/>
    </row>
    <row r="378" spans="1:1" ht="13.5">
      <c r="A378" s="80"/>
    </row>
    <row r="379" spans="1:1" ht="13.5">
      <c r="A379" s="80"/>
    </row>
    <row r="380" spans="1:1" ht="13.5">
      <c r="A380" s="80"/>
    </row>
    <row r="381" spans="1:1" ht="13.5">
      <c r="A381" s="80"/>
    </row>
    <row r="382" spans="1:1" ht="13.5">
      <c r="A382" s="80"/>
    </row>
    <row r="383" spans="1:1" ht="13.5">
      <c r="A383" s="80"/>
    </row>
    <row r="384" spans="1:1" ht="13.5">
      <c r="A384" s="80"/>
    </row>
    <row r="385" spans="1:1" ht="13.5">
      <c r="A385" s="80"/>
    </row>
    <row r="386" spans="1:1" ht="13.5">
      <c r="A386" s="80"/>
    </row>
    <row r="387" spans="1:1" ht="13.5">
      <c r="A387" s="80"/>
    </row>
    <row r="388" spans="1:1" ht="13.5">
      <c r="A388" s="80"/>
    </row>
    <row r="389" spans="1:1" ht="13.5">
      <c r="A389" s="80"/>
    </row>
    <row r="390" spans="1:1" ht="13.5">
      <c r="A390" s="80"/>
    </row>
    <row r="391" spans="1:1" ht="13.5">
      <c r="A391" s="80"/>
    </row>
    <row r="392" spans="1:1" ht="13.5">
      <c r="A392" s="80"/>
    </row>
    <row r="393" spans="1:1" ht="13.5">
      <c r="A393" s="80"/>
    </row>
    <row r="394" spans="1:1" ht="13.5">
      <c r="A394" s="80"/>
    </row>
    <row r="395" spans="1:1" ht="13.5">
      <c r="A395" s="80"/>
    </row>
    <row r="396" spans="1:1" ht="13.5">
      <c r="A396" s="80"/>
    </row>
    <row r="397" spans="1:1" ht="13.5">
      <c r="A397" s="80"/>
    </row>
    <row r="398" spans="1:1" ht="13.5">
      <c r="A398" s="80"/>
    </row>
    <row r="399" spans="1:1" ht="13.5">
      <c r="A399" s="80"/>
    </row>
    <row r="400" spans="1:1" ht="13.5">
      <c r="A400" s="80"/>
    </row>
    <row r="401" spans="1:1" ht="13.5">
      <c r="A401" s="80"/>
    </row>
    <row r="402" spans="1:1" ht="13.5">
      <c r="A402" s="80"/>
    </row>
    <row r="403" spans="1:1" ht="13.5">
      <c r="A403" s="80"/>
    </row>
    <row r="404" spans="1:1" ht="13.5">
      <c r="A404" s="80"/>
    </row>
    <row r="405" spans="1:1" ht="13.5">
      <c r="A405" s="80"/>
    </row>
    <row r="406" spans="1:1" ht="13.5">
      <c r="A406" s="80"/>
    </row>
    <row r="407" spans="1:1" ht="13.5">
      <c r="A407" s="80"/>
    </row>
    <row r="408" spans="1:1" ht="13.5">
      <c r="A408" s="80"/>
    </row>
    <row r="409" spans="1:1" ht="13.5">
      <c r="A409" s="80"/>
    </row>
    <row r="410" spans="1:1" ht="13.5">
      <c r="A410" s="80"/>
    </row>
    <row r="411" spans="1:1" ht="13.5">
      <c r="A411" s="80"/>
    </row>
    <row r="412" spans="1:1" ht="13.5">
      <c r="A412" s="80"/>
    </row>
    <row r="413" spans="1:1" ht="13.5">
      <c r="A413" s="80"/>
    </row>
    <row r="414" spans="1:1" ht="13.5">
      <c r="A414" s="80"/>
    </row>
    <row r="415" spans="1:1" ht="13.5">
      <c r="A415" s="80"/>
    </row>
    <row r="416" spans="1:1" ht="13.5">
      <c r="A416" s="80"/>
    </row>
    <row r="417" spans="1:1" ht="13.5">
      <c r="A417" s="80"/>
    </row>
    <row r="418" spans="1:1" ht="13.5">
      <c r="A418" s="80"/>
    </row>
    <row r="419" spans="1:1" ht="13.5">
      <c r="A419" s="80"/>
    </row>
    <row r="420" spans="1:1" ht="13.5">
      <c r="A420" s="80"/>
    </row>
    <row r="421" spans="1:1" ht="13.5">
      <c r="A421" s="80"/>
    </row>
    <row r="422" spans="1:1" ht="13.5">
      <c r="A422" s="80"/>
    </row>
    <row r="423" spans="1:1" ht="13.5">
      <c r="A423" s="80"/>
    </row>
    <row r="424" spans="1:1" ht="13.5">
      <c r="A424" s="80"/>
    </row>
    <row r="425" spans="1:1" ht="13.5">
      <c r="A425" s="80"/>
    </row>
    <row r="426" spans="1:1" ht="13.5">
      <c r="A426" s="80"/>
    </row>
    <row r="427" spans="1:1" ht="13.5">
      <c r="A427" s="80"/>
    </row>
    <row r="428" spans="1:1" ht="13.5">
      <c r="A428" s="80"/>
    </row>
    <row r="429" spans="1:1" ht="13.5">
      <c r="A429" s="80"/>
    </row>
    <row r="430" spans="1:1" ht="13.5">
      <c r="A430" s="80"/>
    </row>
    <row r="431" spans="1:1" ht="13.5">
      <c r="A431" s="80"/>
    </row>
    <row r="432" spans="1:1" ht="13.5">
      <c r="A432" s="80"/>
    </row>
    <row r="433" spans="1:1" ht="13.5">
      <c r="A433" s="80"/>
    </row>
    <row r="434" spans="1:1" ht="13.5">
      <c r="A434" s="80"/>
    </row>
    <row r="435" spans="1:1" ht="13.5">
      <c r="A435" s="80"/>
    </row>
    <row r="436" spans="1:1" ht="13.5">
      <c r="A436" s="80"/>
    </row>
    <row r="437" spans="1:1" ht="13.5">
      <c r="A437" s="80"/>
    </row>
    <row r="438" spans="1:1" ht="13.5">
      <c r="A438" s="80"/>
    </row>
    <row r="439" spans="1:1" ht="13.5">
      <c r="A439" s="80"/>
    </row>
    <row r="440" spans="1:1" ht="13.5">
      <c r="A440" s="80"/>
    </row>
    <row r="441" spans="1:1" ht="13.5">
      <c r="A441" s="80"/>
    </row>
    <row r="442" spans="1:1" ht="13.5">
      <c r="A442" s="80"/>
    </row>
    <row r="443" spans="1:1" ht="13.5">
      <c r="A443" s="80"/>
    </row>
    <row r="444" spans="1:1" ht="13.5">
      <c r="A444" s="80"/>
    </row>
    <row r="445" spans="1:1" ht="13.5">
      <c r="A445" s="80"/>
    </row>
    <row r="446" spans="1:1" ht="13.5">
      <c r="A446" s="80"/>
    </row>
    <row r="447" spans="1:1" ht="13.5">
      <c r="A447" s="80"/>
    </row>
    <row r="448" spans="1:1" ht="13.5">
      <c r="A448" s="80"/>
    </row>
    <row r="449" spans="1:1" ht="13.5">
      <c r="A449" s="80"/>
    </row>
    <row r="450" spans="1:1" ht="13.5">
      <c r="A450" s="80"/>
    </row>
    <row r="451" spans="1:1" ht="13.5">
      <c r="A451" s="80"/>
    </row>
    <row r="452" spans="1:1" ht="13.5">
      <c r="A452" s="80"/>
    </row>
    <row r="453" spans="1:1" ht="13.5">
      <c r="A453" s="80"/>
    </row>
    <row r="454" spans="1:1" ht="13.5">
      <c r="A454" s="80"/>
    </row>
    <row r="455" spans="1:1" ht="13.5">
      <c r="A455" s="80"/>
    </row>
    <row r="456" spans="1:1" ht="13.5">
      <c r="A456" s="80"/>
    </row>
    <row r="457" spans="1:1" ht="13.5">
      <c r="A457" s="80"/>
    </row>
    <row r="458" spans="1:1" ht="13.5">
      <c r="A458" s="80"/>
    </row>
    <row r="459" spans="1:1" ht="13.5">
      <c r="A459" s="80"/>
    </row>
    <row r="460" spans="1:1" ht="13.5">
      <c r="A460" s="80"/>
    </row>
    <row r="461" spans="1:1" ht="13.5">
      <c r="A461" s="80"/>
    </row>
    <row r="462" spans="1:1" ht="13.5">
      <c r="A462" s="80"/>
    </row>
    <row r="463" spans="1:1" ht="13.5">
      <c r="A463" s="80"/>
    </row>
    <row r="464" spans="1:1" ht="13.5">
      <c r="A464" s="80"/>
    </row>
    <row r="465" spans="1:1" ht="13.5">
      <c r="A465" s="80"/>
    </row>
    <row r="466" spans="1:1" ht="13.5">
      <c r="A466" s="80"/>
    </row>
    <row r="467" spans="1:1" ht="13.5">
      <c r="A467" s="80"/>
    </row>
    <row r="468" spans="1:1" ht="13.5">
      <c r="A468" s="80"/>
    </row>
    <row r="469" spans="1:1" ht="13.5">
      <c r="A469" s="80"/>
    </row>
    <row r="470" spans="1:1" ht="13.5">
      <c r="A470" s="80"/>
    </row>
    <row r="471" spans="1:1" ht="13.5">
      <c r="A471" s="80"/>
    </row>
    <row r="472" spans="1:1" ht="13.5">
      <c r="A472" s="80"/>
    </row>
    <row r="473" spans="1:1" ht="13.5">
      <c r="A473" s="80"/>
    </row>
    <row r="474" spans="1:1" ht="13.5">
      <c r="A474" s="80"/>
    </row>
    <row r="475" spans="1:1" ht="13.5">
      <c r="A475" s="80"/>
    </row>
    <row r="476" spans="1:1" ht="13.5">
      <c r="A476" s="80"/>
    </row>
    <row r="477" spans="1:1" ht="13.5">
      <c r="A477" s="80"/>
    </row>
    <row r="478" spans="1:1" ht="13.5">
      <c r="A478" s="80"/>
    </row>
    <row r="479" spans="1:1" ht="13.5">
      <c r="A479" s="80"/>
    </row>
    <row r="480" spans="1:1" ht="13.5">
      <c r="A480" s="80"/>
    </row>
    <row r="481" spans="1:1" ht="13.5">
      <c r="A481" s="80"/>
    </row>
    <row r="482" spans="1:1" ht="13.5">
      <c r="A482" s="80"/>
    </row>
    <row r="483" spans="1:1" ht="13.5">
      <c r="A483" s="80"/>
    </row>
    <row r="484" spans="1:1" ht="13.5">
      <c r="A484" s="80"/>
    </row>
    <row r="485" spans="1:1" ht="13.5">
      <c r="A485" s="80"/>
    </row>
    <row r="486" spans="1:1" ht="13.5">
      <c r="A486" s="80"/>
    </row>
    <row r="487" spans="1:1" ht="13.5">
      <c r="A487" s="80"/>
    </row>
    <row r="488" spans="1:1" ht="13.5">
      <c r="A488" s="80"/>
    </row>
    <row r="489" spans="1:1" ht="13.5">
      <c r="A489" s="80"/>
    </row>
    <row r="490" spans="1:1" ht="13.5">
      <c r="A490" s="80"/>
    </row>
    <row r="491" spans="1:1" ht="13.5">
      <c r="A491" s="80"/>
    </row>
    <row r="492" spans="1:1" ht="13.5">
      <c r="A492" s="80"/>
    </row>
    <row r="493" spans="1:1" ht="13.5">
      <c r="A493" s="80"/>
    </row>
    <row r="494" spans="1:1" ht="13.5">
      <c r="A494" s="80"/>
    </row>
    <row r="495" spans="1:1" ht="13.5">
      <c r="A495" s="80"/>
    </row>
    <row r="496" spans="1:1" ht="13.5">
      <c r="A496" s="80"/>
    </row>
    <row r="497" spans="1:1" ht="13.5">
      <c r="A497" s="80"/>
    </row>
    <row r="498" spans="1:1" ht="13.5">
      <c r="A498" s="80"/>
    </row>
    <row r="499" spans="1:1" ht="13.5">
      <c r="A499" s="80"/>
    </row>
    <row r="500" spans="1:1" ht="13.5">
      <c r="A500" s="80"/>
    </row>
    <row r="501" spans="1:1" ht="13.5">
      <c r="A501" s="80"/>
    </row>
    <row r="502" spans="1:1" ht="13.5">
      <c r="A502" s="80"/>
    </row>
    <row r="503" spans="1:1" ht="13.5">
      <c r="A503" s="80"/>
    </row>
    <row r="504" spans="1:1" ht="13.5">
      <c r="A504" s="80"/>
    </row>
    <row r="505" spans="1:1" ht="13.5">
      <c r="A505" s="80"/>
    </row>
    <row r="506" spans="1:1" ht="13.5">
      <c r="A506" s="80"/>
    </row>
    <row r="507" spans="1:1" ht="13.5">
      <c r="A507" s="80"/>
    </row>
    <row r="508" spans="1:1" ht="13.5">
      <c r="A508" s="80"/>
    </row>
    <row r="509" spans="1:1" ht="13.5">
      <c r="A509" s="80"/>
    </row>
    <row r="510" spans="1:1" ht="13.5">
      <c r="A510" s="80"/>
    </row>
    <row r="511" spans="1:1" ht="13.5">
      <c r="A511" s="80"/>
    </row>
    <row r="512" spans="1:1" ht="13.5">
      <c r="A512" s="80"/>
    </row>
    <row r="513" spans="1:1" ht="13.5">
      <c r="A513" s="80"/>
    </row>
    <row r="514" spans="1:1" ht="13.5">
      <c r="A514" s="80"/>
    </row>
    <row r="515" spans="1:1" ht="13.5">
      <c r="A515" s="80"/>
    </row>
    <row r="516" spans="1:1" ht="13.5">
      <c r="A516" s="80"/>
    </row>
    <row r="517" spans="1:1" ht="13.5">
      <c r="A517" s="80"/>
    </row>
    <row r="518" spans="1:1" ht="13.5">
      <c r="A518" s="80"/>
    </row>
    <row r="519" spans="1:1" ht="13.5">
      <c r="A519" s="80"/>
    </row>
    <row r="520" spans="1:1" ht="13.5">
      <c r="A520" s="80"/>
    </row>
    <row r="521" spans="1:1" ht="13.5">
      <c r="A521" s="80"/>
    </row>
    <row r="522" spans="1:1" ht="13.5">
      <c r="A522" s="80"/>
    </row>
    <row r="523" spans="1:1" ht="13.5">
      <c r="A523" s="80"/>
    </row>
    <row r="524" spans="1:1" ht="13.5">
      <c r="A524" s="80"/>
    </row>
    <row r="525" spans="1:1" ht="13.5">
      <c r="A525" s="80"/>
    </row>
    <row r="526" spans="1:1" ht="13.5">
      <c r="A526" s="80"/>
    </row>
    <row r="527" spans="1:1" ht="13.5">
      <c r="A527" s="80"/>
    </row>
    <row r="528" spans="1:1" ht="13.5">
      <c r="A528" s="80"/>
    </row>
    <row r="529" spans="1:1" ht="13.5">
      <c r="A529" s="80"/>
    </row>
    <row r="530" spans="1:1" ht="13.5">
      <c r="A530" s="80"/>
    </row>
    <row r="531" spans="1:1" ht="13.5">
      <c r="A531" s="80"/>
    </row>
    <row r="532" spans="1:1" ht="13.5">
      <c r="A532" s="80"/>
    </row>
    <row r="533" spans="1:1" ht="13.5">
      <c r="A533" s="80"/>
    </row>
    <row r="534" spans="1:1" ht="13.5">
      <c r="A534" s="80"/>
    </row>
    <row r="535" spans="1:1" ht="13.5">
      <c r="A535" s="80"/>
    </row>
    <row r="536" spans="1:1" ht="13.5">
      <c r="A536" s="80"/>
    </row>
    <row r="537" spans="1:1" ht="13.5">
      <c r="A537" s="80"/>
    </row>
    <row r="538" spans="1:1" ht="13.5">
      <c r="A538" s="80"/>
    </row>
    <row r="539" spans="1:1" ht="13.5">
      <c r="A539" s="80"/>
    </row>
    <row r="540" spans="1:1" ht="13.5">
      <c r="A540" s="80"/>
    </row>
    <row r="541" spans="1:1" ht="13.5">
      <c r="A541" s="80"/>
    </row>
    <row r="542" spans="1:1" ht="13.5">
      <c r="A542" s="80"/>
    </row>
    <row r="543" spans="1:1" ht="13.5">
      <c r="A543" s="80"/>
    </row>
    <row r="544" spans="1:1" ht="13.5">
      <c r="A544" s="80"/>
    </row>
    <row r="545" spans="1:1" ht="13.5">
      <c r="A545" s="80"/>
    </row>
    <row r="546" spans="1:1" ht="13.5">
      <c r="A546" s="80"/>
    </row>
    <row r="547" spans="1:1" ht="13.5">
      <c r="A547" s="80"/>
    </row>
    <row r="548" spans="1:1" ht="13.5">
      <c r="A548" s="80"/>
    </row>
    <row r="549" spans="1:1" ht="13.5">
      <c r="A549" s="80"/>
    </row>
    <row r="550" spans="1:1" ht="13.5">
      <c r="A550" s="80"/>
    </row>
    <row r="551" spans="1:1" ht="13.5">
      <c r="A551" s="80"/>
    </row>
    <row r="552" spans="1:1" ht="13.5">
      <c r="A552" s="80"/>
    </row>
    <row r="553" spans="1:1" ht="13.5">
      <c r="A553" s="80"/>
    </row>
    <row r="554" spans="1:1" ht="13.5">
      <c r="A554" s="80"/>
    </row>
    <row r="555" spans="1:1" ht="13.5">
      <c r="A555" s="80"/>
    </row>
    <row r="556" spans="1:1" ht="13.5">
      <c r="A556" s="80"/>
    </row>
    <row r="557" spans="1:1" ht="13.5">
      <c r="A557" s="80"/>
    </row>
    <row r="558" spans="1:1" ht="13.5">
      <c r="A558" s="80"/>
    </row>
    <row r="559" spans="1:1" ht="13.5">
      <c r="A559" s="80"/>
    </row>
    <row r="560" spans="1:1" ht="13.5">
      <c r="A560" s="80"/>
    </row>
    <row r="561" spans="1:1" ht="13.5">
      <c r="A561" s="80"/>
    </row>
    <row r="562" spans="1:1" ht="13.5">
      <c r="A562" s="80"/>
    </row>
    <row r="563" spans="1:1" ht="13.5">
      <c r="A563" s="80"/>
    </row>
    <row r="564" spans="1:1" ht="13.5">
      <c r="A564" s="80"/>
    </row>
    <row r="565" spans="1:1" ht="13.5">
      <c r="A565" s="80"/>
    </row>
    <row r="566" spans="1:1" ht="13.5">
      <c r="A566" s="80"/>
    </row>
    <row r="567" spans="1:1" ht="13.5">
      <c r="A567" s="80"/>
    </row>
    <row r="568" spans="1:1" ht="13.5">
      <c r="A568" s="80"/>
    </row>
    <row r="569" spans="1:1" ht="13.5">
      <c r="A569" s="80"/>
    </row>
    <row r="570" spans="1:1" ht="13.5">
      <c r="A570" s="80"/>
    </row>
    <row r="571" spans="1:1" ht="13.5">
      <c r="A571" s="80"/>
    </row>
    <row r="572" spans="1:1" ht="13.5">
      <c r="A572" s="80"/>
    </row>
    <row r="573" spans="1:1" ht="13.5">
      <c r="A573" s="80"/>
    </row>
    <row r="574" spans="1:1" ht="13.5">
      <c r="A574" s="80"/>
    </row>
    <row r="575" spans="1:1" ht="13.5">
      <c r="A575" s="80"/>
    </row>
    <row r="576" spans="1:1" ht="13.5">
      <c r="A576" s="80"/>
    </row>
    <row r="577" spans="1:1" ht="13.5">
      <c r="A577" s="80"/>
    </row>
    <row r="578" spans="1:1" ht="13.5">
      <c r="A578" s="80"/>
    </row>
    <row r="579" spans="1:1" ht="13.5">
      <c r="A579" s="80"/>
    </row>
    <row r="580" spans="1:1" ht="13.5">
      <c r="A580" s="80"/>
    </row>
    <row r="581" spans="1:1" ht="13.5">
      <c r="A581" s="80"/>
    </row>
    <row r="582" spans="1:1" ht="13.5">
      <c r="A582" s="80"/>
    </row>
    <row r="583" spans="1:1" ht="13.5">
      <c r="A583" s="80"/>
    </row>
    <row r="584" spans="1:1" ht="13.5">
      <c r="A584" s="80"/>
    </row>
    <row r="585" spans="1:1" ht="13.5">
      <c r="A585" s="80"/>
    </row>
    <row r="586" spans="1:1" ht="13.5">
      <c r="A586" s="80"/>
    </row>
    <row r="587" spans="1:1" ht="13.5">
      <c r="A587" s="80"/>
    </row>
    <row r="588" spans="1:1" ht="13.5">
      <c r="A588" s="80"/>
    </row>
    <row r="589" spans="1:1" ht="13.5">
      <c r="A589" s="80"/>
    </row>
    <row r="590" spans="1:1" ht="13.5">
      <c r="A590" s="80"/>
    </row>
    <row r="591" spans="1:1" ht="13.5">
      <c r="A591" s="80"/>
    </row>
    <row r="592" spans="1:1" ht="13.5">
      <c r="A592" s="80"/>
    </row>
    <row r="593" spans="1:1" ht="13.5">
      <c r="A593" s="80"/>
    </row>
    <row r="594" spans="1:1" ht="13.5">
      <c r="A594" s="80"/>
    </row>
    <row r="595" spans="1:1" ht="13.5">
      <c r="A595" s="80"/>
    </row>
    <row r="596" spans="1:1" ht="13.5">
      <c r="A596" s="80"/>
    </row>
    <row r="597" spans="1:1" ht="13.5">
      <c r="A597" s="80"/>
    </row>
    <row r="598" spans="1:1" ht="13.5">
      <c r="A598" s="80"/>
    </row>
    <row r="599" spans="1:1" ht="13.5">
      <c r="A599" s="80"/>
    </row>
    <row r="600" spans="1:1" ht="13.5">
      <c r="A600" s="80"/>
    </row>
    <row r="601" spans="1:1" ht="13.5">
      <c r="A601" s="80"/>
    </row>
    <row r="602" spans="1:1" ht="13.5">
      <c r="A602" s="80"/>
    </row>
    <row r="603" spans="1:1" ht="13.5">
      <c r="A603" s="80"/>
    </row>
    <row r="604" spans="1:1" ht="13.5">
      <c r="A604" s="80"/>
    </row>
    <row r="605" spans="1:1" ht="13.5">
      <c r="A605" s="80"/>
    </row>
    <row r="606" spans="1:1" ht="13.5">
      <c r="A606" s="80"/>
    </row>
    <row r="607" spans="1:1" ht="13.5">
      <c r="A607" s="80"/>
    </row>
    <row r="608" spans="1:1" ht="13.5">
      <c r="A608" s="80"/>
    </row>
    <row r="609" spans="1:1" ht="13.5">
      <c r="A609" s="80"/>
    </row>
    <row r="610" spans="1:1" ht="13.5">
      <c r="A610" s="80"/>
    </row>
    <row r="611" spans="1:1" ht="13.5">
      <c r="A611" s="80"/>
    </row>
    <row r="612" spans="1:1" ht="13.5">
      <c r="A612" s="80"/>
    </row>
    <row r="613" spans="1:1" ht="13.5">
      <c r="A613" s="80"/>
    </row>
    <row r="614" spans="1:1" ht="13.5">
      <c r="A614" s="80"/>
    </row>
    <row r="615" spans="1:1" ht="13.5">
      <c r="A615" s="80"/>
    </row>
    <row r="616" spans="1:1" ht="13.5">
      <c r="A616" s="80"/>
    </row>
    <row r="617" spans="1:1" ht="13.5">
      <c r="A617" s="80"/>
    </row>
    <row r="618" spans="1:1" ht="13.5">
      <c r="A618" s="80"/>
    </row>
    <row r="619" spans="1:1" ht="13.5">
      <c r="A619" s="80"/>
    </row>
    <row r="620" spans="1:1" ht="13.5">
      <c r="A620" s="80"/>
    </row>
    <row r="621" spans="1:1" ht="13.5">
      <c r="A621" s="80"/>
    </row>
    <row r="622" spans="1:1" ht="13.5">
      <c r="A622" s="80"/>
    </row>
    <row r="623" spans="1:1" ht="13.5">
      <c r="A623" s="80"/>
    </row>
    <row r="624" spans="1:1" ht="13.5">
      <c r="A624" s="80"/>
    </row>
    <row r="625" spans="1:1" ht="13.5">
      <c r="A625" s="80"/>
    </row>
    <row r="626" spans="1:1" ht="13.5">
      <c r="A626" s="80"/>
    </row>
    <row r="627" spans="1:1" ht="13.5">
      <c r="A627" s="80"/>
    </row>
    <row r="628" spans="1:1" ht="13.5">
      <c r="A628" s="80"/>
    </row>
    <row r="629" spans="1:1" ht="13.5">
      <c r="A629" s="80"/>
    </row>
    <row r="630" spans="1:1" ht="13.5">
      <c r="A630" s="80"/>
    </row>
    <row r="631" spans="1:1" ht="13.5">
      <c r="A631" s="80"/>
    </row>
    <row r="632" spans="1:1" ht="13.5">
      <c r="A632" s="80"/>
    </row>
    <row r="633" spans="1:1" ht="13.5">
      <c r="A633" s="80"/>
    </row>
    <row r="634" spans="1:1" ht="13.5">
      <c r="A634" s="80"/>
    </row>
    <row r="635" spans="1:1" ht="13.5">
      <c r="A635" s="80"/>
    </row>
    <row r="636" spans="1:1" ht="13.5">
      <c r="A636" s="80"/>
    </row>
    <row r="637" spans="1:1" ht="13.5">
      <c r="A637" s="80"/>
    </row>
    <row r="638" spans="1:1" ht="13.5">
      <c r="A638" s="80"/>
    </row>
    <row r="639" spans="1:1" ht="13.5">
      <c r="A639" s="80"/>
    </row>
    <row r="640" spans="1:1" ht="13.5">
      <c r="A640" s="80"/>
    </row>
    <row r="641" spans="1:1" ht="13.5">
      <c r="A641" s="80"/>
    </row>
    <row r="642" spans="1:1" ht="13.5">
      <c r="A642" s="80"/>
    </row>
    <row r="643" spans="1:1" ht="13.5">
      <c r="A643" s="80"/>
    </row>
    <row r="644" spans="1:1" ht="13.5">
      <c r="A644" s="80"/>
    </row>
    <row r="645" spans="1:1" ht="13.5">
      <c r="A645" s="80"/>
    </row>
    <row r="646" spans="1:1" ht="13.5">
      <c r="A646" s="80"/>
    </row>
    <row r="647" spans="1:1" ht="13.5">
      <c r="A647" s="80"/>
    </row>
    <row r="648" spans="1:1" ht="13.5">
      <c r="A648" s="80"/>
    </row>
    <row r="649" spans="1:1" ht="13.5">
      <c r="A649" s="80"/>
    </row>
    <row r="650" spans="1:1" ht="13.5">
      <c r="A650" s="80"/>
    </row>
    <row r="651" spans="1:1" ht="13.5">
      <c r="A651" s="80"/>
    </row>
    <row r="652" spans="1:1" ht="13.5">
      <c r="A652" s="80"/>
    </row>
    <row r="653" spans="1:1" ht="13.5">
      <c r="A653" s="80"/>
    </row>
    <row r="654" spans="1:1" ht="13.5">
      <c r="A654" s="80"/>
    </row>
    <row r="655" spans="1:1" ht="13.5">
      <c r="A655" s="80"/>
    </row>
    <row r="656" spans="1:1" ht="13.5">
      <c r="A656" s="80"/>
    </row>
    <row r="657" spans="1:1" ht="13.5">
      <c r="A657" s="80"/>
    </row>
    <row r="658" spans="1:1" ht="13.5">
      <c r="A658" s="80"/>
    </row>
    <row r="659" spans="1:1" ht="13.5">
      <c r="A659" s="80"/>
    </row>
    <row r="660" spans="1:1" ht="13.5">
      <c r="A660" s="80"/>
    </row>
    <row r="661" spans="1:1" ht="13.5">
      <c r="A661" s="80"/>
    </row>
    <row r="662" spans="1:1" ht="13.5">
      <c r="A662" s="80"/>
    </row>
    <row r="663" spans="1:1" ht="13.5">
      <c r="A663" s="80"/>
    </row>
    <row r="664" spans="1:1" ht="13.5">
      <c r="A664" s="80"/>
    </row>
    <row r="665" spans="1:1" ht="13.5">
      <c r="A665" s="80"/>
    </row>
    <row r="666" spans="1:1" ht="13.5">
      <c r="A666" s="80"/>
    </row>
    <row r="667" spans="1:1" ht="13.5">
      <c r="A667" s="80"/>
    </row>
    <row r="668" spans="1:1" ht="13.5">
      <c r="A668" s="80"/>
    </row>
    <row r="669" spans="1:1" ht="13.5">
      <c r="A669" s="80"/>
    </row>
    <row r="670" spans="1:1" ht="13.5">
      <c r="A670" s="80"/>
    </row>
    <row r="671" spans="1:1" ht="13.5">
      <c r="A671" s="80"/>
    </row>
    <row r="672" spans="1:1" ht="13.5">
      <c r="A672" s="80"/>
    </row>
    <row r="673" spans="1:1" ht="13.5">
      <c r="A673" s="80"/>
    </row>
    <row r="674" spans="1:1" ht="13.5">
      <c r="A674" s="80"/>
    </row>
    <row r="675" spans="1:1" ht="13.5">
      <c r="A675" s="80"/>
    </row>
    <row r="676" spans="1:1" ht="13.5">
      <c r="A676" s="80"/>
    </row>
    <row r="677" spans="1:1" ht="13.5">
      <c r="A677" s="80"/>
    </row>
    <row r="678" spans="1:1" ht="13.5">
      <c r="A678" s="80"/>
    </row>
    <row r="679" spans="1:1" ht="13.5">
      <c r="A679" s="80"/>
    </row>
    <row r="680" spans="1:1" ht="13.5">
      <c r="A680" s="80"/>
    </row>
    <row r="681" spans="1:1" ht="13.5">
      <c r="A681" s="80"/>
    </row>
    <row r="682" spans="1:1" ht="13.5">
      <c r="A682" s="80"/>
    </row>
    <row r="683" spans="1:1" ht="13.5">
      <c r="A683" s="80"/>
    </row>
    <row r="684" spans="1:1" ht="13.5">
      <c r="A684" s="80"/>
    </row>
    <row r="685" spans="1:1" ht="13.5">
      <c r="A685" s="80"/>
    </row>
    <row r="686" spans="1:1" ht="13.5">
      <c r="A686" s="80"/>
    </row>
    <row r="687" spans="1:1" ht="13.5">
      <c r="A687" s="80"/>
    </row>
    <row r="688" spans="1:1" ht="13.5">
      <c r="A688" s="80"/>
    </row>
    <row r="689" spans="1:1" ht="13.5">
      <c r="A689" s="80"/>
    </row>
    <row r="690" spans="1:1" ht="13.5">
      <c r="A690" s="80"/>
    </row>
    <row r="691" spans="1:1" ht="13.5">
      <c r="A691" s="80"/>
    </row>
    <row r="692" spans="1:1" ht="13.5">
      <c r="A692" s="80"/>
    </row>
    <row r="693" spans="1:1" ht="13.5">
      <c r="A693" s="80"/>
    </row>
    <row r="694" spans="1:1" ht="13.5">
      <c r="A694" s="80"/>
    </row>
    <row r="695" spans="1:1" ht="13.5">
      <c r="A695" s="80"/>
    </row>
    <row r="696" spans="1:1" ht="13.5">
      <c r="A696" s="80"/>
    </row>
    <row r="697" spans="1:1" ht="13.5">
      <c r="A697" s="80"/>
    </row>
    <row r="698" spans="1:1" ht="13.5">
      <c r="A698" s="80"/>
    </row>
    <row r="699" spans="1:1" ht="13.5">
      <c r="A699" s="80"/>
    </row>
    <row r="700" spans="1:1" ht="13.5">
      <c r="A700" s="80"/>
    </row>
    <row r="701" spans="1:1" ht="13.5">
      <c r="A701" s="80"/>
    </row>
    <row r="702" spans="1:1" ht="13.5">
      <c r="A702" s="80"/>
    </row>
    <row r="703" spans="1:1" ht="13.5">
      <c r="A703" s="80"/>
    </row>
    <row r="704" spans="1:1" ht="13.5">
      <c r="A704" s="80"/>
    </row>
    <row r="705" spans="1:1" ht="13.5">
      <c r="A705" s="80"/>
    </row>
    <row r="706" spans="1:1" ht="13.5">
      <c r="A706" s="80"/>
    </row>
    <row r="707" spans="1:1" ht="13.5">
      <c r="A707" s="80"/>
    </row>
    <row r="708" spans="1:1" ht="13.5">
      <c r="A708" s="80"/>
    </row>
    <row r="709" spans="1:1" ht="13.5">
      <c r="A709" s="80"/>
    </row>
    <row r="710" spans="1:1" ht="13.5">
      <c r="A710" s="80"/>
    </row>
    <row r="711" spans="1:1" ht="13.5">
      <c r="A711" s="80"/>
    </row>
    <row r="712" spans="1:1" ht="13.5">
      <c r="A712" s="80"/>
    </row>
    <row r="713" spans="1:1" ht="13.5">
      <c r="A713" s="80"/>
    </row>
    <row r="714" spans="1:1" ht="13.5">
      <c r="A714" s="80"/>
    </row>
    <row r="715" spans="1:1" ht="13.5">
      <c r="A715" s="80"/>
    </row>
    <row r="716" spans="1:1" ht="13.5">
      <c r="A716" s="80"/>
    </row>
    <row r="717" spans="1:1" ht="13.5">
      <c r="A717" s="80"/>
    </row>
    <row r="718" spans="1:1" ht="13.5">
      <c r="A718" s="80"/>
    </row>
    <row r="719" spans="1:1" ht="13.5">
      <c r="A719" s="80"/>
    </row>
    <row r="720" spans="1:1" ht="13.5">
      <c r="A720" s="80"/>
    </row>
    <row r="721" spans="1:1" ht="13.5">
      <c r="A721" s="80"/>
    </row>
    <row r="722" spans="1:1" ht="13.5">
      <c r="A722" s="80"/>
    </row>
    <row r="723" spans="1:1" ht="13.5">
      <c r="A723" s="80"/>
    </row>
    <row r="724" spans="1:1" ht="13.5">
      <c r="A724" s="80"/>
    </row>
    <row r="725" spans="1:1" ht="13.5">
      <c r="A725" s="80"/>
    </row>
    <row r="726" spans="1:1" ht="13.5">
      <c r="A726" s="80"/>
    </row>
    <row r="727" spans="1:1" ht="13.5">
      <c r="A727" s="80"/>
    </row>
    <row r="728" spans="1:1" ht="13.5">
      <c r="A728" s="80"/>
    </row>
    <row r="729" spans="1:1" ht="13.5">
      <c r="A729" s="80"/>
    </row>
    <row r="730" spans="1:1" ht="13.5">
      <c r="A730" s="80"/>
    </row>
    <row r="731" spans="1:1" ht="13.5">
      <c r="A731" s="80"/>
    </row>
    <row r="732" spans="1:1" ht="13.5">
      <c r="A732" s="80"/>
    </row>
    <row r="733" spans="1:1" ht="13.5">
      <c r="A733" s="80"/>
    </row>
    <row r="734" spans="1:1" ht="13.5">
      <c r="A734" s="80"/>
    </row>
    <row r="735" spans="1:1" ht="13.5">
      <c r="A735" s="80"/>
    </row>
    <row r="736" spans="1:1" ht="13.5">
      <c r="A736" s="80"/>
    </row>
    <row r="737" spans="1:1" ht="13.5">
      <c r="A737" s="80"/>
    </row>
    <row r="738" spans="1:1" ht="13.5">
      <c r="A738" s="80"/>
    </row>
    <row r="739" spans="1:1" ht="13.5">
      <c r="A739" s="80"/>
    </row>
    <row r="740" spans="1:1" ht="13.5">
      <c r="A740" s="80"/>
    </row>
    <row r="741" spans="1:1" ht="13.5">
      <c r="A741" s="80"/>
    </row>
    <row r="742" spans="1:1" ht="13.5">
      <c r="A742" s="80"/>
    </row>
    <row r="743" spans="1:1" ht="13.5">
      <c r="A743" s="80"/>
    </row>
    <row r="744" spans="1:1" ht="13.5">
      <c r="A744" s="80"/>
    </row>
    <row r="745" spans="1:1" ht="13.5">
      <c r="A745" s="80"/>
    </row>
    <row r="746" spans="1:1" ht="13.5">
      <c r="A746" s="80"/>
    </row>
    <row r="747" spans="1:1" ht="13.5">
      <c r="A747" s="80"/>
    </row>
    <row r="748" spans="1:1" ht="13.5">
      <c r="A748" s="80"/>
    </row>
    <row r="749" spans="1:1" ht="13.5">
      <c r="A749" s="80"/>
    </row>
    <row r="750" spans="1:1" ht="13.5">
      <c r="A750" s="80"/>
    </row>
    <row r="751" spans="1:1" ht="13.5">
      <c r="A751" s="80"/>
    </row>
    <row r="752" spans="1:1" ht="13.5">
      <c r="A752" s="80"/>
    </row>
    <row r="753" spans="1:1" ht="13.5">
      <c r="A753" s="80"/>
    </row>
    <row r="754" spans="1:1" ht="13.5">
      <c r="A754" s="80"/>
    </row>
    <row r="755" spans="1:1" ht="13.5">
      <c r="A755" s="80"/>
    </row>
    <row r="756" spans="1:1" ht="13.5">
      <c r="A756" s="80"/>
    </row>
    <row r="757" spans="1:1" ht="13.5">
      <c r="A757" s="80"/>
    </row>
    <row r="758" spans="1:1" ht="13.5">
      <c r="A758" s="80"/>
    </row>
    <row r="759" spans="1:1" ht="13.5">
      <c r="A759" s="80"/>
    </row>
    <row r="760" spans="1:1" ht="13.5">
      <c r="A760" s="80"/>
    </row>
    <row r="761" spans="1:1" ht="13.5">
      <c r="A761" s="80"/>
    </row>
    <row r="762" spans="1:1" ht="13.5">
      <c r="A762" s="80"/>
    </row>
    <row r="763" spans="1:1" ht="13.5">
      <c r="A763" s="80"/>
    </row>
    <row r="764" spans="1:1" ht="13.5">
      <c r="A764" s="80"/>
    </row>
    <row r="765" spans="1:1" ht="13.5">
      <c r="A765" s="80"/>
    </row>
    <row r="766" spans="1:1" ht="13.5">
      <c r="A766" s="80"/>
    </row>
    <row r="767" spans="1:1" ht="13.5">
      <c r="A767" s="80"/>
    </row>
    <row r="768" spans="1:1" ht="13.5">
      <c r="A768" s="80"/>
    </row>
    <row r="769" spans="1:1" ht="13.5">
      <c r="A769" s="80"/>
    </row>
    <row r="770" spans="1:1" ht="13.5">
      <c r="A770" s="80"/>
    </row>
    <row r="771" spans="1:1" ht="13.5">
      <c r="A771" s="80"/>
    </row>
    <row r="772" spans="1:1" ht="13.5">
      <c r="A772" s="80"/>
    </row>
    <row r="773" spans="1:1" ht="13.5">
      <c r="A773" s="80"/>
    </row>
    <row r="774" spans="1:1" ht="13.5">
      <c r="A774" s="80"/>
    </row>
    <row r="775" spans="1:1" ht="13.5">
      <c r="A775" s="80"/>
    </row>
    <row r="776" spans="1:1" ht="13.5">
      <c r="A776" s="80"/>
    </row>
    <row r="777" spans="1:1" ht="13.5">
      <c r="A777" s="80"/>
    </row>
    <row r="778" spans="1:1" ht="13.5">
      <c r="A778" s="80"/>
    </row>
    <row r="779" spans="1:1" ht="13.5">
      <c r="A779" s="80"/>
    </row>
    <row r="780" spans="1:1" ht="13.5">
      <c r="A780" s="80"/>
    </row>
    <row r="781" spans="1:1" ht="13.5">
      <c r="A781" s="80"/>
    </row>
    <row r="782" spans="1:1" ht="13.5">
      <c r="A782" s="80"/>
    </row>
    <row r="783" spans="1:1" ht="13.5">
      <c r="A783" s="80"/>
    </row>
    <row r="784" spans="1:1" ht="13.5">
      <c r="A784" s="80"/>
    </row>
    <row r="785" spans="1:1" ht="13.5">
      <c r="A785" s="80"/>
    </row>
    <row r="786" spans="1:1" ht="13.5">
      <c r="A786" s="80"/>
    </row>
    <row r="787" spans="1:1" ht="13.5">
      <c r="A787" s="80"/>
    </row>
    <row r="788" spans="1:1" ht="13.5">
      <c r="A788" s="80"/>
    </row>
    <row r="789" spans="1:1" ht="13.5">
      <c r="A789" s="80"/>
    </row>
    <row r="790" spans="1:1" ht="13.5">
      <c r="A790" s="80"/>
    </row>
    <row r="791" spans="1:1" ht="13.5">
      <c r="A791" s="80"/>
    </row>
    <row r="792" spans="1:1" ht="13.5">
      <c r="A792" s="80"/>
    </row>
    <row r="793" spans="1:1" ht="13.5">
      <c r="A793" s="80"/>
    </row>
    <row r="794" spans="1:1" ht="13.5">
      <c r="A794" s="80"/>
    </row>
    <row r="795" spans="1:1" ht="13.5">
      <c r="A795" s="80"/>
    </row>
    <row r="796" spans="1:1" ht="13.5">
      <c r="A796" s="80"/>
    </row>
    <row r="797" spans="1:1" ht="13.5">
      <c r="A797" s="80"/>
    </row>
    <row r="798" spans="1:1" ht="13.5">
      <c r="A798" s="80"/>
    </row>
    <row r="799" spans="1:1" ht="13.5">
      <c r="A799" s="80"/>
    </row>
    <row r="800" spans="1:1" ht="13.5">
      <c r="A800" s="80"/>
    </row>
    <row r="801" spans="1:1" ht="13.5">
      <c r="A801" s="80"/>
    </row>
    <row r="802" spans="1:1" ht="13.5">
      <c r="A802" s="80"/>
    </row>
    <row r="803" spans="1:1" ht="13.5">
      <c r="A803" s="80"/>
    </row>
    <row r="804" spans="1:1" ht="13.5">
      <c r="A804" s="80"/>
    </row>
    <row r="805" spans="1:1" ht="13.5">
      <c r="A805" s="80"/>
    </row>
    <row r="806" spans="1:1" ht="13.5">
      <c r="A806" s="80"/>
    </row>
    <row r="807" spans="1:1" ht="13.5">
      <c r="A807" s="80"/>
    </row>
    <row r="808" spans="1:1" ht="13.5">
      <c r="A808" s="80"/>
    </row>
    <row r="809" spans="1:1" ht="13.5">
      <c r="A809" s="80"/>
    </row>
    <row r="810" spans="1:1" ht="13.5">
      <c r="A810" s="80"/>
    </row>
    <row r="811" spans="1:1" ht="13.5">
      <c r="A811" s="80"/>
    </row>
    <row r="812" spans="1:1" ht="13.5">
      <c r="A812" s="80"/>
    </row>
    <row r="813" spans="1:1" ht="13.5">
      <c r="A813" s="80"/>
    </row>
    <row r="814" spans="1:1" ht="13.5">
      <c r="A814" s="80"/>
    </row>
    <row r="815" spans="1:1" ht="13.5">
      <c r="A815" s="80"/>
    </row>
    <row r="816" spans="1:1" ht="13.5">
      <c r="A816" s="80"/>
    </row>
    <row r="817" spans="1:1" ht="13.5">
      <c r="A817" s="80"/>
    </row>
    <row r="818" spans="1:1" ht="13.5">
      <c r="A818" s="80"/>
    </row>
    <row r="819" spans="1:1" ht="13.5">
      <c r="A819" s="80"/>
    </row>
    <row r="820" spans="1:1" ht="13.5">
      <c r="A820" s="80"/>
    </row>
    <row r="821" spans="1:1" ht="13.5">
      <c r="A821" s="80"/>
    </row>
    <row r="822" spans="1:1" ht="13.5">
      <c r="A822" s="80"/>
    </row>
    <row r="823" spans="1:1" ht="13.5">
      <c r="A823" s="80"/>
    </row>
    <row r="824" spans="1:1" ht="13.5">
      <c r="A824" s="80"/>
    </row>
    <row r="825" spans="1:1" ht="13.5">
      <c r="A825" s="80"/>
    </row>
    <row r="826" spans="1:1" ht="13.5">
      <c r="A826" s="80"/>
    </row>
    <row r="827" spans="1:1" ht="13.5">
      <c r="A827" s="80"/>
    </row>
    <row r="828" spans="1:1" ht="13.5">
      <c r="A828" s="80"/>
    </row>
    <row r="829" spans="1:1" ht="13.5">
      <c r="A829" s="80"/>
    </row>
    <row r="830" spans="1:1" ht="13.5">
      <c r="A830" s="80"/>
    </row>
    <row r="831" spans="1:1" ht="13.5">
      <c r="A831" s="80"/>
    </row>
    <row r="832" spans="1:1" ht="13.5">
      <c r="A832" s="80"/>
    </row>
    <row r="833" spans="1:1" ht="13.5">
      <c r="A833" s="80"/>
    </row>
    <row r="834" spans="1:1" ht="13.5">
      <c r="A834" s="80"/>
    </row>
    <row r="835" spans="1:1" ht="13.5">
      <c r="A835" s="80"/>
    </row>
    <row r="836" spans="1:1" ht="13.5">
      <c r="A836" s="80"/>
    </row>
    <row r="837" spans="1:1" ht="13.5">
      <c r="A837" s="80"/>
    </row>
    <row r="838" spans="1:1" ht="13.5">
      <c r="A838" s="80"/>
    </row>
    <row r="839" spans="1:1" ht="13.5">
      <c r="A839" s="80"/>
    </row>
    <row r="840" spans="1:1" ht="13.5">
      <c r="A840" s="80"/>
    </row>
    <row r="841" spans="1:1" ht="13.5">
      <c r="A841" s="80"/>
    </row>
    <row r="842" spans="1:1" ht="13.5">
      <c r="A842" s="80"/>
    </row>
    <row r="843" spans="1:1" ht="13.5">
      <c r="A843" s="80"/>
    </row>
    <row r="844" spans="1:1" ht="13.5">
      <c r="A844" s="80"/>
    </row>
    <row r="845" spans="1:1" ht="13.5">
      <c r="A845" s="80"/>
    </row>
    <row r="846" spans="1:1" ht="13.5">
      <c r="A846" s="80"/>
    </row>
    <row r="847" spans="1:1" ht="13.5">
      <c r="A847" s="80"/>
    </row>
    <row r="848" spans="1:1" ht="13.5">
      <c r="A848" s="80"/>
    </row>
    <row r="849" spans="1:1" ht="13.5">
      <c r="A849" s="80"/>
    </row>
    <row r="850" spans="1:1" ht="13.5">
      <c r="A850" s="80"/>
    </row>
    <row r="851" spans="1:1" ht="13.5">
      <c r="A851" s="80"/>
    </row>
    <row r="852" spans="1:1" ht="13.5">
      <c r="A852" s="80"/>
    </row>
    <row r="853" spans="1:1" ht="13.5">
      <c r="A853" s="80"/>
    </row>
    <row r="854" spans="1:1" ht="13.5">
      <c r="A854" s="80"/>
    </row>
    <row r="855" spans="1:1" ht="13.5">
      <c r="A855" s="80"/>
    </row>
    <row r="856" spans="1:1" ht="13.5">
      <c r="A856" s="80"/>
    </row>
    <row r="857" spans="1:1" ht="13.5">
      <c r="A857" s="80"/>
    </row>
    <row r="858" spans="1:1" ht="13.5">
      <c r="A858" s="80"/>
    </row>
    <row r="859" spans="1:1" ht="13.5">
      <c r="A859" s="80"/>
    </row>
    <row r="860" spans="1:1" ht="13.5">
      <c r="A860" s="80"/>
    </row>
    <row r="861" spans="1:1" ht="13.5">
      <c r="A861" s="80"/>
    </row>
    <row r="862" spans="1:1" ht="13.5">
      <c r="A862" s="80"/>
    </row>
    <row r="863" spans="1:1" ht="13.5">
      <c r="A863" s="80"/>
    </row>
    <row r="864" spans="1:1" ht="13.5">
      <c r="A864" s="80"/>
    </row>
    <row r="865" spans="1:1" ht="13.5">
      <c r="A865" s="80"/>
    </row>
    <row r="866" spans="1:1" ht="13.5">
      <c r="A866" s="80"/>
    </row>
    <row r="867" spans="1:1" ht="13.5">
      <c r="A867" s="80"/>
    </row>
    <row r="868" spans="1:1" ht="13.5">
      <c r="A868" s="80"/>
    </row>
    <row r="869" spans="1:1" ht="13.5">
      <c r="A869" s="80"/>
    </row>
    <row r="870" spans="1:1" ht="13.5">
      <c r="A870" s="80"/>
    </row>
    <row r="871" spans="1:1" ht="13.5">
      <c r="A871" s="80"/>
    </row>
    <row r="872" spans="1:1" ht="13.5">
      <c r="A872" s="80"/>
    </row>
    <row r="873" spans="1:1" ht="13.5">
      <c r="A873" s="80"/>
    </row>
    <row r="874" spans="1:1" ht="13.5">
      <c r="A874" s="80"/>
    </row>
    <row r="875" spans="1:1" ht="13.5">
      <c r="A875" s="80"/>
    </row>
    <row r="876" spans="1:1" ht="13.5">
      <c r="A876" s="80"/>
    </row>
    <row r="877" spans="1:1" ht="13.5">
      <c r="A877" s="80"/>
    </row>
    <row r="878" spans="1:1" ht="13.5">
      <c r="A878" s="80"/>
    </row>
    <row r="879" spans="1:1" ht="13.5">
      <c r="A879" s="80"/>
    </row>
    <row r="880" spans="1:1" ht="13.5">
      <c r="A880" s="80"/>
    </row>
    <row r="881" spans="1:1" ht="13.5">
      <c r="A881" s="80"/>
    </row>
    <row r="882" spans="1:1" ht="13.5">
      <c r="A882" s="80"/>
    </row>
    <row r="883" spans="1:1" ht="13.5">
      <c r="A883" s="80"/>
    </row>
    <row r="884" spans="1:1" ht="13.5">
      <c r="A884" s="80"/>
    </row>
    <row r="885" spans="1:1" ht="13.5">
      <c r="A885" s="80"/>
    </row>
    <row r="886" spans="1:1" ht="13.5">
      <c r="A886" s="80"/>
    </row>
    <row r="887" spans="1:1" ht="13.5">
      <c r="A887" s="80"/>
    </row>
    <row r="888" spans="1:1" ht="13.5">
      <c r="A888" s="80"/>
    </row>
    <row r="889" spans="1:1" ht="13.5">
      <c r="A889" s="80"/>
    </row>
    <row r="890" spans="1:1" ht="13.5">
      <c r="A890" s="80"/>
    </row>
    <row r="891" spans="1:1" ht="13.5">
      <c r="A891" s="80"/>
    </row>
    <row r="892" spans="1:1" ht="13.5">
      <c r="A892" s="80"/>
    </row>
    <row r="893" spans="1:1" ht="13.5">
      <c r="A893" s="80"/>
    </row>
    <row r="894" spans="1:1" ht="13.5">
      <c r="A894" s="80"/>
    </row>
    <row r="895" spans="1:1" ht="13.5">
      <c r="A895" s="80"/>
    </row>
    <row r="896" spans="1:1" ht="13.5">
      <c r="A896" s="80"/>
    </row>
    <row r="897" spans="1:1" ht="13.5">
      <c r="A897" s="80"/>
    </row>
    <row r="898" spans="1:1" ht="13.5">
      <c r="A898" s="80"/>
    </row>
    <row r="899" spans="1:1" ht="13.5">
      <c r="A899" s="80"/>
    </row>
    <row r="900" spans="1:1" ht="13.5">
      <c r="A900" s="80"/>
    </row>
    <row r="901" spans="1:1" ht="13.5">
      <c r="A901" s="80"/>
    </row>
    <row r="902" spans="1:1" ht="13.5">
      <c r="A902" s="80"/>
    </row>
    <row r="903" spans="1:1" ht="13.5">
      <c r="A903" s="80"/>
    </row>
    <row r="904" spans="1:1" ht="13.5">
      <c r="A904" s="80"/>
    </row>
    <row r="905" spans="1:1" ht="13.5">
      <c r="A905" s="80"/>
    </row>
    <row r="906" spans="1:1" ht="13.5">
      <c r="A906" s="80"/>
    </row>
    <row r="907" spans="1:1" ht="13.5">
      <c r="A907" s="80"/>
    </row>
    <row r="908" spans="1:1" ht="13.5">
      <c r="A908" s="80"/>
    </row>
    <row r="909" spans="1:1" ht="13.5">
      <c r="A909" s="80"/>
    </row>
    <row r="910" spans="1:1" ht="13.5">
      <c r="A910" s="80"/>
    </row>
    <row r="911" spans="1:1" ht="13.5">
      <c r="A911" s="80"/>
    </row>
    <row r="912" spans="1:1" ht="13.5">
      <c r="A912" s="80"/>
    </row>
    <row r="913" spans="1:1" ht="13.5">
      <c r="A913" s="80"/>
    </row>
    <row r="914" spans="1:1" ht="13.5">
      <c r="A914" s="80"/>
    </row>
    <row r="915" spans="1:1" ht="13.5">
      <c r="A915" s="80"/>
    </row>
    <row r="916" spans="1:1" ht="13.5">
      <c r="A916" s="80"/>
    </row>
    <row r="917" spans="1:1" ht="13.5">
      <c r="A917" s="80"/>
    </row>
    <row r="918" spans="1:1" ht="13.5">
      <c r="A918" s="80"/>
    </row>
    <row r="919" spans="1:1" ht="13.5">
      <c r="A919" s="80"/>
    </row>
    <row r="920" spans="1:1" ht="13.5">
      <c r="A920" s="80"/>
    </row>
    <row r="921" spans="1:1" ht="13.5">
      <c r="A921" s="80"/>
    </row>
    <row r="922" spans="1:1" ht="13.5">
      <c r="A922" s="80"/>
    </row>
    <row r="923" spans="1:1" ht="13.5">
      <c r="A923" s="80"/>
    </row>
    <row r="924" spans="1:1" ht="13.5">
      <c r="A924" s="80"/>
    </row>
    <row r="925" spans="1:1" ht="13.5">
      <c r="A925" s="80"/>
    </row>
    <row r="926" spans="1:1" ht="13.5">
      <c r="A926" s="80"/>
    </row>
    <row r="927" spans="1:1" ht="13.5">
      <c r="A927" s="80"/>
    </row>
    <row r="928" spans="1:1" ht="13.5">
      <c r="A928" s="80"/>
    </row>
    <row r="929" spans="1:1" ht="13.5">
      <c r="A929" s="80"/>
    </row>
    <row r="930" spans="1:1" ht="13.5">
      <c r="A930" s="80"/>
    </row>
    <row r="931" spans="1:1" ht="13.5">
      <c r="A931" s="80"/>
    </row>
    <row r="932" spans="1:1" ht="13.5">
      <c r="A932" s="80"/>
    </row>
    <row r="933" spans="1:1" ht="13.5">
      <c r="A933" s="80"/>
    </row>
    <row r="934" spans="1:1" ht="13.5">
      <c r="A934" s="80"/>
    </row>
    <row r="935" spans="1:1" ht="13.5">
      <c r="A935" s="80"/>
    </row>
    <row r="936" spans="1:1" ht="13.5">
      <c r="A936" s="80"/>
    </row>
    <row r="937" spans="1:1" ht="13.5">
      <c r="A937" s="80"/>
    </row>
    <row r="938" spans="1:1" ht="13.5">
      <c r="A938" s="80"/>
    </row>
    <row r="939" spans="1:1" ht="13.5">
      <c r="A939" s="80"/>
    </row>
    <row r="940" spans="1:1" ht="13.5">
      <c r="A940" s="80"/>
    </row>
    <row r="941" spans="1:1" ht="13.5">
      <c r="A941" s="80"/>
    </row>
    <row r="942" spans="1:1" ht="13.5">
      <c r="A942" s="80"/>
    </row>
    <row r="943" spans="1:1" ht="13.5">
      <c r="A943" s="80"/>
    </row>
    <row r="944" spans="1:1" ht="13.5">
      <c r="A944" s="80"/>
    </row>
    <row r="945" spans="1:1" ht="13.5">
      <c r="A945" s="80"/>
    </row>
    <row r="946" spans="1:1" ht="13.5">
      <c r="A946" s="80"/>
    </row>
    <row r="947" spans="1:1" ht="13.5">
      <c r="A947" s="80"/>
    </row>
    <row r="948" spans="1:1" ht="13.5">
      <c r="A948" s="80"/>
    </row>
    <row r="949" spans="1:1" ht="13.5">
      <c r="A949" s="80"/>
    </row>
    <row r="950" spans="1:1" ht="13.5">
      <c r="A950" s="80"/>
    </row>
    <row r="951" spans="1:1" ht="13.5">
      <c r="A951" s="80"/>
    </row>
    <row r="952" spans="1:1" ht="13.5">
      <c r="A952" s="80"/>
    </row>
    <row r="953" spans="1:1" ht="13.5">
      <c r="A953" s="80"/>
    </row>
    <row r="954" spans="1:1" ht="13.5">
      <c r="A954" s="80"/>
    </row>
    <row r="955" spans="1:1" ht="13.5">
      <c r="A955" s="80"/>
    </row>
    <row r="956" spans="1:1" ht="13.5">
      <c r="A956" s="80"/>
    </row>
    <row r="957" spans="1:1" ht="13.5">
      <c r="A957" s="80"/>
    </row>
    <row r="958" spans="1:1" ht="13.5">
      <c r="A958" s="80"/>
    </row>
    <row r="959" spans="1:1" ht="13.5">
      <c r="A959" s="80"/>
    </row>
    <row r="960" spans="1:1" ht="13.5">
      <c r="A960" s="80"/>
    </row>
    <row r="961" spans="1:1" ht="13.5">
      <c r="A961" s="80"/>
    </row>
    <row r="962" spans="1:1" ht="13.5">
      <c r="A962" s="80"/>
    </row>
    <row r="963" spans="1:1" ht="13.5">
      <c r="A963" s="80"/>
    </row>
    <row r="964" spans="1:1" ht="13.5">
      <c r="A964" s="80"/>
    </row>
    <row r="965" spans="1:1" ht="13.5">
      <c r="A965" s="80"/>
    </row>
    <row r="966" spans="1:1" ht="13.5">
      <c r="A966" s="80"/>
    </row>
    <row r="967" spans="1:1" ht="13.5">
      <c r="A967" s="80"/>
    </row>
    <row r="968" spans="1:1" ht="13.5">
      <c r="A968" s="80"/>
    </row>
    <row r="969" spans="1:1" ht="13.5">
      <c r="A969" s="80"/>
    </row>
    <row r="970" spans="1:1" ht="13.5">
      <c r="A970" s="80"/>
    </row>
    <row r="971" spans="1:1" ht="13.5">
      <c r="A971" s="80"/>
    </row>
    <row r="972" spans="1:1" ht="13.5">
      <c r="A972" s="80"/>
    </row>
    <row r="973" spans="1:1" ht="13.5">
      <c r="A973" s="80"/>
    </row>
    <row r="974" spans="1:1" ht="13.5">
      <c r="A974" s="80"/>
    </row>
    <row r="975" spans="1:1" ht="13.5">
      <c r="A975" s="80"/>
    </row>
    <row r="976" spans="1:1" ht="13.5">
      <c r="A976" s="80"/>
    </row>
    <row r="977" spans="1:1" ht="13.5">
      <c r="A977" s="80"/>
    </row>
    <row r="978" spans="1:1" ht="13.5">
      <c r="A978" s="80"/>
    </row>
    <row r="979" spans="1:1" ht="13.5">
      <c r="A979" s="80"/>
    </row>
    <row r="980" spans="1:1" ht="13.5">
      <c r="A980" s="80"/>
    </row>
    <row r="981" spans="1:1" ht="13.5">
      <c r="A981" s="80"/>
    </row>
    <row r="982" spans="1:1" ht="13.5">
      <c r="A982" s="80"/>
    </row>
    <row r="983" spans="1:1" ht="13.5">
      <c r="A983" s="80"/>
    </row>
    <row r="984" spans="1:1" ht="13.5">
      <c r="A984" s="80"/>
    </row>
    <row r="985" spans="1:1" ht="13.5">
      <c r="A985" s="80"/>
    </row>
    <row r="986" spans="1:1" ht="13.5">
      <c r="A986" s="80"/>
    </row>
    <row r="987" spans="1:1" ht="13.5">
      <c r="A987" s="80"/>
    </row>
    <row r="988" spans="1:1" ht="13.5">
      <c r="A988" s="80"/>
    </row>
    <row r="989" spans="1:1" ht="13.5">
      <c r="A989" s="80"/>
    </row>
    <row r="990" spans="1:1" ht="13.5">
      <c r="A990" s="80"/>
    </row>
    <row r="991" spans="1:1" ht="13.5">
      <c r="A991" s="80"/>
    </row>
    <row r="992" spans="1:1" ht="13.5">
      <c r="A992" s="80"/>
    </row>
    <row r="993" spans="1:1" ht="13.5">
      <c r="A993" s="80"/>
    </row>
    <row r="994" spans="1:1" ht="13.5">
      <c r="A994" s="80"/>
    </row>
    <row r="995" spans="1:1" ht="13.5">
      <c r="A995" s="80"/>
    </row>
    <row r="996" spans="1:1" ht="13.5">
      <c r="A996" s="80"/>
    </row>
    <row r="997" spans="1:1" ht="13.5">
      <c r="A997" s="80"/>
    </row>
    <row r="998" spans="1:1" ht="13.5">
      <c r="A998" s="80"/>
    </row>
    <row r="999" spans="1:1" ht="13.5">
      <c r="A999" s="80"/>
    </row>
    <row r="1000" spans="1:1" ht="13.5">
      <c r="A1000" s="80"/>
    </row>
  </sheetData>
  <mergeCells count="3">
    <mergeCell ref="A1:L1"/>
    <mergeCell ref="A10:K10"/>
    <mergeCell ref="A18:J18"/>
  </mergeCells>
  <hyperlinks>
    <hyperlink ref="J9" r:id="rId1" xr:uid="{C8B69952-CA76-4EFF-9DD6-A42537F9B1A7}"/>
    <hyperlink ref="L9" r:id="rId2" xr:uid="{0327896C-36D8-41F4-827D-16D1BA6FCBFB}"/>
    <hyperlink ref="J11" r:id="rId3" xr:uid="{A5B1BAAB-FEEB-42CB-9653-D8F5A4821089}"/>
    <hyperlink ref="L11" r:id="rId4" xr:uid="{CE60326E-19BA-4C43-A4CF-2D144DC4AFB2}"/>
    <hyperlink ref="J12" r:id="rId5" xr:uid="{D5B6C5E0-3EF7-4099-9EB6-A63AC39CDFAB}"/>
    <hyperlink ref="L12" r:id="rId6" xr:uid="{F8A682F3-C539-4585-9739-F474F8D25E23}"/>
    <hyperlink ref="J13" r:id="rId7" xr:uid="{0F6F0267-B7E9-4E8F-8354-392CC3ABA714}"/>
    <hyperlink ref="L13" r:id="rId8" xr:uid="{23CD3C9F-F227-459A-BC6D-76EA6FEE117C}"/>
    <hyperlink ref="J14" r:id="rId9" xr:uid="{7CDC1D32-44BF-4BC9-8FBB-E62E3A3DC92D}"/>
    <hyperlink ref="L14" r:id="rId10" xr:uid="{90AC37A7-5E66-4666-BD4C-D01FAA87E092}"/>
    <hyperlink ref="J15" r:id="rId11" xr:uid="{9E33FEC9-2A6D-48F1-9CFD-5E0AEDA56597}"/>
    <hyperlink ref="L15" r:id="rId12" xr:uid="{75A90388-DF66-4891-A550-6BABFA7B4D47}"/>
    <hyperlink ref="J16" r:id="rId13" xr:uid="{0A03FA27-5EEC-45A0-8A95-BDC50363B416}"/>
    <hyperlink ref="L16" r:id="rId14" xr:uid="{87CE4CA4-BC48-4912-BDFC-24E5FF17AF51}"/>
    <hyperlink ref="J17" r:id="rId15" xr:uid="{8C846532-8F34-4883-84C6-DA883C014255}"/>
    <hyperlink ref="L17" r:id="rId16" xr:uid="{02023A1E-59D3-4840-98D0-03DF12E58076}"/>
    <hyperlink ref="J19" r:id="rId17" xr:uid="{3ACC8B27-A792-4D97-B6B6-86B641FADDED}"/>
    <hyperlink ref="L19" r:id="rId18" xr:uid="{0E9BD175-89C4-4D7D-9304-1116C00E6999}"/>
    <hyperlink ref="M19" r:id="rId19" xr:uid="{166BDA35-6E4C-4A27-ABCD-3A1789AB9089}"/>
    <hyperlink ref="J20" r:id="rId20" xr:uid="{E4FA710F-0047-43A8-8BDC-E9BB6B96E690}"/>
    <hyperlink ref="L20" r:id="rId21" xr:uid="{ED52C4B1-25DE-4F72-9F5C-34C793E6AE49}"/>
    <hyperlink ref="J21" r:id="rId22" xr:uid="{844017CE-C116-44B1-9E46-78D397E72BD8}"/>
    <hyperlink ref="L21" r:id="rId23" xr:uid="{17BB97D5-A228-4AC5-9B9D-5E14EB0AF7CE}"/>
    <hyperlink ref="J22" r:id="rId24" xr:uid="{BE4B79AA-658B-4ED4-A44D-8741F4926DBC}"/>
    <hyperlink ref="L22" r:id="rId25" xr:uid="{D7DDB899-C7F7-46A7-9B64-79CBF8DEF252}"/>
    <hyperlink ref="J23" r:id="rId26" xr:uid="{9DB70F9A-3278-44E6-B242-C61C9B3202F6}"/>
    <hyperlink ref="L23" r:id="rId27" xr:uid="{CE5CDCEF-5634-41D5-A2A9-6581B1663058}"/>
    <hyperlink ref="L24" r:id="rId28" xr:uid="{7BF75D5F-4A5A-4168-8F65-6C196FA24B72}"/>
    <hyperlink ref="L25" r:id="rId29" xr:uid="{5E243E2C-8580-4F9A-A97A-CF9DFB149A3A}"/>
  </hyperlinks>
  <pageMargins left="0.7" right="0.7" top="0.75" bottom="0.75" header="0.3" footer="0.3"/>
  <legacyDrawing r:id="rId3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AE62-033C-446C-ADBB-423F75430958}">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cols>
    <col min="1" max="1" width="29.86328125" style="34" customWidth="1"/>
    <col min="2" max="3" width="35.26953125" style="31" customWidth="1"/>
    <col min="4" max="4" width="44" style="31" customWidth="1"/>
    <col min="5" max="5" width="16.7265625" style="31" customWidth="1"/>
    <col min="6" max="6" width="20.26953125" style="31" customWidth="1"/>
    <col min="7" max="7" width="17.7265625" style="32" customWidth="1"/>
    <col min="8" max="8" width="9.1328125" style="32"/>
    <col min="9" max="17" width="9.1328125" style="33"/>
    <col min="18" max="18" width="31.54296875" style="33" customWidth="1"/>
    <col min="19" max="19" width="16" style="33" customWidth="1"/>
    <col min="20" max="16384" width="9.1328125" style="33"/>
  </cols>
  <sheetData>
    <row r="1" spans="1:9">
      <c r="A1" s="127" t="s">
        <v>24</v>
      </c>
      <c r="B1" s="127"/>
      <c r="C1" s="127"/>
      <c r="D1" s="127"/>
      <c r="E1" s="127"/>
    </row>
    <row r="2" spans="1:9" ht="28">
      <c r="A2" s="34" t="s">
        <v>25</v>
      </c>
      <c r="B2" s="34" t="s">
        <v>26</v>
      </c>
      <c r="C2" s="34" t="s">
        <v>27</v>
      </c>
      <c r="D2" s="34" t="s">
        <v>28</v>
      </c>
      <c r="E2" s="34" t="s">
        <v>29</v>
      </c>
      <c r="F2" s="34" t="s">
        <v>30</v>
      </c>
      <c r="G2" s="34" t="s">
        <v>31</v>
      </c>
      <c r="H2" s="34" t="s">
        <v>32</v>
      </c>
      <c r="I2" s="35"/>
    </row>
    <row r="3" spans="1:9" ht="56">
      <c r="A3" s="34" t="s">
        <v>33</v>
      </c>
      <c r="B3" s="31" t="s">
        <v>34</v>
      </c>
      <c r="C3" s="31" t="s">
        <v>35</v>
      </c>
      <c r="E3" s="31" t="s">
        <v>36</v>
      </c>
      <c r="F3" s="31" t="s">
        <v>37</v>
      </c>
      <c r="G3" s="31" t="s">
        <v>38</v>
      </c>
      <c r="H3" s="32" t="s">
        <v>38</v>
      </c>
    </row>
    <row r="4" spans="1:9" ht="28">
      <c r="A4" s="34" t="s">
        <v>39</v>
      </c>
      <c r="B4" s="31" t="s">
        <v>40</v>
      </c>
      <c r="C4" s="31" t="s">
        <v>41</v>
      </c>
      <c r="E4" s="31" t="s">
        <v>42</v>
      </c>
    </row>
    <row r="5" spans="1:9" ht="70">
      <c r="A5" s="34" t="s">
        <v>43</v>
      </c>
      <c r="B5" s="31" t="s">
        <v>44</v>
      </c>
      <c r="C5" s="31" t="s">
        <v>45</v>
      </c>
      <c r="D5" s="31" t="s">
        <v>46</v>
      </c>
      <c r="E5" s="31" t="s">
        <v>47</v>
      </c>
      <c r="F5" s="31" t="s">
        <v>48</v>
      </c>
      <c r="G5" s="32" t="s">
        <v>49</v>
      </c>
      <c r="H5" s="32" t="s">
        <v>38</v>
      </c>
    </row>
    <row r="6" spans="1:9" ht="42">
      <c r="A6" s="34" t="s">
        <v>50</v>
      </c>
      <c r="B6" s="31" t="s">
        <v>51</v>
      </c>
      <c r="C6" s="31" t="s">
        <v>52</v>
      </c>
      <c r="E6" s="31" t="s">
        <v>47</v>
      </c>
      <c r="F6" s="31" t="s">
        <v>48</v>
      </c>
    </row>
    <row r="7" spans="1:9" ht="98">
      <c r="A7" s="34" t="s">
        <v>53</v>
      </c>
      <c r="B7" s="31" t="s">
        <v>54</v>
      </c>
      <c r="C7" s="31" t="s">
        <v>55</v>
      </c>
      <c r="D7" s="31" t="s">
        <v>56</v>
      </c>
      <c r="E7" s="36" t="s">
        <v>57</v>
      </c>
      <c r="F7" s="31" t="s">
        <v>58</v>
      </c>
      <c r="G7" s="31" t="s">
        <v>38</v>
      </c>
      <c r="H7" s="32" t="s">
        <v>38</v>
      </c>
    </row>
    <row r="8" spans="1:9" ht="70">
      <c r="A8" s="34" t="s">
        <v>59</v>
      </c>
      <c r="B8" s="31" t="s">
        <v>60</v>
      </c>
      <c r="C8" s="31" t="s">
        <v>61</v>
      </c>
      <c r="D8" s="31" t="s">
        <v>62</v>
      </c>
      <c r="E8" s="37" t="s">
        <v>63</v>
      </c>
      <c r="F8" s="31" t="s">
        <v>64</v>
      </c>
      <c r="G8" s="32" t="s">
        <v>38</v>
      </c>
      <c r="H8" s="32" t="s">
        <v>38</v>
      </c>
    </row>
    <row r="9" spans="1:9" ht="44.25">
      <c r="A9" s="34" t="s">
        <v>65</v>
      </c>
      <c r="B9" s="31" t="s">
        <v>66</v>
      </c>
      <c r="C9" s="31" t="s">
        <v>67</v>
      </c>
      <c r="E9" s="31" t="s">
        <v>68</v>
      </c>
      <c r="F9" s="31" t="s">
        <v>69</v>
      </c>
      <c r="G9" s="32" t="s">
        <v>70</v>
      </c>
      <c r="H9" s="32" t="s">
        <v>38</v>
      </c>
    </row>
    <row r="10" spans="1:9" ht="59">
      <c r="A10" s="34" t="s">
        <v>71</v>
      </c>
      <c r="B10" s="31" t="s">
        <v>72</v>
      </c>
      <c r="C10" s="31" t="s">
        <v>73</v>
      </c>
      <c r="E10" s="31" t="s">
        <v>74</v>
      </c>
      <c r="F10" s="31" t="s">
        <v>75</v>
      </c>
      <c r="G10" s="32" t="s">
        <v>76</v>
      </c>
      <c r="H10" s="32" t="s">
        <v>38</v>
      </c>
    </row>
    <row r="11" spans="1:9" ht="59">
      <c r="A11" s="34" t="s">
        <v>77</v>
      </c>
      <c r="B11" s="31" t="s">
        <v>78</v>
      </c>
      <c r="C11" s="31" t="s">
        <v>79</v>
      </c>
      <c r="E11" s="38" t="s">
        <v>57</v>
      </c>
      <c r="F11" s="31" t="s">
        <v>75</v>
      </c>
      <c r="G11" s="32" t="s">
        <v>76</v>
      </c>
      <c r="H11" s="32" t="s">
        <v>38</v>
      </c>
    </row>
    <row r="12" spans="1:9" ht="59">
      <c r="A12" s="34" t="s">
        <v>80</v>
      </c>
      <c r="B12" s="31" t="s">
        <v>81</v>
      </c>
      <c r="C12" s="31" t="s">
        <v>82</v>
      </c>
      <c r="E12" s="31" t="s">
        <v>83</v>
      </c>
      <c r="F12" s="31" t="s">
        <v>75</v>
      </c>
      <c r="G12" s="32" t="s">
        <v>76</v>
      </c>
      <c r="H12" s="32" t="s">
        <v>38</v>
      </c>
    </row>
    <row r="13" spans="1:9" ht="59">
      <c r="A13" s="34" t="s">
        <v>84</v>
      </c>
      <c r="B13" s="31" t="s">
        <v>81</v>
      </c>
      <c r="C13" s="31" t="s">
        <v>85</v>
      </c>
      <c r="E13" s="31" t="s">
        <v>83</v>
      </c>
      <c r="F13" s="31" t="s">
        <v>75</v>
      </c>
      <c r="G13" s="32" t="s">
        <v>76</v>
      </c>
      <c r="H13" s="32" t="s">
        <v>38</v>
      </c>
    </row>
    <row r="14" spans="1:9" ht="84">
      <c r="A14" s="34" t="s">
        <v>86</v>
      </c>
      <c r="B14" s="31" t="s">
        <v>87</v>
      </c>
      <c r="C14" s="31" t="s">
        <v>88</v>
      </c>
      <c r="D14" s="31" t="s">
        <v>89</v>
      </c>
      <c r="F14" s="31" t="s">
        <v>75</v>
      </c>
      <c r="G14" s="32" t="s">
        <v>76</v>
      </c>
      <c r="H14" s="32" t="s">
        <v>38</v>
      </c>
    </row>
    <row r="15" spans="1:9" ht="94.9" customHeight="1">
      <c r="A15" s="34" t="s">
        <v>90</v>
      </c>
      <c r="B15" s="31" t="s">
        <v>91</v>
      </c>
      <c r="C15" s="31" t="s">
        <v>92</v>
      </c>
      <c r="D15" s="31" t="s">
        <v>89</v>
      </c>
      <c r="E15" s="31" t="s">
        <v>83</v>
      </c>
    </row>
    <row r="16" spans="1:9" ht="59">
      <c r="A16" s="34" t="s">
        <v>93</v>
      </c>
      <c r="B16" s="31" t="s">
        <v>94</v>
      </c>
      <c r="C16" s="31" t="s">
        <v>95</v>
      </c>
      <c r="E16" s="31" t="s">
        <v>96</v>
      </c>
      <c r="F16" s="31" t="s">
        <v>75</v>
      </c>
      <c r="G16" s="32" t="s">
        <v>76</v>
      </c>
      <c r="H16" s="32" t="s">
        <v>38</v>
      </c>
    </row>
    <row r="17" spans="1:9" ht="140">
      <c r="A17" s="34" t="s">
        <v>97</v>
      </c>
      <c r="B17" s="31" t="s">
        <v>98</v>
      </c>
      <c r="C17" s="31" t="s">
        <v>99</v>
      </c>
      <c r="D17" s="31" t="s">
        <v>100</v>
      </c>
      <c r="E17" s="31" t="s">
        <v>101</v>
      </c>
      <c r="F17" s="31" t="s">
        <v>64</v>
      </c>
      <c r="G17" s="32" t="s">
        <v>38</v>
      </c>
      <c r="H17" s="32" t="s">
        <v>38</v>
      </c>
    </row>
    <row r="18" spans="1:9">
      <c r="A18" s="34" t="s">
        <v>102</v>
      </c>
      <c r="B18" s="31" t="s">
        <v>1</v>
      </c>
    </row>
    <row r="19" spans="1:9" ht="42">
      <c r="A19" s="34" t="s">
        <v>103</v>
      </c>
      <c r="B19" s="31" t="s">
        <v>104</v>
      </c>
      <c r="C19" s="31" t="s">
        <v>105</v>
      </c>
      <c r="E19" s="31" t="s">
        <v>83</v>
      </c>
      <c r="F19" s="31" t="s">
        <v>106</v>
      </c>
      <c r="G19" s="31" t="s">
        <v>49</v>
      </c>
      <c r="H19" s="32" t="s">
        <v>38</v>
      </c>
    </row>
    <row r="20" spans="1:9" ht="42">
      <c r="A20" s="34" t="s">
        <v>107</v>
      </c>
      <c r="B20" s="31" t="s">
        <v>108</v>
      </c>
      <c r="C20" s="31" t="s">
        <v>109</v>
      </c>
      <c r="E20" s="31" t="s">
        <v>83</v>
      </c>
      <c r="F20" s="31" t="s">
        <v>106</v>
      </c>
      <c r="G20" s="31" t="s">
        <v>49</v>
      </c>
      <c r="H20" s="32" t="s">
        <v>38</v>
      </c>
    </row>
    <row r="21" spans="1:9" s="41" customFormat="1" ht="70">
      <c r="A21" s="39" t="s">
        <v>110</v>
      </c>
      <c r="B21" s="40" t="s">
        <v>111</v>
      </c>
      <c r="C21" s="31" t="s">
        <v>112</v>
      </c>
      <c r="D21" s="31"/>
      <c r="E21" s="40"/>
      <c r="F21" s="31" t="s">
        <v>106</v>
      </c>
      <c r="G21" s="31" t="s">
        <v>49</v>
      </c>
      <c r="H21" s="32" t="s">
        <v>38</v>
      </c>
    </row>
    <row r="22" spans="1:9" s="41" customFormat="1" ht="42">
      <c r="A22" s="39" t="s">
        <v>113</v>
      </c>
      <c r="B22" s="40" t="s">
        <v>81</v>
      </c>
      <c r="C22" s="31" t="s">
        <v>114</v>
      </c>
      <c r="D22" s="31"/>
      <c r="E22" s="40" t="s">
        <v>83</v>
      </c>
      <c r="F22" s="40"/>
      <c r="G22" s="42"/>
      <c r="H22" s="42"/>
    </row>
    <row r="23" spans="1:9" ht="126">
      <c r="A23" s="34" t="s">
        <v>115</v>
      </c>
      <c r="B23" s="31" t="s">
        <v>116</v>
      </c>
      <c r="C23" s="31" t="s">
        <v>117</v>
      </c>
      <c r="D23" s="31" t="s">
        <v>118</v>
      </c>
      <c r="E23" s="36" t="s">
        <v>57</v>
      </c>
      <c r="F23" s="31" t="s">
        <v>119</v>
      </c>
      <c r="G23" s="31" t="s">
        <v>49</v>
      </c>
      <c r="H23" s="32" t="s">
        <v>38</v>
      </c>
    </row>
    <row r="24" spans="1:9" ht="41.45" customHeight="1">
      <c r="A24" s="34" t="s">
        <v>120</v>
      </c>
      <c r="B24" s="31" t="s">
        <v>40</v>
      </c>
      <c r="C24" s="128" t="s">
        <v>121</v>
      </c>
      <c r="E24" s="31" t="s">
        <v>42</v>
      </c>
      <c r="F24" s="31" t="s">
        <v>119</v>
      </c>
      <c r="G24" s="31" t="s">
        <v>49</v>
      </c>
      <c r="H24" s="32" t="s">
        <v>38</v>
      </c>
    </row>
    <row r="25" spans="1:9" ht="42">
      <c r="A25" s="34" t="s">
        <v>122</v>
      </c>
      <c r="B25" s="31" t="s">
        <v>40</v>
      </c>
      <c r="C25" s="128"/>
      <c r="E25" s="31" t="s">
        <v>42</v>
      </c>
      <c r="F25" s="31" t="s">
        <v>119</v>
      </c>
      <c r="G25" s="31" t="s">
        <v>49</v>
      </c>
      <c r="H25" s="32" t="s">
        <v>38</v>
      </c>
      <c r="I25" s="43"/>
    </row>
    <row r="26" spans="1:9" ht="42">
      <c r="A26" s="34" t="s">
        <v>123</v>
      </c>
      <c r="B26" s="31" t="s">
        <v>40</v>
      </c>
      <c r="C26" s="128"/>
      <c r="E26" s="31" t="s">
        <v>42</v>
      </c>
      <c r="F26" s="31" t="s">
        <v>119</v>
      </c>
      <c r="G26" s="31" t="s">
        <v>49</v>
      </c>
      <c r="H26" s="32" t="s">
        <v>38</v>
      </c>
    </row>
    <row r="27" spans="1:9" ht="42">
      <c r="A27" s="34" t="s">
        <v>124</v>
      </c>
      <c r="B27" s="31" t="s">
        <v>40</v>
      </c>
      <c r="C27" s="128"/>
      <c r="E27" s="31" t="s">
        <v>42</v>
      </c>
      <c r="F27" s="31" t="s">
        <v>119</v>
      </c>
      <c r="G27" s="31" t="s">
        <v>49</v>
      </c>
      <c r="H27" s="32" t="s">
        <v>38</v>
      </c>
    </row>
    <row r="28" spans="1:9" ht="42">
      <c r="A28" s="34" t="s">
        <v>125</v>
      </c>
      <c r="B28" s="31" t="s">
        <v>40</v>
      </c>
      <c r="C28" s="128"/>
      <c r="E28" s="31" t="s">
        <v>42</v>
      </c>
      <c r="F28" s="31" t="s">
        <v>119</v>
      </c>
      <c r="G28" s="31" t="s">
        <v>49</v>
      </c>
      <c r="H28" s="32" t="s">
        <v>38</v>
      </c>
    </row>
    <row r="29" spans="1:9" ht="42">
      <c r="A29" s="34" t="s">
        <v>126</v>
      </c>
      <c r="B29" s="31" t="s">
        <v>40</v>
      </c>
      <c r="C29" s="128"/>
      <c r="E29" s="31" t="s">
        <v>42</v>
      </c>
      <c r="F29" s="31" t="s">
        <v>119</v>
      </c>
      <c r="G29" s="31" t="s">
        <v>49</v>
      </c>
      <c r="H29" s="32" t="s">
        <v>38</v>
      </c>
    </row>
    <row r="30" spans="1:9" ht="42">
      <c r="A30" s="34" t="s">
        <v>127</v>
      </c>
      <c r="B30" s="31" t="s">
        <v>40</v>
      </c>
      <c r="C30" s="128"/>
      <c r="E30" s="31" t="s">
        <v>42</v>
      </c>
      <c r="F30" s="31" t="s">
        <v>119</v>
      </c>
      <c r="G30" s="31" t="s">
        <v>49</v>
      </c>
      <c r="H30" s="32" t="s">
        <v>38</v>
      </c>
    </row>
    <row r="31" spans="1:9" ht="42">
      <c r="A31" s="34" t="s">
        <v>128</v>
      </c>
      <c r="B31" s="31" t="s">
        <v>40</v>
      </c>
      <c r="C31" s="128"/>
      <c r="E31" s="31" t="s">
        <v>42</v>
      </c>
      <c r="F31" s="31" t="s">
        <v>119</v>
      </c>
      <c r="G31" s="31" t="s">
        <v>49</v>
      </c>
      <c r="H31" s="32" t="s">
        <v>38</v>
      </c>
    </row>
    <row r="32" spans="1:9" ht="42">
      <c r="A32" s="34" t="s">
        <v>129</v>
      </c>
      <c r="B32" s="31" t="s">
        <v>40</v>
      </c>
      <c r="C32" s="128"/>
      <c r="E32" s="31" t="s">
        <v>42</v>
      </c>
      <c r="F32" s="31" t="s">
        <v>119</v>
      </c>
      <c r="G32" s="31" t="s">
        <v>49</v>
      </c>
      <c r="H32" s="32" t="s">
        <v>38</v>
      </c>
    </row>
    <row r="33" spans="1:9" ht="42">
      <c r="A33" s="34" t="s">
        <v>130</v>
      </c>
      <c r="B33" s="31" t="s">
        <v>40</v>
      </c>
      <c r="C33" s="128"/>
      <c r="E33" s="31" t="s">
        <v>42</v>
      </c>
      <c r="F33" s="31" t="s">
        <v>119</v>
      </c>
      <c r="G33" s="31" t="s">
        <v>49</v>
      </c>
      <c r="H33" s="32" t="s">
        <v>38</v>
      </c>
    </row>
    <row r="34" spans="1:9" ht="42">
      <c r="A34" s="34" t="s">
        <v>131</v>
      </c>
      <c r="B34" s="31" t="s">
        <v>40</v>
      </c>
      <c r="C34" s="128"/>
      <c r="E34" s="31" t="s">
        <v>42</v>
      </c>
      <c r="F34" s="31" t="s">
        <v>119</v>
      </c>
      <c r="G34" s="31" t="s">
        <v>49</v>
      </c>
      <c r="H34" s="32" t="s">
        <v>38</v>
      </c>
    </row>
    <row r="35" spans="1:9" ht="42">
      <c r="A35" s="34" t="s">
        <v>132</v>
      </c>
      <c r="B35" s="31" t="s">
        <v>40</v>
      </c>
      <c r="C35" s="128"/>
      <c r="E35" s="31" t="s">
        <v>42</v>
      </c>
      <c r="F35" s="31" t="s">
        <v>119</v>
      </c>
      <c r="G35" s="31" t="s">
        <v>49</v>
      </c>
      <c r="H35" s="32" t="s">
        <v>38</v>
      </c>
    </row>
    <row r="36" spans="1:9" ht="42">
      <c r="A36" s="34" t="s">
        <v>133</v>
      </c>
      <c r="B36" s="31" t="s">
        <v>40</v>
      </c>
      <c r="C36" s="128"/>
      <c r="E36" s="31" t="s">
        <v>42</v>
      </c>
      <c r="F36" s="31" t="s">
        <v>119</v>
      </c>
      <c r="G36" s="31" t="s">
        <v>49</v>
      </c>
      <c r="H36" s="32" t="s">
        <v>38</v>
      </c>
    </row>
    <row r="37" spans="1:9" ht="42">
      <c r="A37" s="34" t="s">
        <v>134</v>
      </c>
      <c r="B37" s="31" t="s">
        <v>40</v>
      </c>
      <c r="C37" s="128"/>
      <c r="E37" s="31" t="s">
        <v>42</v>
      </c>
      <c r="F37" s="31" t="s">
        <v>119</v>
      </c>
      <c r="G37" s="31" t="s">
        <v>49</v>
      </c>
      <c r="H37" s="32" t="s">
        <v>38</v>
      </c>
    </row>
    <row r="38" spans="1:9" ht="42">
      <c r="A38" s="34" t="s">
        <v>135</v>
      </c>
      <c r="B38" s="31" t="s">
        <v>40</v>
      </c>
      <c r="C38" s="128"/>
      <c r="E38" s="31" t="s">
        <v>42</v>
      </c>
      <c r="F38" s="31" t="s">
        <v>119</v>
      </c>
      <c r="G38" s="31" t="s">
        <v>49</v>
      </c>
      <c r="H38" s="32" t="s">
        <v>38</v>
      </c>
    </row>
    <row r="39" spans="1:9" ht="42">
      <c r="A39" s="34" t="s">
        <v>136</v>
      </c>
      <c r="B39" s="31" t="s">
        <v>40</v>
      </c>
      <c r="C39" s="128"/>
      <c r="E39" s="31" t="s">
        <v>42</v>
      </c>
      <c r="F39" s="31" t="s">
        <v>119</v>
      </c>
      <c r="G39" s="31" t="s">
        <v>49</v>
      </c>
      <c r="H39" s="32" t="s">
        <v>38</v>
      </c>
    </row>
    <row r="40" spans="1:9" ht="42">
      <c r="A40" s="34" t="s">
        <v>137</v>
      </c>
      <c r="B40" s="31" t="s">
        <v>40</v>
      </c>
      <c r="C40" s="128"/>
      <c r="E40" s="31" t="s">
        <v>42</v>
      </c>
      <c r="F40" s="31" t="s">
        <v>119</v>
      </c>
      <c r="G40" s="31" t="s">
        <v>49</v>
      </c>
      <c r="H40" s="32" t="s">
        <v>38</v>
      </c>
    </row>
    <row r="41" spans="1:9" ht="42">
      <c r="A41" s="34" t="s">
        <v>138</v>
      </c>
      <c r="B41" s="31" t="s">
        <v>40</v>
      </c>
      <c r="C41" s="128"/>
      <c r="E41" s="31" t="s">
        <v>42</v>
      </c>
      <c r="F41" s="31" t="s">
        <v>119</v>
      </c>
      <c r="G41" s="31" t="s">
        <v>49</v>
      </c>
      <c r="H41" s="32" t="s">
        <v>38</v>
      </c>
    </row>
    <row r="42" spans="1:9" ht="42">
      <c r="A42" s="34" t="s">
        <v>139</v>
      </c>
      <c r="B42" s="31" t="s">
        <v>40</v>
      </c>
      <c r="C42" s="128"/>
      <c r="E42" s="31" t="s">
        <v>42</v>
      </c>
      <c r="F42" s="31" t="s">
        <v>119</v>
      </c>
      <c r="G42" s="31" t="s">
        <v>49</v>
      </c>
      <c r="H42" s="32" t="s">
        <v>38</v>
      </c>
    </row>
    <row r="43" spans="1:9" ht="210">
      <c r="A43" s="34" t="s">
        <v>140</v>
      </c>
      <c r="B43" s="31" t="s">
        <v>141</v>
      </c>
      <c r="C43" s="31" t="s">
        <v>142</v>
      </c>
      <c r="D43" s="44" t="s">
        <v>143</v>
      </c>
      <c r="F43" s="31" t="s">
        <v>119</v>
      </c>
      <c r="G43" s="31" t="s">
        <v>49</v>
      </c>
      <c r="H43" s="32" t="s">
        <v>38</v>
      </c>
    </row>
    <row r="44" spans="1:9" ht="59">
      <c r="A44" s="39" t="s">
        <v>144</v>
      </c>
      <c r="B44" s="40" t="s">
        <v>145</v>
      </c>
      <c r="D44" s="31" t="s">
        <v>146</v>
      </c>
      <c r="E44" s="31" t="s">
        <v>147</v>
      </c>
      <c r="F44" s="31" t="s">
        <v>75</v>
      </c>
      <c r="G44" s="32" t="s">
        <v>76</v>
      </c>
      <c r="H44" s="32" t="s">
        <v>38</v>
      </c>
      <c r="I44" s="45"/>
    </row>
    <row r="45" spans="1:9" ht="56">
      <c r="A45" s="39" t="s">
        <v>148</v>
      </c>
      <c r="B45" s="40" t="s">
        <v>145</v>
      </c>
      <c r="D45" s="31" t="s">
        <v>149</v>
      </c>
      <c r="E45" s="31" t="s">
        <v>150</v>
      </c>
      <c r="F45" s="31" t="s">
        <v>64</v>
      </c>
      <c r="G45" s="32" t="s">
        <v>38</v>
      </c>
      <c r="H45" s="32" t="s">
        <v>38</v>
      </c>
    </row>
    <row r="46" spans="1:9" ht="28">
      <c r="A46" s="34" t="s">
        <v>151</v>
      </c>
      <c r="B46" s="31" t="s">
        <v>152</v>
      </c>
      <c r="C46" s="31" t="s">
        <v>153</v>
      </c>
      <c r="E46" s="31" t="s">
        <v>42</v>
      </c>
    </row>
    <row r="47" spans="1:9" ht="14">
      <c r="C47" s="40"/>
      <c r="E47" s="36"/>
      <c r="G47" s="31"/>
      <c r="H47" s="31"/>
    </row>
  </sheetData>
  <mergeCells count="2">
    <mergeCell ref="A1:E1"/>
    <mergeCell ref="C24:C42"/>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c r="A1" t="s">
        <v>178</v>
      </c>
      <c r="B1" t="s">
        <v>179</v>
      </c>
      <c r="C1" t="s">
        <v>180</v>
      </c>
      <c r="D1" t="s">
        <v>181</v>
      </c>
      <c r="E1" t="s">
        <v>182</v>
      </c>
      <c r="F1" t="s">
        <v>183</v>
      </c>
      <c r="G1" t="s">
        <v>184</v>
      </c>
      <c r="H1" t="s">
        <v>185</v>
      </c>
      <c r="I1" t="s">
        <v>186</v>
      </c>
      <c r="J1" t="s">
        <v>187</v>
      </c>
      <c r="K1" t="s">
        <v>188</v>
      </c>
      <c r="L1" t="s">
        <v>189</v>
      </c>
      <c r="M1" t="s">
        <v>190</v>
      </c>
    </row>
    <row r="2" spans="1:13">
      <c r="A2" t="s">
        <v>15</v>
      </c>
      <c r="B2" t="s">
        <v>17</v>
      </c>
      <c r="C2" t="s">
        <v>191</v>
      </c>
      <c r="D2" t="s">
        <v>192</v>
      </c>
      <c r="E2" t="s">
        <v>193</v>
      </c>
      <c r="F2" t="s">
        <v>194</v>
      </c>
      <c r="G2" t="s">
        <v>195</v>
      </c>
      <c r="H2" t="s">
        <v>194</v>
      </c>
      <c r="I2" t="s">
        <v>196</v>
      </c>
      <c r="J2" t="s">
        <v>197</v>
      </c>
      <c r="K2" t="s">
        <v>198</v>
      </c>
      <c r="L2" t="s">
        <v>199</v>
      </c>
      <c r="M2" t="s">
        <v>200</v>
      </c>
    </row>
    <row r="3" spans="1:13">
      <c r="A3" t="s">
        <v>15</v>
      </c>
      <c r="B3" t="s">
        <v>201</v>
      </c>
      <c r="C3" t="s">
        <v>202</v>
      </c>
      <c r="D3" t="s">
        <v>201</v>
      </c>
      <c r="E3" t="s">
        <v>203</v>
      </c>
      <c r="F3" t="s">
        <v>204</v>
      </c>
      <c r="G3" t="s">
        <v>195</v>
      </c>
      <c r="H3" t="s">
        <v>194</v>
      </c>
      <c r="I3" t="s">
        <v>196</v>
      </c>
      <c r="J3" t="s">
        <v>203</v>
      </c>
      <c r="K3" t="s">
        <v>205</v>
      </c>
      <c r="L3" t="s">
        <v>206</v>
      </c>
      <c r="M3" t="s">
        <v>194</v>
      </c>
    </row>
    <row r="4" spans="1:13">
      <c r="A4" t="s">
        <v>15</v>
      </c>
      <c r="B4" t="s">
        <v>207</v>
      </c>
      <c r="C4" t="s">
        <v>208</v>
      </c>
      <c r="D4" t="s">
        <v>207</v>
      </c>
      <c r="E4" t="s">
        <v>209</v>
      </c>
      <c r="F4" t="s">
        <v>210</v>
      </c>
      <c r="G4" t="s">
        <v>195</v>
      </c>
      <c r="H4" t="s">
        <v>194</v>
      </c>
      <c r="I4" t="s">
        <v>211</v>
      </c>
      <c r="J4" t="s">
        <v>212</v>
      </c>
      <c r="K4" t="s">
        <v>213</v>
      </c>
      <c r="L4" t="s">
        <v>214</v>
      </c>
      <c r="M4" t="s">
        <v>194</v>
      </c>
    </row>
    <row r="5" spans="1:13">
      <c r="A5" t="s">
        <v>15</v>
      </c>
      <c r="B5" t="s">
        <v>215</v>
      </c>
      <c r="C5" t="s">
        <v>216</v>
      </c>
      <c r="D5" t="s">
        <v>217</v>
      </c>
      <c r="E5" t="s">
        <v>218</v>
      </c>
      <c r="F5" t="s">
        <v>194</v>
      </c>
      <c r="G5" t="s">
        <v>219</v>
      </c>
      <c r="H5" t="s">
        <v>194</v>
      </c>
      <c r="I5" t="s">
        <v>196</v>
      </c>
      <c r="J5" t="s">
        <v>220</v>
      </c>
      <c r="K5" t="s">
        <v>221</v>
      </c>
      <c r="L5" t="s">
        <v>222</v>
      </c>
      <c r="M5" t="s">
        <v>223</v>
      </c>
    </row>
    <row r="6" spans="1:13">
      <c r="A6" t="s">
        <v>15</v>
      </c>
      <c r="B6" t="s">
        <v>224</v>
      </c>
      <c r="C6" t="s">
        <v>225</v>
      </c>
      <c r="D6" t="s">
        <v>226</v>
      </c>
      <c r="E6" t="s">
        <v>227</v>
      </c>
      <c r="F6" t="s">
        <v>194</v>
      </c>
      <c r="G6" t="s">
        <v>219</v>
      </c>
      <c r="H6" t="s">
        <v>194</v>
      </c>
      <c r="I6" t="s">
        <v>211</v>
      </c>
      <c r="J6" t="s">
        <v>228</v>
      </c>
      <c r="K6" t="s">
        <v>229</v>
      </c>
      <c r="L6" t="s">
        <v>230</v>
      </c>
      <c r="M6" t="s">
        <v>223</v>
      </c>
    </row>
    <row r="7" spans="1:13">
      <c r="A7" t="s">
        <v>15</v>
      </c>
      <c r="B7" t="s">
        <v>231</v>
      </c>
      <c r="C7" t="s">
        <v>232</v>
      </c>
      <c r="D7" t="s">
        <v>233</v>
      </c>
      <c r="E7" t="s">
        <v>234</v>
      </c>
      <c r="F7" t="s">
        <v>194</v>
      </c>
      <c r="G7" t="s">
        <v>195</v>
      </c>
      <c r="H7" t="s">
        <v>194</v>
      </c>
      <c r="I7" t="s">
        <v>196</v>
      </c>
      <c r="J7" t="s">
        <v>235</v>
      </c>
      <c r="K7" t="s">
        <v>236</v>
      </c>
      <c r="L7" t="s">
        <v>237</v>
      </c>
      <c r="M7" t="s">
        <v>194</v>
      </c>
    </row>
    <row r="8" spans="1:13">
      <c r="A8" t="s">
        <v>15</v>
      </c>
      <c r="B8" t="s">
        <v>238</v>
      </c>
      <c r="C8" t="s">
        <v>239</v>
      </c>
      <c r="D8" t="s">
        <v>240</v>
      </c>
      <c r="E8" t="s">
        <v>241</v>
      </c>
      <c r="F8" t="s">
        <v>194</v>
      </c>
      <c r="G8" t="s">
        <v>195</v>
      </c>
      <c r="H8" t="s">
        <v>194</v>
      </c>
      <c r="I8" t="s">
        <v>196</v>
      </c>
      <c r="J8" t="s">
        <v>242</v>
      </c>
      <c r="K8" t="s">
        <v>243</v>
      </c>
      <c r="L8" t="s">
        <v>244</v>
      </c>
      <c r="M8" t="s">
        <v>194</v>
      </c>
    </row>
    <row r="9" spans="1:13">
      <c r="A9" t="s">
        <v>15</v>
      </c>
      <c r="B9" t="s">
        <v>245</v>
      </c>
      <c r="C9" t="s">
        <v>246</v>
      </c>
      <c r="D9" t="s">
        <v>247</v>
      </c>
      <c r="E9" t="s">
        <v>248</v>
      </c>
      <c r="F9" t="s">
        <v>249</v>
      </c>
      <c r="G9" t="s">
        <v>195</v>
      </c>
      <c r="H9" t="s">
        <v>194</v>
      </c>
      <c r="I9" t="s">
        <v>250</v>
      </c>
      <c r="J9" t="s">
        <v>251</v>
      </c>
      <c r="K9" t="s">
        <v>252</v>
      </c>
      <c r="L9" t="s">
        <v>253</v>
      </c>
      <c r="M9" t="s">
        <v>194</v>
      </c>
    </row>
    <row r="10" spans="1:13">
      <c r="A10" t="s">
        <v>15</v>
      </c>
      <c r="B10" t="s">
        <v>254</v>
      </c>
      <c r="C10" t="s">
        <v>255</v>
      </c>
      <c r="D10" t="s">
        <v>256</v>
      </c>
      <c r="E10" t="s">
        <v>257</v>
      </c>
      <c r="F10" t="s">
        <v>194</v>
      </c>
      <c r="G10" t="s">
        <v>219</v>
      </c>
      <c r="I10" t="s">
        <v>196</v>
      </c>
      <c r="J10" t="s">
        <v>258</v>
      </c>
      <c r="K10" t="s">
        <v>259</v>
      </c>
      <c r="L10" t="s">
        <v>260</v>
      </c>
      <c r="M10" t="s">
        <v>194</v>
      </c>
    </row>
    <row r="11" spans="1:13">
      <c r="A11" t="s">
        <v>15</v>
      </c>
      <c r="B11" t="s">
        <v>261</v>
      </c>
      <c r="C11" t="s">
        <v>262</v>
      </c>
      <c r="D11" t="s">
        <v>263</v>
      </c>
      <c r="E11" t="s">
        <v>264</v>
      </c>
      <c r="F11" t="s">
        <v>265</v>
      </c>
      <c r="G11" t="s">
        <v>195</v>
      </c>
      <c r="H11" t="s">
        <v>194</v>
      </c>
      <c r="I11" t="s">
        <v>196</v>
      </c>
      <c r="J11" t="s">
        <v>266</v>
      </c>
      <c r="K11" t="s">
        <v>267</v>
      </c>
      <c r="L11" t="s">
        <v>268</v>
      </c>
      <c r="M11" t="s">
        <v>194</v>
      </c>
    </row>
    <row r="12" spans="1:13">
      <c r="A12" t="s">
        <v>269</v>
      </c>
      <c r="B12" t="s">
        <v>219</v>
      </c>
      <c r="C12" t="s">
        <v>270</v>
      </c>
      <c r="D12" t="s">
        <v>219</v>
      </c>
      <c r="E12" t="s">
        <v>271</v>
      </c>
      <c r="F12" t="s">
        <v>194</v>
      </c>
      <c r="G12" t="s">
        <v>219</v>
      </c>
      <c r="H12" t="s">
        <v>194</v>
      </c>
      <c r="I12" t="s">
        <v>196</v>
      </c>
      <c r="J12" t="s">
        <v>271</v>
      </c>
      <c r="K12" t="s">
        <v>272</v>
      </c>
      <c r="L12" t="s">
        <v>273</v>
      </c>
      <c r="M12" t="s">
        <v>194</v>
      </c>
    </row>
    <row r="13" spans="1:13">
      <c r="A13" t="s">
        <v>269</v>
      </c>
      <c r="B13" t="s">
        <v>274</v>
      </c>
      <c r="C13" t="s">
        <v>275</v>
      </c>
      <c r="D13" t="s">
        <v>276</v>
      </c>
      <c r="E13" t="s">
        <v>277</v>
      </c>
      <c r="F13" t="s">
        <v>278</v>
      </c>
      <c r="G13" t="s">
        <v>195</v>
      </c>
      <c r="H13" t="s">
        <v>194</v>
      </c>
      <c r="I13" t="s">
        <v>196</v>
      </c>
      <c r="J13" t="s">
        <v>277</v>
      </c>
      <c r="K13" t="s">
        <v>279</v>
      </c>
      <c r="L13" t="s">
        <v>280</v>
      </c>
      <c r="M13" t="s">
        <v>194</v>
      </c>
    </row>
    <row r="14" spans="1:13">
      <c r="A14" t="s">
        <v>281</v>
      </c>
      <c r="B14" t="s">
        <v>282</v>
      </c>
      <c r="C14" t="s">
        <v>283</v>
      </c>
      <c r="D14" t="s">
        <v>284</v>
      </c>
      <c r="E14" t="s">
        <v>285</v>
      </c>
      <c r="F14" t="s">
        <v>286</v>
      </c>
      <c r="G14" t="s">
        <v>195</v>
      </c>
      <c r="H14" t="s">
        <v>194</v>
      </c>
      <c r="I14" t="s">
        <v>287</v>
      </c>
      <c r="J14" t="s">
        <v>288</v>
      </c>
      <c r="K14" t="s">
        <v>289</v>
      </c>
      <c r="L14" t="s">
        <v>290</v>
      </c>
      <c r="M14" t="s">
        <v>291</v>
      </c>
    </row>
    <row r="15" spans="1:13">
      <c r="A15" t="s">
        <v>281</v>
      </c>
      <c r="B15" t="s">
        <v>292</v>
      </c>
      <c r="C15" t="s">
        <v>293</v>
      </c>
      <c r="D15" t="s">
        <v>294</v>
      </c>
      <c r="E15" t="s">
        <v>219</v>
      </c>
      <c r="F15" t="s">
        <v>194</v>
      </c>
      <c r="G15" t="s">
        <v>219</v>
      </c>
      <c r="H15" t="s">
        <v>194</v>
      </c>
      <c r="I15" t="s">
        <v>287</v>
      </c>
      <c r="J15" t="s">
        <v>295</v>
      </c>
      <c r="K15" t="s">
        <v>296</v>
      </c>
      <c r="L15" t="s">
        <v>297</v>
      </c>
      <c r="M15" t="s">
        <v>194</v>
      </c>
    </row>
    <row r="16" spans="1:13">
      <c r="A16" t="s">
        <v>281</v>
      </c>
      <c r="B16" t="s">
        <v>298</v>
      </c>
      <c r="C16" t="s">
        <v>299</v>
      </c>
      <c r="D16" t="s">
        <v>300</v>
      </c>
      <c r="E16" t="s">
        <v>301</v>
      </c>
      <c r="F16" t="s">
        <v>194</v>
      </c>
      <c r="G16" t="s">
        <v>219</v>
      </c>
      <c r="H16" t="s">
        <v>194</v>
      </c>
      <c r="I16" t="s">
        <v>211</v>
      </c>
      <c r="J16" t="s">
        <v>302</v>
      </c>
      <c r="K16" t="s">
        <v>303</v>
      </c>
      <c r="L16" t="s">
        <v>304</v>
      </c>
      <c r="M16" t="s">
        <v>194</v>
      </c>
    </row>
    <row r="17" spans="1:13">
      <c r="A17" t="s">
        <v>305</v>
      </c>
      <c r="B17" t="s">
        <v>306</v>
      </c>
      <c r="C17" t="s">
        <v>307</v>
      </c>
      <c r="D17" t="s">
        <v>308</v>
      </c>
      <c r="E17" t="s">
        <v>309</v>
      </c>
      <c r="F17" t="s">
        <v>310</v>
      </c>
      <c r="G17" t="s">
        <v>195</v>
      </c>
      <c r="H17" t="s">
        <v>194</v>
      </c>
      <c r="I17" t="s">
        <v>287</v>
      </c>
      <c r="J17" t="s">
        <v>311</v>
      </c>
      <c r="K17" t="s">
        <v>312</v>
      </c>
      <c r="L17" t="s">
        <v>313</v>
      </c>
      <c r="M17" t="s">
        <v>194</v>
      </c>
    </row>
    <row r="18" spans="1:13">
      <c r="A18" t="s">
        <v>305</v>
      </c>
      <c r="B18" t="s">
        <v>314</v>
      </c>
      <c r="C18" t="s">
        <v>315</v>
      </c>
      <c r="D18" t="s">
        <v>314</v>
      </c>
      <c r="E18" t="s">
        <v>314</v>
      </c>
      <c r="F18" t="s">
        <v>316</v>
      </c>
      <c r="G18" t="s">
        <v>195</v>
      </c>
      <c r="H18" t="s">
        <v>194</v>
      </c>
      <c r="I18" t="s">
        <v>287</v>
      </c>
      <c r="J18" t="s">
        <v>317</v>
      </c>
      <c r="K18" t="s">
        <v>318</v>
      </c>
      <c r="L18" t="s">
        <v>319</v>
      </c>
      <c r="M18" t="s">
        <v>194</v>
      </c>
    </row>
    <row r="19" spans="1:13">
      <c r="A19" t="s">
        <v>320</v>
      </c>
      <c r="B19" t="s">
        <v>321</v>
      </c>
      <c r="C19" t="s">
        <v>322</v>
      </c>
      <c r="D19" t="s">
        <v>321</v>
      </c>
      <c r="E19" t="s">
        <v>323</v>
      </c>
      <c r="F19" t="s">
        <v>324</v>
      </c>
      <c r="G19" t="s">
        <v>195</v>
      </c>
      <c r="H19" t="s">
        <v>194</v>
      </c>
      <c r="I19" t="s">
        <v>196</v>
      </c>
      <c r="J19" t="s">
        <v>325</v>
      </c>
      <c r="K19" t="s">
        <v>326</v>
      </c>
      <c r="L19" t="s">
        <v>327</v>
      </c>
      <c r="M19" t="s">
        <v>194</v>
      </c>
    </row>
    <row r="20" spans="1:13">
      <c r="A20" t="s">
        <v>320</v>
      </c>
      <c r="B20" t="s">
        <v>328</v>
      </c>
      <c r="C20" t="s">
        <v>329</v>
      </c>
      <c r="D20" t="s">
        <v>330</v>
      </c>
      <c r="E20" t="s">
        <v>331</v>
      </c>
      <c r="F20" t="s">
        <v>194</v>
      </c>
      <c r="G20" t="s">
        <v>219</v>
      </c>
      <c r="H20" t="s">
        <v>194</v>
      </c>
      <c r="I20" t="s">
        <v>196</v>
      </c>
      <c r="J20" t="s">
        <v>332</v>
      </c>
      <c r="K20" t="s">
        <v>333</v>
      </c>
      <c r="L20" t="s">
        <v>334</v>
      </c>
      <c r="M20" t="s">
        <v>194</v>
      </c>
    </row>
    <row r="21" spans="1:13">
      <c r="A21" t="s">
        <v>320</v>
      </c>
      <c r="B21" t="s">
        <v>335</v>
      </c>
      <c r="C21" t="s">
        <v>336</v>
      </c>
      <c r="D21" t="s">
        <v>337</v>
      </c>
      <c r="E21" t="s">
        <v>338</v>
      </c>
      <c r="F21" t="s">
        <v>194</v>
      </c>
      <c r="G21" t="s">
        <v>219</v>
      </c>
      <c r="H21" t="s">
        <v>194</v>
      </c>
      <c r="I21" t="s">
        <v>211</v>
      </c>
      <c r="J21" t="s">
        <v>339</v>
      </c>
      <c r="K21" t="s">
        <v>340</v>
      </c>
      <c r="L21" t="s">
        <v>341</v>
      </c>
      <c r="M21" t="s">
        <v>194</v>
      </c>
    </row>
    <row r="22" spans="1:13">
      <c r="A22" t="s">
        <v>320</v>
      </c>
      <c r="B22" t="s">
        <v>342</v>
      </c>
      <c r="C22" t="s">
        <v>343</v>
      </c>
      <c r="D22" t="s">
        <v>344</v>
      </c>
      <c r="E22" t="s">
        <v>345</v>
      </c>
      <c r="F22" t="s">
        <v>346</v>
      </c>
      <c r="G22" t="s">
        <v>195</v>
      </c>
      <c r="H22" t="s">
        <v>194</v>
      </c>
      <c r="I22" t="s">
        <v>211</v>
      </c>
      <c r="J22" t="s">
        <v>347</v>
      </c>
      <c r="K22" t="s">
        <v>348</v>
      </c>
      <c r="L22" t="s">
        <v>349</v>
      </c>
      <c r="M22" t="s">
        <v>194</v>
      </c>
    </row>
    <row r="23" spans="1:13">
      <c r="A23" t="s">
        <v>320</v>
      </c>
      <c r="B23" t="s">
        <v>350</v>
      </c>
      <c r="C23" t="s">
        <v>351</v>
      </c>
      <c r="D23" t="s">
        <v>352</v>
      </c>
      <c r="E23" t="s">
        <v>353</v>
      </c>
      <c r="F23" t="s">
        <v>194</v>
      </c>
      <c r="G23" t="s">
        <v>354</v>
      </c>
      <c r="H23" t="s">
        <v>194</v>
      </c>
      <c r="I23" t="s">
        <v>211</v>
      </c>
      <c r="J23" t="s">
        <v>355</v>
      </c>
      <c r="K23" t="s">
        <v>356</v>
      </c>
      <c r="L23" t="s">
        <v>357</v>
      </c>
      <c r="M23" t="s">
        <v>194</v>
      </c>
    </row>
    <row r="24" spans="1:13">
      <c r="A24" t="s">
        <v>320</v>
      </c>
      <c r="B24" t="s">
        <v>358</v>
      </c>
      <c r="C24" t="s">
        <v>359</v>
      </c>
      <c r="D24" t="s">
        <v>360</v>
      </c>
      <c r="E24" t="s">
        <v>358</v>
      </c>
      <c r="F24" t="s">
        <v>361</v>
      </c>
      <c r="G24" t="s">
        <v>195</v>
      </c>
      <c r="H24" t="s">
        <v>194</v>
      </c>
      <c r="I24" t="s">
        <v>362</v>
      </c>
      <c r="J24" t="s">
        <v>363</v>
      </c>
      <c r="K24" t="s">
        <v>364</v>
      </c>
      <c r="L24" t="s">
        <v>365</v>
      </c>
      <c r="M24" t="s">
        <v>194</v>
      </c>
    </row>
    <row r="25" spans="1:13">
      <c r="A25" t="s">
        <v>320</v>
      </c>
      <c r="B25" t="s">
        <v>366</v>
      </c>
      <c r="C25" t="s">
        <v>367</v>
      </c>
      <c r="D25" t="s">
        <v>368</v>
      </c>
      <c r="E25" t="s">
        <v>366</v>
      </c>
      <c r="F25" t="s">
        <v>369</v>
      </c>
      <c r="G25" t="s">
        <v>195</v>
      </c>
      <c r="H25" t="s">
        <v>194</v>
      </c>
      <c r="I25" t="s">
        <v>370</v>
      </c>
      <c r="J25" t="s">
        <v>371</v>
      </c>
      <c r="K25" t="s">
        <v>372</v>
      </c>
      <c r="L25" t="s">
        <v>373</v>
      </c>
      <c r="M25" t="s">
        <v>194</v>
      </c>
    </row>
    <row r="26" spans="1:13">
      <c r="A26" t="s">
        <v>320</v>
      </c>
      <c r="B26" t="s">
        <v>374</v>
      </c>
      <c r="C26" t="s">
        <v>375</v>
      </c>
      <c r="D26" t="s">
        <v>376</v>
      </c>
      <c r="E26" t="s">
        <v>374</v>
      </c>
      <c r="F26" t="s">
        <v>377</v>
      </c>
      <c r="G26" t="s">
        <v>195</v>
      </c>
      <c r="H26" t="s">
        <v>194</v>
      </c>
      <c r="I26" t="s">
        <v>378</v>
      </c>
      <c r="J26" t="s">
        <v>379</v>
      </c>
      <c r="K26" t="s">
        <v>380</v>
      </c>
      <c r="L26" t="s">
        <v>381</v>
      </c>
      <c r="M26" t="s">
        <v>194</v>
      </c>
    </row>
    <row r="27" spans="1:13">
      <c r="A27" t="s">
        <v>320</v>
      </c>
      <c r="B27" t="s">
        <v>382</v>
      </c>
      <c r="C27" t="s">
        <v>383</v>
      </c>
      <c r="D27" t="s">
        <v>384</v>
      </c>
      <c r="E27" t="s">
        <v>382</v>
      </c>
      <c r="F27" t="s">
        <v>385</v>
      </c>
      <c r="G27" t="s">
        <v>195</v>
      </c>
      <c r="H27" t="s">
        <v>194</v>
      </c>
      <c r="I27" t="s">
        <v>386</v>
      </c>
      <c r="J27" t="s">
        <v>387</v>
      </c>
      <c r="K27" t="s">
        <v>388</v>
      </c>
      <c r="L27" t="s">
        <v>389</v>
      </c>
      <c r="M27" t="s">
        <v>194</v>
      </c>
    </row>
    <row r="28" spans="1:13">
      <c r="A28" t="s">
        <v>320</v>
      </c>
      <c r="B28" t="s">
        <v>292</v>
      </c>
      <c r="C28" t="s">
        <v>390</v>
      </c>
      <c r="D28" t="s">
        <v>294</v>
      </c>
      <c r="E28" t="s">
        <v>391</v>
      </c>
      <c r="F28" t="s">
        <v>194</v>
      </c>
      <c r="G28" t="s">
        <v>219</v>
      </c>
      <c r="H28" t="s">
        <v>194</v>
      </c>
      <c r="I28" t="s">
        <v>196</v>
      </c>
      <c r="J28" t="s">
        <v>392</v>
      </c>
      <c r="K28" t="s">
        <v>393</v>
      </c>
      <c r="L28" t="s">
        <v>394</v>
      </c>
      <c r="M28" t="s">
        <v>194</v>
      </c>
    </row>
    <row r="29" spans="1:13">
      <c r="A29" t="s">
        <v>320</v>
      </c>
      <c r="B29" t="s">
        <v>306</v>
      </c>
      <c r="C29" t="s">
        <v>395</v>
      </c>
      <c r="D29" t="s">
        <v>308</v>
      </c>
      <c r="E29" t="s">
        <v>309</v>
      </c>
      <c r="F29" t="s">
        <v>310</v>
      </c>
      <c r="G29" t="s">
        <v>195</v>
      </c>
      <c r="H29" t="s">
        <v>194</v>
      </c>
      <c r="I29" t="s">
        <v>196</v>
      </c>
      <c r="J29" t="s">
        <v>396</v>
      </c>
      <c r="K29" t="s">
        <v>397</v>
      </c>
      <c r="L29" t="s">
        <v>398</v>
      </c>
      <c r="M29" t="s">
        <v>194</v>
      </c>
    </row>
    <row r="30" spans="1:13">
      <c r="A30" t="s">
        <v>320</v>
      </c>
      <c r="B30" t="s">
        <v>399</v>
      </c>
      <c r="C30" t="s">
        <v>400</v>
      </c>
      <c r="D30" t="s">
        <v>401</v>
      </c>
      <c r="E30" t="s">
        <v>402</v>
      </c>
      <c r="F30" t="s">
        <v>403</v>
      </c>
      <c r="G30" t="s">
        <v>195</v>
      </c>
      <c r="H30" t="s">
        <v>194</v>
      </c>
      <c r="I30" t="s">
        <v>196</v>
      </c>
      <c r="J30" t="s">
        <v>404</v>
      </c>
      <c r="K30" t="s">
        <v>405</v>
      </c>
      <c r="L30" t="s">
        <v>406</v>
      </c>
      <c r="M30" t="s">
        <v>194</v>
      </c>
    </row>
    <row r="31" spans="1:13">
      <c r="A31" t="s">
        <v>320</v>
      </c>
      <c r="B31" t="s">
        <v>407</v>
      </c>
      <c r="C31" t="s">
        <v>408</v>
      </c>
      <c r="D31" t="s">
        <v>407</v>
      </c>
      <c r="E31" t="s">
        <v>409</v>
      </c>
      <c r="F31" t="s">
        <v>410</v>
      </c>
      <c r="G31" t="s">
        <v>195</v>
      </c>
      <c r="H31" t="s">
        <v>194</v>
      </c>
      <c r="I31" t="s">
        <v>211</v>
      </c>
      <c r="J31" t="s">
        <v>411</v>
      </c>
      <c r="K31" t="s">
        <v>412</v>
      </c>
      <c r="L31" t="s">
        <v>413</v>
      </c>
      <c r="M31" t="s">
        <v>194</v>
      </c>
    </row>
    <row r="32" spans="1:13">
      <c r="A32" t="s">
        <v>414</v>
      </c>
      <c r="B32" t="s">
        <v>415</v>
      </c>
      <c r="C32" t="s">
        <v>416</v>
      </c>
      <c r="D32" t="s">
        <v>415</v>
      </c>
      <c r="E32" t="s">
        <v>415</v>
      </c>
      <c r="F32" t="s">
        <v>417</v>
      </c>
      <c r="G32" t="s">
        <v>195</v>
      </c>
      <c r="H32" t="s">
        <v>194</v>
      </c>
      <c r="I32" t="s">
        <v>418</v>
      </c>
      <c r="J32" t="s">
        <v>419</v>
      </c>
      <c r="K32" t="s">
        <v>420</v>
      </c>
      <c r="L32" t="s">
        <v>421</v>
      </c>
      <c r="M32" t="s">
        <v>194</v>
      </c>
    </row>
    <row r="33" spans="1:13">
      <c r="A33" t="s">
        <v>414</v>
      </c>
      <c r="B33" t="s">
        <v>422</v>
      </c>
      <c r="C33" t="s">
        <v>423</v>
      </c>
      <c r="D33" t="s">
        <v>422</v>
      </c>
      <c r="E33" t="s">
        <v>422</v>
      </c>
      <c r="F33" t="s">
        <v>424</v>
      </c>
      <c r="G33" t="s">
        <v>195</v>
      </c>
      <c r="H33" t="s">
        <v>194</v>
      </c>
      <c r="I33" t="s">
        <v>425</v>
      </c>
      <c r="J33" t="s">
        <v>426</v>
      </c>
      <c r="K33" t="s">
        <v>427</v>
      </c>
      <c r="L33" t="s">
        <v>428</v>
      </c>
      <c r="M33" t="s">
        <v>194</v>
      </c>
    </row>
    <row r="34" spans="1:13">
      <c r="A34" t="s">
        <v>414</v>
      </c>
      <c r="B34" t="s">
        <v>429</v>
      </c>
      <c r="C34" t="s">
        <v>430</v>
      </c>
      <c r="D34" t="s">
        <v>429</v>
      </c>
      <c r="E34" t="s">
        <v>429</v>
      </c>
      <c r="F34" t="s">
        <v>431</v>
      </c>
      <c r="G34" t="s">
        <v>195</v>
      </c>
      <c r="H34" t="s">
        <v>194</v>
      </c>
      <c r="I34" t="s">
        <v>432</v>
      </c>
      <c r="J34" t="s">
        <v>433</v>
      </c>
      <c r="K34" t="s">
        <v>434</v>
      </c>
      <c r="L34" t="s">
        <v>435</v>
      </c>
      <c r="M34" t="s">
        <v>194</v>
      </c>
    </row>
    <row r="35" spans="1:13">
      <c r="A35" t="s">
        <v>414</v>
      </c>
      <c r="B35" t="s">
        <v>436</v>
      </c>
      <c r="C35" t="s">
        <v>437</v>
      </c>
      <c r="D35" t="s">
        <v>438</v>
      </c>
      <c r="E35" t="s">
        <v>439</v>
      </c>
      <c r="F35" t="s">
        <v>440</v>
      </c>
      <c r="G35" t="s">
        <v>195</v>
      </c>
      <c r="H35" t="s">
        <v>194</v>
      </c>
      <c r="I35" t="s">
        <v>211</v>
      </c>
      <c r="J35" t="s">
        <v>441</v>
      </c>
      <c r="K35" t="s">
        <v>442</v>
      </c>
      <c r="L35" t="s">
        <v>443</v>
      </c>
      <c r="M35" t="s">
        <v>194</v>
      </c>
    </row>
    <row r="36" spans="1:13">
      <c r="A36" t="s">
        <v>414</v>
      </c>
      <c r="B36" t="s">
        <v>321</v>
      </c>
      <c r="C36" t="s">
        <v>444</v>
      </c>
      <c r="D36" t="s">
        <v>445</v>
      </c>
      <c r="E36" t="s">
        <v>446</v>
      </c>
      <c r="F36" t="s">
        <v>447</v>
      </c>
      <c r="G36" t="s">
        <v>195</v>
      </c>
      <c r="H36" t="s">
        <v>194</v>
      </c>
      <c r="I36" t="s">
        <v>448</v>
      </c>
      <c r="J36" t="s">
        <v>449</v>
      </c>
      <c r="K36" t="s">
        <v>449</v>
      </c>
      <c r="L36" t="s">
        <v>450</v>
      </c>
      <c r="M36" t="s">
        <v>194</v>
      </c>
    </row>
    <row r="37" spans="1:13">
      <c r="A37" t="s">
        <v>451</v>
      </c>
      <c r="B37" t="s">
        <v>285</v>
      </c>
      <c r="C37" t="s">
        <v>452</v>
      </c>
      <c r="D37" t="s">
        <v>285</v>
      </c>
      <c r="E37" t="s">
        <v>453</v>
      </c>
      <c r="F37" t="s">
        <v>194</v>
      </c>
      <c r="G37" t="s">
        <v>195</v>
      </c>
      <c r="H37" t="s">
        <v>194</v>
      </c>
      <c r="I37" t="s">
        <v>211</v>
      </c>
      <c r="J37" t="s">
        <v>454</v>
      </c>
      <c r="K37" t="s">
        <v>455</v>
      </c>
      <c r="L37" t="s">
        <v>456</v>
      </c>
      <c r="M37" t="s">
        <v>194</v>
      </c>
    </row>
    <row r="38" spans="1:13">
      <c r="A38" t="s">
        <v>451</v>
      </c>
      <c r="B38" t="s">
        <v>321</v>
      </c>
      <c r="C38" t="s">
        <v>457</v>
      </c>
      <c r="D38" t="s">
        <v>321</v>
      </c>
      <c r="E38" t="s">
        <v>458</v>
      </c>
      <c r="F38" t="s">
        <v>459</v>
      </c>
      <c r="G38" t="s">
        <v>195</v>
      </c>
      <c r="H38" t="s">
        <v>194</v>
      </c>
      <c r="I38" t="s">
        <v>287</v>
      </c>
      <c r="J38" t="s">
        <v>458</v>
      </c>
      <c r="K38" t="s">
        <v>460</v>
      </c>
      <c r="L38" t="s">
        <v>461</v>
      </c>
      <c r="M38" t="s">
        <v>194</v>
      </c>
    </row>
    <row r="39" spans="1:13">
      <c r="A39" t="s">
        <v>451</v>
      </c>
      <c r="B39" t="s">
        <v>219</v>
      </c>
      <c r="C39" t="s">
        <v>462</v>
      </c>
      <c r="D39" t="s">
        <v>219</v>
      </c>
      <c r="E39" t="s">
        <v>463</v>
      </c>
      <c r="F39" t="s">
        <v>194</v>
      </c>
      <c r="G39" t="s">
        <v>219</v>
      </c>
      <c r="H39" t="s">
        <v>194</v>
      </c>
      <c r="I39" t="s">
        <v>287</v>
      </c>
      <c r="J39" t="s">
        <v>463</v>
      </c>
      <c r="K39" t="s">
        <v>464</v>
      </c>
      <c r="L39" t="s">
        <v>465</v>
      </c>
      <c r="M39" t="s">
        <v>194</v>
      </c>
    </row>
    <row r="40" spans="1:13">
      <c r="A40" t="s">
        <v>466</v>
      </c>
      <c r="B40" t="s">
        <v>219</v>
      </c>
      <c r="C40" t="s">
        <v>467</v>
      </c>
      <c r="D40" t="s">
        <v>219</v>
      </c>
      <c r="E40" t="s">
        <v>468</v>
      </c>
      <c r="F40" t="s">
        <v>194</v>
      </c>
      <c r="G40" t="s">
        <v>219</v>
      </c>
      <c r="H40" t="s">
        <v>194</v>
      </c>
      <c r="I40" t="s">
        <v>287</v>
      </c>
      <c r="J40" t="s">
        <v>469</v>
      </c>
      <c r="K40" t="s">
        <v>470</v>
      </c>
      <c r="L40" t="s">
        <v>471</v>
      </c>
      <c r="M40" t="s">
        <v>194</v>
      </c>
    </row>
    <row r="41" spans="1:13">
      <c r="A41" t="s">
        <v>466</v>
      </c>
      <c r="B41" t="s">
        <v>472</v>
      </c>
      <c r="C41" t="s">
        <v>473</v>
      </c>
      <c r="D41" t="s">
        <v>472</v>
      </c>
      <c r="E41" t="s">
        <v>474</v>
      </c>
      <c r="F41" t="s">
        <v>475</v>
      </c>
      <c r="G41" t="s">
        <v>195</v>
      </c>
      <c r="H41" t="s">
        <v>194</v>
      </c>
      <c r="I41" t="s">
        <v>287</v>
      </c>
      <c r="J41" t="s">
        <v>476</v>
      </c>
      <c r="K41" t="s">
        <v>477</v>
      </c>
      <c r="L41" t="s">
        <v>478</v>
      </c>
      <c r="M41" t="s">
        <v>194</v>
      </c>
    </row>
    <row r="42" spans="1:13">
      <c r="A42" t="s">
        <v>479</v>
      </c>
      <c r="B42" t="s">
        <v>285</v>
      </c>
      <c r="C42" t="s">
        <v>480</v>
      </c>
      <c r="D42" t="s">
        <v>285</v>
      </c>
      <c r="E42" t="s">
        <v>481</v>
      </c>
      <c r="F42" t="s">
        <v>482</v>
      </c>
      <c r="G42" t="s">
        <v>195</v>
      </c>
      <c r="H42" t="s">
        <v>194</v>
      </c>
      <c r="I42" t="s">
        <v>287</v>
      </c>
      <c r="J42" t="s">
        <v>483</v>
      </c>
      <c r="K42" t="s">
        <v>484</v>
      </c>
      <c r="L42" t="s">
        <v>485</v>
      </c>
      <c r="M42" t="s">
        <v>194</v>
      </c>
    </row>
    <row r="43" spans="1:13">
      <c r="A43" t="s">
        <v>479</v>
      </c>
      <c r="B43" t="s">
        <v>486</v>
      </c>
      <c r="C43" t="s">
        <v>487</v>
      </c>
      <c r="D43" t="s">
        <v>486</v>
      </c>
      <c r="E43" t="s">
        <v>488</v>
      </c>
      <c r="F43" t="s">
        <v>194</v>
      </c>
      <c r="G43" t="s">
        <v>195</v>
      </c>
      <c r="H43" t="s">
        <v>194</v>
      </c>
      <c r="I43" t="s">
        <v>287</v>
      </c>
      <c r="J43" t="s">
        <v>489</v>
      </c>
      <c r="K43" t="s">
        <v>490</v>
      </c>
      <c r="L43" t="s">
        <v>491</v>
      </c>
      <c r="M43" t="s">
        <v>194</v>
      </c>
    </row>
    <row r="44" spans="1:13">
      <c r="A44" t="s">
        <v>479</v>
      </c>
      <c r="B44" t="s">
        <v>492</v>
      </c>
      <c r="C44" t="s">
        <v>493</v>
      </c>
      <c r="D44" t="s">
        <v>492</v>
      </c>
      <c r="E44" t="s">
        <v>494</v>
      </c>
      <c r="F44" t="s">
        <v>194</v>
      </c>
      <c r="G44" t="s">
        <v>195</v>
      </c>
      <c r="H44" t="s">
        <v>194</v>
      </c>
      <c r="I44" t="s">
        <v>211</v>
      </c>
      <c r="J44" t="s">
        <v>495</v>
      </c>
      <c r="K44" t="s">
        <v>496</v>
      </c>
      <c r="L44" t="s">
        <v>497</v>
      </c>
      <c r="M44" t="s">
        <v>194</v>
      </c>
    </row>
    <row r="45" spans="1:13">
      <c r="A45" t="s">
        <v>498</v>
      </c>
      <c r="B45" t="s">
        <v>321</v>
      </c>
      <c r="C45" t="s">
        <v>499</v>
      </c>
      <c r="D45" t="s">
        <v>321</v>
      </c>
      <c r="E45" t="s">
        <v>500</v>
      </c>
      <c r="F45" t="s">
        <v>501</v>
      </c>
      <c r="G45" t="s">
        <v>195</v>
      </c>
      <c r="H45" t="s">
        <v>194</v>
      </c>
      <c r="I45" t="s">
        <v>287</v>
      </c>
      <c r="J45" t="s">
        <v>500</v>
      </c>
      <c r="K45" t="s">
        <v>502</v>
      </c>
      <c r="L45" t="s">
        <v>503</v>
      </c>
      <c r="M45" t="s">
        <v>194</v>
      </c>
    </row>
    <row r="46" spans="1:13">
      <c r="A46" t="s">
        <v>498</v>
      </c>
      <c r="B46" t="s">
        <v>504</v>
      </c>
      <c r="C46" t="s">
        <v>505</v>
      </c>
      <c r="D46" t="s">
        <v>506</v>
      </c>
      <c r="E46" t="s">
        <v>507</v>
      </c>
      <c r="F46" t="s">
        <v>194</v>
      </c>
      <c r="G46" t="s">
        <v>195</v>
      </c>
      <c r="H46" t="s">
        <v>194</v>
      </c>
      <c r="I46" t="s">
        <v>211</v>
      </c>
      <c r="J46" t="s">
        <v>508</v>
      </c>
      <c r="K46" t="s">
        <v>509</v>
      </c>
      <c r="L46" t="s">
        <v>510</v>
      </c>
      <c r="M46" t="s">
        <v>194</v>
      </c>
    </row>
    <row r="47" spans="1:13">
      <c r="A47" t="s">
        <v>498</v>
      </c>
      <c r="B47" t="s">
        <v>511</v>
      </c>
      <c r="C47" t="s">
        <v>512</v>
      </c>
      <c r="D47" t="s">
        <v>513</v>
      </c>
      <c r="E47" t="s">
        <v>514</v>
      </c>
      <c r="F47" t="s">
        <v>515</v>
      </c>
      <c r="G47" t="s">
        <v>195</v>
      </c>
      <c r="H47" t="s">
        <v>194</v>
      </c>
      <c r="I47" t="s">
        <v>211</v>
      </c>
      <c r="J47" t="s">
        <v>516</v>
      </c>
      <c r="K47" t="s">
        <v>517</v>
      </c>
      <c r="L47" t="s">
        <v>518</v>
      </c>
      <c r="M47" t="s">
        <v>194</v>
      </c>
    </row>
    <row r="48" spans="1:13">
      <c r="A48" t="s">
        <v>498</v>
      </c>
      <c r="B48" t="s">
        <v>328</v>
      </c>
      <c r="C48" t="s">
        <v>519</v>
      </c>
      <c r="D48" t="s">
        <v>330</v>
      </c>
      <c r="E48" t="s">
        <v>520</v>
      </c>
      <c r="F48" t="s">
        <v>194</v>
      </c>
      <c r="G48" t="s">
        <v>219</v>
      </c>
      <c r="H48" t="s">
        <v>194</v>
      </c>
      <c r="I48" t="s">
        <v>287</v>
      </c>
      <c r="J48" t="s">
        <v>521</v>
      </c>
      <c r="K48" t="s">
        <v>522</v>
      </c>
      <c r="L48" t="s">
        <v>523</v>
      </c>
      <c r="M48" t="s">
        <v>194</v>
      </c>
    </row>
    <row r="49" spans="1:13">
      <c r="A49" t="s">
        <v>498</v>
      </c>
      <c r="B49" t="s">
        <v>335</v>
      </c>
      <c r="C49" t="s">
        <v>524</v>
      </c>
      <c r="D49" t="s">
        <v>337</v>
      </c>
      <c r="E49" t="s">
        <v>301</v>
      </c>
      <c r="F49" t="s">
        <v>194</v>
      </c>
      <c r="G49" t="s">
        <v>219</v>
      </c>
      <c r="H49" t="s">
        <v>194</v>
      </c>
      <c r="I49" t="s">
        <v>287</v>
      </c>
      <c r="J49" t="s">
        <v>525</v>
      </c>
      <c r="K49" t="s">
        <v>526</v>
      </c>
      <c r="L49" t="s">
        <v>527</v>
      </c>
      <c r="M49" t="s">
        <v>194</v>
      </c>
    </row>
    <row r="50" spans="1:13">
      <c r="A50" t="s">
        <v>498</v>
      </c>
      <c r="B50" t="s">
        <v>528</v>
      </c>
      <c r="C50" t="s">
        <v>529</v>
      </c>
      <c r="D50" t="s">
        <v>530</v>
      </c>
      <c r="E50" t="s">
        <v>531</v>
      </c>
      <c r="F50" t="s">
        <v>278</v>
      </c>
      <c r="G50" t="s">
        <v>195</v>
      </c>
      <c r="H50" t="s">
        <v>194</v>
      </c>
      <c r="I50" t="s">
        <v>211</v>
      </c>
      <c r="J50" t="s">
        <v>532</v>
      </c>
      <c r="K50" t="s">
        <v>533</v>
      </c>
      <c r="L50" t="s">
        <v>534</v>
      </c>
      <c r="M50" t="s">
        <v>194</v>
      </c>
    </row>
    <row r="51" spans="1:13">
      <c r="A51" t="s">
        <v>498</v>
      </c>
      <c r="B51" t="s">
        <v>535</v>
      </c>
      <c r="C51" t="s">
        <v>536</v>
      </c>
      <c r="D51" t="s">
        <v>537</v>
      </c>
      <c r="E51" t="s">
        <v>538</v>
      </c>
      <c r="F51" t="s">
        <v>194</v>
      </c>
      <c r="G51" t="s">
        <v>195</v>
      </c>
      <c r="H51" t="s">
        <v>194</v>
      </c>
      <c r="I51" t="s">
        <v>539</v>
      </c>
      <c r="J51" t="s">
        <v>540</v>
      </c>
      <c r="K51" t="s">
        <v>541</v>
      </c>
      <c r="L51" t="s">
        <v>542</v>
      </c>
      <c r="M51" t="s">
        <v>194</v>
      </c>
    </row>
    <row r="52" spans="1:13">
      <c r="A52" t="s">
        <v>498</v>
      </c>
      <c r="B52" t="s">
        <v>543</v>
      </c>
      <c r="C52" t="s">
        <v>544</v>
      </c>
      <c r="D52" t="s">
        <v>545</v>
      </c>
      <c r="E52" t="s">
        <v>546</v>
      </c>
      <c r="F52" t="s">
        <v>194</v>
      </c>
      <c r="G52" t="s">
        <v>195</v>
      </c>
      <c r="H52" t="s">
        <v>194</v>
      </c>
      <c r="I52" t="s">
        <v>539</v>
      </c>
      <c r="J52" t="s">
        <v>547</v>
      </c>
      <c r="K52" t="s">
        <v>548</v>
      </c>
      <c r="L52" t="s">
        <v>549</v>
      </c>
      <c r="M52" t="s">
        <v>194</v>
      </c>
    </row>
    <row r="53" spans="1:13">
      <c r="A53" t="s">
        <v>498</v>
      </c>
      <c r="B53" t="s">
        <v>550</v>
      </c>
      <c r="C53" t="s">
        <v>551</v>
      </c>
      <c r="D53" t="s">
        <v>552</v>
      </c>
      <c r="E53" t="s">
        <v>553</v>
      </c>
      <c r="F53" t="s">
        <v>554</v>
      </c>
      <c r="G53" t="s">
        <v>195</v>
      </c>
      <c r="H53" t="s">
        <v>194</v>
      </c>
      <c r="I53" t="s">
        <v>211</v>
      </c>
      <c r="J53" t="s">
        <v>553</v>
      </c>
      <c r="K53" t="s">
        <v>555</v>
      </c>
      <c r="L53" t="s">
        <v>556</v>
      </c>
      <c r="M53" t="s">
        <v>194</v>
      </c>
    </row>
    <row r="54" spans="1:13">
      <c r="A54" t="s">
        <v>498</v>
      </c>
      <c r="B54" t="s">
        <v>557</v>
      </c>
      <c r="C54" t="s">
        <v>558</v>
      </c>
      <c r="D54" t="s">
        <v>559</v>
      </c>
      <c r="E54" t="s">
        <v>560</v>
      </c>
      <c r="F54" t="s">
        <v>194</v>
      </c>
      <c r="G54" t="s">
        <v>195</v>
      </c>
      <c r="H54" t="s">
        <v>194</v>
      </c>
      <c r="I54" t="s">
        <v>211</v>
      </c>
      <c r="J54" t="s">
        <v>560</v>
      </c>
      <c r="K54" t="s">
        <v>561</v>
      </c>
      <c r="L54" t="s">
        <v>562</v>
      </c>
      <c r="M54" t="s">
        <v>194</v>
      </c>
    </row>
    <row r="55" spans="1:13">
      <c r="A55" t="s">
        <v>563</v>
      </c>
      <c r="B55" t="s">
        <v>285</v>
      </c>
      <c r="C55" t="s">
        <v>564</v>
      </c>
      <c r="D55" t="s">
        <v>285</v>
      </c>
      <c r="E55" t="s">
        <v>565</v>
      </c>
      <c r="F55" t="s">
        <v>566</v>
      </c>
      <c r="G55" t="s">
        <v>195</v>
      </c>
      <c r="H55" t="s">
        <v>194</v>
      </c>
      <c r="I55" t="s">
        <v>287</v>
      </c>
      <c r="J55" t="s">
        <v>567</v>
      </c>
      <c r="K55" t="s">
        <v>568</v>
      </c>
      <c r="L55" t="s">
        <v>569</v>
      </c>
      <c r="M55" t="s">
        <v>194</v>
      </c>
    </row>
    <row r="56" spans="1:13">
      <c r="A56" t="s">
        <v>563</v>
      </c>
      <c r="B56" t="s">
        <v>219</v>
      </c>
      <c r="C56" t="s">
        <v>570</v>
      </c>
      <c r="D56" t="s">
        <v>219</v>
      </c>
      <c r="E56" t="s">
        <v>571</v>
      </c>
      <c r="F56" t="s">
        <v>194</v>
      </c>
      <c r="G56" t="s">
        <v>219</v>
      </c>
      <c r="H56" t="s">
        <v>194</v>
      </c>
      <c r="I56" t="s">
        <v>287</v>
      </c>
      <c r="J56" t="s">
        <v>572</v>
      </c>
      <c r="K56" t="s">
        <v>573</v>
      </c>
      <c r="L56" t="s">
        <v>574</v>
      </c>
      <c r="M56" t="s">
        <v>194</v>
      </c>
    </row>
    <row r="57" spans="1:13">
      <c r="A57" t="s">
        <v>563</v>
      </c>
      <c r="B57" t="s">
        <v>335</v>
      </c>
      <c r="C57" t="s">
        <v>575</v>
      </c>
      <c r="D57" t="s">
        <v>337</v>
      </c>
      <c r="E57" t="s">
        <v>301</v>
      </c>
      <c r="F57" t="s">
        <v>194</v>
      </c>
      <c r="G57" t="s">
        <v>219</v>
      </c>
      <c r="H57" t="s">
        <v>194</v>
      </c>
      <c r="I57" t="s">
        <v>211</v>
      </c>
      <c r="J57" t="s">
        <v>576</v>
      </c>
      <c r="K57" t="s">
        <v>577</v>
      </c>
      <c r="L57" t="s">
        <v>578</v>
      </c>
      <c r="M57" t="s">
        <v>194</v>
      </c>
    </row>
    <row r="58" spans="1:13">
      <c r="A58" t="s">
        <v>563</v>
      </c>
      <c r="B58" t="s">
        <v>579</v>
      </c>
      <c r="C58" t="s">
        <v>580</v>
      </c>
      <c r="D58" t="s">
        <v>579</v>
      </c>
      <c r="E58" t="s">
        <v>579</v>
      </c>
      <c r="F58" t="s">
        <v>194</v>
      </c>
      <c r="G58" t="s">
        <v>195</v>
      </c>
      <c r="H58" t="s">
        <v>194</v>
      </c>
      <c r="I58" t="s">
        <v>287</v>
      </c>
      <c r="J58" t="s">
        <v>581</v>
      </c>
      <c r="K58" t="s">
        <v>582</v>
      </c>
      <c r="L58" t="s">
        <v>583</v>
      </c>
      <c r="M58" t="s">
        <v>194</v>
      </c>
    </row>
    <row r="59" spans="1:13">
      <c r="A59" t="s">
        <v>584</v>
      </c>
      <c r="B59" t="s">
        <v>285</v>
      </c>
      <c r="C59" t="s">
        <v>585</v>
      </c>
      <c r="D59" t="s">
        <v>285</v>
      </c>
      <c r="E59" t="s">
        <v>586</v>
      </c>
      <c r="F59" t="s">
        <v>587</v>
      </c>
      <c r="G59" t="s">
        <v>195</v>
      </c>
      <c r="H59" t="s">
        <v>194</v>
      </c>
      <c r="I59" t="s">
        <v>287</v>
      </c>
      <c r="J59" t="s">
        <v>588</v>
      </c>
      <c r="K59" t="s">
        <v>589</v>
      </c>
      <c r="L59" t="s">
        <v>590</v>
      </c>
      <c r="M59" t="s">
        <v>194</v>
      </c>
    </row>
    <row r="60" spans="1:13">
      <c r="A60" t="s">
        <v>584</v>
      </c>
      <c r="B60" t="s">
        <v>12</v>
      </c>
      <c r="C60" t="s">
        <v>591</v>
      </c>
      <c r="D60" t="s">
        <v>12</v>
      </c>
      <c r="E60" t="s">
        <v>592</v>
      </c>
      <c r="F60" t="s">
        <v>194</v>
      </c>
      <c r="G60" t="s">
        <v>195</v>
      </c>
      <c r="H60" t="s">
        <v>194</v>
      </c>
      <c r="I60" t="s">
        <v>287</v>
      </c>
      <c r="J60" t="s">
        <v>592</v>
      </c>
      <c r="K60" t="s">
        <v>593</v>
      </c>
      <c r="L60" t="s">
        <v>594</v>
      </c>
      <c r="M60" t="s">
        <v>194</v>
      </c>
    </row>
    <row r="61" spans="1:13">
      <c r="A61" t="s">
        <v>595</v>
      </c>
      <c r="B61" t="s">
        <v>596</v>
      </c>
      <c r="C61" t="s">
        <v>597</v>
      </c>
      <c r="D61" t="s">
        <v>598</v>
      </c>
      <c r="E61" t="s">
        <v>599</v>
      </c>
      <c r="F61" t="s">
        <v>194</v>
      </c>
      <c r="G61" t="s">
        <v>195</v>
      </c>
      <c r="H61" t="s">
        <v>194</v>
      </c>
      <c r="I61" t="s">
        <v>287</v>
      </c>
      <c r="J61" t="s">
        <v>600</v>
      </c>
      <c r="K61" t="s">
        <v>601</v>
      </c>
      <c r="L61" t="s">
        <v>602</v>
      </c>
      <c r="M61" t="s">
        <v>194</v>
      </c>
    </row>
    <row r="62" spans="1:13">
      <c r="A62" t="s">
        <v>595</v>
      </c>
      <c r="B62" t="s">
        <v>603</v>
      </c>
      <c r="C62" t="s">
        <v>604</v>
      </c>
      <c r="D62" t="s">
        <v>605</v>
      </c>
      <c r="E62" t="s">
        <v>606</v>
      </c>
      <c r="F62" t="s">
        <v>194</v>
      </c>
      <c r="G62" t="s">
        <v>195</v>
      </c>
      <c r="H62" t="s">
        <v>194</v>
      </c>
      <c r="I62" t="s">
        <v>211</v>
      </c>
      <c r="J62" t="s">
        <v>607</v>
      </c>
      <c r="K62" t="s">
        <v>608</v>
      </c>
      <c r="L62" t="s">
        <v>609</v>
      </c>
      <c r="M62" t="s">
        <v>194</v>
      </c>
    </row>
    <row r="63" spans="1:13">
      <c r="A63" t="s">
        <v>595</v>
      </c>
      <c r="B63" t="s">
        <v>610</v>
      </c>
      <c r="C63" t="s">
        <v>611</v>
      </c>
      <c r="D63" t="s">
        <v>612</v>
      </c>
      <c r="E63" t="s">
        <v>613</v>
      </c>
      <c r="F63" t="s">
        <v>194</v>
      </c>
      <c r="G63" t="s">
        <v>219</v>
      </c>
      <c r="H63" t="s">
        <v>194</v>
      </c>
      <c r="I63" t="s">
        <v>287</v>
      </c>
      <c r="J63" t="s">
        <v>613</v>
      </c>
      <c r="K63" t="s">
        <v>614</v>
      </c>
      <c r="L63" t="s">
        <v>615</v>
      </c>
      <c r="M63" t="s">
        <v>194</v>
      </c>
    </row>
    <row r="64" spans="1:13">
      <c r="A64" t="s">
        <v>595</v>
      </c>
      <c r="B64" t="s">
        <v>306</v>
      </c>
      <c r="C64" t="s">
        <v>616</v>
      </c>
      <c r="D64" t="s">
        <v>308</v>
      </c>
      <c r="E64" t="s">
        <v>309</v>
      </c>
      <c r="F64" t="s">
        <v>310</v>
      </c>
      <c r="G64" t="s">
        <v>195</v>
      </c>
      <c r="H64" t="s">
        <v>194</v>
      </c>
      <c r="I64" t="s">
        <v>287</v>
      </c>
      <c r="J64" t="s">
        <v>617</v>
      </c>
      <c r="K64" t="s">
        <v>618</v>
      </c>
      <c r="L64" t="s">
        <v>619</v>
      </c>
      <c r="M64" t="s">
        <v>194</v>
      </c>
    </row>
    <row r="65" spans="1:13">
      <c r="A65" t="s">
        <v>595</v>
      </c>
      <c r="B65" t="s">
        <v>620</v>
      </c>
      <c r="C65" t="s">
        <v>621</v>
      </c>
      <c r="D65" t="s">
        <v>620</v>
      </c>
      <c r="E65" t="s">
        <v>622</v>
      </c>
      <c r="F65" t="s">
        <v>623</v>
      </c>
      <c r="G65" t="s">
        <v>195</v>
      </c>
      <c r="H65" t="s">
        <v>194</v>
      </c>
      <c r="I65" t="s">
        <v>287</v>
      </c>
      <c r="J65" t="s">
        <v>622</v>
      </c>
      <c r="K65" t="s">
        <v>624</v>
      </c>
      <c r="L65" t="s">
        <v>625</v>
      </c>
      <c r="M65" t="s">
        <v>194</v>
      </c>
    </row>
    <row r="66" spans="1:13">
      <c r="A66" t="s">
        <v>595</v>
      </c>
      <c r="B66" t="s">
        <v>626</v>
      </c>
      <c r="C66" t="s">
        <v>627</v>
      </c>
      <c r="D66" t="s">
        <v>626</v>
      </c>
      <c r="E66" t="s">
        <v>628</v>
      </c>
      <c r="F66" t="s">
        <v>629</v>
      </c>
      <c r="G66" t="s">
        <v>195</v>
      </c>
      <c r="H66" t="s">
        <v>194</v>
      </c>
      <c r="I66" t="s">
        <v>287</v>
      </c>
      <c r="J66" t="s">
        <v>630</v>
      </c>
      <c r="K66" t="s">
        <v>631</v>
      </c>
      <c r="L66" t="s">
        <v>632</v>
      </c>
      <c r="M66" t="s">
        <v>194</v>
      </c>
    </row>
    <row r="67" spans="1:13">
      <c r="A67" t="s">
        <v>595</v>
      </c>
      <c r="B67" t="s">
        <v>633</v>
      </c>
      <c r="C67" t="s">
        <v>634</v>
      </c>
      <c r="D67" t="s">
        <v>635</v>
      </c>
      <c r="E67" t="s">
        <v>636</v>
      </c>
      <c r="F67" t="s">
        <v>637</v>
      </c>
      <c r="G67" t="s">
        <v>195</v>
      </c>
      <c r="H67" t="s">
        <v>194</v>
      </c>
      <c r="I67" t="s">
        <v>211</v>
      </c>
      <c r="J67" t="s">
        <v>636</v>
      </c>
      <c r="K67" t="s">
        <v>638</v>
      </c>
      <c r="L67" t="s">
        <v>639</v>
      </c>
      <c r="M67" t="s">
        <v>194</v>
      </c>
    </row>
    <row r="68" spans="1:13">
      <c r="A68" t="s">
        <v>595</v>
      </c>
      <c r="B68" t="s">
        <v>640</v>
      </c>
      <c r="C68" t="s">
        <v>641</v>
      </c>
      <c r="D68" t="s">
        <v>642</v>
      </c>
      <c r="E68" t="s">
        <v>643</v>
      </c>
      <c r="F68" t="s">
        <v>194</v>
      </c>
      <c r="G68" t="s">
        <v>354</v>
      </c>
      <c r="H68" t="s">
        <v>194</v>
      </c>
      <c r="I68" t="s">
        <v>211</v>
      </c>
      <c r="J68" t="s">
        <v>644</v>
      </c>
      <c r="K68" t="s">
        <v>645</v>
      </c>
      <c r="L68" t="s">
        <v>646</v>
      </c>
      <c r="M68" t="s">
        <v>194</v>
      </c>
    </row>
    <row r="69" spans="1:13">
      <c r="A69" t="s">
        <v>647</v>
      </c>
      <c r="B69" t="s">
        <v>648</v>
      </c>
      <c r="C69" t="s">
        <v>649</v>
      </c>
      <c r="D69" t="s">
        <v>650</v>
      </c>
      <c r="E69" t="s">
        <v>650</v>
      </c>
      <c r="F69" t="s">
        <v>651</v>
      </c>
      <c r="G69" t="s">
        <v>195</v>
      </c>
      <c r="H69" t="s">
        <v>194</v>
      </c>
      <c r="I69" t="s">
        <v>196</v>
      </c>
      <c r="J69" t="s">
        <v>652</v>
      </c>
      <c r="K69" t="s">
        <v>653</v>
      </c>
      <c r="L69" t="s">
        <v>654</v>
      </c>
      <c r="M69" t="s">
        <v>194</v>
      </c>
    </row>
    <row r="70" spans="1:13">
      <c r="A70" t="s">
        <v>647</v>
      </c>
      <c r="B70" t="s">
        <v>655</v>
      </c>
      <c r="C70" t="s">
        <v>656</v>
      </c>
      <c r="D70" t="s">
        <v>657</v>
      </c>
      <c r="E70" t="s">
        <v>657</v>
      </c>
      <c r="F70" t="s">
        <v>658</v>
      </c>
      <c r="G70" t="s">
        <v>195</v>
      </c>
      <c r="H70" t="s">
        <v>194</v>
      </c>
      <c r="I70" t="s">
        <v>196</v>
      </c>
      <c r="J70" t="s">
        <v>659</v>
      </c>
      <c r="K70" t="s">
        <v>660</v>
      </c>
      <c r="L70" t="s">
        <v>661</v>
      </c>
      <c r="M70" t="s">
        <v>662</v>
      </c>
    </row>
    <row r="71" spans="1:13">
      <c r="A71" t="s">
        <v>647</v>
      </c>
      <c r="B71" t="s">
        <v>663</v>
      </c>
      <c r="C71" t="s">
        <v>664</v>
      </c>
      <c r="D71" t="s">
        <v>665</v>
      </c>
      <c r="E71" t="s">
        <v>665</v>
      </c>
      <c r="F71" t="s">
        <v>194</v>
      </c>
      <c r="G71" t="s">
        <v>195</v>
      </c>
      <c r="H71" t="s">
        <v>194</v>
      </c>
      <c r="I71" t="s">
        <v>211</v>
      </c>
      <c r="J71" t="s">
        <v>666</v>
      </c>
      <c r="K71" t="s">
        <v>667</v>
      </c>
      <c r="L71" t="s">
        <v>668</v>
      </c>
      <c r="M71" t="s">
        <v>669</v>
      </c>
    </row>
    <row r="72" spans="1:13">
      <c r="A72" t="s">
        <v>647</v>
      </c>
      <c r="B72" t="s">
        <v>670</v>
      </c>
      <c r="C72" t="s">
        <v>671</v>
      </c>
      <c r="D72" t="s">
        <v>672</v>
      </c>
      <c r="E72" t="s">
        <v>672</v>
      </c>
      <c r="F72" t="s">
        <v>194</v>
      </c>
      <c r="G72" t="s">
        <v>219</v>
      </c>
      <c r="H72" t="s">
        <v>194</v>
      </c>
      <c r="I72" t="s">
        <v>211</v>
      </c>
      <c r="J72" t="s">
        <v>673</v>
      </c>
      <c r="K72" t="s">
        <v>674</v>
      </c>
      <c r="L72" t="s">
        <v>675</v>
      </c>
      <c r="M72" t="s">
        <v>676</v>
      </c>
    </row>
    <row r="73" spans="1:13">
      <c r="A73" t="s">
        <v>677</v>
      </c>
      <c r="B73" t="s">
        <v>12</v>
      </c>
      <c r="C73" t="s">
        <v>678</v>
      </c>
      <c r="D73" t="s">
        <v>12</v>
      </c>
      <c r="E73" t="s">
        <v>12</v>
      </c>
      <c r="F73" t="s">
        <v>679</v>
      </c>
      <c r="G73" t="s">
        <v>195</v>
      </c>
      <c r="H73" t="s">
        <v>194</v>
      </c>
      <c r="I73" t="s">
        <v>211</v>
      </c>
      <c r="J73" t="s">
        <v>680</v>
      </c>
      <c r="K73" t="s">
        <v>681</v>
      </c>
      <c r="L73" t="s">
        <v>682</v>
      </c>
      <c r="M73" t="s">
        <v>683</v>
      </c>
    </row>
    <row r="74" spans="1:13">
      <c r="A74" t="s">
        <v>684</v>
      </c>
      <c r="B74" t="s">
        <v>685</v>
      </c>
      <c r="C74" t="s">
        <v>686</v>
      </c>
      <c r="D74" t="s">
        <v>687</v>
      </c>
      <c r="E74" t="s">
        <v>687</v>
      </c>
      <c r="F74" t="s">
        <v>194</v>
      </c>
      <c r="G74" t="s">
        <v>195</v>
      </c>
      <c r="H74" t="s">
        <v>194</v>
      </c>
      <c r="I74" t="s">
        <v>196</v>
      </c>
      <c r="J74" t="s">
        <v>688</v>
      </c>
      <c r="K74" t="s">
        <v>689</v>
      </c>
      <c r="L74" t="s">
        <v>690</v>
      </c>
      <c r="M74" t="s">
        <v>691</v>
      </c>
    </row>
    <row r="75" spans="1:13">
      <c r="A75" t="s">
        <v>692</v>
      </c>
      <c r="B75" t="s">
        <v>693</v>
      </c>
      <c r="C75" t="s">
        <v>694</v>
      </c>
      <c r="D75" t="s">
        <v>695</v>
      </c>
      <c r="E75" t="s">
        <v>695</v>
      </c>
      <c r="F75" t="s">
        <v>194</v>
      </c>
      <c r="G75" t="s">
        <v>354</v>
      </c>
      <c r="H75" t="s">
        <v>194</v>
      </c>
      <c r="I75" t="s">
        <v>211</v>
      </c>
      <c r="J75" t="s">
        <v>696</v>
      </c>
      <c r="K75" t="s">
        <v>697</v>
      </c>
      <c r="L75" t="s">
        <v>698</v>
      </c>
      <c r="M75" t="s">
        <v>699</v>
      </c>
    </row>
    <row r="76" spans="1:13">
      <c r="A76" t="s">
        <v>692</v>
      </c>
      <c r="B76" t="s">
        <v>700</v>
      </c>
      <c r="C76" t="s">
        <v>701</v>
      </c>
      <c r="D76" t="s">
        <v>702</v>
      </c>
      <c r="E76" t="s">
        <v>702</v>
      </c>
      <c r="F76" t="s">
        <v>703</v>
      </c>
      <c r="G76" t="s">
        <v>195</v>
      </c>
      <c r="H76" t="s">
        <v>194</v>
      </c>
      <c r="I76" t="s">
        <v>211</v>
      </c>
      <c r="J76" t="s">
        <v>704</v>
      </c>
      <c r="K76" t="s">
        <v>705</v>
      </c>
      <c r="L76" t="s">
        <v>706</v>
      </c>
      <c r="M76" t="s">
        <v>707</v>
      </c>
    </row>
    <row r="77" spans="1:13">
      <c r="A77" t="s">
        <v>692</v>
      </c>
      <c r="B77" t="s">
        <v>708</v>
      </c>
      <c r="C77" t="s">
        <v>709</v>
      </c>
      <c r="D77" t="s">
        <v>710</v>
      </c>
      <c r="E77" t="s">
        <v>710</v>
      </c>
      <c r="F77" t="s">
        <v>194</v>
      </c>
      <c r="G77" t="s">
        <v>354</v>
      </c>
      <c r="H77" t="s">
        <v>194</v>
      </c>
      <c r="I77" t="s">
        <v>211</v>
      </c>
      <c r="J77" t="s">
        <v>711</v>
      </c>
      <c r="K77" t="s">
        <v>712</v>
      </c>
      <c r="L77" t="s">
        <v>713</v>
      </c>
      <c r="M77" t="s">
        <v>714</v>
      </c>
    </row>
    <row r="78" spans="1:13">
      <c r="A78" t="s">
        <v>715</v>
      </c>
      <c r="B78" t="s">
        <v>716</v>
      </c>
      <c r="C78" t="s">
        <v>717</v>
      </c>
      <c r="D78" t="s">
        <v>718</v>
      </c>
      <c r="E78" t="s">
        <v>718</v>
      </c>
      <c r="F78" t="s">
        <v>719</v>
      </c>
      <c r="G78" t="s">
        <v>195</v>
      </c>
      <c r="H78" t="s">
        <v>194</v>
      </c>
      <c r="I78" t="s">
        <v>196</v>
      </c>
      <c r="J78" t="s">
        <v>720</v>
      </c>
      <c r="K78" t="s">
        <v>721</v>
      </c>
      <c r="L78" t="s">
        <v>722</v>
      </c>
      <c r="M78" t="s">
        <v>723</v>
      </c>
    </row>
    <row r="79" spans="1:13">
      <c r="A79" t="s">
        <v>715</v>
      </c>
      <c r="B79" t="s">
        <v>724</v>
      </c>
      <c r="C79" t="s">
        <v>725</v>
      </c>
      <c r="D79" t="s">
        <v>724</v>
      </c>
      <c r="E79" t="s">
        <v>724</v>
      </c>
      <c r="F79" t="s">
        <v>726</v>
      </c>
      <c r="G79" t="s">
        <v>195</v>
      </c>
      <c r="H79" t="s">
        <v>194</v>
      </c>
      <c r="I79" t="s">
        <v>211</v>
      </c>
      <c r="J79" t="s">
        <v>727</v>
      </c>
      <c r="K79" t="s">
        <v>728</v>
      </c>
      <c r="L79" t="s">
        <v>729</v>
      </c>
      <c r="M79" t="s">
        <v>194</v>
      </c>
    </row>
    <row r="80" spans="1:13">
      <c r="A80" t="s">
        <v>715</v>
      </c>
      <c r="B80" t="s">
        <v>730</v>
      </c>
      <c r="C80" t="s">
        <v>731</v>
      </c>
      <c r="D80" t="s">
        <v>730</v>
      </c>
      <c r="E80" t="s">
        <v>730</v>
      </c>
      <c r="F80" t="s">
        <v>732</v>
      </c>
      <c r="G80" t="s">
        <v>195</v>
      </c>
      <c r="H80" t="s">
        <v>194</v>
      </c>
      <c r="I80" t="s">
        <v>211</v>
      </c>
      <c r="J80" t="s">
        <v>733</v>
      </c>
      <c r="K80" t="s">
        <v>734</v>
      </c>
      <c r="L80" t="s">
        <v>735</v>
      </c>
      <c r="M80" t="s">
        <v>194</v>
      </c>
    </row>
    <row r="81" spans="1:13">
      <c r="A81" t="s">
        <v>715</v>
      </c>
      <c r="B81" t="s">
        <v>736</v>
      </c>
      <c r="C81" t="s">
        <v>737</v>
      </c>
      <c r="D81" t="s">
        <v>738</v>
      </c>
      <c r="E81" t="s">
        <v>738</v>
      </c>
      <c r="F81" t="s">
        <v>278</v>
      </c>
      <c r="G81" t="s">
        <v>195</v>
      </c>
      <c r="H81" t="s">
        <v>194</v>
      </c>
      <c r="I81" t="s">
        <v>211</v>
      </c>
      <c r="J81" t="s">
        <v>739</v>
      </c>
      <c r="K81" t="s">
        <v>740</v>
      </c>
      <c r="L81" t="s">
        <v>741</v>
      </c>
      <c r="M81" t="s">
        <v>194</v>
      </c>
    </row>
    <row r="82" spans="1:13">
      <c r="A82" t="s">
        <v>742</v>
      </c>
      <c r="B82" t="s">
        <v>321</v>
      </c>
      <c r="C82" t="s">
        <v>743</v>
      </c>
      <c r="D82" t="s">
        <v>321</v>
      </c>
      <c r="E82" t="s">
        <v>321</v>
      </c>
      <c r="F82" t="s">
        <v>744</v>
      </c>
      <c r="G82" t="s">
        <v>195</v>
      </c>
      <c r="H82" t="s">
        <v>194</v>
      </c>
      <c r="I82" t="s">
        <v>287</v>
      </c>
      <c r="J82" t="s">
        <v>745</v>
      </c>
      <c r="K82" t="s">
        <v>746</v>
      </c>
      <c r="L82" t="s">
        <v>747</v>
      </c>
      <c r="M82" t="s">
        <v>748</v>
      </c>
    </row>
    <row r="83" spans="1:13">
      <c r="A83" t="s">
        <v>742</v>
      </c>
      <c r="B83" t="s">
        <v>749</v>
      </c>
      <c r="C83" t="s">
        <v>750</v>
      </c>
      <c r="D83" t="s">
        <v>749</v>
      </c>
      <c r="E83" t="s">
        <v>749</v>
      </c>
      <c r="F83" t="s">
        <v>194</v>
      </c>
      <c r="G83" t="s">
        <v>195</v>
      </c>
      <c r="H83" t="s">
        <v>194</v>
      </c>
      <c r="I83" t="s">
        <v>287</v>
      </c>
      <c r="J83" t="s">
        <v>751</v>
      </c>
      <c r="K83" t="s">
        <v>752</v>
      </c>
      <c r="L83" t="s">
        <v>753</v>
      </c>
      <c r="M83" t="s">
        <v>194</v>
      </c>
    </row>
    <row r="84" spans="1:13">
      <c r="A84" t="s">
        <v>742</v>
      </c>
      <c r="B84" t="s">
        <v>472</v>
      </c>
      <c r="C84" t="s">
        <v>754</v>
      </c>
      <c r="D84" t="s">
        <v>472</v>
      </c>
      <c r="E84" t="s">
        <v>472</v>
      </c>
      <c r="F84" t="s">
        <v>755</v>
      </c>
      <c r="G84" t="s">
        <v>195</v>
      </c>
      <c r="H84" t="s">
        <v>194</v>
      </c>
      <c r="I84" t="s">
        <v>287</v>
      </c>
      <c r="J84" t="s">
        <v>756</v>
      </c>
      <c r="K84" t="s">
        <v>757</v>
      </c>
      <c r="L84" t="s">
        <v>758</v>
      </c>
      <c r="M84" t="s">
        <v>759</v>
      </c>
    </row>
    <row r="85" spans="1:13">
      <c r="A85" t="s">
        <v>760</v>
      </c>
      <c r="B85" t="s">
        <v>761</v>
      </c>
      <c r="C85" t="s">
        <v>762</v>
      </c>
      <c r="D85" t="s">
        <v>761</v>
      </c>
      <c r="E85" t="s">
        <v>761</v>
      </c>
      <c r="F85" t="s">
        <v>763</v>
      </c>
      <c r="G85" t="s">
        <v>195</v>
      </c>
      <c r="H85" t="s">
        <v>194</v>
      </c>
      <c r="I85" t="s">
        <v>196</v>
      </c>
      <c r="J85" t="s">
        <v>764</v>
      </c>
      <c r="K85" t="s">
        <v>765</v>
      </c>
      <c r="L85" t="s">
        <v>766</v>
      </c>
      <c r="M85" t="s">
        <v>194</v>
      </c>
    </row>
    <row r="86" spans="1:13">
      <c r="A86" t="s">
        <v>760</v>
      </c>
      <c r="B86" t="s">
        <v>767</v>
      </c>
      <c r="C86" t="s">
        <v>768</v>
      </c>
      <c r="D86" t="s">
        <v>769</v>
      </c>
      <c r="E86" t="s">
        <v>769</v>
      </c>
      <c r="F86" t="s">
        <v>194</v>
      </c>
      <c r="G86" t="s">
        <v>354</v>
      </c>
      <c r="H86" t="s">
        <v>194</v>
      </c>
      <c r="I86" t="s">
        <v>196</v>
      </c>
      <c r="J86" t="s">
        <v>770</v>
      </c>
      <c r="K86" t="s">
        <v>771</v>
      </c>
      <c r="L86" t="s">
        <v>772</v>
      </c>
      <c r="M86" t="s">
        <v>194</v>
      </c>
    </row>
    <row r="87" spans="1:13">
      <c r="A87" t="s">
        <v>760</v>
      </c>
      <c r="B87" t="s">
        <v>773</v>
      </c>
      <c r="C87" t="s">
        <v>774</v>
      </c>
      <c r="D87" t="s">
        <v>775</v>
      </c>
      <c r="E87" t="s">
        <v>775</v>
      </c>
      <c r="F87" t="s">
        <v>194</v>
      </c>
      <c r="G87" t="s">
        <v>354</v>
      </c>
      <c r="H87" t="s">
        <v>194</v>
      </c>
      <c r="I87" t="s">
        <v>196</v>
      </c>
      <c r="J87" t="s">
        <v>776</v>
      </c>
      <c r="K87" t="s">
        <v>777</v>
      </c>
      <c r="L87" t="s">
        <v>778</v>
      </c>
      <c r="M87" t="s">
        <v>194</v>
      </c>
    </row>
    <row r="88" spans="1:13">
      <c r="A88" t="s">
        <v>760</v>
      </c>
      <c r="B88" t="s">
        <v>779</v>
      </c>
      <c r="C88" t="s">
        <v>780</v>
      </c>
      <c r="D88" t="s">
        <v>781</v>
      </c>
      <c r="E88" t="s">
        <v>781</v>
      </c>
      <c r="F88" t="s">
        <v>782</v>
      </c>
      <c r="G88" t="s">
        <v>195</v>
      </c>
      <c r="H88" t="s">
        <v>194</v>
      </c>
      <c r="I88" t="s">
        <v>196</v>
      </c>
      <c r="J88" t="s">
        <v>783</v>
      </c>
      <c r="K88" t="s">
        <v>784</v>
      </c>
      <c r="L88" t="s">
        <v>785</v>
      </c>
      <c r="M88" t="s">
        <v>194</v>
      </c>
    </row>
    <row r="89" spans="1:13">
      <c r="A89" t="s">
        <v>760</v>
      </c>
      <c r="B89" t="s">
        <v>786</v>
      </c>
      <c r="C89" t="s">
        <v>787</v>
      </c>
      <c r="D89" t="s">
        <v>786</v>
      </c>
      <c r="E89" t="s">
        <v>786</v>
      </c>
      <c r="F89" t="s">
        <v>194</v>
      </c>
      <c r="G89" t="s">
        <v>195</v>
      </c>
      <c r="H89" t="s">
        <v>194</v>
      </c>
      <c r="I89" t="s">
        <v>211</v>
      </c>
      <c r="J89" t="s">
        <v>788</v>
      </c>
      <c r="K89" t="s">
        <v>789</v>
      </c>
      <c r="L89" t="s">
        <v>790</v>
      </c>
      <c r="M89" t="s">
        <v>194</v>
      </c>
    </row>
    <row r="90" spans="1:13">
      <c r="A90" t="s">
        <v>791</v>
      </c>
      <c r="B90" t="s">
        <v>321</v>
      </c>
      <c r="C90" t="s">
        <v>792</v>
      </c>
      <c r="D90" t="s">
        <v>321</v>
      </c>
      <c r="E90" t="s">
        <v>321</v>
      </c>
      <c r="F90" t="s">
        <v>793</v>
      </c>
      <c r="G90" t="s">
        <v>195</v>
      </c>
      <c r="H90" t="s">
        <v>194</v>
      </c>
      <c r="I90" t="s">
        <v>196</v>
      </c>
      <c r="J90" t="s">
        <v>794</v>
      </c>
      <c r="K90" t="s">
        <v>795</v>
      </c>
      <c r="L90" t="s">
        <v>796</v>
      </c>
      <c r="M90" t="s">
        <v>194</v>
      </c>
    </row>
    <row r="91" spans="1:13">
      <c r="A91" t="s">
        <v>791</v>
      </c>
      <c r="B91" t="s">
        <v>797</v>
      </c>
      <c r="C91" t="s">
        <v>798</v>
      </c>
      <c r="D91" t="s">
        <v>797</v>
      </c>
      <c r="E91" t="s">
        <v>797</v>
      </c>
      <c r="F91" t="s">
        <v>799</v>
      </c>
      <c r="G91" t="s">
        <v>195</v>
      </c>
      <c r="H91" t="s">
        <v>194</v>
      </c>
      <c r="I91" t="s">
        <v>196</v>
      </c>
      <c r="J91" t="s">
        <v>800</v>
      </c>
      <c r="K91" t="s">
        <v>801</v>
      </c>
      <c r="L91" t="s">
        <v>802</v>
      </c>
      <c r="M91" t="s">
        <v>194</v>
      </c>
    </row>
    <row r="92" spans="1:13">
      <c r="A92" t="s">
        <v>791</v>
      </c>
      <c r="B92" t="s">
        <v>17</v>
      </c>
      <c r="C92" t="s">
        <v>803</v>
      </c>
      <c r="D92" t="s">
        <v>17</v>
      </c>
      <c r="E92" t="s">
        <v>17</v>
      </c>
      <c r="F92" t="s">
        <v>194</v>
      </c>
      <c r="G92" t="s">
        <v>195</v>
      </c>
      <c r="H92" t="s">
        <v>194</v>
      </c>
      <c r="I92" t="s">
        <v>196</v>
      </c>
      <c r="J92" t="s">
        <v>804</v>
      </c>
      <c r="K92" t="s">
        <v>805</v>
      </c>
      <c r="L92" t="s">
        <v>806</v>
      </c>
      <c r="M92" t="s">
        <v>194</v>
      </c>
    </row>
    <row r="93" spans="1:13">
      <c r="A93" t="s">
        <v>791</v>
      </c>
      <c r="B93" t="s">
        <v>807</v>
      </c>
      <c r="C93" t="s">
        <v>808</v>
      </c>
      <c r="D93" t="s">
        <v>807</v>
      </c>
      <c r="E93" t="s">
        <v>807</v>
      </c>
      <c r="F93" t="s">
        <v>194</v>
      </c>
      <c r="G93" t="s">
        <v>195</v>
      </c>
      <c r="H93" t="s">
        <v>194</v>
      </c>
      <c r="I93" t="s">
        <v>809</v>
      </c>
      <c r="J93" t="s">
        <v>810</v>
      </c>
      <c r="K93" t="s">
        <v>811</v>
      </c>
      <c r="L93" t="s">
        <v>812</v>
      </c>
      <c r="M93" t="s">
        <v>194</v>
      </c>
    </row>
    <row r="94" spans="1:13">
      <c r="A94" t="s">
        <v>813</v>
      </c>
      <c r="B94" t="s">
        <v>321</v>
      </c>
      <c r="C94" t="s">
        <v>814</v>
      </c>
      <c r="D94" t="s">
        <v>321</v>
      </c>
      <c r="E94" t="s">
        <v>321</v>
      </c>
      <c r="F94" t="s">
        <v>815</v>
      </c>
      <c r="G94" t="s">
        <v>195</v>
      </c>
      <c r="H94" t="s">
        <v>194</v>
      </c>
      <c r="I94" t="s">
        <v>211</v>
      </c>
      <c r="J94" t="s">
        <v>816</v>
      </c>
      <c r="K94" t="s">
        <v>817</v>
      </c>
      <c r="L94" t="s">
        <v>818</v>
      </c>
      <c r="M94" t="s">
        <v>194</v>
      </c>
    </row>
    <row r="95" spans="1:13">
      <c r="A95" t="s">
        <v>813</v>
      </c>
      <c r="B95" t="s">
        <v>819</v>
      </c>
      <c r="C95" t="s">
        <v>820</v>
      </c>
      <c r="D95" t="s">
        <v>821</v>
      </c>
      <c r="E95" t="s">
        <v>821</v>
      </c>
      <c r="F95" t="s">
        <v>194</v>
      </c>
      <c r="G95" t="s">
        <v>354</v>
      </c>
      <c r="H95" t="s">
        <v>194</v>
      </c>
      <c r="I95" t="s">
        <v>196</v>
      </c>
      <c r="J95" t="s">
        <v>822</v>
      </c>
      <c r="K95" t="s">
        <v>823</v>
      </c>
      <c r="L95" t="s">
        <v>824</v>
      </c>
      <c r="M95" t="s">
        <v>194</v>
      </c>
    </row>
    <row r="96" spans="1:13">
      <c r="A96" t="s">
        <v>813</v>
      </c>
      <c r="B96" t="s">
        <v>825</v>
      </c>
      <c r="C96" t="s">
        <v>826</v>
      </c>
      <c r="D96" t="s">
        <v>827</v>
      </c>
      <c r="E96" t="s">
        <v>827</v>
      </c>
      <c r="F96" t="s">
        <v>763</v>
      </c>
      <c r="G96" t="s">
        <v>195</v>
      </c>
      <c r="H96" t="s">
        <v>194</v>
      </c>
      <c r="I96" t="s">
        <v>196</v>
      </c>
      <c r="J96" t="s">
        <v>828</v>
      </c>
      <c r="K96" t="s">
        <v>194</v>
      </c>
      <c r="L96" t="s">
        <v>829</v>
      </c>
      <c r="M96" t="s">
        <v>194</v>
      </c>
    </row>
    <row r="97" spans="1:13">
      <c r="A97" t="s">
        <v>813</v>
      </c>
      <c r="B97" t="s">
        <v>830</v>
      </c>
      <c r="C97" t="s">
        <v>831</v>
      </c>
      <c r="D97" t="s">
        <v>832</v>
      </c>
      <c r="E97" t="s">
        <v>832</v>
      </c>
      <c r="F97" t="s">
        <v>194</v>
      </c>
      <c r="G97" t="s">
        <v>354</v>
      </c>
      <c r="H97" t="s">
        <v>194</v>
      </c>
      <c r="I97" t="s">
        <v>196</v>
      </c>
      <c r="J97" t="s">
        <v>833</v>
      </c>
      <c r="K97" t="s">
        <v>834</v>
      </c>
      <c r="L97" t="s">
        <v>835</v>
      </c>
      <c r="M97" t="s">
        <v>194</v>
      </c>
    </row>
    <row r="98" spans="1:13">
      <c r="A98" t="s">
        <v>813</v>
      </c>
      <c r="B98" t="s">
        <v>836</v>
      </c>
      <c r="C98" t="s">
        <v>837</v>
      </c>
      <c r="D98" t="s">
        <v>838</v>
      </c>
      <c r="E98" t="s">
        <v>838</v>
      </c>
      <c r="F98" t="s">
        <v>763</v>
      </c>
      <c r="G98" t="s">
        <v>195</v>
      </c>
      <c r="H98" t="s">
        <v>194</v>
      </c>
      <c r="I98" t="s">
        <v>196</v>
      </c>
      <c r="J98" t="s">
        <v>839</v>
      </c>
      <c r="K98" t="s">
        <v>194</v>
      </c>
      <c r="L98" t="s">
        <v>840</v>
      </c>
      <c r="M98" t="s">
        <v>194</v>
      </c>
    </row>
    <row r="99" spans="1:13">
      <c r="A99" t="s">
        <v>813</v>
      </c>
      <c r="B99" t="s">
        <v>841</v>
      </c>
      <c r="C99" t="s">
        <v>842</v>
      </c>
      <c r="D99" t="s">
        <v>843</v>
      </c>
      <c r="E99" t="s">
        <v>843</v>
      </c>
      <c r="F99" t="s">
        <v>278</v>
      </c>
      <c r="G99" t="s">
        <v>195</v>
      </c>
      <c r="H99" t="s">
        <v>194</v>
      </c>
      <c r="I99" t="s">
        <v>211</v>
      </c>
      <c r="J99" t="s">
        <v>844</v>
      </c>
      <c r="K99" t="s">
        <v>845</v>
      </c>
      <c r="L99" t="s">
        <v>846</v>
      </c>
      <c r="M99" t="s">
        <v>194</v>
      </c>
    </row>
    <row r="100" spans="1:13">
      <c r="A100" t="s">
        <v>813</v>
      </c>
      <c r="B100" t="s">
        <v>847</v>
      </c>
      <c r="C100" t="s">
        <v>848</v>
      </c>
      <c r="D100" t="s">
        <v>849</v>
      </c>
      <c r="E100" t="s">
        <v>849</v>
      </c>
      <c r="F100" t="s">
        <v>194</v>
      </c>
      <c r="G100" t="s">
        <v>354</v>
      </c>
      <c r="H100" t="s">
        <v>194</v>
      </c>
      <c r="I100" t="s">
        <v>196</v>
      </c>
      <c r="J100" t="s">
        <v>850</v>
      </c>
      <c r="K100" t="s">
        <v>851</v>
      </c>
      <c r="L100" t="s">
        <v>852</v>
      </c>
      <c r="M100" t="s">
        <v>194</v>
      </c>
    </row>
    <row r="101" spans="1:13">
      <c r="A101" t="s">
        <v>813</v>
      </c>
      <c r="B101" t="s">
        <v>853</v>
      </c>
      <c r="C101" t="s">
        <v>854</v>
      </c>
      <c r="D101" t="s">
        <v>855</v>
      </c>
      <c r="E101" t="s">
        <v>855</v>
      </c>
      <c r="F101" t="s">
        <v>194</v>
      </c>
      <c r="G101" t="s">
        <v>354</v>
      </c>
      <c r="H101" t="s">
        <v>194</v>
      </c>
      <c r="I101" t="s">
        <v>211</v>
      </c>
      <c r="J101" t="s">
        <v>856</v>
      </c>
      <c r="K101" t="s">
        <v>857</v>
      </c>
      <c r="L101" t="s">
        <v>858</v>
      </c>
      <c r="M101" t="s">
        <v>194</v>
      </c>
    </row>
    <row r="102" spans="1:13">
      <c r="A102" t="s">
        <v>859</v>
      </c>
      <c r="B102" t="s">
        <v>860</v>
      </c>
      <c r="C102" t="s">
        <v>861</v>
      </c>
      <c r="D102" t="s">
        <v>862</v>
      </c>
      <c r="E102" t="s">
        <v>862</v>
      </c>
      <c r="F102" t="s">
        <v>194</v>
      </c>
      <c r="G102" t="s">
        <v>863</v>
      </c>
      <c r="H102" t="s">
        <v>194</v>
      </c>
      <c r="I102" t="s">
        <v>196</v>
      </c>
      <c r="J102" t="s">
        <v>864</v>
      </c>
      <c r="K102" t="s">
        <v>865</v>
      </c>
      <c r="L102" t="s">
        <v>866</v>
      </c>
      <c r="M102" t="s">
        <v>194</v>
      </c>
    </row>
    <row r="103" spans="1:13">
      <c r="A103" t="s">
        <v>859</v>
      </c>
      <c r="B103" t="s">
        <v>867</v>
      </c>
      <c r="C103" t="s">
        <v>868</v>
      </c>
      <c r="D103" t="s">
        <v>869</v>
      </c>
      <c r="E103" t="s">
        <v>869</v>
      </c>
      <c r="F103" t="s">
        <v>870</v>
      </c>
      <c r="G103" t="s">
        <v>195</v>
      </c>
      <c r="H103" t="s">
        <v>194</v>
      </c>
      <c r="I103" t="s">
        <v>196</v>
      </c>
      <c r="J103" t="s">
        <v>871</v>
      </c>
      <c r="K103" t="s">
        <v>872</v>
      </c>
      <c r="L103" t="s">
        <v>873</v>
      </c>
      <c r="M103" t="s">
        <v>194</v>
      </c>
    </row>
    <row r="104" spans="1:13">
      <c r="A104" t="s">
        <v>859</v>
      </c>
      <c r="B104" t="s">
        <v>874</v>
      </c>
      <c r="C104" t="s">
        <v>875</v>
      </c>
      <c r="D104" t="s">
        <v>876</v>
      </c>
      <c r="E104" t="s">
        <v>876</v>
      </c>
      <c r="F104" t="s">
        <v>194</v>
      </c>
      <c r="G104" t="s">
        <v>354</v>
      </c>
      <c r="H104" t="s">
        <v>194</v>
      </c>
      <c r="I104" t="s">
        <v>211</v>
      </c>
      <c r="J104" t="s">
        <v>877</v>
      </c>
      <c r="K104" t="s">
        <v>878</v>
      </c>
      <c r="L104" t="s">
        <v>879</v>
      </c>
      <c r="M104" t="s">
        <v>194</v>
      </c>
    </row>
    <row r="105" spans="1:13">
      <c r="A105" t="s">
        <v>859</v>
      </c>
      <c r="B105" t="s">
        <v>880</v>
      </c>
      <c r="C105" t="s">
        <v>881</v>
      </c>
      <c r="D105" t="s">
        <v>880</v>
      </c>
      <c r="E105" t="s">
        <v>880</v>
      </c>
      <c r="F105" t="s">
        <v>278</v>
      </c>
      <c r="G105" t="s">
        <v>195</v>
      </c>
      <c r="H105" t="s">
        <v>194</v>
      </c>
      <c r="I105" t="s">
        <v>211</v>
      </c>
      <c r="J105" t="s">
        <v>882</v>
      </c>
      <c r="K105" t="s">
        <v>883</v>
      </c>
      <c r="L105" t="s">
        <v>884</v>
      </c>
      <c r="M105" t="s">
        <v>194</v>
      </c>
    </row>
    <row r="106" spans="1:13">
      <c r="A106" t="s">
        <v>859</v>
      </c>
      <c r="B106" t="s">
        <v>885</v>
      </c>
      <c r="C106" t="s">
        <v>886</v>
      </c>
      <c r="D106" t="s">
        <v>885</v>
      </c>
      <c r="E106" t="s">
        <v>887</v>
      </c>
      <c r="F106" t="s">
        <v>194</v>
      </c>
      <c r="G106" t="s">
        <v>354</v>
      </c>
      <c r="H106" t="s">
        <v>194</v>
      </c>
      <c r="I106" t="s">
        <v>211</v>
      </c>
      <c r="J106" t="s">
        <v>888</v>
      </c>
      <c r="K106" t="s">
        <v>194</v>
      </c>
      <c r="L106" t="s">
        <v>194</v>
      </c>
      <c r="M106" t="s">
        <v>194</v>
      </c>
    </row>
    <row r="107" spans="1:13">
      <c r="A107" t="s">
        <v>889</v>
      </c>
      <c r="B107" t="s">
        <v>890</v>
      </c>
      <c r="C107" t="s">
        <v>891</v>
      </c>
      <c r="D107" t="s">
        <v>892</v>
      </c>
      <c r="E107" t="s">
        <v>892</v>
      </c>
      <c r="F107" t="s">
        <v>194</v>
      </c>
      <c r="G107" t="s">
        <v>195</v>
      </c>
      <c r="H107" t="s">
        <v>194</v>
      </c>
      <c r="I107" t="s">
        <v>196</v>
      </c>
      <c r="J107" t="s">
        <v>893</v>
      </c>
      <c r="K107" t="s">
        <v>894</v>
      </c>
      <c r="L107" t="s">
        <v>895</v>
      </c>
      <c r="M107" t="s">
        <v>194</v>
      </c>
    </row>
    <row r="108" spans="1:13">
      <c r="A108" t="s">
        <v>889</v>
      </c>
      <c r="B108" t="s">
        <v>896</v>
      </c>
      <c r="C108" t="s">
        <v>897</v>
      </c>
      <c r="D108" t="s">
        <v>898</v>
      </c>
      <c r="E108" t="s">
        <v>898</v>
      </c>
      <c r="F108" t="s">
        <v>194</v>
      </c>
      <c r="G108" t="s">
        <v>195</v>
      </c>
      <c r="H108" t="s">
        <v>194</v>
      </c>
      <c r="I108" t="s">
        <v>196</v>
      </c>
      <c r="J108" t="s">
        <v>899</v>
      </c>
      <c r="K108" t="s">
        <v>900</v>
      </c>
      <c r="L108" t="s">
        <v>901</v>
      </c>
      <c r="M108" t="s">
        <v>194</v>
      </c>
    </row>
    <row r="109" spans="1:13">
      <c r="A109" t="s">
        <v>889</v>
      </c>
      <c r="B109" t="s">
        <v>902</v>
      </c>
      <c r="C109" t="s">
        <v>903</v>
      </c>
      <c r="D109" t="s">
        <v>904</v>
      </c>
      <c r="E109" t="s">
        <v>904</v>
      </c>
      <c r="F109" t="s">
        <v>905</v>
      </c>
      <c r="G109" t="s">
        <v>195</v>
      </c>
      <c r="H109" t="s">
        <v>194</v>
      </c>
      <c r="I109" t="s">
        <v>196</v>
      </c>
      <c r="J109" t="s">
        <v>906</v>
      </c>
      <c r="K109" t="s">
        <v>907</v>
      </c>
      <c r="L109" t="s">
        <v>908</v>
      </c>
      <c r="M109" t="s">
        <v>194</v>
      </c>
    </row>
    <row r="110" spans="1:13">
      <c r="A110" t="s">
        <v>909</v>
      </c>
      <c r="B110" t="s">
        <v>910</v>
      </c>
      <c r="C110" t="s">
        <v>911</v>
      </c>
      <c r="D110" t="s">
        <v>912</v>
      </c>
      <c r="E110" t="s">
        <v>912</v>
      </c>
      <c r="F110" t="s">
        <v>913</v>
      </c>
      <c r="G110" t="s">
        <v>195</v>
      </c>
      <c r="H110" t="s">
        <v>194</v>
      </c>
      <c r="I110" t="s">
        <v>914</v>
      </c>
      <c r="J110" t="s">
        <v>194</v>
      </c>
      <c r="K110" t="s">
        <v>194</v>
      </c>
      <c r="L110" t="s">
        <v>915</v>
      </c>
      <c r="M110" t="s">
        <v>194</v>
      </c>
    </row>
    <row r="111" spans="1:13">
      <c r="A111" t="s">
        <v>909</v>
      </c>
      <c r="B111" t="s">
        <v>916</v>
      </c>
      <c r="C111" t="s">
        <v>917</v>
      </c>
      <c r="D111" t="s">
        <v>918</v>
      </c>
      <c r="E111" t="s">
        <v>918</v>
      </c>
      <c r="F111" t="s">
        <v>919</v>
      </c>
      <c r="G111" t="s">
        <v>195</v>
      </c>
      <c r="H111" t="s">
        <v>194</v>
      </c>
      <c r="I111" t="s">
        <v>914</v>
      </c>
      <c r="J111" t="s">
        <v>194</v>
      </c>
      <c r="K111" t="s">
        <v>194</v>
      </c>
      <c r="L111" t="s">
        <v>920</v>
      </c>
      <c r="M111" t="s">
        <v>194</v>
      </c>
    </row>
    <row r="112" spans="1:13">
      <c r="A112" t="s">
        <v>909</v>
      </c>
      <c r="B112" t="s">
        <v>921</v>
      </c>
      <c r="C112" t="s">
        <v>922</v>
      </c>
      <c r="D112" t="s">
        <v>923</v>
      </c>
      <c r="E112" t="s">
        <v>923</v>
      </c>
      <c r="F112" t="s">
        <v>194</v>
      </c>
      <c r="G112" t="s">
        <v>195</v>
      </c>
      <c r="H112" t="s">
        <v>194</v>
      </c>
      <c r="I112" t="s">
        <v>211</v>
      </c>
      <c r="J112" t="s">
        <v>194</v>
      </c>
      <c r="K112" t="s">
        <v>194</v>
      </c>
      <c r="L112" t="s">
        <v>924</v>
      </c>
      <c r="M112" t="s">
        <v>194</v>
      </c>
    </row>
    <row r="113" spans="1:13">
      <c r="A113" t="s">
        <v>909</v>
      </c>
      <c r="B113" t="s">
        <v>925</v>
      </c>
      <c r="C113" t="s">
        <v>926</v>
      </c>
      <c r="D113" t="s">
        <v>927</v>
      </c>
      <c r="E113" t="s">
        <v>927</v>
      </c>
      <c r="F113" t="s">
        <v>928</v>
      </c>
      <c r="G113" t="s">
        <v>195</v>
      </c>
      <c r="H113" t="s">
        <v>194</v>
      </c>
      <c r="I113" t="s">
        <v>211</v>
      </c>
      <c r="J113" t="s">
        <v>929</v>
      </c>
      <c r="K113" t="s">
        <v>930</v>
      </c>
      <c r="L113" t="s">
        <v>931</v>
      </c>
      <c r="M113" t="s">
        <v>194</v>
      </c>
    </row>
    <row r="114" spans="1:13">
      <c r="A114" t="s">
        <v>909</v>
      </c>
      <c r="B114" t="s">
        <v>932</v>
      </c>
      <c r="C114" t="s">
        <v>933</v>
      </c>
      <c r="D114" t="s">
        <v>934</v>
      </c>
      <c r="E114" t="s">
        <v>934</v>
      </c>
      <c r="F114" t="s">
        <v>194</v>
      </c>
      <c r="G114" t="s">
        <v>195</v>
      </c>
      <c r="H114" t="s">
        <v>194</v>
      </c>
      <c r="I114" t="s">
        <v>211</v>
      </c>
      <c r="J114" t="s">
        <v>935</v>
      </c>
      <c r="K114" t="s">
        <v>936</v>
      </c>
      <c r="L114" t="s">
        <v>937</v>
      </c>
      <c r="M114" t="s">
        <v>194</v>
      </c>
    </row>
    <row r="115" spans="1:13">
      <c r="A115" t="s">
        <v>909</v>
      </c>
      <c r="B115" t="s">
        <v>938</v>
      </c>
      <c r="C115" t="s">
        <v>939</v>
      </c>
      <c r="D115" t="s">
        <v>940</v>
      </c>
      <c r="E115" t="s">
        <v>940</v>
      </c>
      <c r="F115" t="s">
        <v>194</v>
      </c>
      <c r="G115" t="s">
        <v>863</v>
      </c>
      <c r="H115" t="s">
        <v>194</v>
      </c>
      <c r="I115" t="s">
        <v>211</v>
      </c>
      <c r="J115" t="s">
        <v>941</v>
      </c>
      <c r="K115" t="s">
        <v>942</v>
      </c>
      <c r="L115" t="s">
        <v>943</v>
      </c>
      <c r="M115" t="s">
        <v>194</v>
      </c>
    </row>
    <row r="116" spans="1:13">
      <c r="A116" t="s">
        <v>909</v>
      </c>
      <c r="B116" t="s">
        <v>944</v>
      </c>
      <c r="C116" t="s">
        <v>945</v>
      </c>
      <c r="D116" t="s">
        <v>946</v>
      </c>
      <c r="E116" t="s">
        <v>946</v>
      </c>
      <c r="F116" t="s">
        <v>194</v>
      </c>
      <c r="G116" t="s">
        <v>195</v>
      </c>
      <c r="H116" t="s">
        <v>194</v>
      </c>
      <c r="I116" t="s">
        <v>211</v>
      </c>
      <c r="J116" t="s">
        <v>947</v>
      </c>
      <c r="K116" t="s">
        <v>948</v>
      </c>
      <c r="L116" t="s">
        <v>949</v>
      </c>
      <c r="M116" t="s">
        <v>194</v>
      </c>
    </row>
    <row r="117" spans="1:13">
      <c r="A117" t="s">
        <v>909</v>
      </c>
      <c r="B117" t="s">
        <v>950</v>
      </c>
      <c r="C117" t="s">
        <v>951</v>
      </c>
      <c r="D117" t="s">
        <v>952</v>
      </c>
      <c r="E117" t="s">
        <v>952</v>
      </c>
      <c r="F117" t="s">
        <v>194</v>
      </c>
      <c r="G117" t="s">
        <v>195</v>
      </c>
      <c r="H117" t="s">
        <v>194</v>
      </c>
      <c r="I117" t="s">
        <v>211</v>
      </c>
      <c r="J117" t="s">
        <v>953</v>
      </c>
      <c r="K117" t="s">
        <v>954</v>
      </c>
      <c r="L117" t="s">
        <v>955</v>
      </c>
      <c r="M117" t="s">
        <v>194</v>
      </c>
    </row>
    <row r="118" spans="1:13">
      <c r="A118" t="s">
        <v>909</v>
      </c>
      <c r="B118" t="s">
        <v>956</v>
      </c>
      <c r="C118" t="s">
        <v>957</v>
      </c>
      <c r="D118" t="s">
        <v>958</v>
      </c>
      <c r="E118" t="s">
        <v>958</v>
      </c>
      <c r="F118" t="s">
        <v>194</v>
      </c>
      <c r="G118" t="s">
        <v>195</v>
      </c>
      <c r="H118" t="s">
        <v>194</v>
      </c>
      <c r="I118" t="s">
        <v>211</v>
      </c>
      <c r="J118" t="s">
        <v>959</v>
      </c>
      <c r="K118" t="s">
        <v>960</v>
      </c>
      <c r="L118" t="s">
        <v>961</v>
      </c>
      <c r="M118" t="s">
        <v>194</v>
      </c>
    </row>
    <row r="119" spans="1:13">
      <c r="A119" t="s">
        <v>909</v>
      </c>
      <c r="B119" t="s">
        <v>962</v>
      </c>
      <c r="C119" t="s">
        <v>963</v>
      </c>
      <c r="D119" t="s">
        <v>964</v>
      </c>
      <c r="E119" t="s">
        <v>964</v>
      </c>
      <c r="F119" t="s">
        <v>194</v>
      </c>
      <c r="G119" t="s">
        <v>195</v>
      </c>
      <c r="H119" t="s">
        <v>194</v>
      </c>
      <c r="I119" t="s">
        <v>196</v>
      </c>
      <c r="J119" t="s">
        <v>965</v>
      </c>
      <c r="K119" t="s">
        <v>966</v>
      </c>
      <c r="L119" t="s">
        <v>967</v>
      </c>
      <c r="M119" t="s">
        <v>968</v>
      </c>
    </row>
    <row r="120" spans="1:13">
      <c r="A120" t="s">
        <v>909</v>
      </c>
      <c r="B120" t="s">
        <v>969</v>
      </c>
      <c r="C120" t="s">
        <v>970</v>
      </c>
      <c r="D120" t="s">
        <v>971</v>
      </c>
      <c r="E120" t="s">
        <v>971</v>
      </c>
      <c r="F120" t="s">
        <v>194</v>
      </c>
      <c r="G120" t="s">
        <v>195</v>
      </c>
      <c r="H120" t="s">
        <v>194</v>
      </c>
      <c r="I120" t="s">
        <v>211</v>
      </c>
      <c r="J120" t="s">
        <v>972</v>
      </c>
      <c r="K120" t="s">
        <v>973</v>
      </c>
      <c r="L120" t="s">
        <v>974</v>
      </c>
      <c r="M120" t="s">
        <v>975</v>
      </c>
    </row>
    <row r="121" spans="1:13">
      <c r="A121" t="s">
        <v>909</v>
      </c>
      <c r="B121" t="s">
        <v>976</v>
      </c>
      <c r="C121" t="s">
        <v>977</v>
      </c>
      <c r="D121" t="s">
        <v>978</v>
      </c>
      <c r="E121" t="s">
        <v>978</v>
      </c>
      <c r="F121" t="s">
        <v>194</v>
      </c>
      <c r="G121" t="s">
        <v>195</v>
      </c>
      <c r="H121" t="s">
        <v>194</v>
      </c>
      <c r="I121" t="s">
        <v>211</v>
      </c>
      <c r="J121" t="s">
        <v>979</v>
      </c>
      <c r="K121" t="s">
        <v>980</v>
      </c>
      <c r="L121" t="s">
        <v>981</v>
      </c>
      <c r="M121" t="s">
        <v>982</v>
      </c>
    </row>
    <row r="122" spans="1:13">
      <c r="A122" t="s">
        <v>909</v>
      </c>
      <c r="B122" t="s">
        <v>983</v>
      </c>
      <c r="C122" t="s">
        <v>984</v>
      </c>
      <c r="D122" t="s">
        <v>985</v>
      </c>
      <c r="E122" t="s">
        <v>985</v>
      </c>
      <c r="F122" t="s">
        <v>194</v>
      </c>
      <c r="G122" t="s">
        <v>195</v>
      </c>
      <c r="H122" t="s">
        <v>194</v>
      </c>
      <c r="I122" t="s">
        <v>211</v>
      </c>
      <c r="J122" t="s">
        <v>986</v>
      </c>
      <c r="K122" t="s">
        <v>987</v>
      </c>
      <c r="L122" t="s">
        <v>988</v>
      </c>
      <c r="M122" t="s">
        <v>989</v>
      </c>
    </row>
    <row r="123" spans="1:13">
      <c r="A123" t="s">
        <v>909</v>
      </c>
      <c r="B123" t="s">
        <v>990</v>
      </c>
      <c r="C123" t="s">
        <v>991</v>
      </c>
      <c r="D123" t="s">
        <v>992</v>
      </c>
      <c r="E123" t="s">
        <v>992</v>
      </c>
      <c r="F123" t="s">
        <v>993</v>
      </c>
      <c r="G123" t="s">
        <v>195</v>
      </c>
      <c r="H123" t="s">
        <v>194</v>
      </c>
      <c r="I123" t="s">
        <v>211</v>
      </c>
      <c r="J123" t="s">
        <v>994</v>
      </c>
      <c r="K123" t="s">
        <v>995</v>
      </c>
      <c r="L123" t="s">
        <v>996</v>
      </c>
      <c r="M123" t="s">
        <v>194</v>
      </c>
    </row>
    <row r="124" spans="1:13">
      <c r="A124" t="s">
        <v>909</v>
      </c>
      <c r="B124" t="s">
        <v>997</v>
      </c>
      <c r="C124" t="s">
        <v>998</v>
      </c>
      <c r="D124" t="s">
        <v>999</v>
      </c>
      <c r="E124" t="s">
        <v>999</v>
      </c>
      <c r="F124" t="s">
        <v>1000</v>
      </c>
      <c r="G124" t="s">
        <v>195</v>
      </c>
      <c r="H124" t="s">
        <v>194</v>
      </c>
      <c r="I124" t="s">
        <v>211</v>
      </c>
      <c r="J124" t="s">
        <v>1001</v>
      </c>
      <c r="K124" t="s">
        <v>1002</v>
      </c>
      <c r="L124" t="s">
        <v>1003</v>
      </c>
      <c r="M124" t="s">
        <v>1004</v>
      </c>
    </row>
    <row r="125" spans="1:13">
      <c r="A125" t="s">
        <v>909</v>
      </c>
      <c r="B125" t="s">
        <v>1005</v>
      </c>
      <c r="C125" t="s">
        <v>1006</v>
      </c>
      <c r="D125" t="s">
        <v>1005</v>
      </c>
      <c r="E125" t="s">
        <v>1005</v>
      </c>
      <c r="F125" t="s">
        <v>1007</v>
      </c>
      <c r="G125" t="s">
        <v>195</v>
      </c>
      <c r="H125" t="s">
        <v>194</v>
      </c>
      <c r="I125" t="s">
        <v>211</v>
      </c>
      <c r="J125" t="s">
        <v>1008</v>
      </c>
      <c r="K125" t="s">
        <v>1005</v>
      </c>
      <c r="L125" t="s">
        <v>1009</v>
      </c>
      <c r="M125" t="s">
        <v>1010</v>
      </c>
    </row>
    <row r="126" spans="1:13">
      <c r="A126" t="s">
        <v>909</v>
      </c>
      <c r="B126" t="s">
        <v>1011</v>
      </c>
      <c r="C126" t="s">
        <v>1012</v>
      </c>
      <c r="D126" t="s">
        <v>1011</v>
      </c>
      <c r="E126" t="s">
        <v>1013</v>
      </c>
      <c r="F126" t="s">
        <v>278</v>
      </c>
      <c r="G126" t="s">
        <v>195</v>
      </c>
      <c r="H126" t="s">
        <v>194</v>
      </c>
      <c r="I126" t="s">
        <v>211</v>
      </c>
      <c r="J126" t="s">
        <v>1014</v>
      </c>
      <c r="K126" t="s">
        <v>1015</v>
      </c>
      <c r="L126" t="s">
        <v>1016</v>
      </c>
      <c r="M126" t="s">
        <v>194</v>
      </c>
    </row>
    <row r="127" spans="1:13">
      <c r="A127" t="s">
        <v>1017</v>
      </c>
      <c r="B127" t="s">
        <v>1018</v>
      </c>
      <c r="C127" t="s">
        <v>1019</v>
      </c>
      <c r="D127" t="s">
        <v>1020</v>
      </c>
      <c r="E127" t="s">
        <v>1020</v>
      </c>
      <c r="F127" t="s">
        <v>194</v>
      </c>
      <c r="G127" t="s">
        <v>354</v>
      </c>
      <c r="H127" t="s">
        <v>194</v>
      </c>
      <c r="I127" t="s">
        <v>196</v>
      </c>
      <c r="J127" t="s">
        <v>1021</v>
      </c>
      <c r="K127" t="s">
        <v>1022</v>
      </c>
      <c r="L127" t="s">
        <v>1023</v>
      </c>
      <c r="M127" t="s">
        <v>194</v>
      </c>
    </row>
    <row r="128" spans="1:13">
      <c r="A128" t="s">
        <v>1017</v>
      </c>
      <c r="B128" t="s">
        <v>1024</v>
      </c>
      <c r="C128" t="s">
        <v>1025</v>
      </c>
      <c r="D128" t="s">
        <v>1026</v>
      </c>
      <c r="E128" t="s">
        <v>1026</v>
      </c>
      <c r="F128" t="s">
        <v>194</v>
      </c>
      <c r="G128" t="s">
        <v>354</v>
      </c>
      <c r="H128" t="s">
        <v>194</v>
      </c>
      <c r="I128" t="s">
        <v>196</v>
      </c>
      <c r="J128" t="s">
        <v>1027</v>
      </c>
      <c r="K128" t="s">
        <v>1028</v>
      </c>
      <c r="L128" t="s">
        <v>1029</v>
      </c>
      <c r="M128" t="s">
        <v>194</v>
      </c>
    </row>
    <row r="129" spans="1:13">
      <c r="A129" t="s">
        <v>1017</v>
      </c>
      <c r="B129" t="s">
        <v>1030</v>
      </c>
      <c r="C129" t="s">
        <v>1031</v>
      </c>
      <c r="D129" t="s">
        <v>1032</v>
      </c>
      <c r="E129" t="s">
        <v>1032</v>
      </c>
      <c r="F129" t="s">
        <v>278</v>
      </c>
      <c r="G129" t="s">
        <v>195</v>
      </c>
      <c r="H129" t="s">
        <v>194</v>
      </c>
      <c r="I129" t="s">
        <v>211</v>
      </c>
      <c r="J129" t="s">
        <v>1033</v>
      </c>
      <c r="K129" t="s">
        <v>1034</v>
      </c>
      <c r="L129" t="s">
        <v>1035</v>
      </c>
      <c r="M129" t="s">
        <v>194</v>
      </c>
    </row>
    <row r="130" spans="1:13">
      <c r="A130" t="s">
        <v>1017</v>
      </c>
      <c r="B130" t="s">
        <v>1036</v>
      </c>
      <c r="C130" t="s">
        <v>1037</v>
      </c>
      <c r="D130" t="s">
        <v>1038</v>
      </c>
      <c r="E130" t="s">
        <v>1038</v>
      </c>
      <c r="F130" t="s">
        <v>1039</v>
      </c>
      <c r="G130" t="s">
        <v>195</v>
      </c>
      <c r="H130" t="s">
        <v>194</v>
      </c>
      <c r="I130" t="s">
        <v>196</v>
      </c>
      <c r="J130" t="s">
        <v>1040</v>
      </c>
      <c r="K130" t="s">
        <v>1041</v>
      </c>
      <c r="L130" t="s">
        <v>1042</v>
      </c>
      <c r="M130" t="s">
        <v>1043</v>
      </c>
    </row>
    <row r="131" spans="1:13">
      <c r="A131" t="s">
        <v>1017</v>
      </c>
      <c r="B131" t="s">
        <v>1044</v>
      </c>
      <c r="C131" t="s">
        <v>1045</v>
      </c>
      <c r="D131" t="s">
        <v>1046</v>
      </c>
      <c r="E131" t="s">
        <v>1046</v>
      </c>
      <c r="F131" t="s">
        <v>1047</v>
      </c>
      <c r="G131" t="s">
        <v>195</v>
      </c>
      <c r="H131" t="s">
        <v>194</v>
      </c>
      <c r="I131" t="s">
        <v>211</v>
      </c>
      <c r="J131" t="s">
        <v>1048</v>
      </c>
      <c r="K131" t="s">
        <v>1049</v>
      </c>
      <c r="L131" t="s">
        <v>1050</v>
      </c>
      <c r="M131" t="s">
        <v>194</v>
      </c>
    </row>
    <row r="132" spans="1:13">
      <c r="A132" t="s">
        <v>1051</v>
      </c>
      <c r="B132" t="s">
        <v>1052</v>
      </c>
      <c r="C132" t="s">
        <v>1053</v>
      </c>
      <c r="D132" t="s">
        <v>1054</v>
      </c>
      <c r="E132" t="s">
        <v>1054</v>
      </c>
      <c r="F132" t="s">
        <v>1055</v>
      </c>
      <c r="G132" t="s">
        <v>195</v>
      </c>
      <c r="H132" t="s">
        <v>194</v>
      </c>
      <c r="I132" t="s">
        <v>196</v>
      </c>
      <c r="J132" t="s">
        <v>1056</v>
      </c>
      <c r="K132" t="s">
        <v>1057</v>
      </c>
      <c r="L132" t="s">
        <v>1058</v>
      </c>
      <c r="M132" t="s">
        <v>194</v>
      </c>
    </row>
    <row r="133" spans="1:13">
      <c r="A133" t="s">
        <v>1051</v>
      </c>
      <c r="B133" t="s">
        <v>486</v>
      </c>
      <c r="C133" t="s">
        <v>1059</v>
      </c>
      <c r="D133" t="s">
        <v>486</v>
      </c>
      <c r="E133" t="s">
        <v>486</v>
      </c>
      <c r="F133" t="s">
        <v>194</v>
      </c>
      <c r="G133" t="s">
        <v>863</v>
      </c>
      <c r="H133" t="s">
        <v>194</v>
      </c>
      <c r="I133" t="s">
        <v>196</v>
      </c>
      <c r="J133" t="s">
        <v>1060</v>
      </c>
      <c r="K133" t="s">
        <v>1061</v>
      </c>
      <c r="L133" t="s">
        <v>1062</v>
      </c>
      <c r="M133" t="s">
        <v>194</v>
      </c>
    </row>
    <row r="134" spans="1:13">
      <c r="A134" t="s">
        <v>1063</v>
      </c>
      <c r="B134" t="s">
        <v>1064</v>
      </c>
      <c r="C134" t="s">
        <v>1065</v>
      </c>
      <c r="D134" t="s">
        <v>1066</v>
      </c>
      <c r="E134" t="s">
        <v>194</v>
      </c>
      <c r="F134" t="s">
        <v>1067</v>
      </c>
      <c r="G134" t="s">
        <v>194</v>
      </c>
      <c r="H134" t="s">
        <v>1068</v>
      </c>
      <c r="I134" t="s">
        <v>194</v>
      </c>
      <c r="J134" t="s">
        <v>194</v>
      </c>
      <c r="K134" t="s">
        <v>194</v>
      </c>
      <c r="L134" t="s">
        <v>1069</v>
      </c>
      <c r="M134" t="s">
        <v>194</v>
      </c>
    </row>
    <row r="135" spans="1:13">
      <c r="A135" t="s">
        <v>1063</v>
      </c>
      <c r="B135" t="s">
        <v>1070</v>
      </c>
      <c r="C135" t="s">
        <v>1071</v>
      </c>
      <c r="D135" t="s">
        <v>1072</v>
      </c>
      <c r="E135" t="s">
        <v>194</v>
      </c>
      <c r="F135" t="s">
        <v>1067</v>
      </c>
      <c r="G135" t="s">
        <v>194</v>
      </c>
      <c r="H135" t="s">
        <v>1073</v>
      </c>
      <c r="I135" t="s">
        <v>194</v>
      </c>
      <c r="J135" t="s">
        <v>194</v>
      </c>
      <c r="K135" t="s">
        <v>194</v>
      </c>
      <c r="L135" t="s">
        <v>1074</v>
      </c>
      <c r="M135" t="s">
        <v>194</v>
      </c>
    </row>
    <row r="136" spans="1:13">
      <c r="A136" t="s">
        <v>1075</v>
      </c>
      <c r="B136" t="s">
        <v>1076</v>
      </c>
      <c r="C136" t="s">
        <v>1077</v>
      </c>
      <c r="D136" t="s">
        <v>1078</v>
      </c>
      <c r="E136" t="s">
        <v>194</v>
      </c>
      <c r="F136" t="s">
        <v>1067</v>
      </c>
      <c r="G136" t="s">
        <v>194</v>
      </c>
      <c r="H136" t="s">
        <v>1079</v>
      </c>
      <c r="I136" t="s">
        <v>194</v>
      </c>
      <c r="J136" t="s">
        <v>194</v>
      </c>
      <c r="K136" t="s">
        <v>194</v>
      </c>
      <c r="L136" t="s">
        <v>1080</v>
      </c>
      <c r="M136" t="s">
        <v>194</v>
      </c>
    </row>
    <row r="137" spans="1:13">
      <c r="A137" t="s">
        <v>1075</v>
      </c>
      <c r="B137" t="s">
        <v>1081</v>
      </c>
      <c r="C137" t="s">
        <v>1082</v>
      </c>
      <c r="D137" t="s">
        <v>1083</v>
      </c>
      <c r="E137" t="s">
        <v>194</v>
      </c>
      <c r="F137" t="s">
        <v>1067</v>
      </c>
      <c r="G137" t="s">
        <v>194</v>
      </c>
      <c r="H137" t="s">
        <v>1084</v>
      </c>
      <c r="I137" t="s">
        <v>194</v>
      </c>
      <c r="J137" t="s">
        <v>194</v>
      </c>
      <c r="K137" t="s">
        <v>194</v>
      </c>
      <c r="L137" t="s">
        <v>1085</v>
      </c>
      <c r="M137" t="s">
        <v>194</v>
      </c>
    </row>
    <row r="138" spans="1:13">
      <c r="A138" t="s">
        <v>1075</v>
      </c>
      <c r="B138" t="s">
        <v>1086</v>
      </c>
      <c r="C138" t="s">
        <v>1087</v>
      </c>
      <c r="D138" t="s">
        <v>1088</v>
      </c>
      <c r="E138" t="s">
        <v>194</v>
      </c>
      <c r="F138" t="s">
        <v>1067</v>
      </c>
      <c r="G138" t="s">
        <v>194</v>
      </c>
      <c r="H138" t="s">
        <v>1089</v>
      </c>
      <c r="I138" t="s">
        <v>194</v>
      </c>
      <c r="J138" t="s">
        <v>194</v>
      </c>
      <c r="K138" t="s">
        <v>194</v>
      </c>
      <c r="L138" t="s">
        <v>1090</v>
      </c>
      <c r="M138" t="s">
        <v>194</v>
      </c>
    </row>
    <row r="139" spans="1:13">
      <c r="A139" t="s">
        <v>1075</v>
      </c>
      <c r="B139" t="s">
        <v>1091</v>
      </c>
      <c r="C139" t="s">
        <v>1092</v>
      </c>
      <c r="D139" t="s">
        <v>1091</v>
      </c>
      <c r="E139" t="s">
        <v>194</v>
      </c>
      <c r="F139" t="s">
        <v>194</v>
      </c>
      <c r="G139" t="s">
        <v>194</v>
      </c>
      <c r="H139" t="s">
        <v>1093</v>
      </c>
      <c r="I139" t="s">
        <v>194</v>
      </c>
      <c r="J139" t="s">
        <v>194</v>
      </c>
      <c r="K139" t="s">
        <v>194</v>
      </c>
      <c r="L139" t="s">
        <v>1094</v>
      </c>
      <c r="M139" t="s">
        <v>194</v>
      </c>
    </row>
    <row r="140" spans="1:13">
      <c r="A140" t="s">
        <v>1075</v>
      </c>
      <c r="B140" t="s">
        <v>1095</v>
      </c>
      <c r="C140" t="s">
        <v>1096</v>
      </c>
      <c r="D140" t="s">
        <v>1097</v>
      </c>
      <c r="E140" t="s">
        <v>194</v>
      </c>
      <c r="F140" t="s">
        <v>1067</v>
      </c>
      <c r="G140" t="s">
        <v>194</v>
      </c>
      <c r="H140" t="s">
        <v>1098</v>
      </c>
      <c r="I140" t="s">
        <v>194</v>
      </c>
      <c r="J140" t="s">
        <v>194</v>
      </c>
      <c r="K140" t="s">
        <v>194</v>
      </c>
      <c r="L140" t="s">
        <v>1099</v>
      </c>
      <c r="M140" t="s">
        <v>194</v>
      </c>
    </row>
    <row r="141" spans="1:13">
      <c r="A141" t="s">
        <v>1075</v>
      </c>
      <c r="B141" t="s">
        <v>1100</v>
      </c>
      <c r="C141" t="s">
        <v>1101</v>
      </c>
      <c r="D141" t="s">
        <v>1102</v>
      </c>
      <c r="E141" t="s">
        <v>194</v>
      </c>
      <c r="F141" t="s">
        <v>1067</v>
      </c>
      <c r="G141" t="s">
        <v>194</v>
      </c>
      <c r="H141" t="s">
        <v>1103</v>
      </c>
      <c r="I141" t="s">
        <v>194</v>
      </c>
      <c r="J141" t="s">
        <v>194</v>
      </c>
      <c r="K141" t="s">
        <v>194</v>
      </c>
      <c r="L141" t="s">
        <v>1104</v>
      </c>
      <c r="M141" t="s">
        <v>194</v>
      </c>
    </row>
    <row r="142" spans="1:13">
      <c r="A142" t="s">
        <v>1075</v>
      </c>
      <c r="B142" t="s">
        <v>1105</v>
      </c>
      <c r="C142" t="s">
        <v>1106</v>
      </c>
      <c r="D142" t="s">
        <v>1107</v>
      </c>
      <c r="E142" t="s">
        <v>194</v>
      </c>
      <c r="F142" t="s">
        <v>1067</v>
      </c>
      <c r="G142" t="s">
        <v>194</v>
      </c>
      <c r="H142" t="s">
        <v>1108</v>
      </c>
      <c r="I142" t="s">
        <v>194</v>
      </c>
      <c r="J142" t="s">
        <v>194</v>
      </c>
      <c r="K142" t="s">
        <v>194</v>
      </c>
      <c r="L142" t="s">
        <v>1109</v>
      </c>
      <c r="M142" t="s">
        <v>194</v>
      </c>
    </row>
    <row r="143" spans="1:13">
      <c r="A143" t="s">
        <v>1110</v>
      </c>
      <c r="B143" t="s">
        <v>1111</v>
      </c>
      <c r="C143" t="s">
        <v>1112</v>
      </c>
      <c r="D143" t="s">
        <v>1113</v>
      </c>
      <c r="E143" t="s">
        <v>194</v>
      </c>
      <c r="F143" t="s">
        <v>1067</v>
      </c>
      <c r="G143" t="s">
        <v>194</v>
      </c>
      <c r="H143" t="s">
        <v>1114</v>
      </c>
      <c r="I143" t="s">
        <v>194</v>
      </c>
      <c r="J143" t="s">
        <v>194</v>
      </c>
      <c r="K143" t="s">
        <v>194</v>
      </c>
      <c r="L143" t="s">
        <v>1115</v>
      </c>
      <c r="M143" t="s">
        <v>194</v>
      </c>
    </row>
    <row r="144" spans="1:13">
      <c r="A144" t="s">
        <v>1110</v>
      </c>
      <c r="B144" t="s">
        <v>1116</v>
      </c>
      <c r="C144" t="s">
        <v>1117</v>
      </c>
      <c r="D144" t="s">
        <v>1118</v>
      </c>
      <c r="E144" t="s">
        <v>194</v>
      </c>
      <c r="F144" t="s">
        <v>1067</v>
      </c>
      <c r="G144" t="s">
        <v>194</v>
      </c>
      <c r="H144" t="s">
        <v>1119</v>
      </c>
      <c r="I144" t="s">
        <v>194</v>
      </c>
      <c r="J144" t="s">
        <v>194</v>
      </c>
      <c r="K144" t="s">
        <v>194</v>
      </c>
      <c r="L144" t="s">
        <v>1120</v>
      </c>
      <c r="M144" t="s">
        <v>194</v>
      </c>
    </row>
    <row r="145" spans="1:13">
      <c r="A145" t="s">
        <v>1110</v>
      </c>
      <c r="B145" t="s">
        <v>1121</v>
      </c>
      <c r="C145" t="s">
        <v>1122</v>
      </c>
      <c r="D145" t="s">
        <v>1121</v>
      </c>
      <c r="E145" t="s">
        <v>194</v>
      </c>
      <c r="F145" t="s">
        <v>1067</v>
      </c>
      <c r="G145" t="s">
        <v>194</v>
      </c>
      <c r="H145" t="s">
        <v>1123</v>
      </c>
      <c r="I145" t="s">
        <v>194</v>
      </c>
      <c r="J145" t="s">
        <v>194</v>
      </c>
      <c r="K145" t="s">
        <v>194</v>
      </c>
      <c r="L145" t="s">
        <v>1124</v>
      </c>
      <c r="M145" t="s">
        <v>194</v>
      </c>
    </row>
    <row r="146" spans="1:13">
      <c r="A146" t="s">
        <v>1110</v>
      </c>
      <c r="B146" t="s">
        <v>3</v>
      </c>
      <c r="C146" t="s">
        <v>1125</v>
      </c>
      <c r="D146" t="s">
        <v>3</v>
      </c>
      <c r="E146" t="s">
        <v>194</v>
      </c>
      <c r="F146" t="s">
        <v>1067</v>
      </c>
      <c r="G146" t="s">
        <v>194</v>
      </c>
      <c r="H146" t="s">
        <v>1126</v>
      </c>
      <c r="I146" t="s">
        <v>194</v>
      </c>
      <c r="J146" t="s">
        <v>194</v>
      </c>
      <c r="K146" t="s">
        <v>194</v>
      </c>
      <c r="L146" t="s">
        <v>1127</v>
      </c>
      <c r="M146" t="s">
        <v>194</v>
      </c>
    </row>
    <row r="147" spans="1:13">
      <c r="A147" t="s">
        <v>1110</v>
      </c>
      <c r="B147" t="s">
        <v>1128</v>
      </c>
      <c r="C147" t="s">
        <v>1129</v>
      </c>
      <c r="D147" t="s">
        <v>1130</v>
      </c>
      <c r="E147" t="s">
        <v>194</v>
      </c>
      <c r="F147" t="s">
        <v>1067</v>
      </c>
      <c r="G147" t="s">
        <v>194</v>
      </c>
      <c r="H147" t="s">
        <v>1131</v>
      </c>
      <c r="I147" t="s">
        <v>194</v>
      </c>
      <c r="J147" t="s">
        <v>194</v>
      </c>
      <c r="K147" t="s">
        <v>194</v>
      </c>
      <c r="L147" t="s">
        <v>1132</v>
      </c>
      <c r="M147" t="s">
        <v>194</v>
      </c>
    </row>
    <row r="148" spans="1:13">
      <c r="A148" t="s">
        <v>1110</v>
      </c>
      <c r="B148" t="s">
        <v>1133</v>
      </c>
      <c r="C148" t="s">
        <v>1134</v>
      </c>
      <c r="D148" t="s">
        <v>1135</v>
      </c>
      <c r="E148" t="s">
        <v>194</v>
      </c>
      <c r="F148" t="s">
        <v>1067</v>
      </c>
      <c r="G148" t="s">
        <v>194</v>
      </c>
      <c r="H148" t="s">
        <v>1136</v>
      </c>
      <c r="I148" t="s">
        <v>194</v>
      </c>
      <c r="J148" t="s">
        <v>194</v>
      </c>
      <c r="K148" t="s">
        <v>194</v>
      </c>
      <c r="L148" t="s">
        <v>1137</v>
      </c>
      <c r="M148" t="s">
        <v>194</v>
      </c>
    </row>
    <row r="149" spans="1:13">
      <c r="A149" t="s">
        <v>1110</v>
      </c>
      <c r="B149" t="s">
        <v>1138</v>
      </c>
      <c r="C149" t="s">
        <v>1139</v>
      </c>
      <c r="D149" t="s">
        <v>1140</v>
      </c>
      <c r="E149" t="s">
        <v>194</v>
      </c>
      <c r="F149" t="s">
        <v>1067</v>
      </c>
      <c r="G149" t="s">
        <v>194</v>
      </c>
      <c r="H149" t="s">
        <v>1141</v>
      </c>
      <c r="I149" t="s">
        <v>194</v>
      </c>
      <c r="J149" t="s">
        <v>194</v>
      </c>
      <c r="K149" t="s">
        <v>194</v>
      </c>
      <c r="L149" t="s">
        <v>1142</v>
      </c>
      <c r="M149" t="s">
        <v>194</v>
      </c>
    </row>
    <row r="150" spans="1:13">
      <c r="A150" t="s">
        <v>1143</v>
      </c>
      <c r="B150" t="s">
        <v>1144</v>
      </c>
      <c r="C150" t="s">
        <v>1145</v>
      </c>
      <c r="D150" t="s">
        <v>1144</v>
      </c>
      <c r="E150" t="s">
        <v>194</v>
      </c>
      <c r="F150" t="s">
        <v>1067</v>
      </c>
      <c r="G150" t="s">
        <v>194</v>
      </c>
      <c r="H150" t="s">
        <v>1146</v>
      </c>
      <c r="I150" t="s">
        <v>194</v>
      </c>
      <c r="J150" t="s">
        <v>194</v>
      </c>
      <c r="K150" t="s">
        <v>194</v>
      </c>
      <c r="L150" t="s">
        <v>1147</v>
      </c>
      <c r="M150" t="s">
        <v>194</v>
      </c>
    </row>
    <row r="151" spans="1:13">
      <c r="A151" t="s">
        <v>1143</v>
      </c>
      <c r="B151" t="s">
        <v>1148</v>
      </c>
      <c r="C151" t="s">
        <v>1149</v>
      </c>
      <c r="D151" t="s">
        <v>1150</v>
      </c>
      <c r="E151" t="s">
        <v>194</v>
      </c>
      <c r="F151" t="s">
        <v>1067</v>
      </c>
      <c r="G151" t="s">
        <v>194</v>
      </c>
      <c r="H151" t="s">
        <v>1151</v>
      </c>
      <c r="I151" t="s">
        <v>194</v>
      </c>
      <c r="J151" t="s">
        <v>194</v>
      </c>
      <c r="K151" t="s">
        <v>194</v>
      </c>
      <c r="L151" t="s">
        <v>1152</v>
      </c>
      <c r="M151" t="s">
        <v>194</v>
      </c>
    </row>
    <row r="152" spans="1:13">
      <c r="A152" t="s">
        <v>1143</v>
      </c>
      <c r="B152" t="s">
        <v>1153</v>
      </c>
      <c r="C152" t="s">
        <v>1154</v>
      </c>
      <c r="D152" t="s">
        <v>1155</v>
      </c>
      <c r="E152" t="s">
        <v>194</v>
      </c>
      <c r="F152" t="s">
        <v>1067</v>
      </c>
      <c r="G152" t="s">
        <v>194</v>
      </c>
      <c r="H152" t="s">
        <v>1156</v>
      </c>
      <c r="I152" t="s">
        <v>194</v>
      </c>
      <c r="J152" t="s">
        <v>194</v>
      </c>
      <c r="K152" t="s">
        <v>194</v>
      </c>
      <c r="L152" t="s">
        <v>1157</v>
      </c>
      <c r="M152" t="s">
        <v>194</v>
      </c>
    </row>
    <row r="153" spans="1:13">
      <c r="A153" t="s">
        <v>1143</v>
      </c>
      <c r="B153" t="s">
        <v>1158</v>
      </c>
      <c r="C153" t="s">
        <v>1159</v>
      </c>
      <c r="D153" t="s">
        <v>1160</v>
      </c>
      <c r="E153" t="s">
        <v>194</v>
      </c>
      <c r="F153" t="s">
        <v>1067</v>
      </c>
      <c r="G153" t="s">
        <v>194</v>
      </c>
      <c r="H153" t="s">
        <v>1161</v>
      </c>
      <c r="I153" t="s">
        <v>194</v>
      </c>
      <c r="J153" t="s">
        <v>194</v>
      </c>
      <c r="K153" t="s">
        <v>194</v>
      </c>
      <c r="L153" t="s">
        <v>1162</v>
      </c>
      <c r="M153" t="s">
        <v>194</v>
      </c>
    </row>
    <row r="154" spans="1:13">
      <c r="A154" t="s">
        <v>1143</v>
      </c>
      <c r="B154" t="s">
        <v>1163</v>
      </c>
      <c r="C154" t="s">
        <v>1164</v>
      </c>
      <c r="D154" t="s">
        <v>1165</v>
      </c>
      <c r="E154" t="s">
        <v>194</v>
      </c>
      <c r="F154" t="s">
        <v>1067</v>
      </c>
      <c r="G154" t="s">
        <v>194</v>
      </c>
      <c r="H154" t="s">
        <v>1166</v>
      </c>
      <c r="I154" t="s">
        <v>194</v>
      </c>
      <c r="J154" t="s">
        <v>194</v>
      </c>
      <c r="K154" t="s">
        <v>194</v>
      </c>
      <c r="L154" t="s">
        <v>1167</v>
      </c>
      <c r="M154" t="s">
        <v>194</v>
      </c>
    </row>
    <row r="155" spans="1:13">
      <c r="A155" t="s">
        <v>1143</v>
      </c>
      <c r="B155" t="s">
        <v>1168</v>
      </c>
      <c r="C155" t="s">
        <v>1169</v>
      </c>
      <c r="D155" t="s">
        <v>1170</v>
      </c>
      <c r="E155" t="s">
        <v>194</v>
      </c>
      <c r="F155" t="s">
        <v>1067</v>
      </c>
      <c r="G155" t="s">
        <v>194</v>
      </c>
      <c r="H155" t="s">
        <v>1171</v>
      </c>
      <c r="I155" t="s">
        <v>194</v>
      </c>
      <c r="J155" t="s">
        <v>194</v>
      </c>
      <c r="K155" t="s">
        <v>194</v>
      </c>
      <c r="L155" t="s">
        <v>1172</v>
      </c>
      <c r="M155" t="s">
        <v>194</v>
      </c>
    </row>
    <row r="156" spans="1:13">
      <c r="A156" t="s">
        <v>1173</v>
      </c>
      <c r="B156" t="s">
        <v>1174</v>
      </c>
      <c r="C156" t="s">
        <v>1175</v>
      </c>
      <c r="D156" t="s">
        <v>1176</v>
      </c>
      <c r="E156" t="s">
        <v>194</v>
      </c>
      <c r="F156" t="s">
        <v>1067</v>
      </c>
      <c r="G156" t="s">
        <v>194</v>
      </c>
      <c r="H156" t="s">
        <v>1177</v>
      </c>
      <c r="I156" t="s">
        <v>194</v>
      </c>
      <c r="J156" t="s">
        <v>194</v>
      </c>
      <c r="K156" t="s">
        <v>194</v>
      </c>
      <c r="L156" t="s">
        <v>1178</v>
      </c>
      <c r="M156" t="s">
        <v>194</v>
      </c>
    </row>
    <row r="157" spans="1:13">
      <c r="A157" t="s">
        <v>1173</v>
      </c>
      <c r="B157" t="s">
        <v>1179</v>
      </c>
      <c r="C157" t="s">
        <v>1180</v>
      </c>
      <c r="D157" t="s">
        <v>1181</v>
      </c>
      <c r="E157" t="s">
        <v>194</v>
      </c>
      <c r="F157" t="s">
        <v>1067</v>
      </c>
      <c r="G157" t="s">
        <v>194</v>
      </c>
      <c r="H157" t="s">
        <v>1182</v>
      </c>
      <c r="I157" t="s">
        <v>194</v>
      </c>
      <c r="J157" t="s">
        <v>194</v>
      </c>
      <c r="K157" t="s">
        <v>194</v>
      </c>
      <c r="L157" t="s">
        <v>1183</v>
      </c>
      <c r="M157" t="s">
        <v>194</v>
      </c>
    </row>
    <row r="158" spans="1:13">
      <c r="A158" t="s">
        <v>1173</v>
      </c>
      <c r="B158" t="s">
        <v>1184</v>
      </c>
      <c r="C158" t="s">
        <v>1185</v>
      </c>
      <c r="D158" t="s">
        <v>1186</v>
      </c>
      <c r="E158" t="s">
        <v>194</v>
      </c>
      <c r="F158" t="s">
        <v>1067</v>
      </c>
      <c r="G158" t="s">
        <v>194</v>
      </c>
      <c r="H158" t="s">
        <v>1187</v>
      </c>
      <c r="I158" t="s">
        <v>194</v>
      </c>
      <c r="J158" t="s">
        <v>194</v>
      </c>
      <c r="K158" t="s">
        <v>194</v>
      </c>
      <c r="L158" t="s">
        <v>1188</v>
      </c>
      <c r="M158" t="s">
        <v>194</v>
      </c>
    </row>
    <row r="159" spans="1:13">
      <c r="A159" t="s">
        <v>1173</v>
      </c>
      <c r="B159" t="s">
        <v>1189</v>
      </c>
      <c r="C159" t="s">
        <v>1190</v>
      </c>
      <c r="D159" t="s">
        <v>1191</v>
      </c>
      <c r="E159" t="s">
        <v>194</v>
      </c>
      <c r="F159" t="s">
        <v>194</v>
      </c>
      <c r="G159" t="s">
        <v>194</v>
      </c>
      <c r="H159" t="s">
        <v>194</v>
      </c>
      <c r="I159" t="s">
        <v>194</v>
      </c>
      <c r="J159" t="s">
        <v>194</v>
      </c>
      <c r="K159" t="s">
        <v>194</v>
      </c>
      <c r="L159" t="s">
        <v>1192</v>
      </c>
      <c r="M159" t="s">
        <v>194</v>
      </c>
    </row>
    <row r="160" spans="1:13">
      <c r="A160" t="s">
        <v>1173</v>
      </c>
      <c r="B160" t="s">
        <v>1193</v>
      </c>
      <c r="C160" t="s">
        <v>1194</v>
      </c>
      <c r="D160" t="s">
        <v>1195</v>
      </c>
      <c r="E160" t="s">
        <v>194</v>
      </c>
      <c r="F160" t="s">
        <v>1067</v>
      </c>
      <c r="G160" t="s">
        <v>194</v>
      </c>
      <c r="H160" t="s">
        <v>1196</v>
      </c>
      <c r="I160" t="s">
        <v>194</v>
      </c>
      <c r="J160" t="s">
        <v>194</v>
      </c>
      <c r="K160" t="s">
        <v>194</v>
      </c>
      <c r="L160" t="s">
        <v>1197</v>
      </c>
      <c r="M160" t="s">
        <v>194</v>
      </c>
    </row>
    <row r="161" spans="1:13">
      <c r="A161" t="s">
        <v>1173</v>
      </c>
      <c r="B161" t="s">
        <v>1198</v>
      </c>
      <c r="C161" t="s">
        <v>1199</v>
      </c>
      <c r="D161" t="s">
        <v>1200</v>
      </c>
      <c r="E161" t="s">
        <v>194</v>
      </c>
      <c r="F161" t="s">
        <v>1067</v>
      </c>
      <c r="G161" t="s">
        <v>194</v>
      </c>
      <c r="H161" t="s">
        <v>1201</v>
      </c>
      <c r="I161" t="s">
        <v>194</v>
      </c>
      <c r="J161" t="s">
        <v>194</v>
      </c>
      <c r="K161" t="s">
        <v>194</v>
      </c>
      <c r="L161" t="s">
        <v>1202</v>
      </c>
      <c r="M161" t="s">
        <v>194</v>
      </c>
    </row>
    <row r="162" spans="1:13">
      <c r="A162" t="s">
        <v>1203</v>
      </c>
      <c r="B162" t="s">
        <v>1204</v>
      </c>
      <c r="C162" t="s">
        <v>1205</v>
      </c>
      <c r="D162" t="s">
        <v>1206</v>
      </c>
      <c r="E162" t="s">
        <v>194</v>
      </c>
      <c r="F162" t="s">
        <v>1067</v>
      </c>
      <c r="G162" t="s">
        <v>194</v>
      </c>
      <c r="H162" t="s">
        <v>1207</v>
      </c>
      <c r="I162" t="s">
        <v>194</v>
      </c>
      <c r="J162" t="s">
        <v>194</v>
      </c>
      <c r="K162" t="s">
        <v>194</v>
      </c>
      <c r="L162" t="s">
        <v>1208</v>
      </c>
      <c r="M162" t="s">
        <v>194</v>
      </c>
    </row>
    <row r="163" spans="1:13">
      <c r="A163" t="s">
        <v>1203</v>
      </c>
      <c r="B163" t="s">
        <v>1209</v>
      </c>
      <c r="C163" t="s">
        <v>1210</v>
      </c>
      <c r="D163" t="s">
        <v>1211</v>
      </c>
      <c r="E163" t="s">
        <v>194</v>
      </c>
      <c r="F163" t="s">
        <v>1067</v>
      </c>
      <c r="G163" t="s">
        <v>194</v>
      </c>
      <c r="H163" t="s">
        <v>1212</v>
      </c>
      <c r="I163" t="s">
        <v>194</v>
      </c>
      <c r="J163" t="s">
        <v>194</v>
      </c>
      <c r="K163" t="s">
        <v>194</v>
      </c>
      <c r="L163" t="s">
        <v>1213</v>
      </c>
      <c r="M163" t="s">
        <v>194</v>
      </c>
    </row>
    <row r="164" spans="1:13">
      <c r="A164" t="s">
        <v>1203</v>
      </c>
      <c r="B164" t="s">
        <v>1214</v>
      </c>
      <c r="C164" t="s">
        <v>1215</v>
      </c>
      <c r="D164" t="s">
        <v>1216</v>
      </c>
      <c r="E164" t="s">
        <v>194</v>
      </c>
      <c r="F164" t="s">
        <v>1067</v>
      </c>
      <c r="G164" t="s">
        <v>194</v>
      </c>
      <c r="H164" t="s">
        <v>1217</v>
      </c>
      <c r="I164" t="s">
        <v>194</v>
      </c>
      <c r="J164" t="s">
        <v>194</v>
      </c>
      <c r="K164" t="s">
        <v>194</v>
      </c>
      <c r="L164" t="s">
        <v>1218</v>
      </c>
      <c r="M164" t="s">
        <v>194</v>
      </c>
    </row>
    <row r="165" spans="1:13">
      <c r="A165" t="s">
        <v>1203</v>
      </c>
      <c r="B165" t="s">
        <v>1219</v>
      </c>
      <c r="C165" t="s">
        <v>1220</v>
      </c>
      <c r="D165" t="s">
        <v>1221</v>
      </c>
      <c r="E165" t="s">
        <v>194</v>
      </c>
      <c r="F165" t="s">
        <v>1067</v>
      </c>
      <c r="G165" t="s">
        <v>194</v>
      </c>
      <c r="H165" t="s">
        <v>1222</v>
      </c>
      <c r="I165" t="s">
        <v>194</v>
      </c>
      <c r="J165" t="s">
        <v>194</v>
      </c>
      <c r="K165" t="s">
        <v>194</v>
      </c>
      <c r="L165" t="s">
        <v>1223</v>
      </c>
      <c r="M165" t="s">
        <v>194</v>
      </c>
    </row>
    <row r="166" spans="1:13">
      <c r="A166" t="s">
        <v>1203</v>
      </c>
      <c r="B166" t="s">
        <v>1224</v>
      </c>
      <c r="C166" t="s">
        <v>1225</v>
      </c>
      <c r="D166" t="s">
        <v>1224</v>
      </c>
      <c r="E166" t="s">
        <v>194</v>
      </c>
      <c r="F166" t="s">
        <v>1067</v>
      </c>
      <c r="G166" t="s">
        <v>194</v>
      </c>
      <c r="H166" t="s">
        <v>1226</v>
      </c>
      <c r="I166" t="s">
        <v>194</v>
      </c>
      <c r="J166" t="s">
        <v>194</v>
      </c>
      <c r="K166" t="s">
        <v>194</v>
      </c>
      <c r="L166" t="s">
        <v>1227</v>
      </c>
      <c r="M166" t="s">
        <v>194</v>
      </c>
    </row>
    <row r="167" spans="1:13">
      <c r="A167" t="s">
        <v>1203</v>
      </c>
      <c r="B167" t="s">
        <v>1228</v>
      </c>
      <c r="C167" t="s">
        <v>1229</v>
      </c>
      <c r="D167" t="s">
        <v>1228</v>
      </c>
      <c r="E167" t="s">
        <v>194</v>
      </c>
      <c r="F167" t="s">
        <v>1067</v>
      </c>
      <c r="G167" t="s">
        <v>194</v>
      </c>
      <c r="H167" t="s">
        <v>1230</v>
      </c>
      <c r="I167" t="s">
        <v>194</v>
      </c>
      <c r="J167" t="s">
        <v>194</v>
      </c>
      <c r="K167" t="s">
        <v>194</v>
      </c>
      <c r="L167" t="s">
        <v>1231</v>
      </c>
      <c r="M167" t="s">
        <v>194</v>
      </c>
    </row>
    <row r="168" spans="1:13">
      <c r="A168" t="s">
        <v>1203</v>
      </c>
      <c r="B168" t="s">
        <v>1232</v>
      </c>
      <c r="C168" t="s">
        <v>1233</v>
      </c>
      <c r="D168" t="s">
        <v>1232</v>
      </c>
      <c r="E168" t="s">
        <v>194</v>
      </c>
      <c r="F168" t="s">
        <v>1067</v>
      </c>
      <c r="G168" t="s">
        <v>194</v>
      </c>
      <c r="H168" t="s">
        <v>1207</v>
      </c>
      <c r="I168" t="s">
        <v>194</v>
      </c>
      <c r="J168" t="s">
        <v>194</v>
      </c>
      <c r="K168" t="s">
        <v>194</v>
      </c>
      <c r="L168" t="s">
        <v>1234</v>
      </c>
      <c r="M168" t="s">
        <v>194</v>
      </c>
    </row>
    <row r="169" spans="1:13">
      <c r="A169" t="s">
        <v>1203</v>
      </c>
      <c r="B169" t="s">
        <v>1235</v>
      </c>
      <c r="C169" t="s">
        <v>1236</v>
      </c>
      <c r="D169" t="s">
        <v>1235</v>
      </c>
      <c r="E169" t="s">
        <v>194</v>
      </c>
      <c r="F169" t="s">
        <v>1067</v>
      </c>
      <c r="G169" t="s">
        <v>194</v>
      </c>
      <c r="H169" t="s">
        <v>1237</v>
      </c>
      <c r="I169" t="s">
        <v>194</v>
      </c>
      <c r="J169" t="s">
        <v>194</v>
      </c>
      <c r="K169" t="s">
        <v>194</v>
      </c>
      <c r="L169" t="s">
        <v>1238</v>
      </c>
      <c r="M169" t="s">
        <v>194</v>
      </c>
    </row>
    <row r="170" spans="1:13">
      <c r="A170" t="s">
        <v>1203</v>
      </c>
      <c r="B170" t="s">
        <v>1239</v>
      </c>
      <c r="C170" t="s">
        <v>1240</v>
      </c>
      <c r="D170" t="s">
        <v>1239</v>
      </c>
      <c r="E170" t="s">
        <v>194</v>
      </c>
      <c r="F170" t="s">
        <v>1067</v>
      </c>
      <c r="G170" t="s">
        <v>194</v>
      </c>
      <c r="H170" t="s">
        <v>1241</v>
      </c>
      <c r="I170" t="s">
        <v>194</v>
      </c>
      <c r="J170" t="s">
        <v>194</v>
      </c>
      <c r="K170" t="s">
        <v>194</v>
      </c>
      <c r="L170" t="s">
        <v>1242</v>
      </c>
      <c r="M170" t="s">
        <v>194</v>
      </c>
    </row>
    <row r="171" spans="1:13">
      <c r="A171" t="s">
        <v>1243</v>
      </c>
      <c r="B171" t="s">
        <v>1244</v>
      </c>
      <c r="C171" t="s">
        <v>1245</v>
      </c>
      <c r="D171" t="s">
        <v>1244</v>
      </c>
      <c r="E171" t="s">
        <v>194</v>
      </c>
      <c r="F171" t="s">
        <v>1067</v>
      </c>
      <c r="G171" t="s">
        <v>194</v>
      </c>
      <c r="H171" t="s">
        <v>1246</v>
      </c>
      <c r="I171" t="s">
        <v>194</v>
      </c>
      <c r="J171" t="s">
        <v>194</v>
      </c>
      <c r="K171" t="s">
        <v>194</v>
      </c>
      <c r="L171" t="s">
        <v>1247</v>
      </c>
      <c r="M171" t="s">
        <v>194</v>
      </c>
    </row>
    <row r="172" spans="1:13">
      <c r="A172" t="s">
        <v>1243</v>
      </c>
      <c r="B172" t="s">
        <v>1248</v>
      </c>
      <c r="C172" t="s">
        <v>1249</v>
      </c>
      <c r="D172" t="s">
        <v>1248</v>
      </c>
      <c r="E172" t="s">
        <v>194</v>
      </c>
      <c r="F172" t="s">
        <v>1067</v>
      </c>
      <c r="G172" t="s">
        <v>194</v>
      </c>
      <c r="H172" t="s">
        <v>1250</v>
      </c>
      <c r="I172" t="s">
        <v>194</v>
      </c>
      <c r="J172" t="s">
        <v>194</v>
      </c>
      <c r="K172" t="s">
        <v>194</v>
      </c>
      <c r="L172" t="s">
        <v>1251</v>
      </c>
      <c r="M172" t="s">
        <v>194</v>
      </c>
    </row>
    <row r="173" spans="1:13">
      <c r="A173" t="s">
        <v>1243</v>
      </c>
      <c r="B173" t="s">
        <v>1252</v>
      </c>
      <c r="C173" t="s">
        <v>1253</v>
      </c>
      <c r="D173" t="s">
        <v>1252</v>
      </c>
      <c r="E173" t="s">
        <v>194</v>
      </c>
      <c r="F173" t="s">
        <v>1067</v>
      </c>
      <c r="G173" t="s">
        <v>194</v>
      </c>
      <c r="H173" t="s">
        <v>1254</v>
      </c>
      <c r="I173" t="s">
        <v>194</v>
      </c>
      <c r="J173" t="s">
        <v>194</v>
      </c>
      <c r="K173" t="s">
        <v>194</v>
      </c>
      <c r="L173" t="s">
        <v>1255</v>
      </c>
      <c r="M173" t="s">
        <v>194</v>
      </c>
    </row>
    <row r="174" spans="1:13">
      <c r="A174" t="s">
        <v>1243</v>
      </c>
      <c r="B174" t="s">
        <v>1256</v>
      </c>
      <c r="C174" t="s">
        <v>1257</v>
      </c>
      <c r="D174" t="s">
        <v>1256</v>
      </c>
      <c r="E174" t="s">
        <v>194</v>
      </c>
      <c r="F174" t="s">
        <v>1067</v>
      </c>
      <c r="G174" t="s">
        <v>194</v>
      </c>
      <c r="H174" t="s">
        <v>1258</v>
      </c>
      <c r="I174" t="s">
        <v>194</v>
      </c>
      <c r="J174" t="s">
        <v>194</v>
      </c>
      <c r="K174" t="s">
        <v>194</v>
      </c>
      <c r="L174" t="s">
        <v>1259</v>
      </c>
      <c r="M174" t="s">
        <v>194</v>
      </c>
    </row>
    <row r="175" spans="1:13">
      <c r="A175" t="s">
        <v>1243</v>
      </c>
      <c r="B175" t="s">
        <v>1260</v>
      </c>
      <c r="C175" t="s">
        <v>1261</v>
      </c>
      <c r="D175" t="s">
        <v>1260</v>
      </c>
      <c r="E175" t="s">
        <v>194</v>
      </c>
      <c r="F175" t="s">
        <v>1067</v>
      </c>
      <c r="G175" t="s">
        <v>194</v>
      </c>
      <c r="H175" t="s">
        <v>1262</v>
      </c>
      <c r="I175" t="s">
        <v>194</v>
      </c>
      <c r="J175" t="s">
        <v>194</v>
      </c>
      <c r="K175" t="s">
        <v>194</v>
      </c>
      <c r="L175" t="s">
        <v>1263</v>
      </c>
      <c r="M175" t="s">
        <v>194</v>
      </c>
    </row>
    <row r="176" spans="1:13">
      <c r="A176" t="s">
        <v>1243</v>
      </c>
      <c r="B176" t="s">
        <v>1264</v>
      </c>
      <c r="C176" t="s">
        <v>1265</v>
      </c>
      <c r="D176" t="s">
        <v>1264</v>
      </c>
      <c r="E176" t="s">
        <v>194</v>
      </c>
      <c r="F176" t="s">
        <v>1067</v>
      </c>
      <c r="G176" t="s">
        <v>194</v>
      </c>
      <c r="H176" t="s">
        <v>1266</v>
      </c>
      <c r="I176" t="s">
        <v>194</v>
      </c>
      <c r="J176" t="s">
        <v>194</v>
      </c>
      <c r="K176" t="s">
        <v>194</v>
      </c>
      <c r="L176" t="s">
        <v>1267</v>
      </c>
      <c r="M176" t="s">
        <v>194</v>
      </c>
    </row>
    <row r="177" spans="1:13">
      <c r="A177" t="s">
        <v>1268</v>
      </c>
      <c r="B177" t="s">
        <v>1269</v>
      </c>
      <c r="C177" t="s">
        <v>1270</v>
      </c>
      <c r="D177" t="s">
        <v>1269</v>
      </c>
      <c r="E177" t="s">
        <v>194</v>
      </c>
      <c r="F177" t="s">
        <v>1067</v>
      </c>
      <c r="G177" t="s">
        <v>194</v>
      </c>
      <c r="H177" t="s">
        <v>1271</v>
      </c>
      <c r="I177" t="s">
        <v>194</v>
      </c>
      <c r="J177" t="s">
        <v>194</v>
      </c>
      <c r="K177" t="s">
        <v>194</v>
      </c>
      <c r="L177" t="s">
        <v>1272</v>
      </c>
      <c r="M177" t="s">
        <v>194</v>
      </c>
    </row>
    <row r="178" spans="1:13">
      <c r="A178" t="s">
        <v>1268</v>
      </c>
      <c r="B178" t="s">
        <v>1273</v>
      </c>
      <c r="C178" t="s">
        <v>1274</v>
      </c>
      <c r="D178" t="s">
        <v>1273</v>
      </c>
      <c r="E178" t="s">
        <v>194</v>
      </c>
      <c r="F178" t="s">
        <v>1067</v>
      </c>
      <c r="G178" t="s">
        <v>194</v>
      </c>
      <c r="H178" t="s">
        <v>1275</v>
      </c>
      <c r="I178" t="s">
        <v>194</v>
      </c>
      <c r="J178" t="s">
        <v>194</v>
      </c>
      <c r="K178" t="s">
        <v>194</v>
      </c>
      <c r="L178" t="s">
        <v>1276</v>
      </c>
      <c r="M178" t="s">
        <v>194</v>
      </c>
    </row>
    <row r="179" spans="1:13">
      <c r="A179" t="s">
        <v>1268</v>
      </c>
      <c r="B179" t="s">
        <v>1277</v>
      </c>
      <c r="C179" t="s">
        <v>1278</v>
      </c>
      <c r="D179" t="s">
        <v>1277</v>
      </c>
      <c r="E179" t="s">
        <v>194</v>
      </c>
      <c r="F179" t="s">
        <v>1067</v>
      </c>
      <c r="G179" t="s">
        <v>194</v>
      </c>
      <c r="H179" t="s">
        <v>1279</v>
      </c>
      <c r="I179" t="s">
        <v>194</v>
      </c>
      <c r="J179" t="s">
        <v>194</v>
      </c>
      <c r="K179" t="s">
        <v>194</v>
      </c>
      <c r="L179" t="s">
        <v>1280</v>
      </c>
      <c r="M179" t="s">
        <v>194</v>
      </c>
    </row>
    <row r="180" spans="1:13">
      <c r="A180" t="s">
        <v>1281</v>
      </c>
      <c r="B180" t="s">
        <v>1269</v>
      </c>
      <c r="C180" t="s">
        <v>1282</v>
      </c>
      <c r="D180" t="s">
        <v>1269</v>
      </c>
      <c r="E180" t="s">
        <v>194</v>
      </c>
      <c r="F180" t="s">
        <v>1067</v>
      </c>
      <c r="G180" t="s">
        <v>194</v>
      </c>
      <c r="H180" t="s">
        <v>1271</v>
      </c>
      <c r="I180" t="s">
        <v>194</v>
      </c>
      <c r="J180" t="s">
        <v>194</v>
      </c>
      <c r="K180" t="s">
        <v>194</v>
      </c>
      <c r="L180" t="s">
        <v>1283</v>
      </c>
      <c r="M180" t="s">
        <v>194</v>
      </c>
    </row>
    <row r="181" spans="1:13">
      <c r="A181" t="s">
        <v>1281</v>
      </c>
      <c r="B181" t="s">
        <v>1273</v>
      </c>
      <c r="C181" t="s">
        <v>1284</v>
      </c>
      <c r="D181" t="s">
        <v>1273</v>
      </c>
      <c r="E181" t="s">
        <v>194</v>
      </c>
      <c r="F181" t="s">
        <v>1067</v>
      </c>
      <c r="G181" t="s">
        <v>194</v>
      </c>
      <c r="H181" t="s">
        <v>1275</v>
      </c>
      <c r="I181" t="s">
        <v>194</v>
      </c>
      <c r="J181" t="s">
        <v>194</v>
      </c>
      <c r="K181" t="s">
        <v>194</v>
      </c>
      <c r="L181" t="s">
        <v>1285</v>
      </c>
      <c r="M181" t="s">
        <v>194</v>
      </c>
    </row>
    <row r="182" spans="1:13">
      <c r="A182" t="s">
        <v>1281</v>
      </c>
      <c r="B182" t="s">
        <v>1277</v>
      </c>
      <c r="C182" t="s">
        <v>1286</v>
      </c>
      <c r="D182" t="s">
        <v>1277</v>
      </c>
      <c r="E182" t="s">
        <v>194</v>
      </c>
      <c r="F182" t="s">
        <v>1067</v>
      </c>
      <c r="G182" t="s">
        <v>194</v>
      </c>
      <c r="H182" t="s">
        <v>1279</v>
      </c>
      <c r="I182" t="s">
        <v>194</v>
      </c>
      <c r="J182" t="s">
        <v>194</v>
      </c>
      <c r="K182" t="s">
        <v>194</v>
      </c>
      <c r="L182" t="s">
        <v>1287</v>
      </c>
      <c r="M182" t="s">
        <v>194</v>
      </c>
    </row>
    <row r="183" spans="1:13">
      <c r="A183" t="s">
        <v>1288</v>
      </c>
      <c r="B183" t="s">
        <v>1289</v>
      </c>
      <c r="C183" t="s">
        <v>1290</v>
      </c>
      <c r="D183" t="s">
        <v>1289</v>
      </c>
      <c r="E183" t="s">
        <v>194</v>
      </c>
      <c r="F183" t="s">
        <v>1067</v>
      </c>
      <c r="G183" t="s">
        <v>194</v>
      </c>
      <c r="H183" t="s">
        <v>1291</v>
      </c>
      <c r="I183" t="s">
        <v>194</v>
      </c>
      <c r="J183" t="s">
        <v>194</v>
      </c>
      <c r="K183" t="s">
        <v>194</v>
      </c>
      <c r="L183" t="s">
        <v>1292</v>
      </c>
      <c r="M183" t="s">
        <v>194</v>
      </c>
    </row>
    <row r="184" spans="1:13">
      <c r="A184" t="s">
        <v>1288</v>
      </c>
      <c r="B184" t="s">
        <v>1293</v>
      </c>
      <c r="C184" t="s">
        <v>1294</v>
      </c>
      <c r="D184" t="s">
        <v>1293</v>
      </c>
      <c r="E184" t="s">
        <v>194</v>
      </c>
      <c r="F184" t="s">
        <v>1067</v>
      </c>
      <c r="G184" t="s">
        <v>194</v>
      </c>
      <c r="H184" t="s">
        <v>1295</v>
      </c>
      <c r="I184" t="s">
        <v>194</v>
      </c>
      <c r="J184" t="s">
        <v>194</v>
      </c>
      <c r="K184" t="s">
        <v>194</v>
      </c>
      <c r="L184" t="s">
        <v>1296</v>
      </c>
      <c r="M184" t="s">
        <v>194</v>
      </c>
    </row>
    <row r="185" spans="1:13">
      <c r="A185" t="s">
        <v>1288</v>
      </c>
      <c r="B185" t="s">
        <v>1297</v>
      </c>
      <c r="C185" t="s">
        <v>1298</v>
      </c>
      <c r="D185" t="s">
        <v>1297</v>
      </c>
      <c r="E185" t="s">
        <v>194</v>
      </c>
      <c r="F185" t="s">
        <v>1067</v>
      </c>
      <c r="G185" t="s">
        <v>194</v>
      </c>
      <c r="H185" t="s">
        <v>1299</v>
      </c>
      <c r="I185" t="s">
        <v>194</v>
      </c>
      <c r="J185" t="s">
        <v>194</v>
      </c>
      <c r="K185" t="s">
        <v>194</v>
      </c>
      <c r="L185" t="s">
        <v>1300</v>
      </c>
      <c r="M185" t="s">
        <v>194</v>
      </c>
    </row>
    <row r="186" spans="1:13">
      <c r="A186" t="s">
        <v>1288</v>
      </c>
      <c r="B186" t="s">
        <v>1301</v>
      </c>
      <c r="C186" s="77" t="s">
        <v>1471</v>
      </c>
      <c r="D186" t="s">
        <v>1301</v>
      </c>
      <c r="E186" t="s">
        <v>194</v>
      </c>
      <c r="F186" t="s">
        <v>1067</v>
      </c>
      <c r="G186" t="s">
        <v>194</v>
      </c>
      <c r="H186" t="s">
        <v>1302</v>
      </c>
      <c r="I186" t="s">
        <v>194</v>
      </c>
      <c r="J186" t="s">
        <v>194</v>
      </c>
      <c r="K186" t="s">
        <v>194</v>
      </c>
      <c r="L186" t="s">
        <v>1303</v>
      </c>
      <c r="M186" t="s">
        <v>194</v>
      </c>
    </row>
    <row r="187" spans="1:13">
      <c r="A187" t="s">
        <v>1288</v>
      </c>
      <c r="B187" t="s">
        <v>1304</v>
      </c>
      <c r="C187" t="s">
        <v>1305</v>
      </c>
      <c r="D187" t="s">
        <v>1304</v>
      </c>
      <c r="E187" t="s">
        <v>194</v>
      </c>
      <c r="F187" t="s">
        <v>1067</v>
      </c>
      <c r="G187" t="s">
        <v>194</v>
      </c>
      <c r="H187" t="s">
        <v>1306</v>
      </c>
      <c r="I187" t="s">
        <v>194</v>
      </c>
      <c r="J187" t="s">
        <v>194</v>
      </c>
      <c r="K187" t="s">
        <v>194</v>
      </c>
      <c r="L187" t="s">
        <v>1307</v>
      </c>
      <c r="M187" t="s">
        <v>194</v>
      </c>
    </row>
    <row r="188" spans="1:13">
      <c r="A188" t="s">
        <v>1288</v>
      </c>
      <c r="B188" t="s">
        <v>1308</v>
      </c>
      <c r="C188" t="s">
        <v>1309</v>
      </c>
      <c r="D188" t="s">
        <v>1308</v>
      </c>
      <c r="E188" t="s">
        <v>194</v>
      </c>
      <c r="F188" t="s">
        <v>1067</v>
      </c>
      <c r="G188" t="s">
        <v>194</v>
      </c>
      <c r="H188" t="s">
        <v>1310</v>
      </c>
      <c r="I188" t="s">
        <v>194</v>
      </c>
      <c r="J188" t="s">
        <v>194</v>
      </c>
      <c r="K188" t="s">
        <v>194</v>
      </c>
      <c r="L188" t="s">
        <v>1311</v>
      </c>
      <c r="M188" t="s">
        <v>194</v>
      </c>
    </row>
    <row r="189" spans="1:13">
      <c r="A189" t="s">
        <v>1288</v>
      </c>
      <c r="B189" t="s">
        <v>1252</v>
      </c>
      <c r="C189" t="s">
        <v>1312</v>
      </c>
      <c r="D189" t="s">
        <v>1252</v>
      </c>
      <c r="E189" t="s">
        <v>194</v>
      </c>
      <c r="F189" t="s">
        <v>1067</v>
      </c>
      <c r="G189" t="s">
        <v>194</v>
      </c>
      <c r="H189" t="s">
        <v>1254</v>
      </c>
      <c r="I189" t="s">
        <v>194</v>
      </c>
      <c r="J189" t="s">
        <v>194</v>
      </c>
      <c r="K189" t="s">
        <v>194</v>
      </c>
      <c r="L189" t="s">
        <v>1313</v>
      </c>
      <c r="M189" t="s">
        <v>194</v>
      </c>
    </row>
    <row r="190" spans="1:13">
      <c r="A190" t="s">
        <v>1288</v>
      </c>
      <c r="B190" t="s">
        <v>1148</v>
      </c>
      <c r="C190" t="s">
        <v>1314</v>
      </c>
      <c r="D190" t="s">
        <v>1148</v>
      </c>
      <c r="E190" t="s">
        <v>194</v>
      </c>
      <c r="F190" t="s">
        <v>1067</v>
      </c>
      <c r="G190" t="s">
        <v>194</v>
      </c>
      <c r="H190" t="s">
        <v>1315</v>
      </c>
      <c r="I190" t="s">
        <v>194</v>
      </c>
      <c r="J190" t="s">
        <v>194</v>
      </c>
      <c r="K190" t="s">
        <v>194</v>
      </c>
      <c r="L190" t="s">
        <v>1316</v>
      </c>
      <c r="M190" t="s">
        <v>194</v>
      </c>
    </row>
    <row r="191" spans="1:13">
      <c r="A191" t="s">
        <v>1317</v>
      </c>
      <c r="B191" t="s">
        <v>1318</v>
      </c>
      <c r="C191" t="s">
        <v>1319</v>
      </c>
      <c r="D191" t="s">
        <v>1318</v>
      </c>
      <c r="E191" t="s">
        <v>194</v>
      </c>
      <c r="F191" t="s">
        <v>1067</v>
      </c>
      <c r="G191" t="s">
        <v>194</v>
      </c>
      <c r="H191" t="s">
        <v>1320</v>
      </c>
      <c r="I191" t="s">
        <v>194</v>
      </c>
      <c r="J191" t="s">
        <v>194</v>
      </c>
      <c r="K191" t="s">
        <v>194</v>
      </c>
      <c r="L191" t="s">
        <v>1321</v>
      </c>
      <c r="M191" t="s">
        <v>194</v>
      </c>
    </row>
    <row r="192" spans="1:13">
      <c r="A192" t="s">
        <v>1317</v>
      </c>
      <c r="B192" t="s">
        <v>1322</v>
      </c>
      <c r="C192" t="s">
        <v>1323</v>
      </c>
      <c r="D192" t="s">
        <v>1322</v>
      </c>
      <c r="E192" t="s">
        <v>194</v>
      </c>
      <c r="F192" t="s">
        <v>1067</v>
      </c>
      <c r="G192" t="s">
        <v>194</v>
      </c>
      <c r="H192" t="s">
        <v>1324</v>
      </c>
      <c r="I192" t="s">
        <v>194</v>
      </c>
      <c r="J192" t="s">
        <v>194</v>
      </c>
      <c r="K192" t="s">
        <v>194</v>
      </c>
      <c r="L192" t="s">
        <v>1325</v>
      </c>
      <c r="M192" t="s">
        <v>194</v>
      </c>
    </row>
    <row r="193" spans="1:13">
      <c r="A193" t="s">
        <v>1317</v>
      </c>
      <c r="B193" t="s">
        <v>1326</v>
      </c>
      <c r="C193" t="s">
        <v>1327</v>
      </c>
      <c r="D193" t="s">
        <v>1326</v>
      </c>
      <c r="E193" t="s">
        <v>194</v>
      </c>
      <c r="F193" t="s">
        <v>1067</v>
      </c>
      <c r="G193" t="s">
        <v>194</v>
      </c>
      <c r="H193" t="s">
        <v>1328</v>
      </c>
      <c r="I193" t="s">
        <v>194</v>
      </c>
      <c r="J193" t="s">
        <v>194</v>
      </c>
      <c r="K193" t="s">
        <v>194</v>
      </c>
      <c r="L193" t="s">
        <v>1329</v>
      </c>
      <c r="M193" t="s">
        <v>194</v>
      </c>
    </row>
    <row r="194" spans="1:13">
      <c r="A194" t="s">
        <v>1317</v>
      </c>
      <c r="B194" t="s">
        <v>1330</v>
      </c>
      <c r="C194" t="s">
        <v>1331</v>
      </c>
      <c r="D194" t="s">
        <v>1330</v>
      </c>
      <c r="E194" t="s">
        <v>194</v>
      </c>
      <c r="F194" t="s">
        <v>1067</v>
      </c>
      <c r="G194" t="s">
        <v>194</v>
      </c>
      <c r="H194" t="s">
        <v>1332</v>
      </c>
      <c r="I194" t="s">
        <v>194</v>
      </c>
      <c r="J194" t="s">
        <v>194</v>
      </c>
      <c r="K194" t="s">
        <v>194</v>
      </c>
      <c r="L194" t="s">
        <v>1333</v>
      </c>
      <c r="M194" t="s">
        <v>194</v>
      </c>
    </row>
    <row r="195" spans="1:13">
      <c r="A195" t="s">
        <v>1317</v>
      </c>
      <c r="B195" t="s">
        <v>1334</v>
      </c>
      <c r="C195" t="s">
        <v>1335</v>
      </c>
      <c r="D195" t="s">
        <v>1334</v>
      </c>
      <c r="E195" t="s">
        <v>194</v>
      </c>
      <c r="F195" t="s">
        <v>194</v>
      </c>
      <c r="G195" t="s">
        <v>194</v>
      </c>
      <c r="H195" t="s">
        <v>194</v>
      </c>
      <c r="I195" t="s">
        <v>194</v>
      </c>
      <c r="J195" t="s">
        <v>194</v>
      </c>
      <c r="K195" t="s">
        <v>194</v>
      </c>
      <c r="L195" t="s">
        <v>1336</v>
      </c>
      <c r="M195" t="s">
        <v>194</v>
      </c>
    </row>
    <row r="196" spans="1:13">
      <c r="A196" t="s">
        <v>1317</v>
      </c>
      <c r="B196" t="s">
        <v>1337</v>
      </c>
      <c r="C196" t="s">
        <v>1338</v>
      </c>
      <c r="D196" t="s">
        <v>1337</v>
      </c>
      <c r="E196" t="s">
        <v>194</v>
      </c>
      <c r="F196" t="s">
        <v>194</v>
      </c>
      <c r="G196" t="s">
        <v>194</v>
      </c>
      <c r="H196" t="s">
        <v>194</v>
      </c>
      <c r="I196" t="s">
        <v>194</v>
      </c>
      <c r="J196" t="s">
        <v>194</v>
      </c>
      <c r="K196" t="s">
        <v>194</v>
      </c>
      <c r="L196" t="s">
        <v>1339</v>
      </c>
      <c r="M196" t="s">
        <v>194</v>
      </c>
    </row>
    <row r="197" spans="1:13">
      <c r="A197" t="s">
        <v>1340</v>
      </c>
      <c r="B197" t="s">
        <v>1341</v>
      </c>
      <c r="C197" t="s">
        <v>1342</v>
      </c>
      <c r="D197" t="s">
        <v>1341</v>
      </c>
      <c r="E197" t="s">
        <v>194</v>
      </c>
      <c r="F197" t="s">
        <v>1343</v>
      </c>
      <c r="G197" t="s">
        <v>194</v>
      </c>
      <c r="H197" t="s">
        <v>194</v>
      </c>
      <c r="I197" t="s">
        <v>194</v>
      </c>
      <c r="J197" t="s">
        <v>194</v>
      </c>
      <c r="K197" t="s">
        <v>194</v>
      </c>
      <c r="L197" t="s">
        <v>1344</v>
      </c>
      <c r="M197" t="s">
        <v>194</v>
      </c>
    </row>
    <row r="198" spans="1:13">
      <c r="A198" t="s">
        <v>1340</v>
      </c>
      <c r="B198" t="s">
        <v>1138</v>
      </c>
      <c r="C198" t="s">
        <v>1345</v>
      </c>
      <c r="D198" t="s">
        <v>1138</v>
      </c>
      <c r="E198" t="s">
        <v>194</v>
      </c>
      <c r="F198" t="s">
        <v>1343</v>
      </c>
      <c r="G198" t="s">
        <v>194</v>
      </c>
      <c r="H198" t="s">
        <v>194</v>
      </c>
      <c r="I198" t="s">
        <v>194</v>
      </c>
      <c r="J198" t="s">
        <v>194</v>
      </c>
      <c r="K198" t="s">
        <v>194</v>
      </c>
      <c r="L198" t="s">
        <v>1346</v>
      </c>
      <c r="M198" t="s">
        <v>194</v>
      </c>
    </row>
    <row r="199" spans="1:13">
      <c r="A199" t="s">
        <v>1340</v>
      </c>
      <c r="B199" t="s">
        <v>749</v>
      </c>
      <c r="C199" t="s">
        <v>1347</v>
      </c>
      <c r="D199" t="s">
        <v>749</v>
      </c>
      <c r="E199" t="s">
        <v>194</v>
      </c>
      <c r="F199" t="s">
        <v>1343</v>
      </c>
      <c r="G199" t="s">
        <v>194</v>
      </c>
      <c r="H199" t="s">
        <v>194</v>
      </c>
      <c r="I199" t="s">
        <v>194</v>
      </c>
      <c r="J199" t="s">
        <v>194</v>
      </c>
      <c r="K199" t="s">
        <v>194</v>
      </c>
      <c r="L199" t="s">
        <v>1348</v>
      </c>
      <c r="M199" t="s">
        <v>194</v>
      </c>
    </row>
    <row r="200" spans="1:13">
      <c r="A200" t="s">
        <v>1340</v>
      </c>
      <c r="B200" t="s">
        <v>1349</v>
      </c>
      <c r="C200" t="s">
        <v>1350</v>
      </c>
      <c r="D200" t="s">
        <v>1349</v>
      </c>
      <c r="E200" t="s">
        <v>194</v>
      </c>
      <c r="F200" t="s">
        <v>1343</v>
      </c>
      <c r="G200" t="s">
        <v>194</v>
      </c>
      <c r="H200" t="s">
        <v>194</v>
      </c>
      <c r="I200" t="s">
        <v>194</v>
      </c>
      <c r="J200" t="s">
        <v>194</v>
      </c>
      <c r="K200" t="s">
        <v>194</v>
      </c>
      <c r="L200" t="s">
        <v>1351</v>
      </c>
      <c r="M200" t="s">
        <v>194</v>
      </c>
    </row>
    <row r="201" spans="1:13">
      <c r="A201" t="s">
        <v>1340</v>
      </c>
      <c r="B201" t="s">
        <v>1352</v>
      </c>
      <c r="C201" t="s">
        <v>1353</v>
      </c>
      <c r="D201" t="s">
        <v>1352</v>
      </c>
      <c r="E201" t="s">
        <v>194</v>
      </c>
      <c r="F201" t="s">
        <v>1343</v>
      </c>
      <c r="G201" t="s">
        <v>194</v>
      </c>
      <c r="H201" t="s">
        <v>194</v>
      </c>
      <c r="I201" t="s">
        <v>194</v>
      </c>
      <c r="J201" t="s">
        <v>194</v>
      </c>
      <c r="K201" t="s">
        <v>194</v>
      </c>
      <c r="L201" t="s">
        <v>1354</v>
      </c>
      <c r="M201" t="s">
        <v>194</v>
      </c>
    </row>
    <row r="202" spans="1:13">
      <c r="A202" t="s">
        <v>1340</v>
      </c>
      <c r="B202" t="s">
        <v>1355</v>
      </c>
      <c r="C202" t="s">
        <v>1356</v>
      </c>
      <c r="D202" t="s">
        <v>1355</v>
      </c>
      <c r="E202" t="s">
        <v>194</v>
      </c>
      <c r="F202" t="s">
        <v>1343</v>
      </c>
      <c r="G202" t="s">
        <v>194</v>
      </c>
      <c r="H202" t="s">
        <v>194</v>
      </c>
      <c r="I202" t="s">
        <v>194</v>
      </c>
      <c r="J202" t="s">
        <v>194</v>
      </c>
      <c r="K202" t="s">
        <v>194</v>
      </c>
      <c r="L202" t="s">
        <v>1357</v>
      </c>
      <c r="M202" t="s">
        <v>194</v>
      </c>
    </row>
    <row r="203" spans="1:13">
      <c r="A203" t="s">
        <v>1340</v>
      </c>
      <c r="B203" t="s">
        <v>1358</v>
      </c>
      <c r="C203" t="s">
        <v>1359</v>
      </c>
      <c r="D203" t="s">
        <v>1358</v>
      </c>
      <c r="E203" t="s">
        <v>194</v>
      </c>
      <c r="F203" t="s">
        <v>1343</v>
      </c>
      <c r="G203" t="s">
        <v>194</v>
      </c>
      <c r="H203" t="s">
        <v>194</v>
      </c>
      <c r="I203" t="s">
        <v>194</v>
      </c>
      <c r="J203" t="s">
        <v>194</v>
      </c>
      <c r="K203" t="s">
        <v>194</v>
      </c>
      <c r="L203" t="s">
        <v>1360</v>
      </c>
      <c r="M203" t="s">
        <v>194</v>
      </c>
    </row>
    <row r="204" spans="1:13">
      <c r="A204" t="s">
        <v>1340</v>
      </c>
      <c r="B204" t="s">
        <v>1361</v>
      </c>
      <c r="C204" t="s">
        <v>1362</v>
      </c>
      <c r="D204" t="s">
        <v>1361</v>
      </c>
      <c r="E204" t="s">
        <v>194</v>
      </c>
      <c r="F204" t="s">
        <v>1343</v>
      </c>
      <c r="G204" t="s">
        <v>194</v>
      </c>
      <c r="H204" t="s">
        <v>194</v>
      </c>
      <c r="I204" t="s">
        <v>194</v>
      </c>
      <c r="J204" t="s">
        <v>194</v>
      </c>
      <c r="K204" t="s">
        <v>194</v>
      </c>
      <c r="L204" t="s">
        <v>1363</v>
      </c>
      <c r="M204" t="s">
        <v>194</v>
      </c>
    </row>
    <row r="205" spans="1:13">
      <c r="A205" t="s">
        <v>1340</v>
      </c>
      <c r="B205" t="s">
        <v>1364</v>
      </c>
      <c r="C205" t="s">
        <v>1365</v>
      </c>
      <c r="D205" t="s">
        <v>1364</v>
      </c>
      <c r="E205" t="s">
        <v>194</v>
      </c>
      <c r="F205" t="s">
        <v>1343</v>
      </c>
      <c r="G205" t="s">
        <v>194</v>
      </c>
      <c r="H205" t="s">
        <v>194</v>
      </c>
      <c r="I205" t="s">
        <v>194</v>
      </c>
      <c r="J205" t="s">
        <v>194</v>
      </c>
      <c r="K205" t="s">
        <v>194</v>
      </c>
      <c r="L205" t="s">
        <v>1366</v>
      </c>
      <c r="M205" t="s">
        <v>194</v>
      </c>
    </row>
    <row r="206" spans="1:13">
      <c r="A206" t="s">
        <v>1340</v>
      </c>
      <c r="B206" t="s">
        <v>1367</v>
      </c>
      <c r="C206" t="s">
        <v>1368</v>
      </c>
      <c r="D206" t="s">
        <v>1367</v>
      </c>
      <c r="E206" t="s">
        <v>194</v>
      </c>
      <c r="F206" t="s">
        <v>1343</v>
      </c>
      <c r="G206" t="s">
        <v>194</v>
      </c>
      <c r="H206" t="s">
        <v>194</v>
      </c>
      <c r="I206" t="s">
        <v>194</v>
      </c>
      <c r="J206" t="s">
        <v>194</v>
      </c>
      <c r="K206" t="s">
        <v>194</v>
      </c>
      <c r="L206" t="s">
        <v>1369</v>
      </c>
      <c r="M206" t="s">
        <v>1370</v>
      </c>
    </row>
    <row r="207" spans="1:13">
      <c r="A207" t="s">
        <v>1340</v>
      </c>
      <c r="B207" t="s">
        <v>1371</v>
      </c>
      <c r="C207" t="s">
        <v>1372</v>
      </c>
      <c r="D207" t="s">
        <v>1371</v>
      </c>
      <c r="E207" t="s">
        <v>194</v>
      </c>
      <c r="F207" t="s">
        <v>1343</v>
      </c>
      <c r="G207" t="s">
        <v>194</v>
      </c>
      <c r="H207" t="s">
        <v>194</v>
      </c>
      <c r="I207" t="s">
        <v>194</v>
      </c>
      <c r="J207" t="s">
        <v>194</v>
      </c>
      <c r="K207" t="s">
        <v>194</v>
      </c>
      <c r="L207" t="s">
        <v>1373</v>
      </c>
      <c r="M207" t="s">
        <v>194</v>
      </c>
    </row>
    <row r="208" spans="1:13">
      <c r="A208" t="s">
        <v>1340</v>
      </c>
      <c r="B208" t="s">
        <v>1374</v>
      </c>
      <c r="C208" t="s">
        <v>1375</v>
      </c>
      <c r="D208" t="s">
        <v>1374</v>
      </c>
      <c r="E208" t="s">
        <v>194</v>
      </c>
      <c r="F208" t="s">
        <v>1343</v>
      </c>
      <c r="G208" t="s">
        <v>194</v>
      </c>
      <c r="H208" t="s">
        <v>194</v>
      </c>
      <c r="I208" t="s">
        <v>194</v>
      </c>
      <c r="J208" t="s">
        <v>194</v>
      </c>
      <c r="K208" t="s">
        <v>194</v>
      </c>
      <c r="L208" t="s">
        <v>1376</v>
      </c>
      <c r="M208" t="s">
        <v>194</v>
      </c>
    </row>
    <row r="209" spans="1:13">
      <c r="A209" t="s">
        <v>1340</v>
      </c>
      <c r="B209" t="s">
        <v>1377</v>
      </c>
      <c r="C209" t="s">
        <v>1378</v>
      </c>
      <c r="D209" t="s">
        <v>1377</v>
      </c>
      <c r="E209" t="s">
        <v>194</v>
      </c>
      <c r="F209" t="s">
        <v>1343</v>
      </c>
      <c r="G209" t="s">
        <v>194</v>
      </c>
      <c r="H209" t="s">
        <v>194</v>
      </c>
      <c r="I209" t="s">
        <v>194</v>
      </c>
      <c r="J209" t="s">
        <v>194</v>
      </c>
      <c r="K209" t="s">
        <v>194</v>
      </c>
      <c r="L209" t="s">
        <v>1379</v>
      </c>
      <c r="M209" t="s">
        <v>194</v>
      </c>
    </row>
    <row r="210" spans="1:13">
      <c r="A210" t="s">
        <v>1380</v>
      </c>
      <c r="B210" t="s">
        <v>1341</v>
      </c>
      <c r="C210" t="s">
        <v>1381</v>
      </c>
      <c r="D210" t="s">
        <v>1341</v>
      </c>
      <c r="E210" t="s">
        <v>194</v>
      </c>
      <c r="F210" t="s">
        <v>1343</v>
      </c>
      <c r="G210" t="s">
        <v>194</v>
      </c>
      <c r="H210" t="s">
        <v>194</v>
      </c>
      <c r="I210" t="s">
        <v>194</v>
      </c>
      <c r="J210" t="s">
        <v>194</v>
      </c>
      <c r="K210" t="s">
        <v>194</v>
      </c>
      <c r="L210" t="s">
        <v>1382</v>
      </c>
      <c r="M210" t="s">
        <v>194</v>
      </c>
    </row>
    <row r="211" spans="1:13">
      <c r="A211" t="s">
        <v>1380</v>
      </c>
      <c r="B211" t="s">
        <v>1138</v>
      </c>
      <c r="C211" t="s">
        <v>1383</v>
      </c>
      <c r="D211" t="s">
        <v>1138</v>
      </c>
      <c r="E211" t="s">
        <v>194</v>
      </c>
      <c r="F211" t="s">
        <v>1343</v>
      </c>
      <c r="G211" t="s">
        <v>194</v>
      </c>
      <c r="H211" t="s">
        <v>194</v>
      </c>
      <c r="I211" t="s">
        <v>194</v>
      </c>
      <c r="J211" t="s">
        <v>194</v>
      </c>
      <c r="K211" t="s">
        <v>194</v>
      </c>
      <c r="L211" t="s">
        <v>1384</v>
      </c>
      <c r="M211" t="s">
        <v>194</v>
      </c>
    </row>
    <row r="212" spans="1:13">
      <c r="A212" t="s">
        <v>1380</v>
      </c>
      <c r="B212" t="s">
        <v>1385</v>
      </c>
      <c r="C212" t="s">
        <v>1386</v>
      </c>
      <c r="D212" t="s">
        <v>1385</v>
      </c>
      <c r="E212" t="s">
        <v>194</v>
      </c>
      <c r="F212" t="s">
        <v>1343</v>
      </c>
      <c r="G212" t="s">
        <v>194</v>
      </c>
      <c r="H212" t="s">
        <v>194</v>
      </c>
      <c r="I212" t="s">
        <v>194</v>
      </c>
      <c r="J212" t="s">
        <v>194</v>
      </c>
      <c r="K212" t="s">
        <v>194</v>
      </c>
      <c r="L212" t="s">
        <v>1387</v>
      </c>
      <c r="M212" t="s">
        <v>194</v>
      </c>
    </row>
    <row r="213" spans="1:13">
      <c r="A213" t="s">
        <v>1380</v>
      </c>
      <c r="B213" t="s">
        <v>1260</v>
      </c>
      <c r="C213" t="s">
        <v>1388</v>
      </c>
      <c r="D213" t="s">
        <v>1260</v>
      </c>
      <c r="E213" t="s">
        <v>194</v>
      </c>
      <c r="F213" t="s">
        <v>1343</v>
      </c>
      <c r="G213" t="s">
        <v>194</v>
      </c>
      <c r="H213" t="s">
        <v>194</v>
      </c>
      <c r="I213" t="s">
        <v>194</v>
      </c>
      <c r="J213" t="s">
        <v>194</v>
      </c>
      <c r="K213" t="s">
        <v>194</v>
      </c>
      <c r="L213" t="s">
        <v>1389</v>
      </c>
      <c r="M213" t="s">
        <v>194</v>
      </c>
    </row>
    <row r="214" spans="1:13">
      <c r="A214" t="s">
        <v>1380</v>
      </c>
      <c r="B214" t="s">
        <v>1390</v>
      </c>
      <c r="C214" t="s">
        <v>1391</v>
      </c>
      <c r="D214" t="s">
        <v>1390</v>
      </c>
      <c r="E214" t="s">
        <v>194</v>
      </c>
      <c r="F214" t="s">
        <v>1343</v>
      </c>
      <c r="G214" t="s">
        <v>194</v>
      </c>
      <c r="H214" t="s">
        <v>194</v>
      </c>
      <c r="I214" t="s">
        <v>194</v>
      </c>
      <c r="J214" t="s">
        <v>194</v>
      </c>
      <c r="K214" t="s">
        <v>194</v>
      </c>
      <c r="L214" t="s">
        <v>1392</v>
      </c>
      <c r="M214" t="s">
        <v>194</v>
      </c>
    </row>
    <row r="215" spans="1:13">
      <c r="A215" t="s">
        <v>1380</v>
      </c>
      <c r="B215" t="s">
        <v>1393</v>
      </c>
      <c r="C215" t="s">
        <v>1394</v>
      </c>
      <c r="D215" t="s">
        <v>1393</v>
      </c>
      <c r="E215" t="s">
        <v>194</v>
      </c>
      <c r="F215" t="s">
        <v>1343</v>
      </c>
      <c r="G215" t="s">
        <v>194</v>
      </c>
      <c r="H215" t="s">
        <v>194</v>
      </c>
      <c r="I215" t="s">
        <v>194</v>
      </c>
      <c r="J215" t="s">
        <v>194</v>
      </c>
      <c r="K215" t="s">
        <v>194</v>
      </c>
      <c r="L215" t="s">
        <v>1395</v>
      </c>
      <c r="M215" t="s">
        <v>194</v>
      </c>
    </row>
    <row r="216" spans="1:13">
      <c r="A216" t="s">
        <v>1380</v>
      </c>
      <c r="B216" t="s">
        <v>1396</v>
      </c>
      <c r="C216" t="s">
        <v>1397</v>
      </c>
      <c r="D216" t="s">
        <v>1396</v>
      </c>
      <c r="E216" t="s">
        <v>194</v>
      </c>
      <c r="F216" t="s">
        <v>1343</v>
      </c>
      <c r="G216" t="s">
        <v>194</v>
      </c>
      <c r="H216" t="s">
        <v>194</v>
      </c>
      <c r="I216" t="s">
        <v>194</v>
      </c>
      <c r="J216" t="s">
        <v>194</v>
      </c>
      <c r="K216" t="s">
        <v>194</v>
      </c>
      <c r="L216" t="s">
        <v>1398</v>
      </c>
      <c r="M216" t="s">
        <v>194</v>
      </c>
    </row>
    <row r="217" spans="1:13">
      <c r="A217" t="s">
        <v>1399</v>
      </c>
      <c r="B217" t="s">
        <v>17</v>
      </c>
      <c r="C217" t="s">
        <v>1400</v>
      </c>
      <c r="D217" t="s">
        <v>17</v>
      </c>
      <c r="E217" t="s">
        <v>194</v>
      </c>
      <c r="F217" t="s">
        <v>1343</v>
      </c>
      <c r="G217" t="s">
        <v>194</v>
      </c>
      <c r="H217" t="s">
        <v>194</v>
      </c>
      <c r="I217" t="s">
        <v>194</v>
      </c>
      <c r="J217" t="s">
        <v>194</v>
      </c>
      <c r="K217" t="s">
        <v>194</v>
      </c>
      <c r="L217" t="s">
        <v>1401</v>
      </c>
      <c r="M217" t="s">
        <v>194</v>
      </c>
    </row>
    <row r="218" spans="1:13">
      <c r="A218" t="s">
        <v>1399</v>
      </c>
      <c r="B218" t="s">
        <v>12</v>
      </c>
      <c r="C218" t="s">
        <v>1402</v>
      </c>
      <c r="D218" t="s">
        <v>12</v>
      </c>
      <c r="E218" t="s">
        <v>194</v>
      </c>
      <c r="F218" t="s">
        <v>1343</v>
      </c>
      <c r="G218" t="s">
        <v>194</v>
      </c>
      <c r="H218" t="s">
        <v>194</v>
      </c>
      <c r="I218" t="s">
        <v>194</v>
      </c>
      <c r="J218" t="s">
        <v>194</v>
      </c>
      <c r="K218" t="s">
        <v>194</v>
      </c>
      <c r="L218" t="s">
        <v>1403</v>
      </c>
      <c r="M218" t="s">
        <v>194</v>
      </c>
    </row>
    <row r="219" spans="1:13">
      <c r="A219" t="s">
        <v>1399</v>
      </c>
      <c r="B219" t="s">
        <v>486</v>
      </c>
      <c r="C219" t="s">
        <v>1404</v>
      </c>
      <c r="D219" t="s">
        <v>486</v>
      </c>
      <c r="E219" t="s">
        <v>194</v>
      </c>
      <c r="F219" t="s">
        <v>1343</v>
      </c>
      <c r="G219" t="s">
        <v>194</v>
      </c>
      <c r="H219" t="s">
        <v>194</v>
      </c>
      <c r="I219" t="s">
        <v>194</v>
      </c>
      <c r="J219" t="s">
        <v>194</v>
      </c>
      <c r="K219" t="s">
        <v>194</v>
      </c>
      <c r="L219" t="s">
        <v>1405</v>
      </c>
      <c r="M219" t="s">
        <v>194</v>
      </c>
    </row>
    <row r="220" spans="1:13">
      <c r="A220" t="s">
        <v>194</v>
      </c>
      <c r="B220" t="s">
        <v>194</v>
      </c>
      <c r="C220" t="s">
        <v>194</v>
      </c>
      <c r="D220" t="s">
        <v>194</v>
      </c>
      <c r="E220" t="s">
        <v>194</v>
      </c>
      <c r="F220" t="s">
        <v>194</v>
      </c>
      <c r="G220" t="s">
        <v>194</v>
      </c>
      <c r="H220" t="s">
        <v>194</v>
      </c>
      <c r="I220" t="s">
        <v>194</v>
      </c>
      <c r="J220" t="s">
        <v>194</v>
      </c>
      <c r="K220" t="s">
        <v>194</v>
      </c>
      <c r="L220" t="s">
        <v>194</v>
      </c>
      <c r="M220" t="s">
        <v>194</v>
      </c>
    </row>
    <row r="221" spans="1:13">
      <c r="A221" t="s">
        <v>194</v>
      </c>
      <c r="B221" t="s">
        <v>194</v>
      </c>
      <c r="C221" t="s">
        <v>194</v>
      </c>
      <c r="D221" t="s">
        <v>194</v>
      </c>
      <c r="E221" t="s">
        <v>194</v>
      </c>
      <c r="F221" t="s">
        <v>194</v>
      </c>
      <c r="G221" t="s">
        <v>194</v>
      </c>
      <c r="H221" t="s">
        <v>194</v>
      </c>
      <c r="I221" t="s">
        <v>194</v>
      </c>
      <c r="J221" t="s">
        <v>194</v>
      </c>
      <c r="K221" t="s">
        <v>194</v>
      </c>
      <c r="L221" t="s">
        <v>194</v>
      </c>
      <c r="M221" t="s">
        <v>194</v>
      </c>
    </row>
    <row r="222" spans="1:13">
      <c r="A222" t="s">
        <v>194</v>
      </c>
      <c r="B222" t="s">
        <v>194</v>
      </c>
      <c r="C222" t="s">
        <v>194</v>
      </c>
      <c r="D222" t="s">
        <v>194</v>
      </c>
      <c r="E222" t="s">
        <v>194</v>
      </c>
      <c r="F222" t="s">
        <v>194</v>
      </c>
      <c r="G222" t="s">
        <v>194</v>
      </c>
      <c r="H222" t="s">
        <v>194</v>
      </c>
      <c r="I222" t="s">
        <v>194</v>
      </c>
      <c r="J222" t="s">
        <v>194</v>
      </c>
      <c r="K222" t="s">
        <v>194</v>
      </c>
      <c r="L222" t="s">
        <v>194</v>
      </c>
      <c r="M222" t="s">
        <v>194</v>
      </c>
    </row>
    <row r="223" spans="1:13">
      <c r="A223" t="s">
        <v>194</v>
      </c>
      <c r="B223" t="s">
        <v>194</v>
      </c>
      <c r="C223" t="s">
        <v>194</v>
      </c>
      <c r="D223" t="s">
        <v>194</v>
      </c>
      <c r="E223" t="s">
        <v>194</v>
      </c>
      <c r="F223" t="s">
        <v>194</v>
      </c>
      <c r="G223" t="s">
        <v>194</v>
      </c>
      <c r="H223" t="s">
        <v>194</v>
      </c>
      <c r="I223" t="s">
        <v>194</v>
      </c>
      <c r="J223" t="s">
        <v>194</v>
      </c>
      <c r="K223" t="s">
        <v>194</v>
      </c>
      <c r="L223" t="s">
        <v>194</v>
      </c>
      <c r="M223" t="s">
        <v>194</v>
      </c>
    </row>
    <row r="224" spans="1:13">
      <c r="A224" t="s">
        <v>194</v>
      </c>
      <c r="B224" t="s">
        <v>194</v>
      </c>
      <c r="C224" t="s">
        <v>194</v>
      </c>
      <c r="D224" t="s">
        <v>194</v>
      </c>
      <c r="E224" t="s">
        <v>194</v>
      </c>
      <c r="F224" t="s">
        <v>194</v>
      </c>
      <c r="G224" t="s">
        <v>194</v>
      </c>
      <c r="H224" t="s">
        <v>194</v>
      </c>
      <c r="I224" t="s">
        <v>194</v>
      </c>
      <c r="J224" t="s">
        <v>194</v>
      </c>
      <c r="K224" t="s">
        <v>194</v>
      </c>
      <c r="L224" t="s">
        <v>194</v>
      </c>
      <c r="M224" t="s">
        <v>194</v>
      </c>
    </row>
    <row r="225" spans="1:13">
      <c r="A225" t="s">
        <v>194</v>
      </c>
      <c r="B225" t="s">
        <v>194</v>
      </c>
      <c r="C225" t="s">
        <v>194</v>
      </c>
      <c r="D225" t="s">
        <v>194</v>
      </c>
      <c r="E225" t="s">
        <v>194</v>
      </c>
      <c r="F225" t="s">
        <v>194</v>
      </c>
      <c r="G225" t="s">
        <v>194</v>
      </c>
      <c r="H225" t="s">
        <v>194</v>
      </c>
      <c r="I225" t="s">
        <v>194</v>
      </c>
      <c r="J225" t="s">
        <v>194</v>
      </c>
      <c r="K225" t="s">
        <v>194</v>
      </c>
      <c r="L225" t="s">
        <v>194</v>
      </c>
      <c r="M225" t="s">
        <v>194</v>
      </c>
    </row>
    <row r="226" spans="1:13">
      <c r="A226" t="s">
        <v>194</v>
      </c>
      <c r="B226" t="s">
        <v>194</v>
      </c>
      <c r="C226" t="s">
        <v>194</v>
      </c>
      <c r="D226" t="s">
        <v>194</v>
      </c>
      <c r="E226" t="s">
        <v>194</v>
      </c>
      <c r="F226" t="s">
        <v>194</v>
      </c>
      <c r="G226" t="s">
        <v>194</v>
      </c>
      <c r="H226" t="s">
        <v>194</v>
      </c>
      <c r="I226" t="s">
        <v>194</v>
      </c>
      <c r="J226" t="s">
        <v>194</v>
      </c>
      <c r="K226" t="s">
        <v>194</v>
      </c>
      <c r="L226" t="s">
        <v>194</v>
      </c>
      <c r="M226" t="s">
        <v>194</v>
      </c>
    </row>
    <row r="227" spans="1:13">
      <c r="A227" t="s">
        <v>194</v>
      </c>
      <c r="B227" t="s">
        <v>194</v>
      </c>
      <c r="C227" t="s">
        <v>194</v>
      </c>
      <c r="D227" t="s">
        <v>194</v>
      </c>
      <c r="E227" t="s">
        <v>194</v>
      </c>
      <c r="F227" t="s">
        <v>194</v>
      </c>
      <c r="G227" t="s">
        <v>194</v>
      </c>
      <c r="H227" t="s">
        <v>194</v>
      </c>
      <c r="I227" t="s">
        <v>194</v>
      </c>
      <c r="J227" t="s">
        <v>194</v>
      </c>
      <c r="K227" t="s">
        <v>194</v>
      </c>
      <c r="L227" t="s">
        <v>194</v>
      </c>
      <c r="M227" t="s">
        <v>194</v>
      </c>
    </row>
    <row r="228" spans="1:13">
      <c r="A228" t="s">
        <v>194</v>
      </c>
      <c r="B228" t="s">
        <v>194</v>
      </c>
      <c r="C228" t="s">
        <v>194</v>
      </c>
      <c r="D228" t="s">
        <v>194</v>
      </c>
      <c r="E228" t="s">
        <v>194</v>
      </c>
      <c r="F228" t="s">
        <v>194</v>
      </c>
      <c r="G228" t="s">
        <v>194</v>
      </c>
      <c r="H228" t="s">
        <v>194</v>
      </c>
      <c r="I228" t="s">
        <v>194</v>
      </c>
      <c r="J228" t="s">
        <v>194</v>
      </c>
      <c r="K228" t="s">
        <v>194</v>
      </c>
      <c r="L228" t="s">
        <v>194</v>
      </c>
      <c r="M228" t="s">
        <v>194</v>
      </c>
    </row>
    <row r="229" spans="1:13">
      <c r="A229" t="s">
        <v>194</v>
      </c>
      <c r="B229" t="s">
        <v>194</v>
      </c>
      <c r="C229" t="s">
        <v>194</v>
      </c>
      <c r="D229" t="s">
        <v>194</v>
      </c>
      <c r="E229" t="s">
        <v>194</v>
      </c>
      <c r="F229" t="s">
        <v>194</v>
      </c>
      <c r="G229" t="s">
        <v>194</v>
      </c>
      <c r="H229" t="s">
        <v>194</v>
      </c>
      <c r="I229" t="s">
        <v>194</v>
      </c>
      <c r="J229" t="s">
        <v>194</v>
      </c>
      <c r="K229" t="s">
        <v>194</v>
      </c>
      <c r="L229" t="s">
        <v>194</v>
      </c>
      <c r="M229" t="s">
        <v>194</v>
      </c>
    </row>
    <row r="230" spans="1:13">
      <c r="A230" t="s">
        <v>194</v>
      </c>
      <c r="B230" t="s">
        <v>194</v>
      </c>
      <c r="C230" t="s">
        <v>194</v>
      </c>
      <c r="D230" t="s">
        <v>194</v>
      </c>
      <c r="E230" t="s">
        <v>194</v>
      </c>
      <c r="F230" t="s">
        <v>194</v>
      </c>
      <c r="G230" t="s">
        <v>194</v>
      </c>
      <c r="H230" t="s">
        <v>194</v>
      </c>
      <c r="I230" t="s">
        <v>194</v>
      </c>
      <c r="J230" t="s">
        <v>194</v>
      </c>
      <c r="K230" t="s">
        <v>194</v>
      </c>
      <c r="L230" t="s">
        <v>194</v>
      </c>
      <c r="M230" t="s">
        <v>194</v>
      </c>
    </row>
    <row r="231" spans="1:13">
      <c r="A231" t="s">
        <v>194</v>
      </c>
      <c r="B231" t="s">
        <v>194</v>
      </c>
      <c r="C231" t="s">
        <v>194</v>
      </c>
      <c r="D231" t="s">
        <v>194</v>
      </c>
      <c r="E231" t="s">
        <v>194</v>
      </c>
      <c r="F231" t="s">
        <v>194</v>
      </c>
      <c r="G231" t="s">
        <v>194</v>
      </c>
      <c r="H231" t="s">
        <v>194</v>
      </c>
      <c r="I231" t="s">
        <v>194</v>
      </c>
      <c r="J231" t="s">
        <v>194</v>
      </c>
      <c r="K231" t="s">
        <v>194</v>
      </c>
      <c r="L231" t="s">
        <v>194</v>
      </c>
      <c r="M231" t="s">
        <v>194</v>
      </c>
    </row>
    <row r="232" spans="1:13">
      <c r="A232" t="s">
        <v>194</v>
      </c>
      <c r="B232" t="s">
        <v>194</v>
      </c>
      <c r="C232" t="s">
        <v>194</v>
      </c>
      <c r="D232" t="s">
        <v>194</v>
      </c>
      <c r="E232" t="s">
        <v>194</v>
      </c>
      <c r="F232" t="s">
        <v>194</v>
      </c>
      <c r="G232" t="s">
        <v>194</v>
      </c>
      <c r="H232" t="s">
        <v>194</v>
      </c>
      <c r="I232" t="s">
        <v>194</v>
      </c>
      <c r="J232" t="s">
        <v>194</v>
      </c>
      <c r="K232" t="s">
        <v>194</v>
      </c>
      <c r="L232" t="s">
        <v>194</v>
      </c>
      <c r="M232" t="s">
        <v>194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election activeCell="D6" sqref="D6"/>
    </sheetView>
  </sheetViews>
  <sheetFormatPr defaultRowHeight="14.75"/>
  <cols>
    <col min="4" max="4" width="19.36328125" customWidth="1"/>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9A97B-13A2-4A61-A2A1-3198312EE21A}">
  <sheetPr codeName="Foglio28">
    <tabColor theme="7" tint="0.39997558519241921"/>
  </sheetPr>
  <dimension ref="A1:M44"/>
  <sheetViews>
    <sheetView zoomScale="115" zoomScaleNormal="115" workbookViewId="0">
      <selection activeCell="B7" sqref="B7"/>
    </sheetView>
  </sheetViews>
  <sheetFormatPr defaultRowHeight="14.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4" t="s">
        <v>1643</v>
      </c>
      <c r="L1" s="24" t="s">
        <v>21</v>
      </c>
    </row>
    <row r="2" spans="1:12">
      <c r="J2" s="25" t="s">
        <v>20</v>
      </c>
      <c r="L2" s="25" t="s">
        <v>1642</v>
      </c>
    </row>
    <row r="3" spans="1:12" ht="17.75" customHeight="1" thickBot="1">
      <c r="J3" s="25" t="str">
        <f>J1</f>
        <v>//===================================================</v>
      </c>
      <c r="L3" s="25" t="str">
        <f>L1</f>
        <v>// -------------------------------------------------------------------------------</v>
      </c>
    </row>
    <row r="4" spans="1:12">
      <c r="A4" s="5" t="s">
        <v>12</v>
      </c>
      <c r="B4" s="46" t="s">
        <v>1639</v>
      </c>
      <c r="J4" s="17" t="str">
        <f>CONCATENATE("Logical: ",B4)</f>
        <v>Logical: CancerUnderStudyI4rc</v>
      </c>
    </row>
    <row r="5" spans="1:12">
      <c r="A5" s="15" t="s">
        <v>17</v>
      </c>
      <c r="B5" s="47" t="s">
        <v>1640</v>
      </c>
      <c r="J5" s="17" t="str">
        <f>CONCATENATE("Id: ",B5)</f>
        <v>Id: CancerUnderStudy</v>
      </c>
    </row>
    <row r="6" spans="1:12">
      <c r="A6" s="15" t="s">
        <v>11</v>
      </c>
      <c r="B6" s="48" t="s">
        <v>1635</v>
      </c>
      <c r="J6" s="18" t="str">
        <f>CONCATENATE("Title: ##34#",B6,"##34#")</f>
        <v>Title: ##34#Cancer Under Study##34#</v>
      </c>
    </row>
    <row r="7" spans="1:12" ht="30.25" thickBot="1">
      <c r="A7" s="27" t="s">
        <v>3</v>
      </c>
      <c r="B7" s="52" t="s">
        <v>1685</v>
      </c>
      <c r="C7" s="9" t="s">
        <v>4</v>
      </c>
      <c r="D7" s="1" t="s">
        <v>5</v>
      </c>
      <c r="E7" s="3" t="s">
        <v>6</v>
      </c>
      <c r="F7" s="3" t="s">
        <v>7</v>
      </c>
      <c r="G7" s="3" t="s">
        <v>8</v>
      </c>
      <c r="H7" s="107" t="s">
        <v>1641</v>
      </c>
      <c r="J7" s="18" t="str">
        <f>CONCATENATE("Description: "," ##334#",B7,"##334#",)</f>
        <v>Description:  ##334#Cancer Under Study
Maturity Level: 0 Draft##334#</v>
      </c>
    </row>
    <row r="8" spans="1:12" ht="73.75">
      <c r="A8" s="11">
        <v>0</v>
      </c>
      <c r="B8" s="11" t="s">
        <v>1629</v>
      </c>
      <c r="C8" s="104" t="s">
        <v>1647</v>
      </c>
      <c r="D8" s="12" t="s">
        <v>1648</v>
      </c>
      <c r="E8" s="11">
        <v>0</v>
      </c>
      <c r="F8" s="11">
        <v>1</v>
      </c>
      <c r="G8" s="11" t="s">
        <v>164</v>
      </c>
      <c r="H8" s="12" t="s">
        <v>1668</v>
      </c>
      <c r="I8" s="26"/>
      <c r="J8" s="12" t="str">
        <f t="shared" ref="J8:J44" si="0">CONCATENATE("* ",B8, " ",E8,"..",F8," ",G8," ##34#",C8,"##34# ##334#",D8,"##334#")</f>
        <v>* diagnosisDate 0..1 date ##34#Date of diagnosis biopsy or surgical piece##34# ##334#Date of the procedure from which the specimen was obtained that allowed the histological diagnosis##334#</v>
      </c>
      <c r="L8" s="12" t="str">
        <f>IF(H8="",IF(J8="*  ..  ##34###34# ##334###334#",J8,""),IF(J8="*  ..  ##34###34# ##334###334#",J8,CONCATENATE("* ",B8," ^comment = ##334#",H8,"##334#")))</f>
        <v>* diagnosisDate ^comment = ##334#Must be formatted as YYYYMMDD Leave empty if not known Optional rule  Possible date anonymisation by
setting the 15th of every month ie YYYYMM15 If the month is not known we set it to June 06##334#</v>
      </c>
    </row>
    <row r="9" spans="1:12" ht="44.25">
      <c r="A9" s="11">
        <v>1</v>
      </c>
      <c r="B9" s="11" t="s">
        <v>1630</v>
      </c>
      <c r="C9" s="104" t="s">
        <v>1502</v>
      </c>
      <c r="D9" s="12" t="s">
        <v>1649</v>
      </c>
      <c r="E9" s="11">
        <v>0</v>
      </c>
      <c r="F9" s="11">
        <v>1</v>
      </c>
      <c r="G9" s="11" t="s">
        <v>1631</v>
      </c>
      <c r="H9" s="12" t="s">
        <v>1669</v>
      </c>
      <c r="I9" s="26"/>
      <c r="J9" s="12" t="str">
        <f t="shared" si="0"/>
        <v>* ageAtDiagnosis 0..1 integer ##34#Age at diagnosis manual##34# ##334#Age of the patient at the time of the diagnosis##334#</v>
      </c>
      <c r="L9" s="12" t="str">
        <f t="shared" ref="L9:L44" si="1">IF(H9="",IF(J9="*  ..  ##34###34# ##334###334#",J9,""),IF(J9="*  ..  ##34###34# ##334###334#",J9,CONCATENATE("* ",B9," ^comment = ##334#",H9,"##334#")))</f>
        <v>* ageAtDiagnosis ^comment = ##334#An integer value  0 We use the 1 value for unknown Automatic  calculation from date of birth and date of diagnosis##334#</v>
      </c>
    </row>
    <row r="10" spans="1:12" ht="44.25">
      <c r="A10" s="11">
        <v>2</v>
      </c>
      <c r="B10" s="14" t="s">
        <v>1634</v>
      </c>
      <c r="C10" s="106" t="s">
        <v>1650</v>
      </c>
      <c r="D10" s="106" t="s">
        <v>1651</v>
      </c>
      <c r="E10" s="11">
        <v>0</v>
      </c>
      <c r="F10" s="11">
        <v>1</v>
      </c>
      <c r="G10" s="11" t="s">
        <v>1</v>
      </c>
      <c r="H10" s="12" t="s">
        <v>1670</v>
      </c>
      <c r="I10" s="26"/>
      <c r="J10" s="12" t="str">
        <f t="shared" si="0"/>
        <v>* histologyGroup 0..1 string ##34#Histology WHO 2017 group##34# ##334#Histology of prymary tumour  according to WHO 2017 clasification##334#</v>
      </c>
      <c r="L10" s="12" t="str">
        <f t="shared" si="1"/>
        <v>* histologyGroup ^comment = ##334#A value in the WHO 2017 HN classification list##334#</v>
      </c>
    </row>
    <row r="11" spans="1:12" ht="29.5">
      <c r="A11" s="11">
        <v>3</v>
      </c>
      <c r="B11" s="14" t="s">
        <v>1686</v>
      </c>
      <c r="C11" s="104" t="s">
        <v>1652</v>
      </c>
      <c r="D11" s="12" t="s">
        <v>1652</v>
      </c>
      <c r="E11" s="11">
        <v>0</v>
      </c>
      <c r="F11" s="11">
        <v>1</v>
      </c>
      <c r="G11" s="11" t="s">
        <v>2</v>
      </c>
      <c r="I11" s="26"/>
      <c r="J11" s="12" t="str">
        <f t="shared" si="0"/>
        <v>* histologyWho2017Subgroup 0..1 BackboneElement ##34#Histology WHO 2017 subgroup##34# ##334#Histology WHO 2017 subgroup##334#</v>
      </c>
      <c r="L11" s="12" t="str">
        <f t="shared" si="1"/>
        <v/>
      </c>
    </row>
    <row r="12" spans="1:12" ht="44.25">
      <c r="A12" s="11">
        <v>4</v>
      </c>
      <c r="B12" s="11" t="s">
        <v>1687</v>
      </c>
      <c r="C12" s="104" t="s">
        <v>1518</v>
      </c>
      <c r="D12" s="12" t="s">
        <v>1521</v>
      </c>
      <c r="E12" s="11">
        <v>0</v>
      </c>
      <c r="F12" s="11">
        <v>1</v>
      </c>
      <c r="G12" s="11" t="s">
        <v>1</v>
      </c>
      <c r="H12" s="12" t="s">
        <v>1671</v>
      </c>
      <c r="I12" s="26"/>
      <c r="J12" s="12" t="str">
        <f t="shared" si="0"/>
        <v>* histologyWho2017Subgroup.Squamous 0..1 string ##34#Histology subgroup Squamous##34# ##334#Specifies the histological subgroup for squamous cancers##334#</v>
      </c>
      <c r="L12" s="12" t="str">
        <f t="shared" si="1"/>
        <v>* histologyWho2017Subgroup.Squamous ^comment = ##334#A value in the WHO 2017 HN squamous classification list##334#</v>
      </c>
    </row>
    <row r="13" spans="1:12" ht="44.25">
      <c r="A13" s="11">
        <v>5</v>
      </c>
      <c r="B13" s="11" t="s">
        <v>1688</v>
      </c>
      <c r="C13" s="105" t="s">
        <v>1524</v>
      </c>
      <c r="D13" s="51" t="s">
        <v>1527</v>
      </c>
      <c r="E13" s="11">
        <v>0</v>
      </c>
      <c r="F13" s="11">
        <v>1</v>
      </c>
      <c r="G13" s="11" t="s">
        <v>1</v>
      </c>
      <c r="H13" s="2" t="s">
        <v>1672</v>
      </c>
      <c r="I13" s="26"/>
      <c r="J13" s="12" t="str">
        <f t="shared" si="0"/>
        <v>* histologyWho2017Subgroup.Adenocarcinoma 0..1 string ##34#Histology subgroup Adenocarcinoma##34# ##334#Specifies the histological subgroup for adenocarcinomas##334#</v>
      </c>
      <c r="L13" s="12" t="str">
        <f t="shared" si="1"/>
        <v>* histologyWho2017Subgroup.Adenocarcinoma ^comment = ##334#A value in the WHO 2017 HN adenocarcinoma classification list##334#</v>
      </c>
    </row>
    <row r="14" spans="1:12" ht="44.25">
      <c r="A14" s="11">
        <v>6</v>
      </c>
      <c r="B14" s="11" t="s">
        <v>1689</v>
      </c>
      <c r="C14" s="104" t="s">
        <v>1530</v>
      </c>
      <c r="D14" s="12" t="s">
        <v>1533</v>
      </c>
      <c r="E14" s="11">
        <v>0</v>
      </c>
      <c r="F14" s="11">
        <v>1</v>
      </c>
      <c r="G14" s="11" t="s">
        <v>1</v>
      </c>
      <c r="H14" s="12" t="s">
        <v>1673</v>
      </c>
      <c r="I14" s="26"/>
      <c r="J14" s="12" t="str">
        <f t="shared" si="0"/>
        <v>* histologyWho2017Subgroup.Neuroendocrine 0..1 string ##34#Histology subgroup Neuroendocrine##34# ##334#Specifies the histological subgroup for neuroendocrine cancers ##334#</v>
      </c>
      <c r="L14" s="12" t="str">
        <f t="shared" si="1"/>
        <v>* histologyWho2017Subgroup.Neuroendocrine ^comment = ##334#A value in the WHO 2017 HN neuroendocrine classification list##334#</v>
      </c>
    </row>
    <row r="15" spans="1:12" ht="44.25">
      <c r="A15" s="11">
        <v>7</v>
      </c>
      <c r="B15" s="11" t="s">
        <v>1690</v>
      </c>
      <c r="C15" s="104" t="s">
        <v>1536</v>
      </c>
      <c r="D15" s="12" t="s">
        <v>1539</v>
      </c>
      <c r="E15" s="11">
        <v>0</v>
      </c>
      <c r="F15" s="11">
        <v>1</v>
      </c>
      <c r="G15" s="11" t="s">
        <v>1</v>
      </c>
      <c r="H15" s="12" t="s">
        <v>1674</v>
      </c>
      <c r="I15" s="26"/>
      <c r="J15" s="12" t="str">
        <f t="shared" si="0"/>
        <v>* histologyWho2017Subgroup.OdontogenicCarcinoma 0..1 string ##34#Histology subgroup Odontogenic carcinoma##34# ##334#Specifies the histological subgroup for odontogenic carcinomas##334#</v>
      </c>
      <c r="L15" s="12" t="str">
        <f t="shared" si="1"/>
        <v>* histologyWho2017Subgroup.OdontogenicCarcinoma ^comment = ##334#A value in the WHO 2017 HN odontogenic carcinoma classification list##334#</v>
      </c>
    </row>
    <row r="16" spans="1:12" ht="44.25">
      <c r="A16" s="11">
        <v>8</v>
      </c>
      <c r="B16" s="11" t="s">
        <v>1691</v>
      </c>
      <c r="C16" s="12" t="s">
        <v>1653</v>
      </c>
      <c r="D16" s="11" t="s">
        <v>1545</v>
      </c>
      <c r="E16" s="11">
        <v>0</v>
      </c>
      <c r="F16" s="11">
        <v>1</v>
      </c>
      <c r="G16" s="11" t="s">
        <v>1</v>
      </c>
      <c r="H16" s="12" t="s">
        <v>1675</v>
      </c>
      <c r="I16" s="26"/>
      <c r="J16" s="12" t="str">
        <f t="shared" si="0"/>
        <v>* histologyWho2017Subgroup.SNUC 0..1 string ##34#Histology subgroup Sinonasal undifferentiated carcinoma SNUC##34# ##334#Specifies the histological subgroup for sinonasl undifferentiated carcinomas##334#</v>
      </c>
      <c r="L16" s="12" t="str">
        <f t="shared" si="1"/>
        <v>* histologyWho2017Subgroup.SNUC ^comment = ##334#A value in the WHO 2017 HN SNUC classification list##334#</v>
      </c>
    </row>
    <row r="17" spans="1:13" ht="29.5">
      <c r="A17" s="11">
        <v>9</v>
      </c>
      <c r="B17" s="11" t="s">
        <v>1632</v>
      </c>
      <c r="C17" s="11" t="s">
        <v>1654</v>
      </c>
      <c r="D17" s="11" t="s">
        <v>1655</v>
      </c>
      <c r="E17" s="11">
        <v>0</v>
      </c>
      <c r="F17" s="11">
        <v>1</v>
      </c>
      <c r="G17" s="11" t="s">
        <v>1</v>
      </c>
      <c r="H17" s="12" t="s">
        <v>1552</v>
      </c>
      <c r="I17" s="26"/>
      <c r="J17" s="12" t="str">
        <f t="shared" si="0"/>
        <v>* siteRare 0..1 string ##34#Site  rare AJCC##34# ##334#Describe the primary tumor site according to AJCC ##334#</v>
      </c>
      <c r="L17" s="12" t="str">
        <f t="shared" si="1"/>
        <v>* siteRare ^comment = ##334#A value in the AJCC Cancer Staging Manual 8th site list##334#</v>
      </c>
    </row>
    <row r="18" spans="1:13" ht="29.5">
      <c r="A18" s="11">
        <v>10</v>
      </c>
      <c r="B18" s="11" t="s">
        <v>1633</v>
      </c>
      <c r="C18" s="11" t="s">
        <v>1656</v>
      </c>
      <c r="D18" s="11" t="s">
        <v>1655</v>
      </c>
      <c r="E18" s="11">
        <v>0</v>
      </c>
      <c r="F18" s="11">
        <v>1</v>
      </c>
      <c r="G18" s="11" t="s">
        <v>1</v>
      </c>
      <c r="H18" s="12" t="s">
        <v>1552</v>
      </c>
      <c r="J18" s="12" t="str">
        <f t="shared" si="0"/>
        <v>* siteCommonAndRare 0..1 string ##34#Site common and rare AJCC##34# ##334#Describe the primary tumor site according to AJCC ##334#</v>
      </c>
      <c r="L18" s="12" t="str">
        <f t="shared" si="1"/>
        <v>* siteCommonAndRare ^comment = ##334#A value in the AJCC Cancer Staging Manual 8th site list##334#</v>
      </c>
    </row>
    <row r="19" spans="1:13">
      <c r="A19" s="11">
        <v>11</v>
      </c>
      <c r="B19" s="11" t="s">
        <v>1692</v>
      </c>
      <c r="C19" s="12" t="s">
        <v>1559</v>
      </c>
      <c r="D19" s="12" t="s">
        <v>1559</v>
      </c>
      <c r="E19" s="11">
        <v>0</v>
      </c>
      <c r="F19" s="11">
        <v>1</v>
      </c>
      <c r="G19" s="11" t="s">
        <v>2</v>
      </c>
      <c r="H19" s="12"/>
      <c r="J19" s="12" t="str">
        <f t="shared" si="0"/>
        <v>* subsite 0..1 BackboneElement ##34#Subsite##34# ##334#Subsite##334#</v>
      </c>
      <c r="L19" s="12" t="str">
        <f t="shared" si="1"/>
        <v/>
      </c>
    </row>
    <row r="20" spans="1:13" ht="44.25">
      <c r="A20" s="11">
        <v>12</v>
      </c>
      <c r="B20" s="11" t="s">
        <v>1693</v>
      </c>
      <c r="C20" s="12" t="s">
        <v>1560</v>
      </c>
      <c r="D20" s="12" t="s">
        <v>1562</v>
      </c>
      <c r="E20" s="11">
        <v>0</v>
      </c>
      <c r="F20" s="11">
        <v>1</v>
      </c>
      <c r="G20" s="11" t="s">
        <v>1</v>
      </c>
      <c r="H20" s="12" t="s">
        <v>1563</v>
      </c>
      <c r="J20" s="12" t="str">
        <f t="shared" si="0"/>
        <v>* subsite.nasalCavityAndParanasalSinusesSubsite 0..1 string ##34#Nasal cavity and paranasal sinuses subsite##34# ##334#Specifies the subsite for cancers occurred in nasal cavity and paranasal sinusess##334#</v>
      </c>
      <c r="L20" s="12" t="str">
        <f t="shared" si="1"/>
        <v>* subsite.nasalCavityAndParanasalSinusesSubsite ^comment = ##334#A string value in the AJCC Cancer Staging Manual 8th subsite list##334#</v>
      </c>
    </row>
    <row r="21" spans="1:13" ht="29.5">
      <c r="A21" s="11">
        <v>13</v>
      </c>
      <c r="B21" s="11" t="s">
        <v>1694</v>
      </c>
      <c r="C21" s="12" t="s">
        <v>1566</v>
      </c>
      <c r="D21" s="12" t="s">
        <v>1567</v>
      </c>
      <c r="E21" s="11">
        <v>0</v>
      </c>
      <c r="F21" s="11">
        <v>1</v>
      </c>
      <c r="G21" s="11" t="s">
        <v>1</v>
      </c>
      <c r="H21" s="12" t="s">
        <v>1563</v>
      </c>
      <c r="J21" s="12" t="str">
        <f t="shared" si="0"/>
        <v>* subsite.nasopharynxSubsite 0..1 string ##34#Nasopharynx  subsite##34# ##334#Specifies the subsite for cancers occurred in nasopharynx##334#</v>
      </c>
      <c r="L21" s="12" t="str">
        <f t="shared" si="1"/>
        <v>* subsite.nasopharynxSubsite ^comment = ##334#A string value in the AJCC Cancer Staging Manual 8th subsite list##334#</v>
      </c>
      <c r="M21"/>
    </row>
    <row r="22" spans="1:13" ht="29.5">
      <c r="A22" s="11">
        <v>14</v>
      </c>
      <c r="B22" s="11" t="s">
        <v>1695</v>
      </c>
      <c r="C22" s="12" t="s">
        <v>1569</v>
      </c>
      <c r="D22" s="12" t="s">
        <v>1570</v>
      </c>
      <c r="E22" s="11">
        <v>0</v>
      </c>
      <c r="F22" s="11">
        <v>1</v>
      </c>
      <c r="G22" s="11" t="s">
        <v>1</v>
      </c>
      <c r="H22" s="12" t="s">
        <v>1563</v>
      </c>
      <c r="J22" s="12" t="str">
        <f t="shared" si="0"/>
        <v>* subsite.hypopharynxSubsite 0..1 string ##34#Hypopharynx subsite##34# ##334#Specifies the subsite for cancers occurred in hypopharynx##334#</v>
      </c>
      <c r="L22" s="12" t="str">
        <f t="shared" si="1"/>
        <v>* subsite.hypopharynxSubsite ^comment = ##334#A string value in the AJCC Cancer Staging Manual 8th subsite list##334#</v>
      </c>
      <c r="M22"/>
    </row>
    <row r="23" spans="1:13" ht="29.5">
      <c r="A23" s="11">
        <v>15</v>
      </c>
      <c r="B23" s="11" t="s">
        <v>1696</v>
      </c>
      <c r="C23" s="12" t="s">
        <v>1572</v>
      </c>
      <c r="D23" s="12" t="s">
        <v>1573</v>
      </c>
      <c r="E23" s="11">
        <v>0</v>
      </c>
      <c r="F23" s="11">
        <v>1</v>
      </c>
      <c r="G23" s="11" t="s">
        <v>1</v>
      </c>
      <c r="H23" s="12" t="s">
        <v>1563</v>
      </c>
      <c r="J23" s="12" t="str">
        <f t="shared" si="0"/>
        <v>* subsite.oropharynxSubsite 0..1 string ##34#Oropharynx subsite##34# ##334#Specifies the subsite for cancers occurred in oropharynx##334#</v>
      </c>
      <c r="L23" s="12" t="str">
        <f t="shared" si="1"/>
        <v>* subsite.oropharynxSubsite ^comment = ##334#A string value in the AJCC Cancer Staging Manual 8th subsite list##334#</v>
      </c>
      <c r="M23"/>
    </row>
    <row r="24" spans="1:13" ht="29.5">
      <c r="A24" s="11">
        <v>16</v>
      </c>
      <c r="B24" s="11" t="s">
        <v>1697</v>
      </c>
      <c r="C24" s="12" t="s">
        <v>1575</v>
      </c>
      <c r="D24" s="12" t="s">
        <v>1576</v>
      </c>
      <c r="E24" s="11">
        <v>0</v>
      </c>
      <c r="F24" s="11">
        <v>1</v>
      </c>
      <c r="G24" s="11" t="s">
        <v>1</v>
      </c>
      <c r="H24" s="12" t="s">
        <v>1563</v>
      </c>
      <c r="J24" s="12" t="str">
        <f t="shared" si="0"/>
        <v>* subsite.larynxSubsite 0..1 string ##34#Larynx subsite##34# ##334#Specifies the subsite for cancers occurred in larynx##334#</v>
      </c>
      <c r="L24" s="12" t="str">
        <f t="shared" si="1"/>
        <v>* subsite.larynxSubsite ^comment = ##334#A string value in the AJCC Cancer Staging Manual 8th subsite list##334#</v>
      </c>
      <c r="M24"/>
    </row>
    <row r="25" spans="1:13" ht="29.5">
      <c r="A25" s="11">
        <v>17</v>
      </c>
      <c r="B25" s="11" t="s">
        <v>1698</v>
      </c>
      <c r="C25" s="12" t="s">
        <v>1578</v>
      </c>
      <c r="D25" s="12" t="s">
        <v>1579</v>
      </c>
      <c r="E25" s="11">
        <v>0</v>
      </c>
      <c r="F25" s="11">
        <v>1</v>
      </c>
      <c r="G25" s="11" t="s">
        <v>1</v>
      </c>
      <c r="H25" s="12" t="s">
        <v>1563</v>
      </c>
      <c r="J25" s="12" t="str">
        <f t="shared" si="0"/>
        <v>* subsite.oralCavitySubsite 0..1 string ##34#Oral cavity subsite##34# ##334#Specifies the subsite for cancers occurred in oral cavity##334#</v>
      </c>
      <c r="L25" s="12" t="str">
        <f t="shared" si="1"/>
        <v>* subsite.oralCavitySubsite ^comment = ##334#A string value in the AJCC Cancer Staging Manual 8th subsite list##334#</v>
      </c>
      <c r="M25"/>
    </row>
    <row r="26" spans="1:13" ht="29.5">
      <c r="A26" s="11">
        <v>18</v>
      </c>
      <c r="B26" s="11" t="s">
        <v>1699</v>
      </c>
      <c r="C26" s="12" t="s">
        <v>1581</v>
      </c>
      <c r="D26" s="12" t="s">
        <v>1582</v>
      </c>
      <c r="E26" s="11">
        <v>0</v>
      </c>
      <c r="F26" s="11">
        <v>1</v>
      </c>
      <c r="G26" s="11" t="s">
        <v>1</v>
      </c>
      <c r="H26" s="12" t="s">
        <v>1563</v>
      </c>
      <c r="J26" s="12" t="str">
        <f t="shared" si="0"/>
        <v>* subsite.lipSubsite 0..1 string ##34#Lip subsite##34# ##334#Specifies the subsite for cancers occurred in lip##334#</v>
      </c>
      <c r="L26" s="12" t="str">
        <f t="shared" si="1"/>
        <v>* subsite.lipSubsite ^comment = ##334#A string value in the AJCC Cancer Staging Manual 8th subsite list##334#</v>
      </c>
      <c r="M26"/>
    </row>
    <row r="27" spans="1:13" ht="44.25">
      <c r="A27" s="11">
        <v>19</v>
      </c>
      <c r="B27" s="11" t="s">
        <v>1700</v>
      </c>
      <c r="C27" s="12" t="s">
        <v>1584</v>
      </c>
      <c r="D27" s="11" t="s">
        <v>1657</v>
      </c>
      <c r="E27" s="11">
        <v>0</v>
      </c>
      <c r="F27" s="11">
        <v>1</v>
      </c>
      <c r="G27" s="11" t="s">
        <v>1</v>
      </c>
      <c r="H27" s="12" t="s">
        <v>1676</v>
      </c>
      <c r="J27" s="12" t="str">
        <f t="shared" si="0"/>
        <v>* plasmaticEbvDnaAtBaseline 0..1 string ##34#Plasmatic EBV DNA at baseline##34# ##334#Describes the result of EBV DNA plasma testing before treatment in NPC type II and III WHO ##334#</v>
      </c>
      <c r="L27" s="12" t="str">
        <f t="shared" si="1"/>
        <v>* plasmaticEbvDnaAtBaseline ^comment = ##334#A string value representing whether the test value was positive negative or it was untested Empty if unknown##334#</v>
      </c>
      <c r="M27"/>
    </row>
    <row r="28" spans="1:13" ht="29.5">
      <c r="A28" s="11">
        <v>20</v>
      </c>
      <c r="B28" s="11" t="s">
        <v>1701</v>
      </c>
      <c r="C28" s="12" t="s">
        <v>1588</v>
      </c>
      <c r="D28" s="11" t="s">
        <v>1658</v>
      </c>
      <c r="E28" s="11">
        <v>0</v>
      </c>
      <c r="F28" s="11">
        <v>1</v>
      </c>
      <c r="G28" s="11" t="s">
        <v>1</v>
      </c>
      <c r="H28" s="12" t="s">
        <v>1677</v>
      </c>
      <c r="J28" s="12" t="str">
        <f t="shared" si="0"/>
        <v>* primerType 0..1 string ##34#Primer type##34# ##334#Describes the primer used for EBV DNA plasma testing t in NPC type II and Type III WHO ##334#</v>
      </c>
      <c r="L28" s="12" t="str">
        <f t="shared" si="1"/>
        <v>* primerType ^comment = ##334#A string value representing the plasma testing type Empty if unknown##334#</v>
      </c>
      <c r="M28"/>
    </row>
    <row r="29" spans="1:13" ht="29.5">
      <c r="A29" s="11">
        <v>21</v>
      </c>
      <c r="B29" s="11" t="s">
        <v>1702</v>
      </c>
      <c r="C29" s="12" t="s">
        <v>876</v>
      </c>
      <c r="D29" s="11" t="s">
        <v>1593</v>
      </c>
      <c r="E29" s="11">
        <v>0</v>
      </c>
      <c r="F29" s="11">
        <v>1</v>
      </c>
      <c r="G29" s="11" t="s">
        <v>1631</v>
      </c>
      <c r="H29" s="12" t="s">
        <v>1678</v>
      </c>
      <c r="I29" s="2"/>
      <c r="J29" s="12" t="str">
        <f t="shared" si="0"/>
        <v>* copyNumber 0..1 integer ##34#Copy Number##34# ##334#Copy number of EBVDNA##334#</v>
      </c>
      <c r="L29" s="12" t="str">
        <f t="shared" si="1"/>
        <v>* copyNumber ^comment = ##334#An integer for the number of EBVDNA Empty if unknown##334#</v>
      </c>
      <c r="M29"/>
    </row>
    <row r="30" spans="1:13" ht="44.25">
      <c r="A30" s="11">
        <v>22</v>
      </c>
      <c r="B30" s="11" t="s">
        <v>1703</v>
      </c>
      <c r="C30" s="12" t="s">
        <v>1595</v>
      </c>
      <c r="D30" s="11" t="s">
        <v>1596</v>
      </c>
      <c r="E30" s="11">
        <v>0</v>
      </c>
      <c r="F30" s="11">
        <v>1</v>
      </c>
      <c r="G30" s="11" t="s">
        <v>1</v>
      </c>
      <c r="H30" s="12" t="s">
        <v>1679</v>
      </c>
      <c r="J30" s="12" t="str">
        <f t="shared" si="0"/>
        <v>* hpvStatus 0..1 string ##34#HPV status##34# ##334#Describes the result of HPV tumor testing in oral carcinoma ##334#</v>
      </c>
      <c r="L30" s="12" t="str">
        <f t="shared" si="1"/>
        <v>* hpvStatus ^comment = ##334#A string value representing whether the result was positive negative or not tested Empty if unknown##334#</v>
      </c>
    </row>
    <row r="31" spans="1:13" ht="44.25">
      <c r="A31" s="11">
        <v>23</v>
      </c>
      <c r="B31" s="11" t="s">
        <v>1704</v>
      </c>
      <c r="C31" s="12" t="s">
        <v>1599</v>
      </c>
      <c r="D31" s="11" t="s">
        <v>1601</v>
      </c>
      <c r="E31" s="11">
        <v>0</v>
      </c>
      <c r="F31" s="11">
        <v>1</v>
      </c>
      <c r="G31" s="11" t="s">
        <v>1</v>
      </c>
      <c r="H31" s="12" t="s">
        <v>1680</v>
      </c>
      <c r="J31" s="12" t="str">
        <f t="shared" si="0"/>
        <v>* hpvStatusDetectedBy 0..1 string ##34#HPV status detected by##34# ##334#Describes the technique used for HPV tumour testing in orall carcinoma##334#</v>
      </c>
      <c r="L31" s="12" t="str">
        <f t="shared" si="1"/>
        <v>* hpvStatusDetectedBy ^comment = ##334#A string value representing which was the used technique Empty if unknown##334#</v>
      </c>
    </row>
    <row r="32" spans="1:13" ht="44.25">
      <c r="A32" s="11">
        <v>24</v>
      </c>
      <c r="B32" s="11" t="s">
        <v>1604</v>
      </c>
      <c r="C32" s="12" t="s">
        <v>1604</v>
      </c>
      <c r="D32" s="11" t="s">
        <v>1605</v>
      </c>
      <c r="E32" s="11">
        <v>0</v>
      </c>
      <c r="F32" s="11">
        <v>1</v>
      </c>
      <c r="G32" s="11" t="s">
        <v>1</v>
      </c>
      <c r="H32" s="12" t="s">
        <v>1679</v>
      </c>
      <c r="J32" s="12" t="str">
        <f t="shared" si="0"/>
        <v>* p16 0..1 string ##34#p16##34# ##334#Describes the result of p16 tumour testing in oral carcinoma##334#</v>
      </c>
      <c r="L32" s="12" t="str">
        <f t="shared" si="1"/>
        <v>* p16 ^comment = ##334#A string value representing whether the result was positive negative or not tested Empty if unknown##334#</v>
      </c>
    </row>
    <row r="33" spans="1:12" ht="44.25">
      <c r="A33" s="11">
        <v>25</v>
      </c>
      <c r="B33" s="11" t="s">
        <v>1705</v>
      </c>
      <c r="C33" s="12" t="s">
        <v>1659</v>
      </c>
      <c r="D33" s="11" t="s">
        <v>1608</v>
      </c>
      <c r="E33" s="11">
        <v>0</v>
      </c>
      <c r="F33" s="11">
        <v>1</v>
      </c>
      <c r="G33" s="11" t="s">
        <v>1</v>
      </c>
      <c r="H33" s="12" t="s">
        <v>1679</v>
      </c>
      <c r="J33" s="12" t="str">
        <f t="shared" si="0"/>
        <v>* pdL1 0..1 string ##34#PDL1##34# ##334#Describes the result of PDL tumour testing in oral carcinoma##334#</v>
      </c>
      <c r="L33" s="12" t="str">
        <f t="shared" si="1"/>
        <v>* pdL1 ^comment = ##334#A string value representing whether the result was positive negative or not tested Empty if unknown##334#</v>
      </c>
    </row>
    <row r="34" spans="1:12" ht="29.5">
      <c r="A34" s="11">
        <v>26</v>
      </c>
      <c r="B34" s="11" t="s">
        <v>1706</v>
      </c>
      <c r="C34" s="12" t="s">
        <v>1660</v>
      </c>
      <c r="D34" s="11" t="s">
        <v>1611</v>
      </c>
      <c r="E34" s="11">
        <v>0</v>
      </c>
      <c r="F34" s="11">
        <v>1</v>
      </c>
      <c r="G34" s="11" t="s">
        <v>1</v>
      </c>
      <c r="H34" s="12" t="s">
        <v>1680</v>
      </c>
      <c r="J34" s="12" t="str">
        <f t="shared" si="0"/>
        <v>* pdL1Method 0..1 string ##34#PDL1 Method##34# ##334#Describes the technique used for PDL tumour testing in oral carcinoma##334#</v>
      </c>
      <c r="L34" s="12" t="str">
        <f t="shared" si="1"/>
        <v>* pdL1Method ^comment = ##334#A string value representing which was the used technique Empty if unknown##334#</v>
      </c>
    </row>
    <row r="35" spans="1:12" ht="29.5">
      <c r="A35" s="11">
        <v>27</v>
      </c>
      <c r="B35" s="11" t="s">
        <v>1707</v>
      </c>
      <c r="C35" s="12" t="s">
        <v>1661</v>
      </c>
      <c r="D35" s="11" t="s">
        <v>1662</v>
      </c>
      <c r="E35" s="11">
        <v>0</v>
      </c>
      <c r="F35" s="11">
        <v>1</v>
      </c>
      <c r="G35" s="11" t="s">
        <v>1631</v>
      </c>
      <c r="H35" s="12" t="s">
        <v>1681</v>
      </c>
      <c r="J35" s="12" t="str">
        <f t="shared" si="0"/>
        <v>* pdL1CpsValue 0..1 integer ##34#PDL1 CPS value##34# ##334#Result of PDL1CPS testing when performed##334#</v>
      </c>
      <c r="L35" s="12" t="str">
        <f t="shared" si="1"/>
        <v>* pdL1CpsValue ^comment = ##334#An integer for the PDL1CPS test Empty if unknown##334#</v>
      </c>
    </row>
    <row r="36" spans="1:12" ht="29.5">
      <c r="A36" s="11">
        <v>28</v>
      </c>
      <c r="B36" s="11" t="s">
        <v>1708</v>
      </c>
      <c r="C36" s="12" t="s">
        <v>1663</v>
      </c>
      <c r="D36" s="11" t="s">
        <v>1664</v>
      </c>
      <c r="E36" s="11">
        <v>0</v>
      </c>
      <c r="F36" s="11">
        <v>1</v>
      </c>
      <c r="G36" s="11" t="s">
        <v>1631</v>
      </c>
      <c r="H36" s="12" t="s">
        <v>1682</v>
      </c>
      <c r="J36" s="12" t="str">
        <f t="shared" si="0"/>
        <v>* pdL1TpsValue 0..1 integer ##34#PDL1 TPS value##34# ##334#Result of PDL1TPS testing when performed##334#</v>
      </c>
      <c r="L36" s="12" t="str">
        <f t="shared" si="1"/>
        <v>* pdL1TpsValue ^comment = ##334#An integer for the PDL1TPS test Empty if unknown##334#</v>
      </c>
    </row>
    <row r="37" spans="1:12" ht="44.25">
      <c r="A37" s="11">
        <v>29</v>
      </c>
      <c r="B37" s="11" t="s">
        <v>1709</v>
      </c>
      <c r="C37" s="12" t="s">
        <v>1665</v>
      </c>
      <c r="D37" s="11" t="s">
        <v>1622</v>
      </c>
      <c r="E37" s="11">
        <v>0</v>
      </c>
      <c r="F37" s="11">
        <v>1</v>
      </c>
      <c r="G37" s="11" t="s">
        <v>1</v>
      </c>
      <c r="H37" s="12" t="s">
        <v>1679</v>
      </c>
      <c r="J37" s="12" t="str">
        <f t="shared" si="0"/>
        <v>* crpCReactiveProteinTested 0..1 string ##34#CRP  C reactive protein tested ##34# ##334#Describes the result of C reactive protein testing##334#</v>
      </c>
      <c r="L37" s="12" t="str">
        <f t="shared" si="1"/>
        <v>* crpCReactiveProteinTested ^comment = ##334#A string value representing whether the result was positive negative or not tested Empty if unknown##334#</v>
      </c>
    </row>
    <row r="38" spans="1:12" ht="29.5">
      <c r="A38" s="11">
        <v>30</v>
      </c>
      <c r="B38" s="11" t="s">
        <v>1710</v>
      </c>
      <c r="C38" s="12" t="s">
        <v>1666</v>
      </c>
      <c r="D38" s="11" t="s">
        <v>1667</v>
      </c>
      <c r="E38" s="11">
        <v>0</v>
      </c>
      <c r="F38" s="11">
        <v>1</v>
      </c>
      <c r="G38" s="11" t="s">
        <v>1631</v>
      </c>
      <c r="H38" s="12" t="s">
        <v>1683</v>
      </c>
      <c r="J38" s="12" t="str">
        <f t="shared" si="0"/>
        <v>* cReactiveProteinCrpMgDl 0..1 integer ##34#C reactive protein  CRP mgdl##34# ##334#Result of CRP testing when performed##334#</v>
      </c>
      <c r="L38" s="12" t="str">
        <f t="shared" si="1"/>
        <v>* cReactiveProteinCrpMgDl ^comment = ##334#An integer for the CRP test Empty if unknown##334#</v>
      </c>
    </row>
    <row r="39" spans="1:12" ht="29.5">
      <c r="A39" s="11">
        <v>31</v>
      </c>
      <c r="B39" s="11" t="s">
        <v>1711</v>
      </c>
      <c r="C39" s="12" t="s">
        <v>1626</v>
      </c>
      <c r="D39" s="11" t="s">
        <v>153</v>
      </c>
      <c r="E39" s="11">
        <v>0</v>
      </c>
      <c r="F39" s="11">
        <v>1</v>
      </c>
      <c r="G39" s="11" t="s">
        <v>165</v>
      </c>
      <c r="H39" s="12" t="s">
        <v>1684</v>
      </c>
      <c r="J39" s="12" t="str">
        <f t="shared" si="0"/>
        <v>* instrumentStatus 0..1 boolean ##34#Instrument status##34# ##334#Describe if the instument is fully compiled or not##334#</v>
      </c>
      <c r="L39" s="12" t="str">
        <f t="shared" si="1"/>
        <v>* instrumentStatus ^comment = ##334#A boolean for the instrument if it was fully compiled or not##334#</v>
      </c>
    </row>
    <row r="40" spans="1:12">
      <c r="J40" s="12" t="str">
        <f t="shared" si="0"/>
        <v>*  ..  ##34###34# ##334###334#</v>
      </c>
      <c r="L40" s="12" t="str">
        <f t="shared" si="1"/>
        <v>*  ..  ##34###34# ##334###334#</v>
      </c>
    </row>
    <row r="41" spans="1:12">
      <c r="J41" s="12" t="str">
        <f t="shared" si="0"/>
        <v>*  ..  ##34###34# ##334###334#</v>
      </c>
      <c r="L41" s="12" t="str">
        <f t="shared" si="1"/>
        <v>*  ..  ##34###34# ##334###334#</v>
      </c>
    </row>
    <row r="42" spans="1:12">
      <c r="J42" s="12" t="str">
        <f t="shared" si="0"/>
        <v>*  ..  ##34###34# ##334###334#</v>
      </c>
      <c r="L42" s="12" t="str">
        <f t="shared" si="1"/>
        <v>*  ..  ##34###34# ##334###334#</v>
      </c>
    </row>
    <row r="43" spans="1:12">
      <c r="J43" s="12" t="str">
        <f t="shared" si="0"/>
        <v>*  ..  ##34###34# ##334###334#</v>
      </c>
      <c r="L43" s="12" t="str">
        <f t="shared" si="1"/>
        <v>*  ..  ##34###34# ##334###334#</v>
      </c>
    </row>
    <row r="44" spans="1:12">
      <c r="J44" s="12" t="str">
        <f t="shared" si="0"/>
        <v>*  ..  ##34###34# ##334###334#</v>
      </c>
      <c r="L44" s="12" t="str">
        <f t="shared" si="1"/>
        <v>*  ..  ##34###34# ##334###334#</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DC506-E670-4EC1-BE09-A870303F350C}">
  <sheetPr codeName="Foglio44"/>
  <dimension ref="A1:O48"/>
  <sheetViews>
    <sheetView workbookViewId="0">
      <selection activeCell="B7" sqref="B7"/>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6" t="s">
        <v>21</v>
      </c>
      <c r="H1" s="7"/>
      <c r="I1" s="7"/>
      <c r="J1" s="7"/>
      <c r="K1" s="7"/>
      <c r="L1" s="7"/>
      <c r="M1" s="7"/>
      <c r="N1" s="7"/>
      <c r="O1" s="7"/>
    </row>
    <row r="2" spans="1:15">
      <c r="E2" s="23" t="s">
        <v>22</v>
      </c>
      <c r="H2" s="7"/>
      <c r="I2" s="7"/>
      <c r="J2" s="7"/>
      <c r="K2" s="7"/>
      <c r="L2" s="7"/>
      <c r="M2" s="7"/>
      <c r="N2" s="7"/>
      <c r="O2" s="7"/>
    </row>
    <row r="3" spans="1:15" ht="15.5" thickBot="1">
      <c r="E3" s="23" t="str">
        <f>E1</f>
        <v>// -------------------------------------------------------------------------------</v>
      </c>
      <c r="H3" s="7"/>
      <c r="I3" s="7"/>
      <c r="J3" s="7"/>
      <c r="K3" s="7"/>
      <c r="L3" s="7"/>
      <c r="M3" s="7"/>
      <c r="N3" s="7"/>
      <c r="O3" s="7"/>
    </row>
    <row r="4" spans="1:15" ht="15.5" thickBot="1">
      <c r="B4" s="10" t="s">
        <v>18</v>
      </c>
      <c r="C4" s="29" t="s">
        <v>1636</v>
      </c>
      <c r="E4" s="20" t="str">
        <f>CONCATENATE("Mapping: ",C4)</f>
        <v>Mapping: I4RCCancerUnderStudy2Fhir</v>
      </c>
      <c r="H4" s="7"/>
      <c r="I4" s="7"/>
      <c r="J4" s="7"/>
      <c r="K4" s="7"/>
      <c r="L4" s="7"/>
      <c r="M4" s="7"/>
      <c r="N4" s="7"/>
      <c r="O4" s="7"/>
    </row>
    <row r="5" spans="1:15" ht="15.5" thickBot="1">
      <c r="B5" s="10" t="s">
        <v>17</v>
      </c>
      <c r="C5" s="13" t="s">
        <v>14</v>
      </c>
      <c r="E5" s="21" t="str">
        <f>CONCATENATE("Id: ",C5)</f>
        <v>Id: fhir</v>
      </c>
      <c r="H5" s="7"/>
      <c r="I5" s="7"/>
      <c r="J5" s="7"/>
      <c r="K5" s="7"/>
      <c r="L5" s="7"/>
      <c r="M5" s="7"/>
      <c r="N5" s="7"/>
      <c r="O5" s="7"/>
    </row>
    <row r="6" spans="1:15" ht="15.5" thickBot="1">
      <c r="B6" s="10" t="s">
        <v>11</v>
      </c>
      <c r="C6" s="7" t="s">
        <v>168</v>
      </c>
      <c r="E6" s="21" t="str">
        <f>CONCATENATE("Title: ##34#",C6,"##34#")</f>
        <v>Title: ##34#Idea4RC Subject model to FHIR R4 Map##34#</v>
      </c>
      <c r="H6" s="7"/>
      <c r="I6" s="7"/>
      <c r="J6" s="7"/>
      <c r="K6" s="7"/>
      <c r="L6" s="7"/>
      <c r="M6" s="7"/>
      <c r="N6" s="7"/>
      <c r="O6" s="7"/>
    </row>
    <row r="7" spans="1:15" ht="15.5" thickBot="1">
      <c r="B7" s="10" t="s">
        <v>19</v>
      </c>
      <c r="C7" s="8" t="str">
        <f>B9</f>
        <v>CancerUnderStudy</v>
      </c>
      <c r="E7" s="21" t="str">
        <f>CONCATENATE("Source: ",C7)</f>
        <v>Source: CancerUnderStudy</v>
      </c>
      <c r="H7" s="7"/>
      <c r="I7" s="7"/>
      <c r="J7" s="7"/>
      <c r="K7" s="7"/>
      <c r="L7" s="7"/>
      <c r="M7" s="7"/>
      <c r="N7" s="7"/>
      <c r="O7" s="7"/>
    </row>
    <row r="8" spans="1:15" ht="15.5" thickBot="1">
      <c r="B8" s="19" t="s">
        <v>16</v>
      </c>
      <c r="C8" t="s">
        <v>13</v>
      </c>
      <c r="E8" s="22" t="str">
        <f>CONCATENATE("Target: ##34#",C8,"##34#")</f>
        <v>Target: ##34#hl7.org/fhir/r4##34#</v>
      </c>
      <c r="H8" s="7"/>
      <c r="I8" s="7"/>
      <c r="J8" s="7"/>
      <c r="K8" s="7"/>
      <c r="L8" s="7"/>
      <c r="M8" s="7"/>
      <c r="N8" s="7"/>
      <c r="O8" s="7"/>
    </row>
    <row r="9" spans="1:15">
      <c r="A9" s="11"/>
      <c r="B9" s="6" t="str">
        <f>CancerUnderStudy!B5</f>
        <v>CancerUnderStudy</v>
      </c>
      <c r="C9" s="6" t="s">
        <v>1637</v>
      </c>
      <c r="E9" s="28" t="str">
        <f>CONCATENATE("* -&gt; ##34#",C9,"##34#")</f>
        <v>* -&gt; ##34#TBD##34#</v>
      </c>
      <c r="H9" s="7"/>
      <c r="I9" s="7"/>
      <c r="J9" s="7"/>
      <c r="K9" s="7"/>
      <c r="L9" s="7"/>
      <c r="M9" s="7"/>
      <c r="N9" s="7"/>
      <c r="O9" s="7"/>
    </row>
    <row r="10" spans="1:15">
      <c r="A10" s="11"/>
      <c r="B10" s="11" t="str">
        <f>CancerUnderStudy!B8</f>
        <v>diagnosisDate</v>
      </c>
      <c r="C10" s="11" t="s">
        <v>1637</v>
      </c>
      <c r="E10" s="12" t="str">
        <f t="shared" ref="E10:E45" si="0">IF(B10=0,"*  -&gt; ##34###34#",CONCATENATE("* ",B10," -&gt; ##34#",C10,"##34#"))</f>
        <v>* diagnosisDate -&gt; ##34#TBD##34#</v>
      </c>
      <c r="H10" s="7"/>
      <c r="I10" s="7"/>
      <c r="J10" s="7"/>
      <c r="K10" s="7"/>
      <c r="L10" s="7"/>
      <c r="M10" s="7"/>
      <c r="N10" s="7"/>
      <c r="O10" s="7"/>
    </row>
    <row r="11" spans="1:15">
      <c r="A11" s="11"/>
      <c r="B11" s="11" t="str">
        <f>CancerUnderStudy!B9</f>
        <v>ageAtDiagnosis</v>
      </c>
      <c r="C11" s="11" t="s">
        <v>1637</v>
      </c>
      <c r="E11" s="12" t="str">
        <f t="shared" si="0"/>
        <v>* ageAtDiagnosis -&gt; ##34#TBD##34#</v>
      </c>
      <c r="H11" s="7"/>
      <c r="I11" s="7"/>
      <c r="J11" s="7"/>
      <c r="K11" s="7"/>
      <c r="L11" s="7"/>
      <c r="M11" s="7"/>
      <c r="N11" s="7"/>
      <c r="O11" s="7"/>
    </row>
    <row r="12" spans="1:15">
      <c r="A12" s="11"/>
      <c r="B12" s="11" t="str">
        <f>CancerUnderStudy!B10</f>
        <v>histologyGroup</v>
      </c>
      <c r="C12" s="11" t="s">
        <v>1637</v>
      </c>
      <c r="E12" s="12" t="str">
        <f t="shared" si="0"/>
        <v>* histologyGroup -&gt; ##34#TBD##34#</v>
      </c>
      <c r="H12" s="7"/>
      <c r="I12" s="7"/>
      <c r="J12" s="7"/>
      <c r="K12" s="7"/>
      <c r="L12" s="7"/>
      <c r="M12" s="7"/>
      <c r="N12" s="7"/>
      <c r="O12" s="7"/>
    </row>
    <row r="13" spans="1:15">
      <c r="A13" s="11"/>
      <c r="B13" s="11" t="str">
        <f>CancerUnderStudy!B11</f>
        <v>histologyWho2017Subgroup</v>
      </c>
      <c r="C13" s="11" t="s">
        <v>1637</v>
      </c>
      <c r="E13" s="12" t="str">
        <f t="shared" si="0"/>
        <v>* histologyWho2017Subgroup -&gt; ##34#TBD##34#</v>
      </c>
      <c r="H13" s="7"/>
      <c r="I13" s="7"/>
      <c r="J13" s="7"/>
      <c r="K13" s="7"/>
      <c r="L13" s="7"/>
      <c r="M13" s="7"/>
      <c r="N13" s="7"/>
      <c r="O13" s="7"/>
    </row>
    <row r="14" spans="1:15">
      <c r="A14" s="11"/>
      <c r="B14" s="11" t="str">
        <f>CancerUnderStudy!B12</f>
        <v>histologyWho2017Subgroup.Squamous</v>
      </c>
      <c r="C14" s="11" t="s">
        <v>1637</v>
      </c>
      <c r="E14" s="12" t="str">
        <f t="shared" si="0"/>
        <v>* histologyWho2017Subgroup.Squamous -&gt; ##34#TBD##34#</v>
      </c>
      <c r="H14" s="7"/>
      <c r="I14" s="7"/>
      <c r="J14" s="7"/>
      <c r="K14" s="7"/>
      <c r="L14" s="7"/>
      <c r="M14" s="7"/>
      <c r="N14" s="7"/>
      <c r="O14" s="7"/>
    </row>
    <row r="15" spans="1:15">
      <c r="A15" s="11"/>
      <c r="B15" s="11" t="str">
        <f>CancerUnderStudy!B13</f>
        <v>histologyWho2017Subgroup.Adenocarcinoma</v>
      </c>
      <c r="C15" s="11" t="s">
        <v>1637</v>
      </c>
      <c r="E15" s="12" t="str">
        <f t="shared" si="0"/>
        <v>* histologyWho2017Subgroup.Adenocarcinoma -&gt; ##34#TBD##34#</v>
      </c>
      <c r="H15" s="7"/>
      <c r="I15" s="7"/>
      <c r="J15" s="7"/>
      <c r="K15" s="7"/>
      <c r="L15" s="7"/>
      <c r="M15" s="7"/>
      <c r="N15" s="7"/>
      <c r="O15" s="7"/>
    </row>
    <row r="16" spans="1:15">
      <c r="A16" s="11"/>
      <c r="B16" s="11" t="str">
        <f>CancerUnderStudy!B14</f>
        <v>histologyWho2017Subgroup.Neuroendocrine</v>
      </c>
      <c r="C16" s="11" t="s">
        <v>1637</v>
      </c>
      <c r="E16" s="12" t="str">
        <f t="shared" si="0"/>
        <v>* histologyWho2017Subgroup.Neuroendocrine -&gt; ##34#TBD##34#</v>
      </c>
      <c r="H16" s="7"/>
      <c r="I16" s="7"/>
      <c r="J16" s="7"/>
      <c r="K16" s="7"/>
      <c r="L16" s="7"/>
      <c r="M16" s="7"/>
      <c r="N16" s="7"/>
      <c r="O16" s="7"/>
    </row>
    <row r="17" spans="1:5">
      <c r="A17" s="11"/>
      <c r="B17" s="11" t="str">
        <f>CancerUnderStudy!B15</f>
        <v>histologyWho2017Subgroup.OdontogenicCarcinoma</v>
      </c>
      <c r="C17" s="11" t="s">
        <v>1637</v>
      </c>
      <c r="E17" s="12" t="str">
        <f t="shared" si="0"/>
        <v>* histologyWho2017Subgroup.OdontogenicCarcinoma -&gt; ##34#TBD##34#</v>
      </c>
    </row>
    <row r="18" spans="1:5">
      <c r="A18" s="11"/>
      <c r="B18" s="11" t="str">
        <f>CancerUnderStudy!B16</f>
        <v>histologyWho2017Subgroup.SNUC</v>
      </c>
      <c r="C18" s="11" t="s">
        <v>1637</v>
      </c>
      <c r="E18" s="12" t="str">
        <f t="shared" si="0"/>
        <v>* histologyWho2017Subgroup.SNUC -&gt; ##34#TBD##34#</v>
      </c>
    </row>
    <row r="19" spans="1:5">
      <c r="A19" s="11"/>
      <c r="B19" s="11" t="str">
        <f>CancerUnderStudy!B17</f>
        <v>siteRare</v>
      </c>
      <c r="C19" s="11" t="s">
        <v>1637</v>
      </c>
      <c r="E19" s="12" t="str">
        <f t="shared" si="0"/>
        <v>* siteRare -&gt; ##34#TBD##34#</v>
      </c>
    </row>
    <row r="20" spans="1:5">
      <c r="A20" s="11"/>
      <c r="B20" s="11" t="str">
        <f>CancerUnderStudy!B18</f>
        <v>siteCommonAndRare</v>
      </c>
      <c r="C20" s="11" t="s">
        <v>1637</v>
      </c>
      <c r="E20" s="12" t="str">
        <f t="shared" si="0"/>
        <v>* siteCommonAndRare -&gt; ##34#TBD##34#</v>
      </c>
    </row>
    <row r="21" spans="1:5">
      <c r="B21" s="11" t="str">
        <f>CancerUnderStudy!B19</f>
        <v>subsite</v>
      </c>
      <c r="C21" s="11" t="s">
        <v>1637</v>
      </c>
      <c r="E21" s="12" t="str">
        <f t="shared" si="0"/>
        <v>* subsite -&gt; ##34#TBD##34#</v>
      </c>
    </row>
    <row r="22" spans="1:5">
      <c r="B22" s="11" t="str">
        <f>CancerUnderStudy!B20</f>
        <v>subsite.nasalCavityAndParanasalSinusesSubsite</v>
      </c>
      <c r="C22" s="11" t="s">
        <v>1637</v>
      </c>
      <c r="E22" s="12" t="str">
        <f t="shared" si="0"/>
        <v>* subsite.nasalCavityAndParanasalSinusesSubsite -&gt; ##34#TBD##34#</v>
      </c>
    </row>
    <row r="23" spans="1:5">
      <c r="B23" s="11" t="str">
        <f>CancerUnderStudy!B21</f>
        <v>subsite.nasopharynxSubsite</v>
      </c>
      <c r="C23" s="11" t="s">
        <v>1637</v>
      </c>
      <c r="E23" s="12" t="str">
        <f t="shared" si="0"/>
        <v>* subsite.nasopharynxSubsite -&gt; ##34#TBD##34#</v>
      </c>
    </row>
    <row r="24" spans="1:5">
      <c r="B24" s="11" t="str">
        <f>CancerUnderStudy!B22</f>
        <v>subsite.hypopharynxSubsite</v>
      </c>
      <c r="C24" s="11" t="s">
        <v>1637</v>
      </c>
      <c r="E24" s="12" t="str">
        <f t="shared" si="0"/>
        <v>* subsite.hypopharynxSubsite -&gt; ##34#TBD##34#</v>
      </c>
    </row>
    <row r="25" spans="1:5">
      <c r="B25" s="11" t="str">
        <f>CancerUnderStudy!B23</f>
        <v>subsite.oropharynxSubsite</v>
      </c>
      <c r="C25" s="11" t="s">
        <v>1637</v>
      </c>
      <c r="E25" s="12" t="str">
        <f t="shared" si="0"/>
        <v>* subsite.oropharynxSubsite -&gt; ##34#TBD##34#</v>
      </c>
    </row>
    <row r="26" spans="1:5">
      <c r="B26" s="11" t="str">
        <f>CancerUnderStudy!B24</f>
        <v>subsite.larynxSubsite</v>
      </c>
      <c r="C26" s="11" t="s">
        <v>1637</v>
      </c>
      <c r="E26" s="12" t="str">
        <f t="shared" si="0"/>
        <v>* subsite.larynxSubsite -&gt; ##34#TBD##34#</v>
      </c>
    </row>
    <row r="27" spans="1:5">
      <c r="B27" s="11" t="str">
        <f>CancerUnderStudy!B25</f>
        <v>subsite.oralCavitySubsite</v>
      </c>
      <c r="C27" s="11" t="s">
        <v>1637</v>
      </c>
      <c r="E27" s="12" t="str">
        <f t="shared" si="0"/>
        <v>* subsite.oralCavitySubsite -&gt; ##34#TBD##34#</v>
      </c>
    </row>
    <row r="28" spans="1:5">
      <c r="B28" s="11" t="str">
        <f>CancerUnderStudy!B26</f>
        <v>subsite.lipSubsite</v>
      </c>
      <c r="C28" s="11" t="s">
        <v>1637</v>
      </c>
      <c r="E28" s="12" t="str">
        <f t="shared" si="0"/>
        <v>* subsite.lipSubsite -&gt; ##34#TBD##34#</v>
      </c>
    </row>
    <row r="29" spans="1:5">
      <c r="B29" s="11" t="str">
        <f>CancerUnderStudy!B27</f>
        <v>plasmaticEbvDnaAtBaseline</v>
      </c>
      <c r="C29" s="11" t="s">
        <v>1637</v>
      </c>
      <c r="E29" s="12" t="str">
        <f t="shared" si="0"/>
        <v>* plasmaticEbvDnaAtBaseline -&gt; ##34#TBD##34#</v>
      </c>
    </row>
    <row r="30" spans="1:5">
      <c r="B30" s="11" t="str">
        <f>CancerUnderStudy!B28</f>
        <v>primerType</v>
      </c>
      <c r="C30" s="11" t="s">
        <v>1637</v>
      </c>
      <c r="E30" s="12" t="str">
        <f t="shared" si="0"/>
        <v>* primerType -&gt; ##34#TBD##34#</v>
      </c>
    </row>
    <row r="31" spans="1:5">
      <c r="B31" s="11" t="str">
        <f>CancerUnderStudy!B29</f>
        <v>copyNumber</v>
      </c>
      <c r="C31" s="11" t="s">
        <v>1637</v>
      </c>
      <c r="E31" s="12" t="str">
        <f t="shared" si="0"/>
        <v>* copyNumber -&gt; ##34#TBD##34#</v>
      </c>
    </row>
    <row r="32" spans="1:5">
      <c r="B32" s="11" t="str">
        <f>CancerUnderStudy!B30</f>
        <v>hpvStatus</v>
      </c>
      <c r="C32" s="11" t="s">
        <v>1637</v>
      </c>
      <c r="E32" s="12" t="str">
        <f t="shared" si="0"/>
        <v>* hpvStatus -&gt; ##34#TBD##34#</v>
      </c>
    </row>
    <row r="33" spans="2:5">
      <c r="B33" s="11" t="str">
        <f>CancerUnderStudy!B31</f>
        <v>hpvStatusDetectedBy</v>
      </c>
      <c r="C33" s="11" t="s">
        <v>1637</v>
      </c>
      <c r="E33" s="12" t="str">
        <f t="shared" si="0"/>
        <v>* hpvStatusDetectedBy -&gt; ##34#TBD##34#</v>
      </c>
    </row>
    <row r="34" spans="2:5">
      <c r="B34" s="11" t="str">
        <f>CancerUnderStudy!B32</f>
        <v>p16</v>
      </c>
      <c r="C34" s="11" t="s">
        <v>1637</v>
      </c>
      <c r="E34" s="12" t="str">
        <f t="shared" si="0"/>
        <v>* p16 -&gt; ##34#TBD##34#</v>
      </c>
    </row>
    <row r="35" spans="2:5">
      <c r="B35" s="11" t="str">
        <f>CancerUnderStudy!B33</f>
        <v>pdL1</v>
      </c>
      <c r="C35" s="11" t="s">
        <v>1637</v>
      </c>
      <c r="E35" s="12" t="str">
        <f t="shared" si="0"/>
        <v>* pdL1 -&gt; ##34#TBD##34#</v>
      </c>
    </row>
    <row r="36" spans="2:5">
      <c r="B36" s="11" t="str">
        <f>CancerUnderStudy!B34</f>
        <v>pdL1Method</v>
      </c>
      <c r="C36" s="11" t="s">
        <v>1637</v>
      </c>
      <c r="E36" s="12" t="str">
        <f t="shared" si="0"/>
        <v>* pdL1Method -&gt; ##34#TBD##34#</v>
      </c>
    </row>
    <row r="37" spans="2:5">
      <c r="B37" s="11" t="str">
        <f>CancerUnderStudy!B35</f>
        <v>pdL1CpsValue</v>
      </c>
      <c r="C37" s="11" t="s">
        <v>1637</v>
      </c>
      <c r="E37" s="12" t="str">
        <f t="shared" si="0"/>
        <v>* pdL1CpsValue -&gt; ##34#TBD##34#</v>
      </c>
    </row>
    <row r="38" spans="2:5">
      <c r="B38" s="11" t="str">
        <f>CancerUnderStudy!B36</f>
        <v>pdL1TpsValue</v>
      </c>
      <c r="C38" s="11" t="s">
        <v>1637</v>
      </c>
      <c r="E38" s="12" t="str">
        <f t="shared" si="0"/>
        <v>* pdL1TpsValue -&gt; ##34#TBD##34#</v>
      </c>
    </row>
    <row r="39" spans="2:5">
      <c r="B39" s="11" t="str">
        <f>CancerUnderStudy!B37</f>
        <v>crpCReactiveProteinTested</v>
      </c>
      <c r="C39" s="11" t="s">
        <v>1637</v>
      </c>
      <c r="E39" s="12" t="str">
        <f t="shared" si="0"/>
        <v>* crpCReactiveProteinTested -&gt; ##34#TBD##34#</v>
      </c>
    </row>
    <row r="40" spans="2:5">
      <c r="B40" s="11" t="str">
        <f>CancerUnderStudy!B38</f>
        <v>cReactiveProteinCrpMgDl</v>
      </c>
      <c r="C40" s="11" t="s">
        <v>1637</v>
      </c>
      <c r="E40" s="12" t="str">
        <f t="shared" si="0"/>
        <v>* cReactiveProteinCrpMgDl -&gt; ##34#TBD##34#</v>
      </c>
    </row>
    <row r="41" spans="2:5">
      <c r="B41" s="11" t="str">
        <f>CancerUnderStudy!B39</f>
        <v>instrumentStatus</v>
      </c>
      <c r="C41" s="11" t="s">
        <v>1637</v>
      </c>
      <c r="E41" s="12" t="str">
        <f t="shared" si="0"/>
        <v>* instrumentStatus -&gt; ##34#TBD##34#</v>
      </c>
    </row>
    <row r="42" spans="2:5">
      <c r="B42" s="11"/>
      <c r="C42" s="11"/>
      <c r="E42" s="12" t="str">
        <f t="shared" si="0"/>
        <v>*  -&gt; ##34###34#</v>
      </c>
    </row>
    <row r="43" spans="2:5">
      <c r="B43" s="11"/>
      <c r="C43" s="11"/>
      <c r="E43" s="12" t="str">
        <f t="shared" si="0"/>
        <v>*  -&gt; ##34###34#</v>
      </c>
    </row>
    <row r="44" spans="2:5">
      <c r="B44" s="11"/>
      <c r="C44" s="11"/>
      <c r="E44" s="12" t="str">
        <f t="shared" si="0"/>
        <v>*  -&gt; ##34###34#</v>
      </c>
    </row>
    <row r="45" spans="2:5">
      <c r="B45" s="11"/>
      <c r="C45" s="11"/>
      <c r="E45" s="12" t="str">
        <f t="shared" si="0"/>
        <v>*  -&gt; ##34###34#</v>
      </c>
    </row>
    <row r="46" spans="2:5">
      <c r="B46" s="11"/>
      <c r="C46" s="11"/>
    </row>
    <row r="47" spans="2:5">
      <c r="B47" s="11"/>
    </row>
    <row r="48" spans="2:5">
      <c r="B48"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ED105-0B43-4F6F-A013-8D74590B3D40}">
  <sheetPr codeName="Foglio19">
    <tabColor theme="8" tint="-0.249977111117893"/>
  </sheetPr>
  <dimension ref="C1:G130"/>
  <sheetViews>
    <sheetView tabSelected="1" workbookViewId="0">
      <selection activeCell="B7" sqref="B7"/>
    </sheetView>
  </sheetViews>
  <sheetFormatPr defaultRowHeight="14.75"/>
  <cols>
    <col min="3" max="3" width="108.2265625" style="12" customWidth="1"/>
    <col min="7" max="7" width="29.54296875" customWidth="1"/>
    <col min="8" max="8" width="54.90625" customWidth="1"/>
  </cols>
  <sheetData>
    <row r="1" spans="3:7" ht="15.5" thickBot="1">
      <c r="C1" s="24" t="str">
        <f>CancerUnderStudy!J1</f>
        <v>//===================================================</v>
      </c>
    </row>
    <row r="2" spans="3:7" ht="16.75" thickBot="1">
      <c r="C2" s="25" t="str">
        <f>CancerUnderStudy!J2</f>
        <v>//  Logical Model</v>
      </c>
      <c r="G2" s="30" t="s">
        <v>1638</v>
      </c>
    </row>
    <row r="3" spans="3:7">
      <c r="C3" s="25" t="str">
        <f>CancerUnderStudy!J3</f>
        <v>//===================================================</v>
      </c>
    </row>
    <row r="4" spans="3:7">
      <c r="C4" s="17" t="str">
        <f>CancerUnderStudy!J4</f>
        <v>Logical: CancerUnderStudyI4rc</v>
      </c>
    </row>
    <row r="5" spans="3:7">
      <c r="C5" s="17" t="str">
        <f>CancerUnderStudy!J5</f>
        <v>Id: CancerUnderStudy</v>
      </c>
    </row>
    <row r="6" spans="3:7">
      <c r="C6" s="17" t="str">
        <f>CancerUnderStudy!J6</f>
        <v>Title: ##34#Cancer Under Study##34#</v>
      </c>
    </row>
    <row r="7" spans="3:7" ht="29.5">
      <c r="C7" s="17" t="str">
        <f>CancerUnderStudy!J7</f>
        <v>Description:  ##334#Cancer Under Study
Maturity Level: 0 Draft##334#</v>
      </c>
    </row>
    <row r="8" spans="3:7" ht="29.5">
      <c r="C8" s="12" t="str">
        <f>IF(CancerUnderStudy!J8="*  ..  ##34###34# ##334###334#","//--- END",CancerUnderStudy!J8)</f>
        <v>* diagnosisDate 0..1 date ##34#Date of diagnosis biopsy or surgical piece##34# ##334#Date of the procedure from which the specimen was obtained that allowed the histological diagnosis##334#</v>
      </c>
    </row>
    <row r="9" spans="3:7">
      <c r="C9" s="12" t="str">
        <f>IF(CancerUnderStudy!J9="*  ..  ##34###34# ##334###334#","//--- END",CancerUnderStudy!J9)</f>
        <v>* ageAtDiagnosis 0..1 integer ##34#Age at diagnosis manual##34# ##334#Age of the patient at the time of the diagnosis##334#</v>
      </c>
    </row>
    <row r="10" spans="3:7" ht="29.5">
      <c r="C10" s="12" t="str">
        <f>IF(CancerUnderStudy!J10="*  ..  ##34###34# ##334###334#","//--- END",CancerUnderStudy!J10)</f>
        <v>* histologyGroup 0..1 string ##34#Histology WHO 2017 group##34# ##334#Histology of prymary tumour  according to WHO 2017 clasification##334#</v>
      </c>
    </row>
    <row r="11" spans="3:7" ht="29.5">
      <c r="C11" s="12" t="str">
        <f>IF(CancerUnderStudy!J11="*  ..  ##34###34# ##334###334#","//--- END",CancerUnderStudy!J11)</f>
        <v>* histologyWho2017Subgroup 0..1 BackboneElement ##34#Histology WHO 2017 subgroup##34# ##334#Histology WHO 2017 subgroup##334#</v>
      </c>
    </row>
    <row r="12" spans="3:7" ht="29.5">
      <c r="C12" s="12" t="str">
        <f>IF(CancerUnderStudy!J12="*  ..  ##34###34# ##334###334#","//--- END",CancerUnderStudy!J12)</f>
        <v>* histologyWho2017Subgroup.Squamous 0..1 string ##34#Histology subgroup Squamous##34# ##334#Specifies the histological subgroup for squamous cancers##334#</v>
      </c>
    </row>
    <row r="13" spans="3:7" ht="29.5">
      <c r="C13" s="12" t="str">
        <f>IF(CancerUnderStudy!J13="*  ..  ##34###34# ##334###334#","//--- END",CancerUnderStudy!J13)</f>
        <v>* histologyWho2017Subgroup.Adenocarcinoma 0..1 string ##34#Histology subgroup Adenocarcinoma##34# ##334#Specifies the histological subgroup for adenocarcinomas##334#</v>
      </c>
    </row>
    <row r="14" spans="3:7" ht="29.5">
      <c r="C14" s="12" t="str">
        <f>IF(CancerUnderStudy!J14="*  ..  ##34###34# ##334###334#","//--- END",CancerUnderStudy!J14)</f>
        <v>* histologyWho2017Subgroup.Neuroendocrine 0..1 string ##34#Histology subgroup Neuroendocrine##34# ##334#Specifies the histological subgroup for neuroendocrine cancers ##334#</v>
      </c>
    </row>
    <row r="15" spans="3:7" ht="29.5">
      <c r="C15" s="12" t="str">
        <f>IF(CancerUnderStudy!J15="*  ..  ##34###34# ##334###334#","//--- END",CancerUnderStudy!J15)</f>
        <v>* histologyWho2017Subgroup.OdontogenicCarcinoma 0..1 string ##34#Histology subgroup Odontogenic carcinoma##34# ##334#Specifies the histological subgroup for odontogenic carcinomas##334#</v>
      </c>
    </row>
    <row r="16" spans="3:7" ht="29.5">
      <c r="C16" s="12" t="str">
        <f>IF(CancerUnderStudy!J16="*  ..  ##34###34# ##334###334#","//--- END",CancerUnderStudy!J16)</f>
        <v>* histologyWho2017Subgroup.SNUC 0..1 string ##34#Histology subgroup Sinonasal undifferentiated carcinoma SNUC##34# ##334#Specifies the histological subgroup for sinonasl undifferentiated carcinomas##334#</v>
      </c>
    </row>
    <row r="17" spans="3:3">
      <c r="C17" s="12" t="str">
        <f>IF(CancerUnderStudy!J17="*  ..  ##34###34# ##334###334#","//--- END",CancerUnderStudy!J17)</f>
        <v>* siteRare 0..1 string ##34#Site  rare AJCC##34# ##334#Describe the primary tumor site according to AJCC ##334#</v>
      </c>
    </row>
    <row r="18" spans="3:3" ht="29.5">
      <c r="C18" s="12" t="str">
        <f>IF(CancerUnderStudy!J18="*  ..  ##34###34# ##334###334#","//--- END",CancerUnderStudy!J18)</f>
        <v>* siteCommonAndRare 0..1 string ##34#Site common and rare AJCC##34# ##334#Describe the primary tumor site according to AJCC ##334#</v>
      </c>
    </row>
    <row r="19" spans="3:3">
      <c r="C19" s="12" t="str">
        <f>IF(CancerUnderStudy!J19="*  ..  ##34###34# ##334###334#","//--- END",CancerUnderStudy!J19)</f>
        <v>* subsite 0..1 BackboneElement ##34#Subsite##34# ##334#Subsite##334#</v>
      </c>
    </row>
    <row r="20" spans="3:3" ht="29.5">
      <c r="C20" s="12" t="str">
        <f>IF(CancerUnderStudy!J20="*  ..  ##34###34# ##334###334#","//--- END",CancerUnderStudy!J20)</f>
        <v>* subsite.nasalCavityAndParanasalSinusesSubsite 0..1 string ##34#Nasal cavity and paranasal sinuses subsite##34# ##334#Specifies the subsite for cancers occurred in nasal cavity and paranasal sinusess##334#</v>
      </c>
    </row>
    <row r="21" spans="3:3" ht="29.5">
      <c r="C21" s="12" t="str">
        <f>IF(CancerUnderStudy!J21="*  ..  ##34###34# ##334###334#","//--- END",CancerUnderStudy!J21)</f>
        <v>* subsite.nasopharynxSubsite 0..1 string ##34#Nasopharynx  subsite##34# ##334#Specifies the subsite for cancers occurred in nasopharynx##334#</v>
      </c>
    </row>
    <row r="22" spans="3:3" ht="29.5">
      <c r="C22" s="12" t="str">
        <f>IF(CancerUnderStudy!J22="*  ..  ##34###34# ##334###334#","//--- END",CancerUnderStudy!J22)</f>
        <v>* subsite.hypopharynxSubsite 0..1 string ##34#Hypopharynx subsite##34# ##334#Specifies the subsite for cancers occurred in hypopharynx##334#</v>
      </c>
    </row>
    <row r="23" spans="3:3" ht="29.5">
      <c r="C23" s="12" t="str">
        <f>IF(CancerUnderStudy!J23="*  ..  ##34###34# ##334###334#","//--- END",CancerUnderStudy!J23)</f>
        <v>* subsite.oropharynxSubsite 0..1 string ##34#Oropharynx subsite##34# ##334#Specifies the subsite for cancers occurred in oropharynx##334#</v>
      </c>
    </row>
    <row r="24" spans="3:3">
      <c r="C24" s="12" t="str">
        <f>IF(CancerUnderStudy!J24="*  ..  ##34###34# ##334###334#","//--- END",CancerUnderStudy!J24)</f>
        <v>* subsite.larynxSubsite 0..1 string ##34#Larynx subsite##34# ##334#Specifies the subsite for cancers occurred in larynx##334#</v>
      </c>
    </row>
    <row r="25" spans="3:3" ht="29.5">
      <c r="C25" s="12" t="str">
        <f>IF(CancerUnderStudy!J25="*  ..  ##34###34# ##334###334#","//--- END",CancerUnderStudy!J25)</f>
        <v>* subsite.oralCavitySubsite 0..1 string ##34#Oral cavity subsite##34# ##334#Specifies the subsite for cancers occurred in oral cavity##334#</v>
      </c>
    </row>
    <row r="26" spans="3:3">
      <c r="C26" s="12" t="str">
        <f>IF(CancerUnderStudy!J26="*  ..  ##34###34# ##334###334#","//--- END",CancerUnderStudy!J26)</f>
        <v>* subsite.lipSubsite 0..1 string ##34#Lip subsite##34# ##334#Specifies the subsite for cancers occurred in lip##334#</v>
      </c>
    </row>
    <row r="27" spans="3:3" ht="29.5">
      <c r="C27" s="12" t="str">
        <f>IF(CancerUnderStudy!J27="*  ..  ##34###34# ##334###334#","//--- END",CancerUnderStudy!J27)</f>
        <v>* plasmaticEbvDnaAtBaseline 0..1 string ##34#Plasmatic EBV DNA at baseline##34# ##334#Describes the result of EBV DNA plasma testing before treatment in NPC type II and III WHO ##334#</v>
      </c>
    </row>
    <row r="28" spans="3:3" ht="29.5">
      <c r="C28" s="12" t="str">
        <f>IF(CancerUnderStudy!J28="*  ..  ##34###34# ##334###334#","//--- END",CancerUnderStudy!J28)</f>
        <v>* primerType 0..1 string ##34#Primer type##34# ##334#Describes the primer used for EBV DNA plasma testing t in NPC type II and Type III WHO ##334#</v>
      </c>
    </row>
    <row r="29" spans="3:3">
      <c r="C29" s="12" t="str">
        <f>IF(CancerUnderStudy!J29="*  ..  ##34###34# ##334###334#","//--- END",CancerUnderStudy!J29)</f>
        <v>* copyNumber 0..1 integer ##34#Copy Number##34# ##334#Copy number of EBVDNA##334#</v>
      </c>
    </row>
    <row r="30" spans="3:3">
      <c r="C30" s="12" t="str">
        <f>IF(CancerUnderStudy!J30="*  ..  ##34###34# ##334###334#","//--- END",CancerUnderStudy!J30)</f>
        <v>* hpvStatus 0..1 string ##34#HPV status##34# ##334#Describes the result of HPV tumor testing in oral carcinoma ##334#</v>
      </c>
    </row>
    <row r="31" spans="3:3" ht="29.5">
      <c r="C31" s="12" t="str">
        <f>IF(CancerUnderStudy!J31="*  ..  ##34###34# ##334###334#","//--- END",CancerUnderStudy!J31)</f>
        <v>* hpvStatusDetectedBy 0..1 string ##34#HPV status detected by##34# ##334#Describes the technique used for HPV tumour testing in orall carcinoma##334#</v>
      </c>
    </row>
    <row r="32" spans="3:3">
      <c r="C32" s="12" t="str">
        <f>IF(CancerUnderStudy!J32="*  ..  ##34###34# ##334###334#","//--- END",CancerUnderStudy!J32)</f>
        <v>* p16 0..1 string ##34#p16##34# ##334#Describes the result of p16 tumour testing in oral carcinoma##334#</v>
      </c>
    </row>
    <row r="33" spans="3:3">
      <c r="C33" s="12" t="str">
        <f>IF(CancerUnderStudy!J33="*  ..  ##34###34# ##334###334#","//--- END",CancerUnderStudy!J33)</f>
        <v>* pdL1 0..1 string ##34#PDL1##34# ##334#Describes the result of PDL tumour testing in oral carcinoma##334#</v>
      </c>
    </row>
    <row r="34" spans="3:3" ht="29.5">
      <c r="C34" s="12" t="str">
        <f>IF(CancerUnderStudy!J34="*  ..  ##34###34# ##334###334#","//--- END",CancerUnderStudy!J34)</f>
        <v>* pdL1Method 0..1 string ##34#PDL1 Method##34# ##334#Describes the technique used for PDL tumour testing in oral carcinoma##334#</v>
      </c>
    </row>
    <row r="35" spans="3:3">
      <c r="C35" s="12" t="str">
        <f>IF(CancerUnderStudy!J35="*  ..  ##34###34# ##334###334#","//--- END",CancerUnderStudy!J35)</f>
        <v>* pdL1CpsValue 0..1 integer ##34#PDL1 CPS value##34# ##334#Result of PDL1CPS testing when performed##334#</v>
      </c>
    </row>
    <row r="36" spans="3:3">
      <c r="C36" s="12" t="str">
        <f>IF(CancerUnderStudy!J36="*  ..  ##34###34# ##334###334#","//--- END",CancerUnderStudy!J36)</f>
        <v>* pdL1TpsValue 0..1 integer ##34#PDL1 TPS value##34# ##334#Result of PDL1TPS testing when performed##334#</v>
      </c>
    </row>
    <row r="37" spans="3:3" ht="29.5">
      <c r="C37" s="12" t="str">
        <f>IF(CancerUnderStudy!J37="*  ..  ##34###34# ##334###334#","//--- END",CancerUnderStudy!J37)</f>
        <v>* crpCReactiveProteinTested 0..1 string ##34#CRP  C reactive protein tested ##34# ##334#Describes the result of C reactive protein testing##334#</v>
      </c>
    </row>
    <row r="38" spans="3:3" ht="29.5">
      <c r="C38" s="12" t="str">
        <f>IF(CancerUnderStudy!J38="*  ..  ##34###34# ##334###334#","//--- END",CancerUnderStudy!J38)</f>
        <v>* cReactiveProteinCrpMgDl 0..1 integer ##34#C reactive protein  CRP mgdl##34# ##334#Result of CRP testing when performed##334#</v>
      </c>
    </row>
    <row r="39" spans="3:3">
      <c r="C39" s="12" t="str">
        <f>IF(CancerUnderStudy!J39="*  ..  ##34###34# ##334###334#","//--- END",CancerUnderStudy!J39)</f>
        <v>* instrumentStatus 0..1 boolean ##34#Instrument status##34# ##334#Describe if the instument is fully compiled or not##334#</v>
      </c>
    </row>
    <row r="40" spans="3:3">
      <c r="C40" s="12" t="str">
        <f>IF(CancerUnderStudy!J40="*  ..  ##34###34# ##334###334#","//--- END",CancerUnderStudy!J40)</f>
        <v>//--- END</v>
      </c>
    </row>
    <row r="41" spans="3:3">
      <c r="C41" s="12" t="str">
        <f>IF(CancerUnderStudy!J41="*  ..  ##34###34# ##334###334#","//--- END",CancerUnderStudy!J41)</f>
        <v>//--- END</v>
      </c>
    </row>
    <row r="42" spans="3:3">
      <c r="C42" s="12" t="str">
        <f>IF(CancerUnderStudy!J42="*  ..  ##34###34# ##334###334#","//--- END",CancerUnderStudy!J42)</f>
        <v>//--- END</v>
      </c>
    </row>
    <row r="43" spans="3:3">
      <c r="C43" s="12" t="str">
        <f>IF(CancerUnderStudy!J43="*  ..  ##34###34# ##334###334#","//--- END",CancerUnderStudy!J43)</f>
        <v>//--- END</v>
      </c>
    </row>
    <row r="46" spans="3:3">
      <c r="C46" s="24" t="s">
        <v>1644</v>
      </c>
    </row>
    <row r="47" spans="3:3">
      <c r="C47" s="25" t="s">
        <v>20</v>
      </c>
    </row>
    <row r="48" spans="3:3">
      <c r="C48" s="25" t="s">
        <v>1644</v>
      </c>
    </row>
    <row r="49" spans="3:3" ht="44.25">
      <c r="C49" s="12" t="str">
        <f>IF(CancerUnderStudy!L8="*  ..  ##34###34# ##334###334#","//--- END",CancerUnderStudy!L8)</f>
        <v>* diagnosisDate ^comment = ##334#Must be formatted as YYYYMMDD Leave empty if not known Optional rule  Possible date anonymisation by
setting the 15th of every month ie YYYYMM15 If the month is not known we set it to June 06##334#</v>
      </c>
    </row>
    <row r="50" spans="3:3" ht="29.5">
      <c r="C50" s="12" t="str">
        <f>IF(CancerUnderStudy!L9="*  ..  ##34###34# ##334###334#","//--- END",CancerUnderStudy!L9)</f>
        <v>* ageAtDiagnosis ^comment = ##334#An integer value  0 We use the 1 value for unknown Automatic  calculation from date of birth and date of diagnosis##334#</v>
      </c>
    </row>
    <row r="51" spans="3:3">
      <c r="C51" s="12" t="str">
        <f>IF(CancerUnderStudy!L10="*  ..  ##34###34# ##334###334#","//--- END",CancerUnderStudy!L10)</f>
        <v>* histologyGroup ^comment = ##334#A value in the WHO 2017 HN classification list##334#</v>
      </c>
    </row>
    <row r="52" spans="3:3">
      <c r="C52" s="12" t="str">
        <f>IF(CancerUnderStudy!L11="*  ..  ##34###34# ##334###334#","//--- END",CancerUnderStudy!L11)</f>
        <v/>
      </c>
    </row>
    <row r="53" spans="3:3">
      <c r="C53" s="12" t="str">
        <f>IF(CancerUnderStudy!L12="*  ..  ##34###34# ##334###334#","//--- END",CancerUnderStudy!L12)</f>
        <v>* histologyWho2017Subgroup.Squamous ^comment = ##334#A value in the WHO 2017 HN squamous classification list##334#</v>
      </c>
    </row>
    <row r="54" spans="3:3" ht="29.5">
      <c r="C54" s="12" t="str">
        <f>IF(CancerUnderStudy!L13="*  ..  ##34###34# ##334###334#","//--- END",CancerUnderStudy!L13)</f>
        <v>* histologyWho2017Subgroup.Adenocarcinoma ^comment = ##334#A value in the WHO 2017 HN adenocarcinoma classification list##334#</v>
      </c>
    </row>
    <row r="55" spans="3:3" ht="29.5">
      <c r="C55" s="12" t="str">
        <f>IF(CancerUnderStudy!L14="*  ..  ##34###34# ##334###334#","//--- END",CancerUnderStudy!L14)</f>
        <v>* histologyWho2017Subgroup.Neuroendocrine ^comment = ##334#A value in the WHO 2017 HN neuroendocrine classification list##334#</v>
      </c>
    </row>
    <row r="56" spans="3:3" ht="29.5">
      <c r="C56" s="12" t="str">
        <f>IF(CancerUnderStudy!L15="*  ..  ##34###34# ##334###334#","//--- END",CancerUnderStudy!L15)</f>
        <v>* histologyWho2017Subgroup.OdontogenicCarcinoma ^comment = ##334#A value in the WHO 2017 HN odontogenic carcinoma classification list##334#</v>
      </c>
    </row>
    <row r="57" spans="3:3">
      <c r="C57" s="12" t="str">
        <f>IF(CancerUnderStudy!L16="*  ..  ##34###34# ##334###334#","//--- END",CancerUnderStudy!L16)</f>
        <v>* histologyWho2017Subgroup.SNUC ^comment = ##334#A value in the WHO 2017 HN SNUC classification list##334#</v>
      </c>
    </row>
    <row r="58" spans="3:3">
      <c r="C58" s="12" t="str">
        <f>IF(CancerUnderStudy!L17="*  ..  ##34###34# ##334###334#","//--- END",CancerUnderStudy!L17)</f>
        <v>* siteRare ^comment = ##334#A value in the AJCC Cancer Staging Manual 8th site list##334#</v>
      </c>
    </row>
    <row r="59" spans="3:3">
      <c r="C59" s="12" t="str">
        <f>IF(CancerUnderStudy!L18="*  ..  ##34###34# ##334###334#","//--- END",CancerUnderStudy!L18)</f>
        <v>* siteCommonAndRare ^comment = ##334#A value in the AJCC Cancer Staging Manual 8th site list##334#</v>
      </c>
    </row>
    <row r="60" spans="3:3">
      <c r="C60" s="12" t="str">
        <f>IF(CancerUnderStudy!L19="*  ..  ##34###34# ##334###334#","//--- END",CancerUnderStudy!L19)</f>
        <v/>
      </c>
    </row>
    <row r="61" spans="3:3" ht="29.5">
      <c r="C61" s="12" t="str">
        <f>IF(CancerUnderStudy!L20="*  ..  ##34###34# ##334###334#","//--- END",CancerUnderStudy!L20)</f>
        <v>* subsite.nasalCavityAndParanasalSinusesSubsite ^comment = ##334#A string value in the AJCC Cancer Staging Manual 8th subsite list##334#</v>
      </c>
    </row>
    <row r="62" spans="3:3">
      <c r="C62" s="12" t="str">
        <f>IF(CancerUnderStudy!L21="*  ..  ##34###34# ##334###334#","//--- END",CancerUnderStudy!L21)</f>
        <v>* subsite.nasopharynxSubsite ^comment = ##334#A string value in the AJCC Cancer Staging Manual 8th subsite list##334#</v>
      </c>
    </row>
    <row r="63" spans="3:3">
      <c r="C63" s="12" t="str">
        <f>IF(CancerUnderStudy!L22="*  ..  ##34###34# ##334###334#","//--- END",CancerUnderStudy!L22)</f>
        <v>* subsite.hypopharynxSubsite ^comment = ##334#A string value in the AJCC Cancer Staging Manual 8th subsite list##334#</v>
      </c>
    </row>
    <row r="64" spans="3:3">
      <c r="C64" s="12" t="str">
        <f>IF(CancerUnderStudy!L23="*  ..  ##34###34# ##334###334#","//--- END",CancerUnderStudy!L23)</f>
        <v>* subsite.oropharynxSubsite ^comment = ##334#A string value in the AJCC Cancer Staging Manual 8th subsite list##334#</v>
      </c>
    </row>
    <row r="65" spans="3:3">
      <c r="C65" s="12" t="str">
        <f>IF(CancerUnderStudy!L24="*  ..  ##34###34# ##334###334#","//--- END",CancerUnderStudy!L24)</f>
        <v>* subsite.larynxSubsite ^comment = ##334#A string value in the AJCC Cancer Staging Manual 8th subsite list##334#</v>
      </c>
    </row>
    <row r="66" spans="3:3">
      <c r="C66" s="12" t="str">
        <f>IF(CancerUnderStudy!L25="*  ..  ##34###34# ##334###334#","//--- END",CancerUnderStudy!L25)</f>
        <v>* subsite.oralCavitySubsite ^comment = ##334#A string value in the AJCC Cancer Staging Manual 8th subsite list##334#</v>
      </c>
    </row>
    <row r="67" spans="3:3">
      <c r="C67" s="12" t="str">
        <f>IF(CancerUnderStudy!L26="*  ..  ##34###34# ##334###334#","//--- END",CancerUnderStudy!L26)</f>
        <v>* subsite.lipSubsite ^comment = ##334#A string value in the AJCC Cancer Staging Manual 8th subsite list##334#</v>
      </c>
    </row>
    <row r="68" spans="3:3" ht="29.5">
      <c r="C68" s="12" t="str">
        <f>IF(CancerUnderStudy!L27="*  ..  ##34###34# ##334###334#","//--- END",CancerUnderStudy!L27)</f>
        <v>* plasmaticEbvDnaAtBaseline ^comment = ##334#A string value representing whether the test value was positive negative or it was untested Empty if unknown##334#</v>
      </c>
    </row>
    <row r="69" spans="3:3">
      <c r="C69" s="12" t="str">
        <f>IF(CancerUnderStudy!L28="*  ..  ##34###34# ##334###334#","//--- END",CancerUnderStudy!L28)</f>
        <v>* primerType ^comment = ##334#A string value representing the plasma testing type Empty if unknown##334#</v>
      </c>
    </row>
    <row r="70" spans="3:3">
      <c r="C70" s="12" t="str">
        <f>IF(CancerUnderStudy!L29="*  ..  ##34###34# ##334###334#","//--- END",CancerUnderStudy!L29)</f>
        <v>* copyNumber ^comment = ##334#An integer for the number of EBVDNA Empty if unknown##334#</v>
      </c>
    </row>
    <row r="71" spans="3:3" ht="29.5">
      <c r="C71" s="12" t="str">
        <f>IF(CancerUnderStudy!L30="*  ..  ##34###34# ##334###334#","//--- END",CancerUnderStudy!L30)</f>
        <v>* hpvStatus ^comment = ##334#A string value representing whether the result was positive negative or not tested Empty if unknown##334#</v>
      </c>
    </row>
    <row r="72" spans="3:3" ht="29.5">
      <c r="C72" s="12" t="str">
        <f>IF(CancerUnderStudy!L31="*  ..  ##34###34# ##334###334#","//--- END",CancerUnderStudy!L31)</f>
        <v>* hpvStatusDetectedBy ^comment = ##334#A string value representing which was the used technique Empty if unknown##334#</v>
      </c>
    </row>
    <row r="73" spans="3:3" ht="29.5">
      <c r="C73" s="12" t="str">
        <f>IF(CancerUnderStudy!L32="*  ..  ##34###34# ##334###334#","//--- END",CancerUnderStudy!L32)</f>
        <v>* p16 ^comment = ##334#A string value representing whether the result was positive negative or not tested Empty if unknown##334#</v>
      </c>
    </row>
    <row r="74" spans="3:3" ht="29.5">
      <c r="C74" s="12" t="str">
        <f>IF(CancerUnderStudy!L33="*  ..  ##34###34# ##334###334#","//--- END",CancerUnderStudy!L33)</f>
        <v>* pdL1 ^comment = ##334#A string value representing whether the result was positive negative or not tested Empty if unknown##334#</v>
      </c>
    </row>
    <row r="75" spans="3:3">
      <c r="C75" s="12" t="str">
        <f>IF(CancerUnderStudy!L34="*  ..  ##34###34# ##334###334#","//--- END",CancerUnderStudy!L34)</f>
        <v>* pdL1Method ^comment = ##334#A string value representing which was the used technique Empty if unknown##334#</v>
      </c>
    </row>
    <row r="76" spans="3:3">
      <c r="C76" s="12" t="str">
        <f>IF(CancerUnderStudy!L35="*  ..  ##34###34# ##334###334#","//--- END",CancerUnderStudy!L35)</f>
        <v>* pdL1CpsValue ^comment = ##334#An integer for the PDL1CPS test Empty if unknown##334#</v>
      </c>
    </row>
    <row r="77" spans="3:3">
      <c r="C77" s="12" t="str">
        <f>IF(CancerUnderStudy!L36="*  ..  ##34###34# ##334###334#","//--- END",CancerUnderStudy!L36)</f>
        <v>* pdL1TpsValue ^comment = ##334#An integer for the PDL1TPS test Empty if unknown##334#</v>
      </c>
    </row>
    <row r="78" spans="3:3" ht="29.5">
      <c r="C78" s="12" t="str">
        <f>IF(CancerUnderStudy!L37="*  ..  ##34###34# ##334###334#","//--- END",CancerUnderStudy!L37)</f>
        <v>* crpCReactiveProteinTested ^comment = ##334#A string value representing whether the result was positive negative or not tested Empty if unknown##334#</v>
      </c>
    </row>
    <row r="79" spans="3:3">
      <c r="C79" s="12" t="str">
        <f>IF(CancerUnderStudy!L38="*  ..  ##34###34# ##334###334#","//--- END",CancerUnderStudy!L38)</f>
        <v>* cReactiveProteinCrpMgDl ^comment = ##334#An integer for the CRP test Empty if unknown##334#</v>
      </c>
    </row>
    <row r="80" spans="3:3">
      <c r="C80" s="12" t="str">
        <f>IF(CancerUnderStudy!L39="*  ..  ##34###34# ##334###334#","//--- END",CancerUnderStudy!L39)</f>
        <v>* instrumentStatus ^comment = ##334#A boolean for the instrument if it was fully compiled or not##334#</v>
      </c>
    </row>
    <row r="81" spans="3:3">
      <c r="C81" s="12" t="str">
        <f>IF(CancerUnderStudy!L40="*  ..  ##34###34# ##334###334#","//--- END",CancerUnderStudy!L40)</f>
        <v>//--- END</v>
      </c>
    </row>
    <row r="82" spans="3:3">
      <c r="C82" s="12" t="str">
        <f>IF(CancerUnderStudy!L41="*  ..  ##34###34# ##334###334#","//--- END",CancerUnderStudy!L41)</f>
        <v>//--- END</v>
      </c>
    </row>
    <row r="83" spans="3:3">
      <c r="C83" s="12" t="str">
        <f>IF(CancerUnderStudy!L42="*  ..  ##34###34# ##334###334#","//--- END",CancerUnderStudy!L42)</f>
        <v>//--- END</v>
      </c>
    </row>
    <row r="84" spans="3:3">
      <c r="C84"/>
    </row>
    <row r="86" spans="3:3">
      <c r="C86" s="24" t="str">
        <f>'CancerUnderStudy-Map-1'!E1</f>
        <v>// -------------------------------------------------------------------------------</v>
      </c>
    </row>
    <row r="87" spans="3:3">
      <c r="C87" s="25" t="str">
        <f>'CancerUnderStudy-Map-1'!E2</f>
        <v>//  Map to FHIR R4</v>
      </c>
    </row>
    <row r="88" spans="3:3">
      <c r="C88" s="25" t="str">
        <f>'CancerUnderStudy-Map-1'!E3</f>
        <v>// -------------------------------------------------------------------------------</v>
      </c>
    </row>
    <row r="89" spans="3:3">
      <c r="C89" s="12" t="str">
        <f>'CancerUnderStudy-Map-1'!E4</f>
        <v>Mapping: I4RCCancerUnderStudy2Fhir</v>
      </c>
    </row>
    <row r="90" spans="3:3">
      <c r="C90" s="12" t="str">
        <f>'CancerUnderStudy-Map-1'!E5</f>
        <v>Id: fhir</v>
      </c>
    </row>
    <row r="91" spans="3:3">
      <c r="C91" s="12" t="str">
        <f>'CancerUnderStudy-Map-1'!E6</f>
        <v>Title: ##34#Idea4RC Subject model to FHIR R4 Map##34#</v>
      </c>
    </row>
    <row r="92" spans="3:3">
      <c r="C92" s="12" t="str">
        <f>'CancerUnderStudy-Map-1'!E7</f>
        <v>Source: CancerUnderStudy</v>
      </c>
    </row>
    <row r="93" spans="3:3">
      <c r="C93" s="12" t="str">
        <f>'CancerUnderStudy-Map-1'!E8</f>
        <v>Target: ##34#hl7.org/fhir/r4##34#</v>
      </c>
    </row>
    <row r="95" spans="3:3">
      <c r="C95" s="4" t="str">
        <f>'CancerUnderStudy-Map-1'!E9</f>
        <v>* -&gt; ##34#TBD##34#</v>
      </c>
    </row>
    <row r="96" spans="3:3">
      <c r="C96" s="12" t="str">
        <f>IF('CancerUnderStudy-Map-1'!E10="*  -&gt; ##34###34#","// --END",'CancerUnderStudy-Map-1'!E10)</f>
        <v>* diagnosisDate -&gt; ##34#TBD##34#</v>
      </c>
    </row>
    <row r="97" spans="3:3">
      <c r="C97" s="12" t="str">
        <f>IF('CancerUnderStudy-Map-1'!E11="*  -&gt; ##34###34#","// --END",'CancerUnderStudy-Map-1'!E11)</f>
        <v>* ageAtDiagnosis -&gt; ##34#TBD##34#</v>
      </c>
    </row>
    <row r="98" spans="3:3">
      <c r="C98" s="12" t="str">
        <f>IF('CancerUnderStudy-Map-1'!E12="*  -&gt; ##34###34#","// --END",'CancerUnderStudy-Map-1'!E12)</f>
        <v>* histologyGroup -&gt; ##34#TBD##34#</v>
      </c>
    </row>
    <row r="99" spans="3:3">
      <c r="C99" s="12" t="str">
        <f>IF('CancerUnderStudy-Map-1'!E13="*  -&gt; ##34###34#","// --END",'CancerUnderStudy-Map-1'!E13)</f>
        <v>* histologyWho2017Subgroup -&gt; ##34#TBD##34#</v>
      </c>
    </row>
    <row r="100" spans="3:3">
      <c r="C100" s="12" t="str">
        <f>IF('CancerUnderStudy-Map-1'!E14="*  -&gt; ##34###34#","// --END",'CancerUnderStudy-Map-1'!E14)</f>
        <v>* histologyWho2017Subgroup.Squamous -&gt; ##34#TBD##34#</v>
      </c>
    </row>
    <row r="101" spans="3:3">
      <c r="C101" s="12" t="str">
        <f>IF('CancerUnderStudy-Map-1'!E15="*  -&gt; ##34###34#","// --END",'CancerUnderStudy-Map-1'!E15)</f>
        <v>* histologyWho2017Subgroup.Adenocarcinoma -&gt; ##34#TBD##34#</v>
      </c>
    </row>
    <row r="102" spans="3:3">
      <c r="C102" s="12" t="str">
        <f>IF('CancerUnderStudy-Map-1'!E16="*  -&gt; ##34###34#","// --END",'CancerUnderStudy-Map-1'!E16)</f>
        <v>* histologyWho2017Subgroup.Neuroendocrine -&gt; ##34#TBD##34#</v>
      </c>
    </row>
    <row r="103" spans="3:3">
      <c r="C103" s="12" t="str">
        <f>IF('CancerUnderStudy-Map-1'!E17="*  -&gt; ##34###34#","// --END",'CancerUnderStudy-Map-1'!E17)</f>
        <v>* histologyWho2017Subgroup.OdontogenicCarcinoma -&gt; ##34#TBD##34#</v>
      </c>
    </row>
    <row r="104" spans="3:3">
      <c r="C104" s="12" t="str">
        <f>IF('CancerUnderStudy-Map-1'!E18="*  -&gt; ##34###34#","// --END",'CancerUnderStudy-Map-1'!E18)</f>
        <v>* histologyWho2017Subgroup.SNUC -&gt; ##34#TBD##34#</v>
      </c>
    </row>
    <row r="105" spans="3:3">
      <c r="C105" s="12" t="str">
        <f>IF('CancerUnderStudy-Map-1'!E19="*  -&gt; ##34###34#","// --END",'CancerUnderStudy-Map-1'!E19)</f>
        <v>* siteRare -&gt; ##34#TBD##34#</v>
      </c>
    </row>
    <row r="106" spans="3:3">
      <c r="C106" s="12" t="str">
        <f>IF('CancerUnderStudy-Map-1'!E20="*  -&gt; ##34###34#","// --END",'CancerUnderStudy-Map-1'!E20)</f>
        <v>* siteCommonAndRare -&gt; ##34#TBD##34#</v>
      </c>
    </row>
    <row r="107" spans="3:3">
      <c r="C107" s="12" t="str">
        <f>IF('CancerUnderStudy-Map-1'!E21="*  -&gt; ##34###34#","// --END",'CancerUnderStudy-Map-1'!E21)</f>
        <v>* subsite -&gt; ##34#TBD##34#</v>
      </c>
    </row>
    <row r="108" spans="3:3">
      <c r="C108" s="12" t="str">
        <f>IF('CancerUnderStudy-Map-1'!E22="*  -&gt; ##34###34#","// --END",'CancerUnderStudy-Map-1'!E22)</f>
        <v>* subsite.nasalCavityAndParanasalSinusesSubsite -&gt; ##34#TBD##34#</v>
      </c>
    </row>
    <row r="109" spans="3:3">
      <c r="C109" s="12" t="str">
        <f>IF('CancerUnderStudy-Map-1'!E23="*  -&gt; ##34###34#","// --END",'CancerUnderStudy-Map-1'!E23)</f>
        <v>* subsite.nasopharynxSubsite -&gt; ##34#TBD##34#</v>
      </c>
    </row>
    <row r="110" spans="3:3">
      <c r="C110" s="12" t="str">
        <f>IF('CancerUnderStudy-Map-1'!E24="*  -&gt; ##34###34#","// --END",'CancerUnderStudy-Map-1'!E24)</f>
        <v>* subsite.hypopharynxSubsite -&gt; ##34#TBD##34#</v>
      </c>
    </row>
    <row r="111" spans="3:3">
      <c r="C111" s="12" t="str">
        <f>IF('CancerUnderStudy-Map-1'!E25="*  -&gt; ##34###34#","// --END",'CancerUnderStudy-Map-1'!E25)</f>
        <v>* subsite.oropharynxSubsite -&gt; ##34#TBD##34#</v>
      </c>
    </row>
    <row r="112" spans="3:3">
      <c r="C112" s="12" t="str">
        <f>IF('CancerUnderStudy-Map-1'!E26="*  -&gt; ##34###34#","// --END",'CancerUnderStudy-Map-1'!E26)</f>
        <v>* subsite.larynxSubsite -&gt; ##34#TBD##34#</v>
      </c>
    </row>
    <row r="113" spans="3:3">
      <c r="C113" s="12" t="str">
        <f>IF('CancerUnderStudy-Map-1'!E27="*  -&gt; ##34###34#","// --END",'CancerUnderStudy-Map-1'!E27)</f>
        <v>* subsite.oralCavitySubsite -&gt; ##34#TBD##34#</v>
      </c>
    </row>
    <row r="114" spans="3:3">
      <c r="C114" s="12" t="str">
        <f>IF('CancerUnderStudy-Map-1'!E28="*  -&gt; ##34###34#","// --END",'CancerUnderStudy-Map-1'!E28)</f>
        <v>* subsite.lipSubsite -&gt; ##34#TBD##34#</v>
      </c>
    </row>
    <row r="115" spans="3:3">
      <c r="C115" s="12" t="str">
        <f>IF('CancerUnderStudy-Map-1'!E29="*  -&gt; ##34###34#","// --END",'CancerUnderStudy-Map-1'!E29)</f>
        <v>* plasmaticEbvDnaAtBaseline -&gt; ##34#TBD##34#</v>
      </c>
    </row>
    <row r="116" spans="3:3">
      <c r="C116" s="12" t="str">
        <f>IF('CancerUnderStudy-Map-1'!E30="*  -&gt; ##34###34#","// --END",'CancerUnderStudy-Map-1'!E30)</f>
        <v>* primerType -&gt; ##34#TBD##34#</v>
      </c>
    </row>
    <row r="117" spans="3:3">
      <c r="C117" s="12" t="str">
        <f>IF('CancerUnderStudy-Map-1'!E31="*  -&gt; ##34###34#","// --END",'CancerUnderStudy-Map-1'!E31)</f>
        <v>* copyNumber -&gt; ##34#TBD##34#</v>
      </c>
    </row>
    <row r="118" spans="3:3">
      <c r="C118" s="12" t="str">
        <f>IF('CancerUnderStudy-Map-1'!E32="*  -&gt; ##34###34#","// --END",'CancerUnderStudy-Map-1'!E32)</f>
        <v>* hpvStatus -&gt; ##34#TBD##34#</v>
      </c>
    </row>
    <row r="119" spans="3:3">
      <c r="C119" s="12" t="str">
        <f>IF('CancerUnderStudy-Map-1'!E33="*  -&gt; ##34###34#","// --END",'CancerUnderStudy-Map-1'!E33)</f>
        <v>* hpvStatusDetectedBy -&gt; ##34#TBD##34#</v>
      </c>
    </row>
    <row r="120" spans="3:3">
      <c r="C120" s="12" t="str">
        <f>IF('CancerUnderStudy-Map-1'!E34="*  -&gt; ##34###34#","// --END",'CancerUnderStudy-Map-1'!E34)</f>
        <v>* p16 -&gt; ##34#TBD##34#</v>
      </c>
    </row>
    <row r="121" spans="3:3">
      <c r="C121" s="12" t="str">
        <f>IF('CancerUnderStudy-Map-1'!E35="*  -&gt; ##34###34#","// --END",'CancerUnderStudy-Map-1'!E35)</f>
        <v>* pdL1 -&gt; ##34#TBD##34#</v>
      </c>
    </row>
    <row r="122" spans="3:3">
      <c r="C122" s="12" t="str">
        <f>IF('CancerUnderStudy-Map-1'!E36="*  -&gt; ##34###34#","// --END",'CancerUnderStudy-Map-1'!E36)</f>
        <v>* pdL1Method -&gt; ##34#TBD##34#</v>
      </c>
    </row>
    <row r="123" spans="3:3">
      <c r="C123" s="12" t="str">
        <f>IF('CancerUnderStudy-Map-1'!E37="*  -&gt; ##34###34#","// --END",'CancerUnderStudy-Map-1'!E37)</f>
        <v>* pdL1CpsValue -&gt; ##34#TBD##34#</v>
      </c>
    </row>
    <row r="124" spans="3:3">
      <c r="C124" s="12" t="str">
        <f>IF('CancerUnderStudy-Map-1'!E38="*  -&gt; ##34###34#","// --END",'CancerUnderStudy-Map-1'!E38)</f>
        <v>* pdL1TpsValue -&gt; ##34#TBD##34#</v>
      </c>
    </row>
    <row r="125" spans="3:3">
      <c r="C125" s="12" t="str">
        <f>IF('CancerUnderStudy-Map-1'!E39="*  -&gt; ##34###34#","// --END",'CancerUnderStudy-Map-1'!E39)</f>
        <v>* crpCReactiveProteinTested -&gt; ##34#TBD##34#</v>
      </c>
    </row>
    <row r="126" spans="3:3">
      <c r="C126" s="12" t="str">
        <f>IF('CancerUnderStudy-Map-1'!E40="*  -&gt; ##34###34#","// --END",'CancerUnderStudy-Map-1'!E40)</f>
        <v>* cReactiveProteinCrpMgDl -&gt; ##34#TBD##34#</v>
      </c>
    </row>
    <row r="127" spans="3:3">
      <c r="C127" s="12" t="str">
        <f>IF('CancerUnderStudy-Map-1'!E41="*  -&gt; ##34###34#","// --END",'CancerUnderStudy-Map-1'!E41)</f>
        <v>* instrumentStatus -&gt; ##34#TBD##34#</v>
      </c>
    </row>
    <row r="128" spans="3:3">
      <c r="C128" s="12" t="str">
        <f>IF('CancerUnderStudy-Map-1'!E42="*  -&gt; ##34###34#","// --END",'CancerUnderStudy-Map-1'!E42)</f>
        <v>// --END</v>
      </c>
    </row>
    <row r="129" spans="3:3">
      <c r="C129" s="12" t="str">
        <f>IF('CancerUnderStudy-Map-1'!E43="*  -&gt; ##34###34#","// --END",'CancerUnderStudy-Map-1'!E43)</f>
        <v>// --END</v>
      </c>
    </row>
    <row r="130" spans="3:3">
      <c r="C130" s="12" t="str">
        <f>IF('CancerUnderStudy-Map-1'!E44="*  -&gt; ##34###34#","// --END",'CancerUnderStudy-Map-1'!E44)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export">
                <anchor moveWithCells="1">
                  <from>
                    <xdr:col>2</xdr:col>
                    <xdr:colOff>444500</xdr:colOff>
                    <xdr:row>95</xdr:row>
                    <xdr:rowOff>171450</xdr:rowOff>
                  </from>
                  <to>
                    <xdr:col>2</xdr:col>
                    <xdr:colOff>1117600</xdr:colOff>
                    <xdr:row>97</xdr:row>
                    <xdr:rowOff>88900</xdr:rowOff>
                  </to>
                </anchor>
              </controlPr>
            </control>
          </mc:Choice>
        </mc:AlternateContent>
        <mc:AlternateContent xmlns:mc="http://schemas.openxmlformats.org/markup-compatibility/2006">
          <mc:Choice Requires="x14">
            <control shapeId="552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676E6-9403-4A73-8345-82D5286615E6}">
  <sheetPr codeName="Foglio45">
    <tabColor theme="0" tint="-0.499984740745262"/>
  </sheetPr>
  <dimension ref="A3:Q184"/>
  <sheetViews>
    <sheetView workbookViewId="0">
      <selection activeCell="B7" sqref="B7"/>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1412</v>
      </c>
      <c r="I3" s="12" t="s">
        <v>1413</v>
      </c>
      <c r="J3" s="12" t="s">
        <v>1414</v>
      </c>
      <c r="K3" s="12" t="s">
        <v>1415</v>
      </c>
      <c r="L3" s="11" t="s">
        <v>1416</v>
      </c>
      <c r="N3" s="53" t="s">
        <v>1451</v>
      </c>
      <c r="O3" s="53">
        <v>5</v>
      </c>
    </row>
    <row r="4" spans="1:17" ht="15.5" thickBot="1">
      <c r="B4" s="10" t="s">
        <v>18</v>
      </c>
      <c r="C4" s="29"/>
      <c r="E4" s="58"/>
      <c r="H4" s="12"/>
      <c r="I4" s="11"/>
      <c r="J4" s="11"/>
      <c r="K4" s="11"/>
      <c r="L4" s="11"/>
    </row>
    <row r="5" spans="1:17" ht="15.5" thickBot="1">
      <c r="B5" s="10" t="s">
        <v>17</v>
      </c>
      <c r="C5" s="13"/>
      <c r="E5" s="59"/>
      <c r="H5" s="12"/>
      <c r="I5" s="11"/>
      <c r="J5" s="11"/>
      <c r="K5" s="11"/>
      <c r="L5" s="11"/>
    </row>
    <row r="6" spans="1:17" ht="15.5" thickBot="1">
      <c r="B6" s="10" t="s">
        <v>11</v>
      </c>
      <c r="C6" s="7"/>
      <c r="E6" s="7"/>
      <c r="H6" s="17" t="s">
        <v>1454</v>
      </c>
      <c r="I6" s="71" t="s">
        <v>1455</v>
      </c>
      <c r="J6" s="17" t="s">
        <v>1452</v>
      </c>
      <c r="K6" s="71" t="s">
        <v>1453</v>
      </c>
      <c r="L6" s="67" t="s">
        <v>1447</v>
      </c>
    </row>
    <row r="7" spans="1:17">
      <c r="B7" s="64" t="s">
        <v>19</v>
      </c>
      <c r="C7" s="60"/>
      <c r="E7" s="60"/>
      <c r="H7" s="12"/>
      <c r="I7" s="11"/>
      <c r="J7" s="11"/>
      <c r="K7" s="11"/>
      <c r="L7" s="11"/>
    </row>
    <row r="8" spans="1:17">
      <c r="B8" s="66" t="s">
        <v>16</v>
      </c>
      <c r="C8" s="11"/>
      <c r="D8" s="12"/>
      <c r="E8" s="11"/>
      <c r="F8" s="67" t="s">
        <v>1447</v>
      </c>
      <c r="G8" s="70"/>
      <c r="H8" s="12"/>
      <c r="I8" s="11"/>
      <c r="J8" s="67"/>
      <c r="K8" s="67"/>
      <c r="L8" s="67"/>
    </row>
    <row r="9" spans="1:17">
      <c r="A9" s="63"/>
      <c r="B9" s="6"/>
      <c r="C9" s="11"/>
      <c r="D9" s="6" t="s">
        <v>1406</v>
      </c>
      <c r="E9" s="6"/>
      <c r="F9" s="11"/>
      <c r="H9" s="12"/>
      <c r="I9" s="11"/>
      <c r="J9" s="11"/>
      <c r="K9" s="11"/>
      <c r="L9" s="67"/>
    </row>
    <row r="10" spans="1:17" ht="44.25">
      <c r="A10" s="63"/>
      <c r="B10" s="6" t="str">
        <f>CancerUnderStudy!B5</f>
        <v>CancerUnderStudy</v>
      </c>
      <c r="C10" s="6" t="str">
        <f>CancerUnderStudy!B6</f>
        <v>Cancer Under Study</v>
      </c>
      <c r="D10" s="61" t="str">
        <f>ConvertOsiris!I2</f>
        <v>Patient</v>
      </c>
      <c r="E10" s="61" t="str">
        <f>ConvertOsiris!J2</f>
        <v>Patient</v>
      </c>
      <c r="F10" s="68" t="s">
        <v>1439</v>
      </c>
      <c r="G10" s="62"/>
      <c r="H10" s="12" t="str">
        <f>"* group[=].element[+].code = #"&amp;B10</f>
        <v>* group[=].element[+].code = #CancerUnderStudy</v>
      </c>
      <c r="I10" s="12" t="str">
        <f>"* group[=].element[=].display = ##34#"&amp;C10&amp;"##34#"</f>
        <v>* group[=].element[=].display = ##34#Cancer Under Study##34#</v>
      </c>
      <c r="J10" s="12" t="str">
        <f>IF(F10="unmatched","//-- unmatched","* group[=].element[=].target.code = #"&amp;$D$9&amp;"."&amp;D10)</f>
        <v>* group[=].element[=].target.code = #Osiris.Patient</v>
      </c>
      <c r="K10" s="12" t="str">
        <f>IF(F10="unmatched","//-- unmatched","* group[=].element[=].target.display = ##34#"&amp;E10&amp;"##34#")</f>
        <v>* group[=].element[=].target.display = ##34#Patient##34#</v>
      </c>
      <c r="L10" s="12" t="str">
        <f>"* group[=].element[=].target.equivalence = #"&amp;F10</f>
        <v>* group[=].element[=].target.equivalence = #equivalent</v>
      </c>
      <c r="N10" s="11">
        <v>1</v>
      </c>
      <c r="O10" s="11">
        <f>IF(MOD(N10,$O$3)=0,N10/$O$3-1,INT(N10/$O$3))</f>
        <v>0</v>
      </c>
      <c r="P10" s="11">
        <f>IF(MOD(N10,$O$3)=0,$O$3,MOD(N10,$O$3))</f>
        <v>1</v>
      </c>
      <c r="Q10" s="12" t="str" cm="1">
        <f t="array" ref="Q10">INDEX('CancerUnderStudy-ConceptMap'!$H$10:$L$264,O10+1,P10)</f>
        <v>* group[=].element[+].code = #CancerUnderStudy</v>
      </c>
    </row>
    <row r="11" spans="1:17" ht="44.25">
      <c r="A11" s="63"/>
      <c r="B11" s="11" t="str">
        <f>$B$10&amp;"."&amp;CancerUnderStudy!B8</f>
        <v>CancerUnderStudy.diagnosisDate</v>
      </c>
      <c r="C11" s="11" t="str">
        <f>CancerUnderStudy!C8</f>
        <v>Date of diagnosis biopsy or surgical piece</v>
      </c>
      <c r="D11" s="11" t="str">
        <f>ConvertOsiris!I6</f>
        <v>Patient.BirthDate</v>
      </c>
      <c r="E11" s="11" t="str">
        <f>ConvertOsiris!J6</f>
        <v>Birth Date [C4]</v>
      </c>
      <c r="F11" s="68" t="s">
        <v>1417</v>
      </c>
      <c r="G11" s="62"/>
      <c r="H11" s="12" t="str">
        <f t="shared" ref="H11:H17" si="0">"* group[=].element[+].code = #"&amp;B11</f>
        <v>* group[=].element[+].code = #CancerUnderStudy.diagnosisDate</v>
      </c>
      <c r="I11" s="12" t="str">
        <f t="shared" ref="I11:I17" si="1">"* group[=].element[=].display = ##34#"&amp;C11&amp;"##34#"</f>
        <v>* group[=].element[=].display = ##34#Date of diagnosis biopsy or surgical piece##34#</v>
      </c>
      <c r="J11" s="12" t="str">
        <f t="shared" ref="J11:J17" si="2">IF(F11="unmatched","//-- unmatched","* group[=].element[=].target.code = #"&amp;$D$9&amp;"."&amp;D11)</f>
        <v>* group[=].element[=].target.code = #Osiris.Patient.BirthDate</v>
      </c>
      <c r="K11" s="12" t="str">
        <f t="shared" ref="K11:K17" si="3">IF(F11="unmatched","//-- unmatched","* group[=].element[=].target.display = ##34#"&amp;E11&amp;"##34#")</f>
        <v>* group[=].element[=].target.display = ##34#Birth Date [C4]##34#</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INDEX('CancerUnderStudy-ConceptMap'!$H$10:$L$264,O11+1,P11)</f>
        <v>* group[=].element[=].display = ##34#Cancer Under Study##34#</v>
      </c>
    </row>
    <row r="12" spans="1:17" ht="44.25">
      <c r="A12" s="63"/>
      <c r="B12" s="11" t="str">
        <f>$B$10&amp;"."&amp;CancerUnderStudy!B9</f>
        <v>CancerUnderStudy.ageAtDiagnosis</v>
      </c>
      <c r="C12" s="11" t="str">
        <f>CancerUnderStudy!C9</f>
        <v>Age at diagnosis manual</v>
      </c>
      <c r="D12" s="11" t="str">
        <f>ConvertOsiris!I6</f>
        <v>Patient.BirthDate</v>
      </c>
      <c r="E12" s="11" t="str">
        <f>ConvertOsiris!J6</f>
        <v>Birth Date [C4]</v>
      </c>
      <c r="F12" s="68" t="s">
        <v>1439</v>
      </c>
      <c r="G12" s="62"/>
      <c r="H12" s="12" t="str">
        <f t="shared" si="0"/>
        <v>* group[=].element[+].code = #CancerUnderStudy.ageAtDiagnosis</v>
      </c>
      <c r="I12" s="12" t="str">
        <f t="shared" si="1"/>
        <v>* group[=].element[=].display = ##34#Age at diagnosis manual##34#</v>
      </c>
      <c r="J12" s="12" t="str">
        <f t="shared" si="2"/>
        <v>* group[=].element[=].target.code = #Osiris.Patient.BirthDate</v>
      </c>
      <c r="K12" s="12" t="str">
        <f t="shared" si="3"/>
        <v>* group[=].element[=].target.display = ##34#Birth Date [C4]##34#</v>
      </c>
      <c r="L12" s="12" t="str">
        <f t="shared" si="4"/>
        <v>* group[=].element[=].target.equivalence = #equivalent</v>
      </c>
      <c r="N12" s="11">
        <v>3</v>
      </c>
      <c r="O12" s="11">
        <f t="shared" si="5"/>
        <v>0</v>
      </c>
      <c r="P12" s="11">
        <f t="shared" si="6"/>
        <v>3</v>
      </c>
      <c r="Q12" s="12" t="str" cm="1">
        <f t="array" ref="Q12">INDEX('CancerUnderStudy-ConceptMap'!$H$10:$L$264,O12+1,P12)</f>
        <v>* group[=].element[=].target.code = #Osiris.Patient</v>
      </c>
    </row>
    <row r="13" spans="1:17" ht="44.25">
      <c r="A13" s="63"/>
      <c r="B13" s="11" t="str">
        <f>$B$10&amp;"."&amp;CancerUnderStudy!B11</f>
        <v>CancerUnderStudy.histologyWho2017Subgroup</v>
      </c>
      <c r="C13" s="11" t="str">
        <f>CancerUnderStudy!C11</f>
        <v>Histology WHO 2017 subgroup</v>
      </c>
      <c r="D13" s="11"/>
      <c r="E13" s="11"/>
      <c r="F13" s="68" t="s">
        <v>1434</v>
      </c>
      <c r="G13" s="62"/>
      <c r="H13" s="12" t="str">
        <f t="shared" si="0"/>
        <v>* group[=].element[+].code = #CancerUnderStudy.histologyWho2017Subgroup</v>
      </c>
      <c r="I13" s="12" t="str">
        <f t="shared" si="1"/>
        <v>* group[=].element[=].display = ##34#Histology WHO 2017 subgroup##34#</v>
      </c>
      <c r="J13" s="12" t="str">
        <f t="shared" si="2"/>
        <v>//-- unmatched</v>
      </c>
      <c r="K13" s="12" t="str">
        <f t="shared" si="3"/>
        <v>//-- unmatched</v>
      </c>
      <c r="L13" s="12" t="str">
        <f t="shared" si="4"/>
        <v>* group[=].element[=].target.equivalence = #unmatched</v>
      </c>
      <c r="N13" s="11">
        <v>4</v>
      </c>
      <c r="O13" s="11">
        <f t="shared" si="5"/>
        <v>0</v>
      </c>
      <c r="P13" s="11">
        <f t="shared" si="6"/>
        <v>4</v>
      </c>
      <c r="Q13" s="12" t="str" cm="1">
        <f t="array" ref="Q13">INDEX('CancerUnderStudy-ConceptMap'!$H$10:$L$264,O13+1,P13)</f>
        <v>* group[=].element[=].target.display = ##34#Patient##34#</v>
      </c>
    </row>
    <row r="14" spans="1:17" ht="44.25">
      <c r="A14" s="63"/>
      <c r="B14" s="11" t="str">
        <f>$B$10&amp;"."&amp;CancerUnderStudy!B12</f>
        <v>CancerUnderStudy.histologyWho2017Subgroup.Squamous</v>
      </c>
      <c r="C14" s="11" t="str">
        <f>CancerUnderStudy!C12</f>
        <v>Histology subgroup Squamous</v>
      </c>
      <c r="D14" s="11"/>
      <c r="E14" s="11"/>
      <c r="F14" s="68" t="s">
        <v>1434</v>
      </c>
      <c r="G14" s="62"/>
      <c r="H14" s="12" t="str">
        <f t="shared" si="0"/>
        <v>* group[=].element[+].code = #CancerUnderStudy.histologyWho2017Subgroup.Squamous</v>
      </c>
      <c r="I14" s="12" t="str">
        <f t="shared" si="1"/>
        <v>* group[=].element[=].display = ##34#Histology subgroup Squamous##34#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INDEX('CancerUnderStudy-ConceptMap'!$H$10:$L$264,O14+1,P14)</f>
        <v>* group[=].element[=].target.equivalence = #equivalent</v>
      </c>
    </row>
    <row r="15" spans="1:17" ht="44.25">
      <c r="A15" s="63"/>
      <c r="B15" s="11" t="str">
        <f>$B$10&amp;"."&amp;CancerUnderStudy!B13</f>
        <v>CancerUnderStudy.histologyWho2017Subgroup.Adenocarcinoma</v>
      </c>
      <c r="C15" s="11" t="str">
        <f>CancerUnderStudy!C13</f>
        <v>Histology subgroup Adenocarcinoma</v>
      </c>
      <c r="D15" s="11" t="str">
        <f>ConvertOsiris!I4</f>
        <v>Patient.Gender</v>
      </c>
      <c r="E15" s="11" t="str">
        <f>ConvertOsiris!J4</f>
        <v>Gender [C2]</v>
      </c>
      <c r="F15" s="68" t="s">
        <v>1443</v>
      </c>
      <c r="G15" s="62"/>
      <c r="H15" s="12" t="str">
        <f t="shared" si="0"/>
        <v>* group[=].element[+].code = #CancerUnderStudy.histologyWho2017Subgroup.Adenocarcinoma</v>
      </c>
      <c r="I15" s="12" t="str">
        <f t="shared" si="1"/>
        <v>* group[=].element[=].display = ##34#Histology subgroup Adenocarcinoma##34#</v>
      </c>
      <c r="J15" s="12" t="str">
        <f t="shared" si="2"/>
        <v>* group[=].element[=].target.code = #Osiris.Patient.Gender</v>
      </c>
      <c r="K15" s="12" t="str">
        <f t="shared" si="3"/>
        <v>* group[=].element[=].target.display = ##34#Gender [C2]##34#</v>
      </c>
      <c r="L15" s="12" t="str">
        <f t="shared" si="4"/>
        <v>* group[=].element[=].target.equivalence = #narrower</v>
      </c>
      <c r="N15" s="11">
        <v>6</v>
      </c>
      <c r="O15" s="11">
        <f t="shared" si="5"/>
        <v>1</v>
      </c>
      <c r="P15" s="11">
        <f t="shared" si="6"/>
        <v>1</v>
      </c>
      <c r="Q15" s="12" t="str" cm="1">
        <f t="array" ref="Q15">INDEX('CancerUnderStudy-ConceptMap'!$H$10:$L$264,O15+1,P15)</f>
        <v>* group[=].element[+].code = #CancerUnderStudy.diagnosisDate</v>
      </c>
    </row>
    <row r="16" spans="1:17" ht="44.25">
      <c r="A16" s="63"/>
      <c r="B16" s="11" t="str">
        <f>$B$10&amp;"."&amp;CancerUnderStudy!B14</f>
        <v>CancerUnderStudy.histologyWho2017Subgroup.Neuroendocrine</v>
      </c>
      <c r="C16" s="11" t="str">
        <f>CancerUnderStudy!C14</f>
        <v>Histology subgroup Neuroendocrine</v>
      </c>
      <c r="D16" s="11" t="str">
        <f>ConvertOsiris!I5</f>
        <v>Patient.Ethnicity</v>
      </c>
      <c r="E16" s="11" t="str">
        <f>ConvertOsiris!J5</f>
        <v>Ethnicity [C3]</v>
      </c>
      <c r="F16" s="68" t="s">
        <v>1441</v>
      </c>
      <c r="G16" s="62"/>
      <c r="H16" s="12" t="str">
        <f t="shared" si="0"/>
        <v>* group[=].element[+].code = #CancerUnderStudy.histologyWho2017Subgroup.Neuroendocrine</v>
      </c>
      <c r="I16" s="12" t="str">
        <f t="shared" si="1"/>
        <v>* group[=].element[=].display = ##34#Histology subgroup Neuroendocrine##34#</v>
      </c>
      <c r="J16" s="12" t="str">
        <f t="shared" si="2"/>
        <v>* group[=].element[=].target.code = #Osiris.Patient.Ethnicity</v>
      </c>
      <c r="K16" s="12" t="str">
        <f t="shared" si="3"/>
        <v>* group[=].element[=].target.display = ##34#Ethnicity [C3]##34#</v>
      </c>
      <c r="L16" s="12" t="str">
        <f t="shared" si="4"/>
        <v>* group[=].element[=].target.equivalence = #wider</v>
      </c>
      <c r="N16" s="11">
        <v>7</v>
      </c>
      <c r="O16" s="11">
        <f t="shared" si="5"/>
        <v>1</v>
      </c>
      <c r="P16" s="11">
        <f t="shared" si="6"/>
        <v>2</v>
      </c>
      <c r="Q16" s="12" t="str" cm="1">
        <f t="array" ref="Q16">INDEX('CancerUnderStudy-ConceptMap'!$H$10:$L$264,O16+1,P16)</f>
        <v>* group[=].element[=].display = ##34#Date of diagnosis biopsy or surgical piece##34#</v>
      </c>
    </row>
    <row r="17" spans="1:17" ht="44.25">
      <c r="A17" s="63"/>
      <c r="B17" s="11" t="str">
        <f>$B$10&amp;"."&amp;CancerUnderStudy!B15</f>
        <v>CancerUnderStudy.histologyWho2017Subgroup.OdontogenicCarcinoma</v>
      </c>
      <c r="C17" s="11" t="str">
        <f>CancerUnderStudy!C15</f>
        <v>Histology subgroup Odontogenic carcinoma</v>
      </c>
      <c r="D17" s="11"/>
      <c r="E17" s="12"/>
      <c r="F17" s="68" t="s">
        <v>1434</v>
      </c>
      <c r="G17" s="62"/>
      <c r="H17" s="12" t="str">
        <f t="shared" si="0"/>
        <v>* group[=].element[+].code = #CancerUnderStudy.histologyWho2017Subgroup.OdontogenicCarcinoma</v>
      </c>
      <c r="I17" s="12" t="str">
        <f t="shared" si="1"/>
        <v>* group[=].element[=].display = ##34#Histology subgroup Odontogenic carcinoma##34#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INDEX('CancerUnderStudy-ConceptMap'!$H$10:$L$264,O17+1,P17)</f>
        <v>* group[=].element[=].target.code = #Osiris.Patient.BirthDate</v>
      </c>
    </row>
    <row r="18" spans="1:17">
      <c r="A18" s="63"/>
      <c r="B18" s="11"/>
      <c r="C18" s="11"/>
      <c r="D18" s="11"/>
      <c r="E18" s="12"/>
      <c r="F18" s="68"/>
      <c r="G18" s="62"/>
      <c r="H18" s="12"/>
      <c r="I18" s="12"/>
      <c r="J18" s="12"/>
      <c r="K18" s="12"/>
      <c r="L18" s="12"/>
      <c r="N18" s="11">
        <v>9</v>
      </c>
      <c r="O18" s="11">
        <f t="shared" si="5"/>
        <v>1</v>
      </c>
      <c r="P18" s="11">
        <f t="shared" si="6"/>
        <v>4</v>
      </c>
      <c r="Q18" s="12" t="str" cm="1">
        <f t="array" ref="Q18">INDEX('CancerUnderStudy-ConceptMap'!$H$10:$L$264,O18+1,P18)</f>
        <v>* group[=].element[=].target.display = ##34#Birth Date [C4]##34#</v>
      </c>
    </row>
    <row r="19" spans="1:17">
      <c r="B19" s="11"/>
      <c r="C19" s="11"/>
      <c r="D19" s="11"/>
      <c r="E19" s="12"/>
      <c r="F19" s="68"/>
      <c r="G19" s="62"/>
      <c r="H19" s="12"/>
      <c r="I19" s="12"/>
      <c r="J19" s="12"/>
      <c r="K19" s="12"/>
      <c r="L19" s="12"/>
      <c r="N19" s="11">
        <v>10</v>
      </c>
      <c r="O19" s="11">
        <f t="shared" si="5"/>
        <v>1</v>
      </c>
      <c r="P19" s="11">
        <f t="shared" si="6"/>
        <v>5</v>
      </c>
      <c r="Q19" s="12" t="str" cm="1">
        <f t="array" ref="Q19">INDEX('CancerUnderStudy-ConceptMap'!$H$10:$L$264,O19+1,P19)</f>
        <v>* group[=].element[=].target.equivalence = #relatedto</v>
      </c>
    </row>
    <row r="20" spans="1:17">
      <c r="B20" s="11"/>
      <c r="C20" s="11"/>
      <c r="D20" s="11"/>
      <c r="E20" s="12"/>
      <c r="F20" s="68"/>
      <c r="G20" s="62"/>
      <c r="H20" s="12"/>
      <c r="I20" s="12"/>
      <c r="J20" s="12"/>
      <c r="K20" s="12"/>
      <c r="L20" s="12"/>
      <c r="N20" s="11">
        <v>11</v>
      </c>
      <c r="O20" s="11">
        <f t="shared" si="5"/>
        <v>2</v>
      </c>
      <c r="P20" s="11">
        <f t="shared" si="6"/>
        <v>1</v>
      </c>
      <c r="Q20" s="12" t="str" cm="1">
        <f t="array" ref="Q20">INDEX('CancerUnderStudy-ConceptMap'!$H$10:$L$264,O20+1,P20)</f>
        <v>* group[=].element[+].code = #CancerUnderStudy.ageAtDiagnosis</v>
      </c>
    </row>
    <row r="21" spans="1:17">
      <c r="B21" s="11"/>
      <c r="C21" s="11"/>
      <c r="D21" s="11"/>
      <c r="E21" s="12"/>
      <c r="F21" s="68"/>
      <c r="G21" s="62"/>
      <c r="J21" s="62"/>
      <c r="K21" s="62"/>
      <c r="L21" s="70"/>
      <c r="N21" s="11">
        <v>12</v>
      </c>
      <c r="O21" s="11">
        <f t="shared" si="5"/>
        <v>2</v>
      </c>
      <c r="P21" s="11">
        <f t="shared" si="6"/>
        <v>2</v>
      </c>
      <c r="Q21" s="12" t="str" cm="1">
        <f t="array" ref="Q21">INDEX('CancerUnderStudy-ConceptMap'!$H$10:$L$264,O21+1,P21)</f>
        <v>* group[=].element[=].display = ##34#Age at diagnosis manual##34#</v>
      </c>
    </row>
    <row r="22" spans="1:17">
      <c r="B22" s="11"/>
      <c r="C22" s="11"/>
      <c r="D22" s="11"/>
      <c r="E22" s="12"/>
      <c r="F22" s="68"/>
      <c r="G22" s="62"/>
      <c r="J22" s="62"/>
      <c r="K22" s="62"/>
      <c r="L22" s="70"/>
      <c r="N22" s="11">
        <v>13</v>
      </c>
      <c r="O22" s="11">
        <f t="shared" si="5"/>
        <v>2</v>
      </c>
      <c r="P22" s="11">
        <f t="shared" si="6"/>
        <v>3</v>
      </c>
      <c r="Q22" s="12" t="str" cm="1">
        <f t="array" ref="Q22">INDEX('CancerUnderStudy-ConceptMap'!$H$10:$L$264,O22+1,P22)</f>
        <v>* group[=].element[=].target.code = #Osiris.Patient.BirthDate</v>
      </c>
    </row>
    <row r="23" spans="1:17">
      <c r="B23" s="11"/>
      <c r="C23" s="11"/>
      <c r="D23" s="11"/>
      <c r="E23" s="12"/>
      <c r="F23" s="68"/>
      <c r="G23" s="62"/>
      <c r="J23" s="62"/>
      <c r="K23" s="62"/>
      <c r="L23" s="70"/>
      <c r="N23" s="11">
        <v>14</v>
      </c>
      <c r="O23" s="11">
        <f t="shared" si="5"/>
        <v>2</v>
      </c>
      <c r="P23" s="11">
        <f t="shared" si="6"/>
        <v>4</v>
      </c>
      <c r="Q23" s="12" t="str" cm="1">
        <f t="array" ref="Q23">INDEX('CancerUnderStudy-ConceptMap'!$H$10:$L$264,O23+1,P23)</f>
        <v>* group[=].element[=].target.display = ##34#Birth Date [C4]##34#</v>
      </c>
    </row>
    <row r="24" spans="1:17">
      <c r="B24" s="11"/>
      <c r="C24" s="11"/>
      <c r="D24" s="11"/>
      <c r="E24" s="12"/>
      <c r="F24" s="68"/>
      <c r="G24" s="62"/>
      <c r="J24" s="62"/>
      <c r="K24" s="62"/>
      <c r="L24" s="70"/>
      <c r="N24" s="11">
        <v>15</v>
      </c>
      <c r="O24" s="11">
        <f t="shared" si="5"/>
        <v>2</v>
      </c>
      <c r="P24" s="11">
        <f t="shared" si="6"/>
        <v>5</v>
      </c>
      <c r="Q24" s="12" t="str" cm="1">
        <f t="array" ref="Q24">INDEX('CancerUnderStudy-ConceptMap'!$H$10:$L$264,O24+1,P24)</f>
        <v>* group[=].element[=].target.equivalence = #equivalent</v>
      </c>
    </row>
    <row r="25" spans="1:17">
      <c r="B25" s="11"/>
      <c r="C25" s="11"/>
      <c r="D25" s="11"/>
      <c r="E25" s="12"/>
      <c r="F25" s="68"/>
      <c r="G25" s="62"/>
      <c r="J25" s="62"/>
      <c r="K25" s="62"/>
      <c r="L25" s="70"/>
      <c r="N25" s="11">
        <v>16</v>
      </c>
      <c r="O25" s="11">
        <f t="shared" si="5"/>
        <v>3</v>
      </c>
      <c r="P25" s="11">
        <f t="shared" si="6"/>
        <v>1</v>
      </c>
      <c r="Q25" s="12" t="str" cm="1">
        <f t="array" ref="Q25">INDEX('CancerUnderStudy-ConceptMap'!$H$10:$L$264,O25+1,P25)</f>
        <v>* group[=].element[+].code = #CancerUnderStudy.histologyWho2017Subgroup</v>
      </c>
    </row>
    <row r="26" spans="1:17">
      <c r="B26" s="11"/>
      <c r="C26" s="11"/>
      <c r="D26" s="11"/>
      <c r="E26" s="12"/>
      <c r="F26" s="68"/>
      <c r="G26" s="62"/>
      <c r="J26" s="62"/>
      <c r="K26" s="62"/>
      <c r="L26" s="70"/>
      <c r="N26" s="11">
        <v>17</v>
      </c>
      <c r="O26" s="11">
        <f t="shared" si="5"/>
        <v>3</v>
      </c>
      <c r="P26" s="11">
        <f t="shared" si="6"/>
        <v>2</v>
      </c>
      <c r="Q26" s="12" t="str" cm="1">
        <f t="array" ref="Q26">INDEX('CancerUnderStudy-ConceptMap'!$H$10:$L$264,O26+1,P26)</f>
        <v>* group[=].element[=].display = ##34#Histology WHO 2017 subgroup##34#</v>
      </c>
    </row>
    <row r="27" spans="1:17">
      <c r="B27" s="11"/>
      <c r="C27" s="11"/>
      <c r="D27" s="11"/>
      <c r="E27" s="12"/>
      <c r="F27" s="68"/>
      <c r="G27" s="62"/>
      <c r="J27" s="62"/>
      <c r="K27" s="62"/>
      <c r="L27" s="70"/>
      <c r="N27" s="11">
        <v>18</v>
      </c>
      <c r="O27" s="11">
        <f t="shared" si="5"/>
        <v>3</v>
      </c>
      <c r="P27" s="11">
        <f t="shared" si="6"/>
        <v>3</v>
      </c>
      <c r="Q27" s="12" t="str" cm="1">
        <f t="array" ref="Q27">INDEX('CancerUnderStudy-ConceptMap'!$H$10:$L$264,O27+1,P27)</f>
        <v>//-- unmatched</v>
      </c>
    </row>
    <row r="28" spans="1:17">
      <c r="B28" s="11"/>
      <c r="C28" s="11"/>
      <c r="D28" s="11"/>
      <c r="E28" s="12"/>
      <c r="F28" s="68"/>
      <c r="G28" s="62"/>
      <c r="J28" s="62"/>
      <c r="K28" s="62"/>
      <c r="L28" s="70"/>
      <c r="N28" s="11">
        <v>19</v>
      </c>
      <c r="O28" s="11">
        <f t="shared" si="5"/>
        <v>3</v>
      </c>
      <c r="P28" s="11">
        <f t="shared" si="6"/>
        <v>4</v>
      </c>
      <c r="Q28" s="12" t="str" cm="1">
        <f t="array" ref="Q28">INDEX('CancerUnderStudy-ConceptMap'!$H$10:$L$264,O28+1,P28)</f>
        <v>//-- unmatched</v>
      </c>
    </row>
    <row r="29" spans="1:17">
      <c r="B29" s="11"/>
      <c r="C29" s="11"/>
      <c r="D29" s="11"/>
      <c r="E29" s="12"/>
      <c r="F29" s="68"/>
      <c r="G29" s="62"/>
      <c r="J29" s="62"/>
      <c r="K29" s="62"/>
      <c r="L29" s="70"/>
      <c r="N29" s="11">
        <v>20</v>
      </c>
      <c r="O29" s="11">
        <f t="shared" si="5"/>
        <v>3</v>
      </c>
      <c r="P29" s="11">
        <f t="shared" si="6"/>
        <v>5</v>
      </c>
      <c r="Q29" s="12" t="str" cm="1">
        <f t="array" ref="Q29">INDEX('CancerUnderStudy-ConceptMap'!$H$10:$L$264,O29+1,P29)</f>
        <v>* group[=].element[=].target.equivalence = #unmatched</v>
      </c>
    </row>
    <row r="30" spans="1:17" ht="29.5">
      <c r="B30" s="11"/>
      <c r="C30" s="11"/>
      <c r="D30" s="11"/>
      <c r="E30" s="12"/>
      <c r="F30" s="68"/>
      <c r="G30" s="62"/>
      <c r="J30" s="62"/>
      <c r="K30" s="62"/>
      <c r="L30" s="70"/>
      <c r="N30" s="11">
        <v>21</v>
      </c>
      <c r="O30" s="11">
        <f t="shared" si="5"/>
        <v>4</v>
      </c>
      <c r="P30" s="11">
        <f t="shared" si="6"/>
        <v>1</v>
      </c>
      <c r="Q30" s="12" t="str" cm="1">
        <f t="array" ref="Q30">INDEX('CancerUnderStudy-ConceptMap'!$H$10:$L$264,O30+1,P30)</f>
        <v>* group[=].element[+].code = #CancerUnderStudy.histologyWho2017Subgroup.Squamous</v>
      </c>
    </row>
    <row r="31" spans="1:17" s="2" customFormat="1">
      <c r="A31"/>
      <c r="B31" s="11"/>
      <c r="C31" s="11"/>
      <c r="D31" s="11"/>
      <c r="E31" s="12"/>
      <c r="F31" s="68"/>
      <c r="G31" s="62"/>
      <c r="I31"/>
      <c r="J31" s="62"/>
      <c r="K31" s="62"/>
      <c r="L31" s="70"/>
      <c r="N31" s="11">
        <v>22</v>
      </c>
      <c r="O31" s="11">
        <f t="shared" si="5"/>
        <v>4</v>
      </c>
      <c r="P31" s="11">
        <f t="shared" si="6"/>
        <v>2</v>
      </c>
      <c r="Q31" s="12" t="str" cm="1">
        <f t="array" ref="Q31">INDEX('CancerUnderStudy-ConceptMap'!$H$10:$L$264,O31+1,P31)</f>
        <v>* group[=].element[=].display = ##34#Histology subgroup Squamous##34#</v>
      </c>
    </row>
    <row r="32" spans="1:17" s="2" customFormat="1">
      <c r="A32"/>
      <c r="B32" s="65"/>
      <c r="C32" s="65"/>
      <c r="D32" s="65"/>
      <c r="F32" s="62"/>
      <c r="G32" s="62"/>
      <c r="I32"/>
      <c r="J32" s="62"/>
      <c r="K32" s="62"/>
      <c r="L32" s="70"/>
      <c r="N32" s="11">
        <v>23</v>
      </c>
      <c r="O32" s="11">
        <f t="shared" si="5"/>
        <v>4</v>
      </c>
      <c r="P32" s="11">
        <f t="shared" si="6"/>
        <v>3</v>
      </c>
      <c r="Q32" s="12" t="str" cm="1">
        <f t="array" ref="Q32">INDEX('CancerUnderStudy-ConceptMap'!$H$10:$L$264,O32+1,P32)</f>
        <v>//-- unmatched</v>
      </c>
    </row>
    <row r="33" spans="1:17" s="2" customFormat="1">
      <c r="A33"/>
      <c r="B33" s="11"/>
      <c r="C33" s="11"/>
      <c r="F33" s="62"/>
      <c r="G33" s="62"/>
      <c r="I33"/>
      <c r="J33" s="62"/>
      <c r="K33" s="62"/>
      <c r="L33" s="70"/>
      <c r="N33" s="11">
        <v>24</v>
      </c>
      <c r="O33" s="11">
        <f t="shared" si="5"/>
        <v>4</v>
      </c>
      <c r="P33" s="11">
        <f t="shared" si="6"/>
        <v>4</v>
      </c>
      <c r="Q33" s="12" t="str" cm="1">
        <f t="array" ref="Q33">INDEX('CancerUnderStudy-ConceptMap'!$H$10:$L$264,O33+1,P33)</f>
        <v>//-- unmatched</v>
      </c>
    </row>
    <row r="34" spans="1:17" s="2" customFormat="1">
      <c r="A34"/>
      <c r="B34" s="11"/>
      <c r="C34"/>
      <c r="F34" s="62"/>
      <c r="G34" s="62"/>
      <c r="I34" s="62"/>
      <c r="J34" s="62"/>
      <c r="K34" s="62"/>
      <c r="L34" s="70"/>
      <c r="N34" s="11">
        <v>25</v>
      </c>
      <c r="O34" s="11">
        <f t="shared" si="5"/>
        <v>4</v>
      </c>
      <c r="P34" s="11">
        <f t="shared" si="6"/>
        <v>5</v>
      </c>
      <c r="Q34" s="12" t="str" cm="1">
        <f t="array" ref="Q34">INDEX('CancerUnderStudy-ConceptMap'!$H$10:$L$264,O34+1,P34)</f>
        <v>* group[=].element[=].target.equivalence = #unmatched</v>
      </c>
    </row>
    <row r="35" spans="1:17" s="2" customFormat="1" ht="29.5">
      <c r="A35"/>
      <c r="B35" s="11"/>
      <c r="C35"/>
      <c r="F35" s="62"/>
      <c r="G35" s="62"/>
      <c r="I35" s="62"/>
      <c r="J35" s="62"/>
      <c r="K35" s="62"/>
      <c r="L35" s="70"/>
      <c r="N35" s="11">
        <v>26</v>
      </c>
      <c r="O35" s="11">
        <f t="shared" si="5"/>
        <v>5</v>
      </c>
      <c r="P35" s="11">
        <f t="shared" si="6"/>
        <v>1</v>
      </c>
      <c r="Q35" s="12" t="str" cm="1">
        <f t="array" ref="Q35">INDEX('CancerUnderStudy-ConceptMap'!$H$10:$L$264,O35+1,P35)</f>
        <v>* group[=].element[+].code = #CancerUnderStudy.histologyWho2017Subgroup.Adenocarcinoma</v>
      </c>
    </row>
    <row r="36" spans="1:17" s="2" customFormat="1">
      <c r="A36"/>
      <c r="B36" s="11"/>
      <c r="C36"/>
      <c r="F36" s="62"/>
      <c r="G36" s="62"/>
      <c r="I36" s="62"/>
      <c r="J36" s="62"/>
      <c r="K36" s="62"/>
      <c r="L36" s="70"/>
      <c r="N36" s="11">
        <v>27</v>
      </c>
      <c r="O36" s="11">
        <f t="shared" si="5"/>
        <v>5</v>
      </c>
      <c r="P36" s="11">
        <f t="shared" si="6"/>
        <v>2</v>
      </c>
      <c r="Q36" s="12" t="str" cm="1">
        <f t="array" ref="Q36">INDEX('CancerUnderStudy-ConceptMap'!$H$10:$L$264,O36+1,P36)</f>
        <v>* group[=].element[=].display = ##34#Histology subgroup Adenocarcinoma##34#</v>
      </c>
    </row>
    <row r="37" spans="1:17" s="2" customFormat="1">
      <c r="A37"/>
      <c r="B37" s="11"/>
      <c r="C37"/>
      <c r="F37" s="62"/>
      <c r="G37" s="62"/>
      <c r="I37" s="62"/>
      <c r="J37" s="62"/>
      <c r="K37" s="62"/>
      <c r="L37" s="62"/>
      <c r="N37" s="11">
        <v>28</v>
      </c>
      <c r="O37" s="11">
        <f t="shared" si="5"/>
        <v>5</v>
      </c>
      <c r="P37" s="11">
        <f t="shared" si="6"/>
        <v>3</v>
      </c>
      <c r="Q37" s="12" t="str" cm="1">
        <f t="array" ref="Q37">INDEX('CancerUnderStudy-ConceptMap'!$H$10:$L$264,O37+1,P37)</f>
        <v>* group[=].element[=].target.code = #Osiris.Patient.Gender</v>
      </c>
    </row>
    <row r="38" spans="1:17" s="2" customFormat="1">
      <c r="A38"/>
      <c r="B38" s="11"/>
      <c r="C38"/>
      <c r="F38" s="62"/>
      <c r="G38" s="62"/>
      <c r="I38" s="62"/>
      <c r="J38" s="62"/>
      <c r="K38" s="62"/>
      <c r="L38" s="62"/>
      <c r="N38" s="11">
        <v>29</v>
      </c>
      <c r="O38" s="11">
        <f t="shared" si="5"/>
        <v>5</v>
      </c>
      <c r="P38" s="11">
        <f t="shared" si="6"/>
        <v>4</v>
      </c>
      <c r="Q38" s="12" t="str" cm="1">
        <f t="array" ref="Q38">INDEX('CancerUnderStudy-ConceptMap'!$H$10:$L$264,O38+1,P38)</f>
        <v>* group[=].element[=].target.display = ##34#Gender [C2]##34#</v>
      </c>
    </row>
    <row r="39" spans="1:17" s="2" customFormat="1">
      <c r="A39"/>
      <c r="B39" s="11"/>
      <c r="C39"/>
      <c r="F39" s="62"/>
      <c r="G39" s="62"/>
      <c r="I39" s="62"/>
      <c r="J39" s="62"/>
      <c r="K39" s="62"/>
      <c r="L39" s="62"/>
      <c r="N39" s="11">
        <v>30</v>
      </c>
      <c r="O39" s="11">
        <f t="shared" si="5"/>
        <v>5</v>
      </c>
      <c r="P39" s="11">
        <f t="shared" si="6"/>
        <v>5</v>
      </c>
      <c r="Q39" s="12" t="str" cm="1">
        <f t="array" ref="Q39">INDEX('CancerUnderStudy-ConceptMap'!$H$10:$L$264,O39+1,P39)</f>
        <v>* group[=].element[=].target.equivalence = #narrower</v>
      </c>
    </row>
    <row r="40" spans="1:17" s="2" customFormat="1" ht="29.5">
      <c r="A40"/>
      <c r="B40" s="11"/>
      <c r="C40"/>
      <c r="F40" s="62"/>
      <c r="G40" s="62"/>
      <c r="I40" s="62"/>
      <c r="J40" s="62"/>
      <c r="K40" s="62"/>
      <c r="L40" s="62"/>
      <c r="N40" s="11">
        <v>31</v>
      </c>
      <c r="O40" s="11">
        <f t="shared" si="5"/>
        <v>6</v>
      </c>
      <c r="P40" s="11">
        <f t="shared" si="6"/>
        <v>1</v>
      </c>
      <c r="Q40" s="12" t="str" cm="1">
        <f t="array" ref="Q40">INDEX('CancerUnderStudy-ConceptMap'!$H$10:$L$264,O40+1,P40)</f>
        <v>* group[=].element[+].code = #CancerUnderStudy.histologyWho2017Subgroup.Neuroendocrine</v>
      </c>
    </row>
    <row r="41" spans="1:17" s="2" customFormat="1">
      <c r="A41"/>
      <c r="B41" s="11"/>
      <c r="C41"/>
      <c r="F41" s="62"/>
      <c r="G41" s="62"/>
      <c r="I41" s="62"/>
      <c r="J41" s="62"/>
      <c r="K41" s="62"/>
      <c r="L41" s="62"/>
      <c r="N41" s="11">
        <v>32</v>
      </c>
      <c r="O41" s="11">
        <f t="shared" si="5"/>
        <v>6</v>
      </c>
      <c r="P41" s="11">
        <f t="shared" si="6"/>
        <v>2</v>
      </c>
      <c r="Q41" s="12" t="str" cm="1">
        <f t="array" ref="Q41">INDEX('CancerUnderStudy-ConceptMap'!$H$10:$L$264,O41+1,P41)</f>
        <v>* group[=].element[=].display = ##34#Histology subgroup Neuroendocrine##34#</v>
      </c>
    </row>
    <row r="42" spans="1:17" s="2" customFormat="1">
      <c r="A42"/>
      <c r="B42" s="11"/>
      <c r="C42"/>
      <c r="F42" s="62"/>
      <c r="G42" s="62"/>
      <c r="I42" s="62"/>
      <c r="J42" s="62"/>
      <c r="K42" s="62"/>
      <c r="L42" s="62"/>
      <c r="N42" s="11">
        <v>33</v>
      </c>
      <c r="O42" s="11">
        <f t="shared" si="5"/>
        <v>6</v>
      </c>
      <c r="P42" s="11">
        <f t="shared" si="6"/>
        <v>3</v>
      </c>
      <c r="Q42" s="12" t="str" cm="1">
        <f t="array" ref="Q42">INDEX('CancerUnderStudy-ConceptMap'!$H$10:$L$264,O42+1,P42)</f>
        <v>* group[=].element[=].target.code = #Osiris.Patient.Ethnicity</v>
      </c>
    </row>
    <row r="43" spans="1:17">
      <c r="F43" s="62"/>
      <c r="G43" s="62"/>
      <c r="I43" s="62"/>
      <c r="J43" s="62"/>
      <c r="K43" s="62"/>
      <c r="L43" s="62"/>
      <c r="N43" s="11">
        <v>34</v>
      </c>
      <c r="O43" s="11">
        <f t="shared" si="5"/>
        <v>6</v>
      </c>
      <c r="P43" s="11">
        <f t="shared" si="6"/>
        <v>4</v>
      </c>
      <c r="Q43" s="12" t="str" cm="1">
        <f t="array" ref="Q43">INDEX('CancerUnderStudy-ConceptMap'!$H$10:$L$264,O43+1,P43)</f>
        <v>* group[=].element[=].target.display = ##34#Ethnicity [C3]##34#</v>
      </c>
    </row>
    <row r="44" spans="1:17">
      <c r="F44" s="62"/>
      <c r="G44" s="62"/>
      <c r="I44" s="62"/>
      <c r="J44" s="62"/>
      <c r="K44" s="62"/>
      <c r="L44" s="62"/>
      <c r="N44" s="11">
        <v>35</v>
      </c>
      <c r="O44" s="11">
        <f t="shared" si="5"/>
        <v>6</v>
      </c>
      <c r="P44" s="11">
        <f t="shared" si="6"/>
        <v>5</v>
      </c>
      <c r="Q44" s="12" t="str" cm="1">
        <f t="array" ref="Q44">INDEX('CancerUnderStudy-ConceptMap'!$H$10:$L$264,O44+1,P44)</f>
        <v>* group[=].element[=].target.equivalence = #wider</v>
      </c>
    </row>
    <row r="45" spans="1:17" ht="29.5">
      <c r="F45" s="62"/>
      <c r="G45" s="62"/>
      <c r="I45" s="62"/>
      <c r="J45" s="62"/>
      <c r="K45" s="62"/>
      <c r="L45" s="62"/>
      <c r="N45" s="11">
        <v>36</v>
      </c>
      <c r="O45" s="11">
        <f t="shared" si="5"/>
        <v>7</v>
      </c>
      <c r="P45" s="11">
        <f t="shared" si="6"/>
        <v>1</v>
      </c>
      <c r="Q45" s="12" t="str" cm="1">
        <f t="array" ref="Q45">INDEX('CancerUnderStudy-ConceptMap'!$H$10:$L$264,O45+1,P45)</f>
        <v>* group[=].element[+].code = #CancerUnderStudy.histologyWho2017Subgroup.OdontogenicCarcinoma</v>
      </c>
    </row>
    <row r="46" spans="1:17" ht="29.5">
      <c r="F46" s="62"/>
      <c r="G46" s="62"/>
      <c r="I46" s="62"/>
      <c r="J46" s="62"/>
      <c r="K46" s="62"/>
      <c r="L46" s="62"/>
      <c r="N46" s="11">
        <v>37</v>
      </c>
      <c r="O46" s="11">
        <f t="shared" si="5"/>
        <v>7</v>
      </c>
      <c r="P46" s="11">
        <f t="shared" si="6"/>
        <v>2</v>
      </c>
      <c r="Q46" s="12" t="str" cm="1">
        <f t="array" ref="Q46">INDEX('CancerUnderStudy-ConceptMap'!$H$10:$L$264,O46+1,P46)</f>
        <v>* group[=].element[=].display = ##34#Histology subgroup Odontogenic carcinoma##34#</v>
      </c>
    </row>
    <row r="47" spans="1:17">
      <c r="B47" t="s">
        <v>1412</v>
      </c>
      <c r="C47" t="s">
        <v>1413</v>
      </c>
      <c r="D47" t="s">
        <v>1414</v>
      </c>
      <c r="E47" t="s">
        <v>1415</v>
      </c>
      <c r="N47" s="11">
        <v>38</v>
      </c>
      <c r="O47" s="11">
        <f t="shared" si="5"/>
        <v>7</v>
      </c>
      <c r="P47" s="11">
        <f t="shared" si="6"/>
        <v>3</v>
      </c>
      <c r="Q47" s="12" t="str" cm="1">
        <f t="array" ref="Q47">INDEX('CancerUnderStudy-ConceptMap'!$H$10:$L$264,O47+1,P47)</f>
        <v>//-- unmatched</v>
      </c>
    </row>
    <row r="48" spans="1:17">
      <c r="N48" s="11">
        <v>39</v>
      </c>
      <c r="O48" s="11">
        <f t="shared" si="5"/>
        <v>7</v>
      </c>
      <c r="P48" s="11">
        <f t="shared" si="6"/>
        <v>4</v>
      </c>
      <c r="Q48" s="12" t="str" cm="1">
        <f t="array" ref="Q48">INDEX('CancerUnderStudy-ConceptMap'!$H$10:$L$264,O48+1,P48)</f>
        <v>//-- unmatched</v>
      </c>
    </row>
    <row r="49" spans="14:17">
      <c r="N49" s="11">
        <v>40</v>
      </c>
      <c r="O49" s="11">
        <f t="shared" si="5"/>
        <v>7</v>
      </c>
      <c r="P49" s="11">
        <f t="shared" si="6"/>
        <v>5</v>
      </c>
      <c r="Q49" s="12" t="str" cm="1">
        <f t="array" ref="Q49">INDEX('CancerUnderStudy-ConceptMap'!$H$10:$L$264,O49+1,P49)</f>
        <v>* group[=].element[=].target.equivalence = #unmatched</v>
      </c>
    </row>
    <row r="50" spans="14:17">
      <c r="N50" s="11">
        <v>41</v>
      </c>
      <c r="O50" s="11">
        <f t="shared" si="5"/>
        <v>8</v>
      </c>
      <c r="P50" s="11">
        <f t="shared" si="6"/>
        <v>1</v>
      </c>
      <c r="Q50" s="12" cm="1">
        <f t="array" ref="Q50">INDEX('CancerUnderStudy-ConceptMap'!$H$10:$L$264,O50+1,P50)</f>
        <v>0</v>
      </c>
    </row>
    <row r="51" spans="14:17">
      <c r="N51" s="11">
        <v>42</v>
      </c>
      <c r="O51" s="11">
        <f t="shared" si="5"/>
        <v>8</v>
      </c>
      <c r="P51" s="11">
        <f t="shared" si="6"/>
        <v>2</v>
      </c>
      <c r="Q51" s="12" cm="1">
        <f t="array" ref="Q51">INDEX('CancerUnderStudy-ConceptMap'!$H$10:$L$264,O51+1,P51)</f>
        <v>0</v>
      </c>
    </row>
    <row r="52" spans="14:17">
      <c r="N52" s="11">
        <v>43</v>
      </c>
      <c r="O52" s="11">
        <f t="shared" si="5"/>
        <v>8</v>
      </c>
      <c r="P52" s="11">
        <f t="shared" si="6"/>
        <v>3</v>
      </c>
      <c r="Q52" s="12" cm="1">
        <f t="array" ref="Q52">INDEX('CancerUnderStudy-ConceptMap'!$H$10:$L$264,O52+1,P52)</f>
        <v>0</v>
      </c>
    </row>
    <row r="53" spans="14:17">
      <c r="N53" s="11">
        <v>44</v>
      </c>
      <c r="O53" s="11">
        <f t="shared" si="5"/>
        <v>8</v>
      </c>
      <c r="P53" s="11">
        <f t="shared" si="6"/>
        <v>4</v>
      </c>
      <c r="Q53" s="12" cm="1">
        <f t="array" ref="Q53">INDEX('CancerUnderStudy-ConceptMap'!$H$10:$L$264,O53+1,P53)</f>
        <v>0</v>
      </c>
    </row>
    <row r="54" spans="14:17">
      <c r="N54" s="11">
        <v>45</v>
      </c>
      <c r="O54" s="11">
        <f t="shared" si="5"/>
        <v>8</v>
      </c>
      <c r="P54" s="11">
        <f t="shared" si="6"/>
        <v>5</v>
      </c>
      <c r="Q54" s="12" cm="1">
        <f t="array" ref="Q54">INDEX('CancerUnderStudy-ConceptMap'!$H$10:$L$264,O54+1,P54)</f>
        <v>0</v>
      </c>
    </row>
    <row r="55" spans="14:17">
      <c r="N55" s="11">
        <v>46</v>
      </c>
      <c r="O55" s="11">
        <f t="shared" si="5"/>
        <v>9</v>
      </c>
      <c r="P55" s="11">
        <f t="shared" si="6"/>
        <v>1</v>
      </c>
      <c r="Q55" s="12" cm="1">
        <f t="array" ref="Q55">INDEX('CancerUnderStudy-ConceptMap'!$H$10:$L$264,O55+1,P55)</f>
        <v>0</v>
      </c>
    </row>
    <row r="56" spans="14:17">
      <c r="N56" s="11">
        <v>47</v>
      </c>
      <c r="O56" s="11">
        <f t="shared" si="5"/>
        <v>9</v>
      </c>
      <c r="P56" s="11">
        <f t="shared" si="6"/>
        <v>2</v>
      </c>
      <c r="Q56" s="12" cm="1">
        <f t="array" ref="Q56">INDEX('CancerUnderStudy-ConceptMap'!$H$10:$L$264,O56+1,P56)</f>
        <v>0</v>
      </c>
    </row>
    <row r="57" spans="14:17">
      <c r="N57" s="11">
        <v>48</v>
      </c>
      <c r="O57" s="11">
        <f t="shared" si="5"/>
        <v>9</v>
      </c>
      <c r="P57" s="11">
        <f t="shared" si="6"/>
        <v>3</v>
      </c>
      <c r="Q57" s="12" cm="1">
        <f t="array" ref="Q57">INDEX('CancerUnderStudy-ConceptMap'!$H$10:$L$264,O57+1,P57)</f>
        <v>0</v>
      </c>
    </row>
    <row r="58" spans="14:17">
      <c r="N58" s="11">
        <v>49</v>
      </c>
      <c r="O58" s="11">
        <f t="shared" si="5"/>
        <v>9</v>
      </c>
      <c r="P58" s="11">
        <f t="shared" si="6"/>
        <v>4</v>
      </c>
      <c r="Q58" s="12" cm="1">
        <f t="array" ref="Q58">INDEX('CancerUnderStudy-ConceptMap'!$H$10:$L$264,O58+1,P58)</f>
        <v>0</v>
      </c>
    </row>
    <row r="59" spans="14:17">
      <c r="N59" s="11">
        <v>50</v>
      </c>
      <c r="O59" s="11">
        <f t="shared" si="5"/>
        <v>9</v>
      </c>
      <c r="P59" s="11">
        <f t="shared" si="6"/>
        <v>5</v>
      </c>
      <c r="Q59" s="12" cm="1">
        <f t="array" ref="Q59">INDEX('CancerUnderStudy-ConceptMap'!$H$10:$L$264,O59+1,P59)</f>
        <v>0</v>
      </c>
    </row>
    <row r="60" spans="14:17">
      <c r="N60" s="11">
        <v>51</v>
      </c>
      <c r="O60" s="11">
        <f t="shared" si="5"/>
        <v>10</v>
      </c>
      <c r="P60" s="11">
        <f t="shared" si="6"/>
        <v>1</v>
      </c>
      <c r="Q60" s="12" cm="1">
        <f t="array" ref="Q60">INDEX('CancerUnderStudy-ConceptMap'!$H$10:$L$264,O60+1,P60)</f>
        <v>0</v>
      </c>
    </row>
    <row r="61" spans="14:17">
      <c r="N61" s="11">
        <v>52</v>
      </c>
      <c r="O61" s="11">
        <f t="shared" si="5"/>
        <v>10</v>
      </c>
      <c r="P61" s="11">
        <f t="shared" si="6"/>
        <v>2</v>
      </c>
      <c r="Q61" s="12" cm="1">
        <f t="array" ref="Q61">INDEX('CancerUnderStudy-ConceptMap'!$H$10:$L$264,O61+1,P61)</f>
        <v>0</v>
      </c>
    </row>
    <row r="62" spans="14:17">
      <c r="N62" s="11">
        <v>53</v>
      </c>
      <c r="O62" s="11">
        <f t="shared" si="5"/>
        <v>10</v>
      </c>
      <c r="P62" s="11">
        <f t="shared" si="6"/>
        <v>3</v>
      </c>
      <c r="Q62" s="12" cm="1">
        <f t="array" ref="Q62">INDEX('CancerUnderStudy-ConceptMap'!$H$10:$L$264,O62+1,P62)</f>
        <v>0</v>
      </c>
    </row>
    <row r="63" spans="14:17">
      <c r="N63" s="11">
        <v>54</v>
      </c>
      <c r="O63" s="11">
        <f t="shared" si="5"/>
        <v>10</v>
      </c>
      <c r="P63" s="11">
        <f t="shared" si="6"/>
        <v>4</v>
      </c>
      <c r="Q63" s="12" cm="1">
        <f t="array" ref="Q63">INDEX('CancerUnderStudy-ConceptMap'!$H$10:$L$264,O63+1,P63)</f>
        <v>0</v>
      </c>
    </row>
    <row r="64" spans="14:17">
      <c r="N64" s="11">
        <v>55</v>
      </c>
      <c r="O64" s="11">
        <f t="shared" si="5"/>
        <v>10</v>
      </c>
      <c r="P64" s="11">
        <f t="shared" si="6"/>
        <v>5</v>
      </c>
      <c r="Q64" s="12" cm="1">
        <f t="array" ref="Q64">INDEX('CancerUnderStudy-ConceptMap'!$H$10:$L$264,O64+1,P64)</f>
        <v>0</v>
      </c>
    </row>
    <row r="65" spans="14:17">
      <c r="N65" s="11">
        <v>56</v>
      </c>
      <c r="O65" s="11">
        <f t="shared" si="5"/>
        <v>11</v>
      </c>
      <c r="P65" s="11">
        <f t="shared" si="6"/>
        <v>1</v>
      </c>
      <c r="Q65" s="12" cm="1">
        <f t="array" ref="Q65">INDEX('CancerUnderStudy-ConceptMap'!$H$10:$L$264,O65+1,P65)</f>
        <v>0</v>
      </c>
    </row>
    <row r="66" spans="14:17">
      <c r="N66" s="11">
        <v>57</v>
      </c>
      <c r="O66" s="11">
        <f t="shared" si="5"/>
        <v>11</v>
      </c>
      <c r="P66" s="11">
        <f t="shared" si="6"/>
        <v>2</v>
      </c>
      <c r="Q66" s="12" cm="1">
        <f t="array" ref="Q66">INDEX('CancerUnderStudy-ConceptMap'!$H$10:$L$264,O66+1,P66)</f>
        <v>0</v>
      </c>
    </row>
    <row r="67" spans="14:17">
      <c r="N67" s="11">
        <v>58</v>
      </c>
      <c r="O67" s="11">
        <f t="shared" si="5"/>
        <v>11</v>
      </c>
      <c r="P67" s="11">
        <f t="shared" si="6"/>
        <v>3</v>
      </c>
      <c r="Q67" s="12" cm="1">
        <f t="array" ref="Q67">INDEX('CancerUnderStudy-ConceptMap'!$H$10:$L$264,O67+1,P67)</f>
        <v>0</v>
      </c>
    </row>
    <row r="68" spans="14:17">
      <c r="N68" s="11">
        <v>59</v>
      </c>
      <c r="O68" s="11">
        <f t="shared" si="5"/>
        <v>11</v>
      </c>
      <c r="P68" s="11">
        <f t="shared" si="6"/>
        <v>4</v>
      </c>
      <c r="Q68" s="12" cm="1">
        <f t="array" ref="Q68">INDEX('CancerUnderStudy-ConceptMap'!$H$10:$L$264,O68+1,P68)</f>
        <v>0</v>
      </c>
    </row>
    <row r="69" spans="14:17">
      <c r="N69" s="11">
        <v>60</v>
      </c>
      <c r="O69" s="11">
        <f t="shared" si="5"/>
        <v>11</v>
      </c>
      <c r="P69" s="11">
        <f t="shared" si="6"/>
        <v>5</v>
      </c>
      <c r="Q69" s="12" cm="1">
        <f t="array" ref="Q69">INDEX('CancerUnderStudy-ConceptMap'!$H$10:$L$264,O69+1,P69)</f>
        <v>0</v>
      </c>
    </row>
    <row r="70" spans="14:17">
      <c r="N70" s="11">
        <v>61</v>
      </c>
      <c r="O70" s="11">
        <f t="shared" si="5"/>
        <v>12</v>
      </c>
      <c r="P70" s="11">
        <f t="shared" si="6"/>
        <v>1</v>
      </c>
      <c r="Q70" s="12" cm="1">
        <f t="array" ref="Q70">INDEX('CancerUnderStudy-ConceptMap'!$H$10:$L$264,O70+1,P70)</f>
        <v>0</v>
      </c>
    </row>
    <row r="71" spans="14:17">
      <c r="N71" s="11">
        <v>62</v>
      </c>
      <c r="O71" s="11">
        <f t="shared" si="5"/>
        <v>12</v>
      </c>
      <c r="P71" s="11">
        <f t="shared" si="6"/>
        <v>2</v>
      </c>
      <c r="Q71" s="12" cm="1">
        <f t="array" ref="Q71">INDEX('CancerUnderStudy-ConceptMap'!$H$10:$L$264,O71+1,P71)</f>
        <v>0</v>
      </c>
    </row>
    <row r="72" spans="14:17">
      <c r="N72" s="11">
        <v>63</v>
      </c>
      <c r="O72" s="11">
        <f t="shared" si="5"/>
        <v>12</v>
      </c>
      <c r="P72" s="11">
        <f t="shared" si="6"/>
        <v>3</v>
      </c>
      <c r="Q72" s="12" cm="1">
        <f t="array" ref="Q72">INDEX('CancerUnderStudy-ConceptMap'!$H$10:$L$264,O72+1,P72)</f>
        <v>0</v>
      </c>
    </row>
    <row r="73" spans="14:17">
      <c r="N73" s="11">
        <v>64</v>
      </c>
      <c r="O73" s="11">
        <f t="shared" si="5"/>
        <v>12</v>
      </c>
      <c r="P73" s="11">
        <f t="shared" si="6"/>
        <v>4</v>
      </c>
      <c r="Q73" s="12" cm="1">
        <f t="array" ref="Q73">INDEX('CancerUnderStudy-ConceptMap'!$H$10:$L$264,O73+1,P73)</f>
        <v>0</v>
      </c>
    </row>
    <row r="74" spans="14:17">
      <c r="N74" s="11">
        <v>65</v>
      </c>
      <c r="O74" s="11">
        <f t="shared" si="5"/>
        <v>12</v>
      </c>
      <c r="P74" s="11">
        <f t="shared" si="6"/>
        <v>5</v>
      </c>
      <c r="Q74" s="12" cm="1">
        <f t="array" ref="Q74">INDEX('CancerUnderStudy-ConceptMap'!$H$10:$L$264,O74+1,P74)</f>
        <v>0</v>
      </c>
    </row>
    <row r="75" spans="14:17">
      <c r="N75" s="11">
        <v>66</v>
      </c>
      <c r="O75" s="11">
        <f t="shared" ref="O75:O138" si="7">IF(MOD(N75,$O$3)=0,N75/$O$3-1,INT(N75/$O$3))</f>
        <v>13</v>
      </c>
      <c r="P75" s="11">
        <f t="shared" ref="P75:P138" si="8">IF(MOD(N75,$O$3)=0,$O$3,MOD(N75,$O$3))</f>
        <v>1</v>
      </c>
      <c r="Q75" s="12" cm="1">
        <f t="array" ref="Q75">INDEX('CancerUnderStudy-ConceptMap'!$H$10:$L$264,O75+1,P75)</f>
        <v>0</v>
      </c>
    </row>
    <row r="76" spans="14:17">
      <c r="N76" s="11">
        <v>67</v>
      </c>
      <c r="O76" s="11">
        <f t="shared" si="7"/>
        <v>13</v>
      </c>
      <c r="P76" s="11">
        <f t="shared" si="8"/>
        <v>2</v>
      </c>
      <c r="Q76" s="12" cm="1">
        <f t="array" ref="Q76">INDEX('CancerUnderStudy-ConceptMap'!$H$10:$L$264,O76+1,P76)</f>
        <v>0</v>
      </c>
    </row>
    <row r="77" spans="14:17">
      <c r="N77" s="11">
        <v>68</v>
      </c>
      <c r="O77" s="11">
        <f t="shared" si="7"/>
        <v>13</v>
      </c>
      <c r="P77" s="11">
        <f t="shared" si="8"/>
        <v>3</v>
      </c>
      <c r="Q77" s="12" cm="1">
        <f t="array" ref="Q77">INDEX('CancerUnderStudy-ConceptMap'!$H$10:$L$264,O77+1,P77)</f>
        <v>0</v>
      </c>
    </row>
    <row r="78" spans="14:17">
      <c r="N78" s="11">
        <v>69</v>
      </c>
      <c r="O78" s="11">
        <f t="shared" si="7"/>
        <v>13</v>
      </c>
      <c r="P78" s="11">
        <f t="shared" si="8"/>
        <v>4</v>
      </c>
      <c r="Q78" s="12" cm="1">
        <f t="array" ref="Q78">INDEX('CancerUnderStudy-ConceptMap'!$H$10:$L$264,O78+1,P78)</f>
        <v>0</v>
      </c>
    </row>
    <row r="79" spans="14:17">
      <c r="N79" s="11">
        <v>70</v>
      </c>
      <c r="O79" s="11">
        <f t="shared" si="7"/>
        <v>13</v>
      </c>
      <c r="P79" s="11">
        <f t="shared" si="8"/>
        <v>5</v>
      </c>
      <c r="Q79" s="12" cm="1">
        <f t="array" ref="Q79">INDEX('CancerUnderStudy-ConceptMap'!$H$10:$L$264,O79+1,P79)</f>
        <v>0</v>
      </c>
    </row>
    <row r="80" spans="14:17">
      <c r="N80" s="11">
        <v>71</v>
      </c>
      <c r="O80" s="11">
        <f t="shared" si="7"/>
        <v>14</v>
      </c>
      <c r="P80" s="11">
        <f t="shared" si="8"/>
        <v>1</v>
      </c>
      <c r="Q80" s="12" cm="1">
        <f t="array" ref="Q80">INDEX('CancerUnderStudy-ConceptMap'!$H$10:$L$264,O80+1,P80)</f>
        <v>0</v>
      </c>
    </row>
    <row r="81" spans="14:17">
      <c r="N81" s="11">
        <v>72</v>
      </c>
      <c r="O81" s="11">
        <f t="shared" si="7"/>
        <v>14</v>
      </c>
      <c r="P81" s="11">
        <f t="shared" si="8"/>
        <v>2</v>
      </c>
      <c r="Q81" s="12" cm="1">
        <f t="array" ref="Q81">INDEX('CancerUnderStudy-ConceptMap'!$H$10:$L$264,O81+1,P81)</f>
        <v>0</v>
      </c>
    </row>
    <row r="82" spans="14:17">
      <c r="N82" s="11">
        <v>73</v>
      </c>
      <c r="O82" s="11">
        <f t="shared" si="7"/>
        <v>14</v>
      </c>
      <c r="P82" s="11">
        <f t="shared" si="8"/>
        <v>3</v>
      </c>
      <c r="Q82" s="12" cm="1">
        <f t="array" ref="Q82">INDEX('CancerUnderStudy-ConceptMap'!$H$10:$L$264,O82+1,P82)</f>
        <v>0</v>
      </c>
    </row>
    <row r="83" spans="14:17">
      <c r="N83" s="11">
        <v>74</v>
      </c>
      <c r="O83" s="11">
        <f t="shared" si="7"/>
        <v>14</v>
      </c>
      <c r="P83" s="11">
        <f t="shared" si="8"/>
        <v>4</v>
      </c>
      <c r="Q83" s="12" cm="1">
        <f t="array" ref="Q83">INDEX('CancerUnderStudy-ConceptMap'!$H$10:$L$264,O83+1,P83)</f>
        <v>0</v>
      </c>
    </row>
    <row r="84" spans="14:17">
      <c r="N84" s="11">
        <v>75</v>
      </c>
      <c r="O84" s="11">
        <f t="shared" si="7"/>
        <v>14</v>
      </c>
      <c r="P84" s="11">
        <f t="shared" si="8"/>
        <v>5</v>
      </c>
      <c r="Q84" s="12" cm="1">
        <f t="array" ref="Q84">INDEX('CancerUnderStudy-ConceptMap'!$H$10:$L$264,O84+1,P84)</f>
        <v>0</v>
      </c>
    </row>
    <row r="85" spans="14:17">
      <c r="N85" s="11">
        <v>76</v>
      </c>
      <c r="O85" s="11">
        <f t="shared" si="7"/>
        <v>15</v>
      </c>
      <c r="P85" s="11">
        <f t="shared" si="8"/>
        <v>1</v>
      </c>
      <c r="Q85" s="12" cm="1">
        <f t="array" ref="Q85">INDEX('CancerUnderStudy-ConceptMap'!$H$10:$L$264,O85+1,P85)</f>
        <v>0</v>
      </c>
    </row>
    <row r="86" spans="14:17">
      <c r="N86" s="11">
        <v>77</v>
      </c>
      <c r="O86" s="11">
        <f t="shared" si="7"/>
        <v>15</v>
      </c>
      <c r="P86" s="11">
        <f t="shared" si="8"/>
        <v>2</v>
      </c>
      <c r="Q86" s="12" cm="1">
        <f t="array" ref="Q86">INDEX('CancerUnderStudy-ConceptMap'!$H$10:$L$264,O86+1,P86)</f>
        <v>0</v>
      </c>
    </row>
    <row r="87" spans="14:17">
      <c r="N87" s="11">
        <v>78</v>
      </c>
      <c r="O87" s="11">
        <f t="shared" si="7"/>
        <v>15</v>
      </c>
      <c r="P87" s="11">
        <f t="shared" si="8"/>
        <v>3</v>
      </c>
      <c r="Q87" s="12" cm="1">
        <f t="array" ref="Q87">INDEX('CancerUnderStudy-ConceptMap'!$H$10:$L$264,O87+1,P87)</f>
        <v>0</v>
      </c>
    </row>
    <row r="88" spans="14:17">
      <c r="N88" s="11">
        <v>79</v>
      </c>
      <c r="O88" s="11">
        <f t="shared" si="7"/>
        <v>15</v>
      </c>
      <c r="P88" s="11">
        <f t="shared" si="8"/>
        <v>4</v>
      </c>
      <c r="Q88" s="12" cm="1">
        <f t="array" ref="Q88">INDEX('CancerUnderStudy-ConceptMap'!$H$10:$L$264,O88+1,P88)</f>
        <v>0</v>
      </c>
    </row>
    <row r="89" spans="14:17">
      <c r="N89" s="11">
        <v>80</v>
      </c>
      <c r="O89" s="11">
        <f t="shared" si="7"/>
        <v>15</v>
      </c>
      <c r="P89" s="11">
        <f t="shared" si="8"/>
        <v>5</v>
      </c>
      <c r="Q89" s="12" cm="1">
        <f t="array" ref="Q89">INDEX('CancerUnderStudy-ConceptMap'!$H$10:$L$264,O89+1,P89)</f>
        <v>0</v>
      </c>
    </row>
    <row r="90" spans="14:17">
      <c r="N90" s="11">
        <v>81</v>
      </c>
      <c r="O90" s="11">
        <f t="shared" si="7"/>
        <v>16</v>
      </c>
      <c r="P90" s="11">
        <f t="shared" si="8"/>
        <v>1</v>
      </c>
      <c r="Q90" s="12" cm="1">
        <f t="array" ref="Q90">INDEX('CancerUnderStudy-ConceptMap'!$H$10:$L$264,O90+1,P90)</f>
        <v>0</v>
      </c>
    </row>
    <row r="91" spans="14:17">
      <c r="N91" s="11">
        <v>82</v>
      </c>
      <c r="O91" s="11">
        <f t="shared" si="7"/>
        <v>16</v>
      </c>
      <c r="P91" s="11">
        <f t="shared" si="8"/>
        <v>2</v>
      </c>
      <c r="Q91" s="12" cm="1">
        <f t="array" ref="Q91">INDEX('CancerUnderStudy-ConceptMap'!$H$10:$L$264,O91+1,P91)</f>
        <v>0</v>
      </c>
    </row>
    <row r="92" spans="14:17">
      <c r="N92" s="11">
        <v>83</v>
      </c>
      <c r="O92" s="11">
        <f t="shared" si="7"/>
        <v>16</v>
      </c>
      <c r="P92" s="11">
        <f t="shared" si="8"/>
        <v>3</v>
      </c>
      <c r="Q92" s="12" cm="1">
        <f t="array" ref="Q92">INDEX('CancerUnderStudy-ConceptMap'!$H$10:$L$264,O92+1,P92)</f>
        <v>0</v>
      </c>
    </row>
    <row r="93" spans="14:17">
      <c r="N93" s="11">
        <v>84</v>
      </c>
      <c r="O93" s="11">
        <f t="shared" si="7"/>
        <v>16</v>
      </c>
      <c r="P93" s="11">
        <f t="shared" si="8"/>
        <v>4</v>
      </c>
      <c r="Q93" s="12" cm="1">
        <f t="array" ref="Q93">INDEX('CancerUnderStudy-ConceptMap'!$H$10:$L$264,O93+1,P93)</f>
        <v>0</v>
      </c>
    </row>
    <row r="94" spans="14:17">
      <c r="N94" s="11">
        <v>85</v>
      </c>
      <c r="O94" s="11">
        <f t="shared" si="7"/>
        <v>16</v>
      </c>
      <c r="P94" s="11">
        <f t="shared" si="8"/>
        <v>5</v>
      </c>
      <c r="Q94" s="12" cm="1">
        <f t="array" ref="Q94">INDEX('CancerUnderStudy-ConceptMap'!$H$10:$L$264,O94+1,P94)</f>
        <v>0</v>
      </c>
    </row>
    <row r="95" spans="14:17">
      <c r="N95" s="11">
        <v>86</v>
      </c>
      <c r="O95" s="11">
        <f t="shared" si="7"/>
        <v>17</v>
      </c>
      <c r="P95" s="11">
        <f t="shared" si="8"/>
        <v>1</v>
      </c>
      <c r="Q95" s="12" cm="1">
        <f t="array" ref="Q95">INDEX('CancerUnderStudy-ConceptMap'!$H$10:$L$264,O95+1,P95)</f>
        <v>0</v>
      </c>
    </row>
    <row r="96" spans="14:17">
      <c r="N96" s="11">
        <v>87</v>
      </c>
      <c r="O96" s="11">
        <f t="shared" si="7"/>
        <v>17</v>
      </c>
      <c r="P96" s="11">
        <f t="shared" si="8"/>
        <v>2</v>
      </c>
      <c r="Q96" s="12" cm="1">
        <f t="array" ref="Q96">INDEX('CancerUnderStudy-ConceptMap'!$H$10:$L$264,O96+1,P96)</f>
        <v>0</v>
      </c>
    </row>
    <row r="97" spans="14:17">
      <c r="N97" s="11">
        <v>88</v>
      </c>
      <c r="O97" s="11">
        <f t="shared" si="7"/>
        <v>17</v>
      </c>
      <c r="P97" s="11">
        <f t="shared" si="8"/>
        <v>3</v>
      </c>
      <c r="Q97" s="12" cm="1">
        <f t="array" ref="Q97">INDEX('CancerUnderStudy-ConceptMap'!$H$10:$L$264,O97+1,P97)</f>
        <v>0</v>
      </c>
    </row>
    <row r="98" spans="14:17">
      <c r="N98" s="11">
        <v>89</v>
      </c>
      <c r="O98" s="11">
        <f t="shared" si="7"/>
        <v>17</v>
      </c>
      <c r="P98" s="11">
        <f t="shared" si="8"/>
        <v>4</v>
      </c>
      <c r="Q98" s="12" cm="1">
        <f t="array" ref="Q98">INDEX('CancerUnderStudy-ConceptMap'!$H$10:$L$264,O98+1,P98)</f>
        <v>0</v>
      </c>
    </row>
    <row r="99" spans="14:17">
      <c r="N99" s="11">
        <v>90</v>
      </c>
      <c r="O99" s="11">
        <f t="shared" si="7"/>
        <v>17</v>
      </c>
      <c r="P99" s="11">
        <f t="shared" si="8"/>
        <v>5</v>
      </c>
      <c r="Q99" s="12" cm="1">
        <f t="array" ref="Q99">INDEX('CancerUnderStudy-ConceptMap'!$H$10:$L$264,O99+1,P99)</f>
        <v>0</v>
      </c>
    </row>
    <row r="100" spans="14:17">
      <c r="N100" s="11">
        <v>91</v>
      </c>
      <c r="O100" s="11">
        <f t="shared" si="7"/>
        <v>18</v>
      </c>
      <c r="P100" s="11">
        <f t="shared" si="8"/>
        <v>1</v>
      </c>
      <c r="Q100" s="12" cm="1">
        <f t="array" ref="Q100">INDEX('CancerUnderStudy-ConceptMap'!$H$10:$L$264,O100+1,P100)</f>
        <v>0</v>
      </c>
    </row>
    <row r="101" spans="14:17">
      <c r="N101" s="11">
        <v>92</v>
      </c>
      <c r="O101" s="11">
        <f t="shared" si="7"/>
        <v>18</v>
      </c>
      <c r="P101" s="11">
        <f t="shared" si="8"/>
        <v>2</v>
      </c>
      <c r="Q101" s="12" cm="1">
        <f t="array" ref="Q101">INDEX('CancerUnderStudy-ConceptMap'!U85:Y339,1+O101,P101)</f>
        <v>0</v>
      </c>
    </row>
    <row r="102" spans="14:17">
      <c r="N102" s="11">
        <v>93</v>
      </c>
      <c r="O102" s="11">
        <f t="shared" si="7"/>
        <v>18</v>
      </c>
      <c r="P102" s="11">
        <f t="shared" si="8"/>
        <v>3</v>
      </c>
      <c r="Q102" s="12" cm="1">
        <f t="array" ref="Q102">INDEX('CancerUnderStudy-ConceptMap'!U86:Y340,1+O102,P102)</f>
        <v>0</v>
      </c>
    </row>
    <row r="103" spans="14:17">
      <c r="N103" s="11">
        <v>94</v>
      </c>
      <c r="O103" s="11">
        <f t="shared" si="7"/>
        <v>18</v>
      </c>
      <c r="P103" s="11">
        <f t="shared" si="8"/>
        <v>4</v>
      </c>
      <c r="Q103" s="12" cm="1">
        <f t="array" ref="Q103">INDEX('CancerUnderStudy-ConceptMap'!U87:Y341,1+O103,P103)</f>
        <v>0</v>
      </c>
    </row>
    <row r="104" spans="14:17">
      <c r="N104" s="11">
        <v>95</v>
      </c>
      <c r="O104" s="11">
        <f t="shared" si="7"/>
        <v>18</v>
      </c>
      <c r="P104" s="11">
        <f t="shared" si="8"/>
        <v>5</v>
      </c>
      <c r="Q104" s="12" cm="1">
        <f t="array" ref="Q104">INDEX('CancerUnderStudy-ConceptMap'!U88:Y342,1+O104,P104)</f>
        <v>0</v>
      </c>
    </row>
    <row r="105" spans="14:17">
      <c r="N105" s="11">
        <v>96</v>
      </c>
      <c r="O105" s="11">
        <f t="shared" si="7"/>
        <v>19</v>
      </c>
      <c r="P105" s="11">
        <f t="shared" si="8"/>
        <v>1</v>
      </c>
      <c r="Q105" s="12" cm="1">
        <f t="array" ref="Q105">INDEX('CancerUnderStudy-ConceptMap'!U89:Y343,1+O105,P105)</f>
        <v>0</v>
      </c>
    </row>
    <row r="106" spans="14:17">
      <c r="N106" s="11">
        <v>97</v>
      </c>
      <c r="O106" s="11">
        <f t="shared" si="7"/>
        <v>19</v>
      </c>
      <c r="P106" s="11">
        <f t="shared" si="8"/>
        <v>2</v>
      </c>
      <c r="Q106" s="12" cm="1">
        <f t="array" ref="Q106">INDEX('CancerUnderStudy-ConceptMap'!U90:Y344,1+O106,P106)</f>
        <v>0</v>
      </c>
    </row>
    <row r="107" spans="14:17">
      <c r="N107" s="11">
        <v>98</v>
      </c>
      <c r="O107" s="11">
        <f t="shared" si="7"/>
        <v>19</v>
      </c>
      <c r="P107" s="11">
        <f t="shared" si="8"/>
        <v>3</v>
      </c>
      <c r="Q107" s="12" cm="1">
        <f t="array" ref="Q107">INDEX('CancerUnderStudy-ConceptMap'!U91:Y345,1+O107,P107)</f>
        <v>0</v>
      </c>
    </row>
    <row r="108" spans="14:17">
      <c r="N108" s="11">
        <v>99</v>
      </c>
      <c r="O108" s="11">
        <f t="shared" si="7"/>
        <v>19</v>
      </c>
      <c r="P108" s="11">
        <f t="shared" si="8"/>
        <v>4</v>
      </c>
      <c r="Q108" s="12" cm="1">
        <f t="array" ref="Q108">INDEX('CancerUnderStudy-ConceptMap'!U92:Y346,1+O108,P108)</f>
        <v>0</v>
      </c>
    </row>
    <row r="109" spans="14:17">
      <c r="N109" s="11">
        <v>100</v>
      </c>
      <c r="O109" s="11">
        <f t="shared" si="7"/>
        <v>19</v>
      </c>
      <c r="P109" s="11">
        <f t="shared" si="8"/>
        <v>5</v>
      </c>
      <c r="Q109" s="12" cm="1">
        <f t="array" ref="Q109">INDEX('CancerUnderStudy-ConceptMap'!U93:Y347,1+O109,P109)</f>
        <v>0</v>
      </c>
    </row>
    <row r="110" spans="14:17">
      <c r="N110" s="11">
        <v>101</v>
      </c>
      <c r="O110" s="11">
        <f t="shared" si="7"/>
        <v>20</v>
      </c>
      <c r="P110" s="11">
        <f t="shared" si="8"/>
        <v>1</v>
      </c>
      <c r="Q110" s="12" cm="1">
        <f t="array" ref="Q110">INDEX('CancerUnderStudy-ConceptMap'!U94:Y348,1+O110,P110)</f>
        <v>0</v>
      </c>
    </row>
    <row r="111" spans="14:17">
      <c r="N111" s="11">
        <v>102</v>
      </c>
      <c r="O111" s="11">
        <f t="shared" si="7"/>
        <v>20</v>
      </c>
      <c r="P111" s="11">
        <f t="shared" si="8"/>
        <v>2</v>
      </c>
      <c r="Q111" s="12" cm="1">
        <f t="array" ref="Q111">INDEX('CancerUnderStudy-ConceptMap'!U95:Y349,1+O111,P111)</f>
        <v>0</v>
      </c>
    </row>
    <row r="112" spans="14:17">
      <c r="N112" s="11">
        <v>103</v>
      </c>
      <c r="O112" s="11">
        <f t="shared" si="7"/>
        <v>20</v>
      </c>
      <c r="P112" s="11">
        <f t="shared" si="8"/>
        <v>3</v>
      </c>
      <c r="Q112" s="12" cm="1">
        <f t="array" ref="Q112">INDEX('CancerUnderStudy-ConceptMap'!U96:Y350,1+O112,P112)</f>
        <v>0</v>
      </c>
    </row>
    <row r="113" spans="14:17">
      <c r="N113" s="11">
        <v>104</v>
      </c>
      <c r="O113" s="11">
        <f t="shared" si="7"/>
        <v>20</v>
      </c>
      <c r="P113" s="11">
        <f t="shared" si="8"/>
        <v>4</v>
      </c>
      <c r="Q113" s="12" cm="1">
        <f t="array" ref="Q113">INDEX('CancerUnderStudy-ConceptMap'!U97:Y351,1+O113,P113)</f>
        <v>0</v>
      </c>
    </row>
    <row r="114" spans="14:17">
      <c r="N114" s="11">
        <v>105</v>
      </c>
      <c r="O114" s="11">
        <f t="shared" si="7"/>
        <v>20</v>
      </c>
      <c r="P114" s="11">
        <f t="shared" si="8"/>
        <v>5</v>
      </c>
      <c r="Q114" s="12" cm="1">
        <f t="array" ref="Q114">INDEX('CancerUnderStudy-ConceptMap'!U98:Y352,1+O114,P114)</f>
        <v>0</v>
      </c>
    </row>
    <row r="115" spans="14:17">
      <c r="N115" s="11">
        <v>106</v>
      </c>
      <c r="O115" s="11">
        <f t="shared" si="7"/>
        <v>21</v>
      </c>
      <c r="P115" s="11">
        <f t="shared" si="8"/>
        <v>1</v>
      </c>
      <c r="Q115" s="12" cm="1">
        <f t="array" ref="Q115">INDEX('CancerUnderStudy-ConceptMap'!U99:Y353,1+O115,P115)</f>
        <v>0</v>
      </c>
    </row>
    <row r="116" spans="14:17">
      <c r="N116" s="11">
        <v>107</v>
      </c>
      <c r="O116" s="11">
        <f t="shared" si="7"/>
        <v>21</v>
      </c>
      <c r="P116" s="11">
        <f t="shared" si="8"/>
        <v>2</v>
      </c>
      <c r="Q116" s="12" cm="1">
        <f t="array" ref="Q116">INDEX('CancerUnderStudy-ConceptMap'!U100:Y354,1+O116,P116)</f>
        <v>0</v>
      </c>
    </row>
    <row r="117" spans="14:17">
      <c r="N117" s="11">
        <v>108</v>
      </c>
      <c r="O117" s="11">
        <f t="shared" si="7"/>
        <v>21</v>
      </c>
      <c r="P117" s="11">
        <f t="shared" si="8"/>
        <v>3</v>
      </c>
      <c r="Q117" s="12" cm="1">
        <f t="array" ref="Q117">INDEX('CancerUnderStudy-ConceptMap'!U101:Y355,1+O117,P117)</f>
        <v>0</v>
      </c>
    </row>
    <row r="118" spans="14:17">
      <c r="N118" s="11">
        <v>109</v>
      </c>
      <c r="O118" s="11">
        <f t="shared" si="7"/>
        <v>21</v>
      </c>
      <c r="P118" s="11">
        <f t="shared" si="8"/>
        <v>4</v>
      </c>
      <c r="Q118" s="12" cm="1">
        <f t="array" ref="Q118">INDEX('CancerUnderStudy-ConceptMap'!U102:Y356,1+O118,P118)</f>
        <v>0</v>
      </c>
    </row>
    <row r="119" spans="14:17">
      <c r="N119" s="11">
        <v>110</v>
      </c>
      <c r="O119" s="11">
        <f t="shared" si="7"/>
        <v>21</v>
      </c>
      <c r="P119" s="11">
        <f t="shared" si="8"/>
        <v>5</v>
      </c>
      <c r="Q119" s="12" cm="1">
        <f t="array" ref="Q119">INDEX('CancerUnderStudy-ConceptMap'!U103:Y357,1+O119,P119)</f>
        <v>0</v>
      </c>
    </row>
    <row r="120" spans="14:17">
      <c r="N120" s="11">
        <v>111</v>
      </c>
      <c r="O120" s="11">
        <f t="shared" si="7"/>
        <v>22</v>
      </c>
      <c r="P120" s="11">
        <f t="shared" si="8"/>
        <v>1</v>
      </c>
      <c r="Q120" s="12" cm="1">
        <f t="array" ref="Q120">INDEX('CancerUnderStudy-ConceptMap'!U104:Y358,1+O120,P120)</f>
        <v>0</v>
      </c>
    </row>
    <row r="121" spans="14:17">
      <c r="N121" s="11">
        <v>112</v>
      </c>
      <c r="O121" s="11">
        <f t="shared" si="7"/>
        <v>22</v>
      </c>
      <c r="P121" s="11">
        <f t="shared" si="8"/>
        <v>2</v>
      </c>
      <c r="Q121" s="12" cm="1">
        <f t="array" ref="Q121">INDEX('CancerUnderStudy-ConceptMap'!U105:Y359,1+O121,P121)</f>
        <v>0</v>
      </c>
    </row>
    <row r="122" spans="14:17">
      <c r="N122" s="11">
        <v>113</v>
      </c>
      <c r="O122" s="11">
        <f t="shared" si="7"/>
        <v>22</v>
      </c>
      <c r="P122" s="11">
        <f t="shared" si="8"/>
        <v>3</v>
      </c>
      <c r="Q122" s="12" cm="1">
        <f t="array" ref="Q122">INDEX('CancerUnderStudy-ConceptMap'!U106:Y360,1+O122,P122)</f>
        <v>0</v>
      </c>
    </row>
    <row r="123" spans="14:17">
      <c r="N123" s="11">
        <v>114</v>
      </c>
      <c r="O123" s="11">
        <f t="shared" si="7"/>
        <v>22</v>
      </c>
      <c r="P123" s="11">
        <f t="shared" si="8"/>
        <v>4</v>
      </c>
      <c r="Q123" s="12" cm="1">
        <f t="array" ref="Q123">INDEX('CancerUnderStudy-ConceptMap'!U107:Y361,1+O123,P123)</f>
        <v>0</v>
      </c>
    </row>
    <row r="124" spans="14:17">
      <c r="N124" s="11">
        <v>115</v>
      </c>
      <c r="O124" s="11">
        <f t="shared" si="7"/>
        <v>22</v>
      </c>
      <c r="P124" s="11">
        <f t="shared" si="8"/>
        <v>5</v>
      </c>
      <c r="Q124" s="12" cm="1">
        <f t="array" ref="Q124">INDEX('CancerUnderStudy-ConceptMap'!U108:Y362,1+O124,P124)</f>
        <v>0</v>
      </c>
    </row>
    <row r="125" spans="14:17">
      <c r="N125" s="11">
        <v>116</v>
      </c>
      <c r="O125" s="11">
        <f t="shared" si="7"/>
        <v>23</v>
      </c>
      <c r="P125" s="11">
        <f t="shared" si="8"/>
        <v>1</v>
      </c>
      <c r="Q125" s="12" cm="1">
        <f t="array" ref="Q125">INDEX('CancerUnderStudy-ConceptMap'!U109:Y363,1+O125,P125)</f>
        <v>0</v>
      </c>
    </row>
    <row r="126" spans="14:17">
      <c r="N126" s="11">
        <v>117</v>
      </c>
      <c r="O126" s="11">
        <f t="shared" si="7"/>
        <v>23</v>
      </c>
      <c r="P126" s="11">
        <f t="shared" si="8"/>
        <v>2</v>
      </c>
      <c r="Q126" s="12" cm="1">
        <f t="array" ref="Q126">INDEX('CancerUnderStudy-ConceptMap'!U110:Y364,1+O126,P126)</f>
        <v>0</v>
      </c>
    </row>
    <row r="127" spans="14:17">
      <c r="N127" s="11">
        <v>118</v>
      </c>
      <c r="O127" s="11">
        <f t="shared" si="7"/>
        <v>23</v>
      </c>
      <c r="P127" s="11">
        <f t="shared" si="8"/>
        <v>3</v>
      </c>
      <c r="Q127" s="12" cm="1">
        <f t="array" ref="Q127">INDEX('CancerUnderStudy-ConceptMap'!U111:Y365,1+O127,P127)</f>
        <v>0</v>
      </c>
    </row>
    <row r="128" spans="14:17">
      <c r="N128" s="11">
        <v>119</v>
      </c>
      <c r="O128" s="11">
        <f t="shared" si="7"/>
        <v>23</v>
      </c>
      <c r="P128" s="11">
        <f t="shared" si="8"/>
        <v>4</v>
      </c>
      <c r="Q128" s="12" cm="1">
        <f t="array" ref="Q128">INDEX('CancerUnderStudy-ConceptMap'!U112:Y366,1+O128,P128)</f>
        <v>0</v>
      </c>
    </row>
    <row r="129" spans="14:17">
      <c r="N129" s="11">
        <v>120</v>
      </c>
      <c r="O129" s="11">
        <f t="shared" si="7"/>
        <v>23</v>
      </c>
      <c r="P129" s="11">
        <f t="shared" si="8"/>
        <v>5</v>
      </c>
      <c r="Q129" s="12" cm="1">
        <f t="array" ref="Q129">INDEX('CancerUnderStudy-ConceptMap'!U113:Y367,1+O129,P129)</f>
        <v>0</v>
      </c>
    </row>
    <row r="130" spans="14:17">
      <c r="N130" s="11">
        <v>121</v>
      </c>
      <c r="O130" s="11">
        <f t="shared" si="7"/>
        <v>24</v>
      </c>
      <c r="P130" s="11">
        <f t="shared" si="8"/>
        <v>1</v>
      </c>
      <c r="Q130" s="12" cm="1">
        <f t="array" ref="Q130">INDEX('CancerUnderStudy-ConceptMap'!U114:Y368,1+O130,P130)</f>
        <v>0</v>
      </c>
    </row>
    <row r="131" spans="14:17">
      <c r="N131" s="11">
        <v>122</v>
      </c>
      <c r="O131" s="11">
        <f t="shared" si="7"/>
        <v>24</v>
      </c>
      <c r="P131" s="11">
        <f t="shared" si="8"/>
        <v>2</v>
      </c>
      <c r="Q131" s="12" cm="1">
        <f t="array" ref="Q131">INDEX('CancerUnderStudy-ConceptMap'!U115:Y369,1+O131,P131)</f>
        <v>0</v>
      </c>
    </row>
    <row r="132" spans="14:17">
      <c r="N132" s="11">
        <v>123</v>
      </c>
      <c r="O132" s="11">
        <f t="shared" si="7"/>
        <v>24</v>
      </c>
      <c r="P132" s="11">
        <f t="shared" si="8"/>
        <v>3</v>
      </c>
      <c r="Q132" s="12" cm="1">
        <f t="array" ref="Q132">INDEX('CancerUnderStudy-ConceptMap'!U116:Y370,1+O132,P132)</f>
        <v>0</v>
      </c>
    </row>
    <row r="133" spans="14:17">
      <c r="N133" s="11">
        <v>124</v>
      </c>
      <c r="O133" s="11">
        <f t="shared" si="7"/>
        <v>24</v>
      </c>
      <c r="P133" s="11">
        <f t="shared" si="8"/>
        <v>4</v>
      </c>
      <c r="Q133" s="12" cm="1">
        <f t="array" ref="Q133">INDEX('CancerUnderStudy-ConceptMap'!U117:Y371,1+O133,P133)</f>
        <v>0</v>
      </c>
    </row>
    <row r="134" spans="14:17">
      <c r="N134" s="11">
        <v>125</v>
      </c>
      <c r="O134" s="11">
        <f t="shared" si="7"/>
        <v>24</v>
      </c>
      <c r="P134" s="11">
        <f t="shared" si="8"/>
        <v>5</v>
      </c>
      <c r="Q134" s="12" cm="1">
        <f t="array" ref="Q134">INDEX('CancerUnderStudy-ConceptMap'!U118:Y372,1+O134,P134)</f>
        <v>0</v>
      </c>
    </row>
    <row r="135" spans="14:17">
      <c r="N135" s="11">
        <v>126</v>
      </c>
      <c r="O135" s="11">
        <f t="shared" si="7"/>
        <v>25</v>
      </c>
      <c r="P135" s="11">
        <f t="shared" si="8"/>
        <v>1</v>
      </c>
      <c r="Q135" s="12" cm="1">
        <f t="array" ref="Q135">INDEX('CancerUnderStudy-ConceptMap'!U119:Y373,1+O135,P135)</f>
        <v>0</v>
      </c>
    </row>
    <row r="136" spans="14:17">
      <c r="N136" s="11">
        <v>127</v>
      </c>
      <c r="O136" s="11">
        <f t="shared" si="7"/>
        <v>25</v>
      </c>
      <c r="P136" s="11">
        <f t="shared" si="8"/>
        <v>2</v>
      </c>
      <c r="Q136" s="12" cm="1">
        <f t="array" ref="Q136">INDEX('CancerUnderStudy-ConceptMap'!U120:Y374,1+O136,P136)</f>
        <v>0</v>
      </c>
    </row>
    <row r="137" spans="14:17">
      <c r="N137" s="11">
        <v>128</v>
      </c>
      <c r="O137" s="11">
        <f t="shared" si="7"/>
        <v>25</v>
      </c>
      <c r="P137" s="11">
        <f t="shared" si="8"/>
        <v>3</v>
      </c>
      <c r="Q137" s="12" cm="1">
        <f t="array" ref="Q137">INDEX('CancerUnderStudy-ConceptMap'!U121:Y375,1+O137,P137)</f>
        <v>0</v>
      </c>
    </row>
    <row r="138" spans="14:17">
      <c r="N138" s="11">
        <v>129</v>
      </c>
      <c r="O138" s="11">
        <f t="shared" si="7"/>
        <v>25</v>
      </c>
      <c r="P138" s="11">
        <f t="shared" si="8"/>
        <v>4</v>
      </c>
      <c r="Q138" s="12" cm="1">
        <f t="array" ref="Q138">INDEX('CancerUnderStudy-ConceptMap'!U122:Y376,1+O138,P138)</f>
        <v>0</v>
      </c>
    </row>
    <row r="139" spans="14:17">
      <c r="N139" s="11">
        <v>130</v>
      </c>
      <c r="O139" s="11">
        <f t="shared" ref="O139:O184" si="9">IF(MOD(N139,$O$3)=0,N139/$O$3-1,INT(N139/$O$3))</f>
        <v>25</v>
      </c>
      <c r="P139" s="11">
        <f t="shared" ref="P139:P184" si="10">IF(MOD(N139,$O$3)=0,$O$3,MOD(N139,$O$3))</f>
        <v>5</v>
      </c>
      <c r="Q139" s="12" cm="1">
        <f t="array" ref="Q139">INDEX('CancerUnderStudy-ConceptMap'!U123:Y377,1+O139,P139)</f>
        <v>0</v>
      </c>
    </row>
    <row r="140" spans="14:17">
      <c r="N140" s="11">
        <v>131</v>
      </c>
      <c r="O140" s="11">
        <f t="shared" si="9"/>
        <v>26</v>
      </c>
      <c r="P140" s="11">
        <f t="shared" si="10"/>
        <v>1</v>
      </c>
      <c r="Q140" s="12" cm="1">
        <f t="array" ref="Q140">INDEX('CancerUnderStudy-ConceptMap'!U124:Y378,1+O140,P140)</f>
        <v>0</v>
      </c>
    </row>
    <row r="141" spans="14:17">
      <c r="N141" s="11">
        <v>132</v>
      </c>
      <c r="O141" s="11">
        <f t="shared" si="9"/>
        <v>26</v>
      </c>
      <c r="P141" s="11">
        <f t="shared" si="10"/>
        <v>2</v>
      </c>
      <c r="Q141" s="12" cm="1">
        <f t="array" ref="Q141">INDEX('CancerUnderStudy-ConceptMap'!U125:Y379,1+O141,P141)</f>
        <v>0</v>
      </c>
    </row>
    <row r="142" spans="14:17">
      <c r="N142" s="11">
        <v>133</v>
      </c>
      <c r="O142" s="11">
        <f t="shared" si="9"/>
        <v>26</v>
      </c>
      <c r="P142" s="11">
        <f t="shared" si="10"/>
        <v>3</v>
      </c>
      <c r="Q142" s="12" cm="1">
        <f t="array" ref="Q142">INDEX('CancerUnderStudy-ConceptMap'!U126:Y380,1+O142,P142)</f>
        <v>0</v>
      </c>
    </row>
    <row r="143" spans="14:17">
      <c r="N143" s="11">
        <v>134</v>
      </c>
      <c r="O143" s="11">
        <f t="shared" si="9"/>
        <v>26</v>
      </c>
      <c r="P143" s="11">
        <f t="shared" si="10"/>
        <v>4</v>
      </c>
      <c r="Q143" s="12" cm="1">
        <f t="array" ref="Q143">INDEX('CancerUnderStudy-ConceptMap'!U127:Y381,1+O143,P143)</f>
        <v>0</v>
      </c>
    </row>
    <row r="144" spans="14:17">
      <c r="N144" s="11">
        <v>135</v>
      </c>
      <c r="O144" s="11">
        <f t="shared" si="9"/>
        <v>26</v>
      </c>
      <c r="P144" s="11">
        <f t="shared" si="10"/>
        <v>5</v>
      </c>
      <c r="Q144" s="12" cm="1">
        <f t="array" ref="Q144">INDEX('CancerUnderStudy-ConceptMap'!U128:Y382,1+O144,P144)</f>
        <v>0</v>
      </c>
    </row>
    <row r="145" spans="14:17">
      <c r="N145" s="11">
        <v>136</v>
      </c>
      <c r="O145" s="11">
        <f t="shared" si="9"/>
        <v>27</v>
      </c>
      <c r="P145" s="11">
        <f t="shared" si="10"/>
        <v>1</v>
      </c>
      <c r="Q145" s="12" cm="1">
        <f t="array" ref="Q145">INDEX('CancerUnderStudy-ConceptMap'!U129:Y383,1+O145,P145)</f>
        <v>0</v>
      </c>
    </row>
    <row r="146" spans="14:17">
      <c r="N146" s="11">
        <v>137</v>
      </c>
      <c r="O146" s="11">
        <f t="shared" si="9"/>
        <v>27</v>
      </c>
      <c r="P146" s="11">
        <f t="shared" si="10"/>
        <v>2</v>
      </c>
      <c r="Q146" s="12" cm="1">
        <f t="array" ref="Q146">INDEX('CancerUnderStudy-ConceptMap'!U130:Y384,1+O146,P146)</f>
        <v>0</v>
      </c>
    </row>
    <row r="147" spans="14:17">
      <c r="N147" s="11">
        <v>138</v>
      </c>
      <c r="O147" s="11">
        <f t="shared" si="9"/>
        <v>27</v>
      </c>
      <c r="P147" s="11">
        <f t="shared" si="10"/>
        <v>3</v>
      </c>
      <c r="Q147" s="12" cm="1">
        <f t="array" ref="Q147">INDEX('CancerUnderStudy-ConceptMap'!U131:Y385,1+O147,P147)</f>
        <v>0</v>
      </c>
    </row>
    <row r="148" spans="14:17">
      <c r="N148" s="11">
        <v>139</v>
      </c>
      <c r="O148" s="11">
        <f t="shared" si="9"/>
        <v>27</v>
      </c>
      <c r="P148" s="11">
        <f t="shared" si="10"/>
        <v>4</v>
      </c>
      <c r="Q148" s="12" cm="1">
        <f t="array" ref="Q148">INDEX('CancerUnderStudy-ConceptMap'!U132:Y386,1+O148,P148)</f>
        <v>0</v>
      </c>
    </row>
    <row r="149" spans="14:17">
      <c r="N149" s="11">
        <v>140</v>
      </c>
      <c r="O149" s="11">
        <f t="shared" si="9"/>
        <v>27</v>
      </c>
      <c r="P149" s="11">
        <f t="shared" si="10"/>
        <v>5</v>
      </c>
      <c r="Q149" s="12" cm="1">
        <f t="array" ref="Q149">INDEX('CancerUnderStudy-ConceptMap'!U133:Y387,1+O149,P149)</f>
        <v>0</v>
      </c>
    </row>
    <row r="150" spans="14:17">
      <c r="N150" s="11">
        <v>141</v>
      </c>
      <c r="O150" s="11">
        <f t="shared" si="9"/>
        <v>28</v>
      </c>
      <c r="P150" s="11">
        <f t="shared" si="10"/>
        <v>1</v>
      </c>
      <c r="Q150" s="12" cm="1">
        <f t="array" ref="Q150">INDEX('CancerUnderStudy-ConceptMap'!U134:Y388,1+O150,P150)</f>
        <v>0</v>
      </c>
    </row>
    <row r="151" spans="14:17">
      <c r="N151" s="11">
        <v>142</v>
      </c>
      <c r="O151" s="11">
        <f t="shared" si="9"/>
        <v>28</v>
      </c>
      <c r="P151" s="11">
        <f t="shared" si="10"/>
        <v>2</v>
      </c>
      <c r="Q151" s="12" cm="1">
        <f t="array" ref="Q151">INDEX('CancerUnderStudy-ConceptMap'!U135:Y389,1+O151,P151)</f>
        <v>0</v>
      </c>
    </row>
    <row r="152" spans="14:17">
      <c r="N152" s="11">
        <v>143</v>
      </c>
      <c r="O152" s="11">
        <f t="shared" si="9"/>
        <v>28</v>
      </c>
      <c r="P152" s="11">
        <f t="shared" si="10"/>
        <v>3</v>
      </c>
      <c r="Q152" s="12" cm="1">
        <f t="array" ref="Q152">INDEX('CancerUnderStudy-ConceptMap'!U136:Y390,1+O152,P152)</f>
        <v>0</v>
      </c>
    </row>
    <row r="153" spans="14:17">
      <c r="N153" s="11">
        <v>144</v>
      </c>
      <c r="O153" s="11">
        <f t="shared" si="9"/>
        <v>28</v>
      </c>
      <c r="P153" s="11">
        <f t="shared" si="10"/>
        <v>4</v>
      </c>
      <c r="Q153" s="12" cm="1">
        <f t="array" ref="Q153">INDEX('CancerUnderStudy-ConceptMap'!U137:Y391,1+O153,P153)</f>
        <v>0</v>
      </c>
    </row>
    <row r="154" spans="14:17">
      <c r="N154" s="11">
        <v>145</v>
      </c>
      <c r="O154" s="11">
        <f t="shared" si="9"/>
        <v>28</v>
      </c>
      <c r="P154" s="11">
        <f t="shared" si="10"/>
        <v>5</v>
      </c>
      <c r="Q154" s="12" cm="1">
        <f t="array" ref="Q154">INDEX('CancerUnderStudy-ConceptMap'!U138:Y392,1+O154,P154)</f>
        <v>0</v>
      </c>
    </row>
    <row r="155" spans="14:17">
      <c r="N155" s="11">
        <v>146</v>
      </c>
      <c r="O155" s="11">
        <f t="shared" si="9"/>
        <v>29</v>
      </c>
      <c r="P155" s="11">
        <f t="shared" si="10"/>
        <v>1</v>
      </c>
      <c r="Q155" s="12" cm="1">
        <f t="array" ref="Q155">INDEX('CancerUnderStudy-ConceptMap'!U139:Y393,1+O155,P155)</f>
        <v>0</v>
      </c>
    </row>
    <row r="156" spans="14:17">
      <c r="N156" s="11">
        <v>147</v>
      </c>
      <c r="O156" s="11">
        <f t="shared" si="9"/>
        <v>29</v>
      </c>
      <c r="P156" s="11">
        <f t="shared" si="10"/>
        <v>2</v>
      </c>
      <c r="Q156" s="12" cm="1">
        <f t="array" ref="Q156">INDEX('CancerUnderStudy-ConceptMap'!U140:Y394,1+O156,P156)</f>
        <v>0</v>
      </c>
    </row>
    <row r="157" spans="14:17">
      <c r="N157" s="11">
        <v>148</v>
      </c>
      <c r="O157" s="11">
        <f t="shared" si="9"/>
        <v>29</v>
      </c>
      <c r="P157" s="11">
        <f t="shared" si="10"/>
        <v>3</v>
      </c>
      <c r="Q157" s="12" cm="1">
        <f t="array" ref="Q157">INDEX('CancerUnderStudy-ConceptMap'!U141:Y395,1+O157,P157)</f>
        <v>0</v>
      </c>
    </row>
    <row r="158" spans="14:17">
      <c r="N158" s="11">
        <v>149</v>
      </c>
      <c r="O158" s="11">
        <f t="shared" si="9"/>
        <v>29</v>
      </c>
      <c r="P158" s="11">
        <f t="shared" si="10"/>
        <v>4</v>
      </c>
      <c r="Q158" s="12" cm="1">
        <f t="array" ref="Q158">INDEX('CancerUnderStudy-ConceptMap'!U142:Y396,1+O158,P158)</f>
        <v>0</v>
      </c>
    </row>
    <row r="159" spans="14:17">
      <c r="N159" s="11">
        <v>150</v>
      </c>
      <c r="O159" s="11">
        <f t="shared" si="9"/>
        <v>29</v>
      </c>
      <c r="P159" s="11">
        <f t="shared" si="10"/>
        <v>5</v>
      </c>
      <c r="Q159" s="12" cm="1">
        <f t="array" ref="Q159">INDEX('CancerUnderStudy-ConceptMap'!U143:Y397,1+O159,P159)</f>
        <v>0</v>
      </c>
    </row>
    <row r="160" spans="14:17">
      <c r="N160" s="11">
        <v>151</v>
      </c>
      <c r="O160" s="11">
        <f t="shared" si="9"/>
        <v>30</v>
      </c>
      <c r="P160" s="11">
        <f t="shared" si="10"/>
        <v>1</v>
      </c>
      <c r="Q160" s="12" cm="1">
        <f t="array" ref="Q160">INDEX('CancerUnderStudy-ConceptMap'!U144:Y398,1+O160,P160)</f>
        <v>0</v>
      </c>
    </row>
    <row r="161" spans="14:17">
      <c r="N161" s="11">
        <v>152</v>
      </c>
      <c r="O161" s="11">
        <f t="shared" si="9"/>
        <v>30</v>
      </c>
      <c r="P161" s="11">
        <f t="shared" si="10"/>
        <v>2</v>
      </c>
      <c r="Q161" s="12" cm="1">
        <f t="array" ref="Q161">INDEX('CancerUnderStudy-ConceptMap'!U145:Y399,1+O161,P161)</f>
        <v>0</v>
      </c>
    </row>
    <row r="162" spans="14:17">
      <c r="N162" s="11">
        <v>153</v>
      </c>
      <c r="O162" s="11">
        <f t="shared" si="9"/>
        <v>30</v>
      </c>
      <c r="P162" s="11">
        <f t="shared" si="10"/>
        <v>3</v>
      </c>
      <c r="Q162" s="12" cm="1">
        <f t="array" ref="Q162">INDEX('CancerUnderStudy-ConceptMap'!U146:Y400,1+O162,P162)</f>
        <v>0</v>
      </c>
    </row>
    <row r="163" spans="14:17">
      <c r="N163" s="11">
        <v>154</v>
      </c>
      <c r="O163" s="11">
        <f t="shared" si="9"/>
        <v>30</v>
      </c>
      <c r="P163" s="11">
        <f t="shared" si="10"/>
        <v>4</v>
      </c>
      <c r="Q163" s="12" cm="1">
        <f t="array" ref="Q163">INDEX('CancerUnderStudy-ConceptMap'!U147:Y401,1+O163,P163)</f>
        <v>0</v>
      </c>
    </row>
    <row r="164" spans="14:17">
      <c r="N164" s="11">
        <v>155</v>
      </c>
      <c r="O164" s="11">
        <f t="shared" si="9"/>
        <v>30</v>
      </c>
      <c r="P164" s="11">
        <f t="shared" si="10"/>
        <v>5</v>
      </c>
      <c r="Q164" s="12" cm="1">
        <f t="array" ref="Q164">INDEX('CancerUnderStudy-ConceptMap'!U148:Y402,1+O164,P164)</f>
        <v>0</v>
      </c>
    </row>
    <row r="165" spans="14:17">
      <c r="N165" s="11">
        <v>156</v>
      </c>
      <c r="O165" s="11">
        <f t="shared" si="9"/>
        <v>31</v>
      </c>
      <c r="P165" s="11">
        <f t="shared" si="10"/>
        <v>1</v>
      </c>
      <c r="Q165" s="12" cm="1">
        <f t="array" ref="Q165">INDEX('CancerUnderStudy-ConceptMap'!U149:Y403,1+O165,P165)</f>
        <v>0</v>
      </c>
    </row>
    <row r="166" spans="14:17">
      <c r="N166" s="11">
        <v>157</v>
      </c>
      <c r="O166" s="11">
        <f t="shared" si="9"/>
        <v>31</v>
      </c>
      <c r="P166" s="11">
        <f t="shared" si="10"/>
        <v>2</v>
      </c>
      <c r="Q166" s="12" cm="1">
        <f t="array" ref="Q166">INDEX('CancerUnderStudy-ConceptMap'!U150:Y404,1+O166,P166)</f>
        <v>0</v>
      </c>
    </row>
    <row r="167" spans="14:17">
      <c r="N167" s="11">
        <v>158</v>
      </c>
      <c r="O167" s="11">
        <f t="shared" si="9"/>
        <v>31</v>
      </c>
      <c r="P167" s="11">
        <f t="shared" si="10"/>
        <v>3</v>
      </c>
      <c r="Q167" s="12" cm="1">
        <f t="array" ref="Q167">INDEX('CancerUnderStudy-ConceptMap'!U151:Y405,1+O167,P167)</f>
        <v>0</v>
      </c>
    </row>
    <row r="168" spans="14:17">
      <c r="N168" s="11">
        <v>159</v>
      </c>
      <c r="O168" s="11">
        <f t="shared" si="9"/>
        <v>31</v>
      </c>
      <c r="P168" s="11">
        <f t="shared" si="10"/>
        <v>4</v>
      </c>
      <c r="Q168" s="12" cm="1">
        <f t="array" ref="Q168">INDEX('CancerUnderStudy-ConceptMap'!U152:Y406,1+O168,P168)</f>
        <v>0</v>
      </c>
    </row>
    <row r="169" spans="14:17">
      <c r="N169" s="11">
        <v>160</v>
      </c>
      <c r="O169" s="11">
        <f t="shared" si="9"/>
        <v>31</v>
      </c>
      <c r="P169" s="11">
        <f t="shared" si="10"/>
        <v>5</v>
      </c>
      <c r="Q169" s="12" cm="1">
        <f t="array" ref="Q169">INDEX('CancerUnderStudy-ConceptMap'!U153:Y407,1+O169,P169)</f>
        <v>0</v>
      </c>
    </row>
    <row r="170" spans="14:17">
      <c r="N170" s="11">
        <v>161</v>
      </c>
      <c r="O170" s="11">
        <f t="shared" si="9"/>
        <v>32</v>
      </c>
      <c r="P170" s="11">
        <f t="shared" si="10"/>
        <v>1</v>
      </c>
      <c r="Q170" s="12" cm="1">
        <f t="array" ref="Q170">INDEX('CancerUnderStudy-ConceptMap'!U154:Y408,1+O170,P170)</f>
        <v>0</v>
      </c>
    </row>
    <row r="171" spans="14:17">
      <c r="N171" s="11">
        <v>162</v>
      </c>
      <c r="O171" s="11">
        <f t="shared" si="9"/>
        <v>32</v>
      </c>
      <c r="P171" s="11">
        <f t="shared" si="10"/>
        <v>2</v>
      </c>
      <c r="Q171" s="12" cm="1">
        <f t="array" ref="Q171">INDEX('CancerUnderStudy-ConceptMap'!U155:Y409,1+O171,P171)</f>
        <v>0</v>
      </c>
    </row>
    <row r="172" spans="14:17">
      <c r="N172" s="11">
        <v>163</v>
      </c>
      <c r="O172" s="11">
        <f t="shared" si="9"/>
        <v>32</v>
      </c>
      <c r="P172" s="11">
        <f t="shared" si="10"/>
        <v>3</v>
      </c>
      <c r="Q172" s="12" cm="1">
        <f t="array" ref="Q172">INDEX('CancerUnderStudy-ConceptMap'!U156:Y410,1+O172,P172)</f>
        <v>0</v>
      </c>
    </row>
    <row r="173" spans="14:17">
      <c r="N173" s="11">
        <v>164</v>
      </c>
      <c r="O173" s="11">
        <f t="shared" si="9"/>
        <v>32</v>
      </c>
      <c r="P173" s="11">
        <f t="shared" si="10"/>
        <v>4</v>
      </c>
      <c r="Q173" s="12" cm="1">
        <f t="array" ref="Q173">INDEX('CancerUnderStudy-ConceptMap'!U157:Y411,1+O173,P173)</f>
        <v>0</v>
      </c>
    </row>
    <row r="174" spans="14:17">
      <c r="N174" s="11">
        <v>165</v>
      </c>
      <c r="O174" s="11">
        <f t="shared" si="9"/>
        <v>32</v>
      </c>
      <c r="P174" s="11">
        <f t="shared" si="10"/>
        <v>5</v>
      </c>
      <c r="Q174" s="12" cm="1">
        <f t="array" ref="Q174">INDEX('CancerUnderStudy-ConceptMap'!U158:Y412,1+O174,P174)</f>
        <v>0</v>
      </c>
    </row>
    <row r="175" spans="14:17">
      <c r="N175" s="11">
        <v>166</v>
      </c>
      <c r="O175" s="11">
        <f t="shared" si="9"/>
        <v>33</v>
      </c>
      <c r="P175" s="11">
        <f t="shared" si="10"/>
        <v>1</v>
      </c>
      <c r="Q175" s="12" cm="1">
        <f t="array" ref="Q175">INDEX('CancerUnderStudy-ConceptMap'!U159:Y413,1+O175,P175)</f>
        <v>0</v>
      </c>
    </row>
    <row r="176" spans="14:17">
      <c r="N176" s="11">
        <v>167</v>
      </c>
      <c r="O176" s="11">
        <f t="shared" si="9"/>
        <v>33</v>
      </c>
      <c r="P176" s="11">
        <f t="shared" si="10"/>
        <v>2</v>
      </c>
      <c r="Q176" s="12" cm="1">
        <f t="array" ref="Q176">INDEX('CancerUnderStudy-ConceptMap'!U160:Y414,1+O176,P176)</f>
        <v>0</v>
      </c>
    </row>
    <row r="177" spans="14:17">
      <c r="N177" s="11">
        <v>168</v>
      </c>
      <c r="O177" s="11">
        <f t="shared" si="9"/>
        <v>33</v>
      </c>
      <c r="P177" s="11">
        <f t="shared" si="10"/>
        <v>3</v>
      </c>
      <c r="Q177" s="12" cm="1">
        <f t="array" ref="Q177">INDEX('CancerUnderStudy-ConceptMap'!U161:Y415,1+O177,P177)</f>
        <v>0</v>
      </c>
    </row>
    <row r="178" spans="14:17">
      <c r="N178" s="11">
        <v>169</v>
      </c>
      <c r="O178" s="11">
        <f t="shared" si="9"/>
        <v>33</v>
      </c>
      <c r="P178" s="11">
        <f t="shared" si="10"/>
        <v>4</v>
      </c>
      <c r="Q178" s="12" cm="1">
        <f t="array" ref="Q178">INDEX('CancerUnderStudy-ConceptMap'!U162:Y416,1+O178,P178)</f>
        <v>0</v>
      </c>
    </row>
    <row r="179" spans="14:17">
      <c r="N179" s="11">
        <v>170</v>
      </c>
      <c r="O179" s="11">
        <f t="shared" si="9"/>
        <v>33</v>
      </c>
      <c r="P179" s="11">
        <f t="shared" si="10"/>
        <v>5</v>
      </c>
      <c r="Q179" s="12" cm="1">
        <f t="array" ref="Q179">INDEX('CancerUnderStudy-ConceptMap'!U163:Y417,1+O179,P179)</f>
        <v>0</v>
      </c>
    </row>
    <row r="180" spans="14:17">
      <c r="N180" s="11">
        <v>171</v>
      </c>
      <c r="O180" s="11">
        <f t="shared" si="9"/>
        <v>34</v>
      </c>
      <c r="P180" s="11">
        <f t="shared" si="10"/>
        <v>1</v>
      </c>
      <c r="Q180" s="12" cm="1">
        <f t="array" ref="Q180">INDEX('CancerUnderStudy-ConceptMap'!U164:Y418,1+O180,P180)</f>
        <v>0</v>
      </c>
    </row>
    <row r="181" spans="14:17">
      <c r="N181" s="11">
        <v>172</v>
      </c>
      <c r="O181" s="11">
        <f t="shared" si="9"/>
        <v>34</v>
      </c>
      <c r="P181" s="11">
        <f t="shared" si="10"/>
        <v>2</v>
      </c>
      <c r="Q181" s="12" cm="1">
        <f t="array" ref="Q181">INDEX('CancerUnderStudy-ConceptMap'!U165:Y419,1+O181,P181)</f>
        <v>0</v>
      </c>
    </row>
    <row r="182" spans="14:17">
      <c r="N182" s="11">
        <v>173</v>
      </c>
      <c r="O182" s="11">
        <f t="shared" si="9"/>
        <v>34</v>
      </c>
      <c r="P182" s="11">
        <f t="shared" si="10"/>
        <v>3</v>
      </c>
      <c r="Q182" s="12" cm="1">
        <f t="array" ref="Q182">INDEX('CancerUnderStudy-ConceptMap'!U166:Y420,1+O182,P182)</f>
        <v>0</v>
      </c>
    </row>
    <row r="183" spans="14:17">
      <c r="N183" s="11">
        <v>174</v>
      </c>
      <c r="O183" s="11">
        <f t="shared" si="9"/>
        <v>34</v>
      </c>
      <c r="P183" s="11">
        <f t="shared" si="10"/>
        <v>4</v>
      </c>
      <c r="Q183" s="12" cm="1">
        <f t="array" ref="Q183">INDEX('CancerUnderStudy-ConceptMap'!U167:Y421,1+O183,P183)</f>
        <v>0</v>
      </c>
    </row>
    <row r="184" spans="14:17">
      <c r="N184" s="11">
        <v>175</v>
      </c>
      <c r="O184" s="11">
        <f t="shared" si="9"/>
        <v>34</v>
      </c>
      <c r="P184" s="11">
        <f t="shared" si="10"/>
        <v>5</v>
      </c>
      <c r="Q184" s="12" cm="1">
        <f t="array" ref="Q184">INDEX('CancerUnderStudy-ConceptMap'!U168:Y422,1+O184,P184)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A048A39-E9DB-492F-941B-F4DC8B934434}">
          <x14:formula1>
            <xm:f>Foglio2!$D$6:$D$15</xm:f>
          </x14:formula1>
          <xm:sqref>L37:L46 I34:I46 J21:K46 F10:G46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2B226-125B-4977-85C1-5ECFE82B6C10}">
  <sheetPr codeName="Foglio13">
    <tabColor theme="0" tint="-0.34998626667073579"/>
  </sheetPr>
  <dimension ref="B1:G77"/>
  <sheetViews>
    <sheetView workbookViewId="0">
      <selection activeCell="B7" sqref="B7"/>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4" t="s">
        <v>21</v>
      </c>
    </row>
    <row r="2" spans="2:7" ht="16.75" thickBot="1">
      <c r="B2" s="25" t="s">
        <v>1459</v>
      </c>
      <c r="G2" s="30" t="s">
        <v>1476</v>
      </c>
    </row>
    <row r="3" spans="2:7">
      <c r="B3" s="25" t="s">
        <v>21</v>
      </c>
    </row>
    <row r="4" spans="2:7">
      <c r="B4" s="69" t="s">
        <v>1477</v>
      </c>
    </row>
    <row r="5" spans="2:7">
      <c r="B5" s="69" t="s">
        <v>1457</v>
      </c>
    </row>
    <row r="6" spans="2:7">
      <c r="B6" s="69" t="s">
        <v>1448</v>
      </c>
    </row>
    <row r="7" spans="2:7">
      <c r="B7" s="69" t="s">
        <v>1478</v>
      </c>
    </row>
    <row r="8" spans="2:7">
      <c r="B8" s="69" t="s">
        <v>1479</v>
      </c>
    </row>
    <row r="9" spans="2:7">
      <c r="B9" s="69" t="s">
        <v>1480</v>
      </c>
    </row>
    <row r="10" spans="2:7">
      <c r="B10" s="69" t="s">
        <v>1449</v>
      </c>
    </row>
    <row r="11" spans="2:7">
      <c r="B11" s="69" t="s">
        <v>1450</v>
      </c>
    </row>
    <row r="12" spans="2:7">
      <c r="B12" s="69" t="s">
        <v>1481</v>
      </c>
    </row>
    <row r="13" spans="2:7">
      <c r="B13" s="69" t="s">
        <v>1482</v>
      </c>
    </row>
    <row r="14" spans="2:7">
      <c r="B14" s="73" t="s">
        <v>1472</v>
      </c>
    </row>
    <row r="15" spans="2:7">
      <c r="B15" s="73" t="s">
        <v>1473</v>
      </c>
    </row>
    <row r="16" spans="2:7">
      <c r="B16" s="69"/>
    </row>
    <row r="17" spans="2:7">
      <c r="B17" s="72" t="s">
        <v>1474</v>
      </c>
    </row>
    <row r="18" spans="2:7">
      <c r="B18" s="72" t="s">
        <v>1475</v>
      </c>
    </row>
    <row r="19" spans="2:7">
      <c r="B19" s="74"/>
    </row>
    <row r="20" spans="2:7">
      <c r="B20" s="12" t="str">
        <f>IF('CancerUnderStudy-ConceptMap'!Q10=0,"//---END",'CancerUnderStudy-ConceptMap'!Q10)</f>
        <v>* group[=].element[+].code = #CancerUnderStudy</v>
      </c>
    </row>
    <row r="21" spans="2:7">
      <c r="B21" s="12" t="str">
        <f>IF('CancerUnderStudy-ConceptMap'!Q11=0,"//---END",'CancerUnderStudy-ConceptMap'!Q11)</f>
        <v>* group[=].element[=].display = ##34#Cancer Under Study##34#</v>
      </c>
    </row>
    <row r="22" spans="2:7">
      <c r="B22" s="12" t="str">
        <f>IF('CancerUnderStudy-ConceptMap'!Q12=0,"//---END",'CancerUnderStudy-ConceptMap'!Q12)</f>
        <v>* group[=].element[=].target.code = #Osiris.Patient</v>
      </c>
    </row>
    <row r="23" spans="2:7">
      <c r="B23" s="12" t="str">
        <f>IF('CancerUnderStudy-ConceptMap'!Q13=0,"//---END",'CancerUnderStudy-ConceptMap'!Q13)</f>
        <v>* group[=].element[=].target.display = ##34#Patient##34#</v>
      </c>
    </row>
    <row r="24" spans="2:7">
      <c r="B24" s="12" t="str">
        <f>IF('CancerUnderStudy-ConceptMap'!Q14=0,"//---END",'CancerUnderStudy-ConceptMap'!Q14)</f>
        <v>* group[=].element[=].target.equivalence = #equivalent</v>
      </c>
    </row>
    <row r="25" spans="2:7">
      <c r="B25" s="12" t="str">
        <f>IF('CancerUnderStudy-ConceptMap'!Q15=0,"//---END",'CancerUnderStudy-ConceptMap'!Q15)</f>
        <v>* group[=].element[+].code = #CancerUnderStudy.diagnosisDate</v>
      </c>
      <c r="G25" s="7"/>
    </row>
    <row r="26" spans="2:7">
      <c r="B26" s="12" t="str">
        <f>IF('CancerUnderStudy-ConceptMap'!Q16=0,"//---END",'CancerUnderStudy-ConceptMap'!Q16)</f>
        <v>* group[=].element[=].display = ##34#Date of diagnosis biopsy or surgical piece##34#</v>
      </c>
    </row>
    <row r="27" spans="2:7">
      <c r="B27" s="12" t="str">
        <f>IF('CancerUnderStudy-ConceptMap'!Q17=0,"//---END",'CancerUnderStudy-ConceptMap'!Q17)</f>
        <v>* group[=].element[=].target.code = #Osiris.Patient.BirthDate</v>
      </c>
    </row>
    <row r="28" spans="2:7">
      <c r="B28" s="12" t="str">
        <f>IF('CancerUnderStudy-ConceptMap'!Q18=0,"//---END",'CancerUnderStudy-ConceptMap'!Q18)</f>
        <v>* group[=].element[=].target.display = ##34#Birth Date [C4]##34#</v>
      </c>
    </row>
    <row r="29" spans="2:7">
      <c r="B29" s="12" t="str">
        <f>IF('CancerUnderStudy-ConceptMap'!Q19=0,"//---END",'CancerUnderStudy-ConceptMap'!Q19)</f>
        <v>* group[=].element[=].target.equivalence = #relatedto</v>
      </c>
    </row>
    <row r="30" spans="2:7">
      <c r="B30" s="12" t="str">
        <f>IF('CancerUnderStudy-ConceptMap'!Q20=0,"//---END",'CancerUnderStudy-ConceptMap'!Q20)</f>
        <v>* group[=].element[+].code = #CancerUnderStudy.ageAtDiagnosis</v>
      </c>
    </row>
    <row r="31" spans="2:7">
      <c r="B31" s="12" t="str">
        <f>IF('CancerUnderStudy-ConceptMap'!Q21=0,"//---END",'CancerUnderStudy-ConceptMap'!Q21)</f>
        <v>* group[=].element[=].display = ##34#Age at diagnosis manual##34#</v>
      </c>
    </row>
    <row r="32" spans="2:7">
      <c r="B32" s="12" t="str">
        <f>IF('CancerUnderStudy-ConceptMap'!Q22=0,"//---END",'CancerUnderStudy-ConceptMap'!Q22)</f>
        <v>* group[=].element[=].target.code = #Osiris.Patient.BirthDate</v>
      </c>
    </row>
    <row r="33" spans="2:2">
      <c r="B33" s="12" t="str">
        <f>IF('CancerUnderStudy-ConceptMap'!Q23=0,"//---END",'CancerUnderStudy-ConceptMap'!Q23)</f>
        <v>* group[=].element[=].target.display = ##34#Birth Date [C4]##34#</v>
      </c>
    </row>
    <row r="34" spans="2:2">
      <c r="B34" s="12" t="str">
        <f>IF('CancerUnderStudy-ConceptMap'!Q24=0,"//---END",'CancerUnderStudy-ConceptMap'!Q24)</f>
        <v>* group[=].element[=].target.equivalence = #equivalent</v>
      </c>
    </row>
    <row r="35" spans="2:2">
      <c r="B35" s="12" t="str">
        <f>IF('CancerUnderStudy-ConceptMap'!Q25=0,"//---END",'CancerUnderStudy-ConceptMap'!Q25)</f>
        <v>* group[=].element[+].code = #CancerUnderStudy.histologyWho2017Subgroup</v>
      </c>
    </row>
    <row r="36" spans="2:2">
      <c r="B36" s="12" t="str">
        <f>IF('CancerUnderStudy-ConceptMap'!Q26=0,"//---END",'CancerUnderStudy-ConceptMap'!Q26)</f>
        <v>* group[=].element[=].display = ##34#Histology WHO 2017 subgroup##34#</v>
      </c>
    </row>
    <row r="37" spans="2:2">
      <c r="B37" s="12" t="str">
        <f>IF('CancerUnderStudy-ConceptMap'!Q27=0,"//---END",'CancerUnderStudy-ConceptMap'!Q27)</f>
        <v>//-- unmatched</v>
      </c>
    </row>
    <row r="38" spans="2:2">
      <c r="B38" s="12" t="str">
        <f>IF('CancerUnderStudy-ConceptMap'!Q28=0,"//---END",'CancerUnderStudy-ConceptMap'!Q28)</f>
        <v>//-- unmatched</v>
      </c>
    </row>
    <row r="39" spans="2:2">
      <c r="B39" s="12" t="str">
        <f>IF('CancerUnderStudy-ConceptMap'!Q29=0,"//---END",'CancerUnderStudy-ConceptMap'!Q29)</f>
        <v>* group[=].element[=].target.equivalence = #unmatched</v>
      </c>
    </row>
    <row r="40" spans="2:2">
      <c r="B40" s="12" t="str">
        <f>IF('CancerUnderStudy-ConceptMap'!Q30=0,"//---END",'CancerUnderStudy-ConceptMap'!Q30)</f>
        <v>* group[=].element[+].code = #CancerUnderStudy.histologyWho2017Subgroup.Squamous</v>
      </c>
    </row>
    <row r="41" spans="2:2">
      <c r="B41" s="12" t="str">
        <f>IF('CancerUnderStudy-ConceptMap'!Q31=0,"//---END",'CancerUnderStudy-ConceptMap'!Q31)</f>
        <v>* group[=].element[=].display = ##34#Histology subgroup Squamous##34#</v>
      </c>
    </row>
    <row r="42" spans="2:2">
      <c r="B42" s="12" t="str">
        <f>IF('CancerUnderStudy-ConceptMap'!Q32=0,"//---END",'CancerUnderStudy-ConceptMap'!Q32)</f>
        <v>//-- unmatched</v>
      </c>
    </row>
    <row r="43" spans="2:2">
      <c r="B43" s="12" t="str">
        <f>IF('CancerUnderStudy-ConceptMap'!Q33=0,"//---END",'CancerUnderStudy-ConceptMap'!Q33)</f>
        <v>//-- unmatched</v>
      </c>
    </row>
    <row r="44" spans="2:2">
      <c r="B44" s="12" t="str">
        <f>IF('CancerUnderStudy-ConceptMap'!Q34=0,"//---END",'CancerUnderStudy-ConceptMap'!Q34)</f>
        <v>* group[=].element[=].target.equivalence = #unmatched</v>
      </c>
    </row>
    <row r="45" spans="2:2">
      <c r="B45" s="12" t="str">
        <f>IF('CancerUnderStudy-ConceptMap'!Q35=0,"//---END",'CancerUnderStudy-ConceptMap'!Q35)</f>
        <v>* group[=].element[+].code = #CancerUnderStudy.histologyWho2017Subgroup.Adenocarcinoma</v>
      </c>
    </row>
    <row r="46" spans="2:2">
      <c r="B46" s="12" t="str">
        <f>IF('CancerUnderStudy-ConceptMap'!Q36=0,"//---END",'CancerUnderStudy-ConceptMap'!Q36)</f>
        <v>* group[=].element[=].display = ##34#Histology subgroup Adenocarcinoma##34#</v>
      </c>
    </row>
    <row r="47" spans="2:2">
      <c r="B47" s="12" t="str">
        <f>IF('CancerUnderStudy-ConceptMap'!Q37=0,"//---END",'CancerUnderStudy-ConceptMap'!Q37)</f>
        <v>* group[=].element[=].target.code = #Osiris.Patient.Gender</v>
      </c>
    </row>
    <row r="48" spans="2:2">
      <c r="B48" s="12" t="str">
        <f>IF('CancerUnderStudy-ConceptMap'!Q38=0,"//---END",'CancerUnderStudy-ConceptMap'!Q38)</f>
        <v>* group[=].element[=].target.display = ##34#Gender [C2]##34#</v>
      </c>
    </row>
    <row r="49" spans="2:2">
      <c r="B49" s="12" t="str">
        <f>IF('CancerUnderStudy-ConceptMap'!Q39=0,"//---END",'CancerUnderStudy-ConceptMap'!Q39)</f>
        <v>* group[=].element[=].target.equivalence = #narrower</v>
      </c>
    </row>
    <row r="50" spans="2:2">
      <c r="B50" s="12" t="str">
        <f>IF('CancerUnderStudy-ConceptMap'!Q40=0,"//---END",'CancerUnderStudy-ConceptMap'!Q40)</f>
        <v>* group[=].element[+].code = #CancerUnderStudy.histologyWho2017Subgroup.Neuroendocrine</v>
      </c>
    </row>
    <row r="51" spans="2:2">
      <c r="B51" s="12" t="str">
        <f>IF('CancerUnderStudy-ConceptMap'!Q41=0,"//---END",'CancerUnderStudy-ConceptMap'!Q41)</f>
        <v>* group[=].element[=].display = ##34#Histology subgroup Neuroendocrine##34#</v>
      </c>
    </row>
    <row r="52" spans="2:2">
      <c r="B52" s="12" t="str">
        <f>IF('CancerUnderStudy-ConceptMap'!Q42=0,"//---END",'CancerUnderStudy-ConceptMap'!Q42)</f>
        <v>* group[=].element[=].target.code = #Osiris.Patient.Ethnicity</v>
      </c>
    </row>
    <row r="53" spans="2:2">
      <c r="B53" s="12" t="str">
        <f>IF('CancerUnderStudy-ConceptMap'!Q43=0,"//---END",'CancerUnderStudy-ConceptMap'!Q43)</f>
        <v>* group[=].element[=].target.display = ##34#Ethnicity [C3]##34#</v>
      </c>
    </row>
    <row r="54" spans="2:2">
      <c r="B54" s="12" t="str">
        <f>IF('CancerUnderStudy-ConceptMap'!Q44=0,"//---END",'CancerUnderStudy-ConceptMap'!Q44)</f>
        <v>* group[=].element[=].target.equivalence = #wider</v>
      </c>
    </row>
    <row r="55" spans="2:2">
      <c r="B55" s="12" t="str">
        <f>IF('CancerUnderStudy-ConceptMap'!Q45=0,"//---END",'CancerUnderStudy-ConceptMap'!Q45)</f>
        <v>* group[=].element[+].code = #CancerUnderStudy.histologyWho2017Subgroup.OdontogenicCarcinoma</v>
      </c>
    </row>
    <row r="56" spans="2:2">
      <c r="B56" s="12" t="str">
        <f>IF('CancerUnderStudy-ConceptMap'!Q46=0,"//---END",'CancerUnderStudy-ConceptMap'!Q46)</f>
        <v>* group[=].element[=].display = ##34#Histology subgroup Odontogenic carcinoma##34#</v>
      </c>
    </row>
    <row r="57" spans="2:2">
      <c r="B57" s="12" t="str">
        <f>IF('CancerUnderStudy-ConceptMap'!Q47=0,"//---END",'CancerUnderStudy-ConceptMap'!Q47)</f>
        <v>//-- unmatched</v>
      </c>
    </row>
    <row r="58" spans="2:2">
      <c r="B58" s="12" t="str">
        <f>IF('CancerUnderStudy-ConceptMap'!Q48=0,"//---END",'CancerUnderStudy-ConceptMap'!Q48)</f>
        <v>//-- unmatched</v>
      </c>
    </row>
    <row r="59" spans="2:2">
      <c r="B59" s="12" t="str">
        <f>IF('CancerUnderStudy-ConceptMap'!Q49=0,"//---END",'CancerUnderStudy-ConceptMap'!Q49)</f>
        <v>* group[=].element[=].target.equivalence = #unmatched</v>
      </c>
    </row>
    <row r="60" spans="2:2">
      <c r="B60" s="12" t="str">
        <f>IF('CancerUnderStudy-ConceptMap'!Q50=0,"//---END",'CancerUnderStudy-ConceptMap'!Q50)</f>
        <v>//---END</v>
      </c>
    </row>
    <row r="61" spans="2:2">
      <c r="B61" s="12" t="str">
        <f>IF('CancerUnderStudy-ConceptMap'!Q51=0,"//---END",'CancerUnderStudy-ConceptMap'!Q51)</f>
        <v>//---END</v>
      </c>
    </row>
    <row r="62" spans="2:2">
      <c r="B62" s="12" t="str">
        <f>IF('CancerUnderStudy-ConceptMap'!Q52=0,"//---END",'CancerUnderStudy-ConceptMap'!Q52)</f>
        <v>//---END</v>
      </c>
    </row>
    <row r="63" spans="2:2">
      <c r="B63" s="12"/>
    </row>
    <row r="64" spans="2:2">
      <c r="B64" s="12"/>
    </row>
    <row r="65" spans="2:4">
      <c r="B65" s="12"/>
    </row>
    <row r="66" spans="2:4">
      <c r="B66" s="12"/>
    </row>
    <row r="67" spans="2:4">
      <c r="B67" s="12"/>
    </row>
    <row r="68" spans="2:4">
      <c r="B68" s="12"/>
    </row>
    <row r="69" spans="2:4">
      <c r="B69" s="12"/>
    </row>
    <row r="70" spans="2:4">
      <c r="B70" s="12"/>
      <c r="D70" s="62"/>
    </row>
    <row r="71" spans="2:4">
      <c r="B71" s="12"/>
    </row>
    <row r="72" spans="2:4">
      <c r="B72" s="12"/>
    </row>
    <row r="73" spans="2:4">
      <c r="B73" s="12"/>
    </row>
    <row r="74" spans="2:4">
      <c r="B74" s="12"/>
    </row>
    <row r="75" spans="2:4">
      <c r="B75" s="12"/>
    </row>
    <row r="76" spans="2:4">
      <c r="B76" s="12"/>
    </row>
    <row r="77" spans="2:4">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L20"/>
  <sheetViews>
    <sheetView workbookViewId="0">
      <selection activeCell="I1" sqref="I1:I2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4" t="s">
        <v>21</v>
      </c>
    </row>
    <row r="2" spans="1:9">
      <c r="I2" s="25" t="s">
        <v>20</v>
      </c>
    </row>
    <row r="3" spans="1:9" ht="15.5" thickBot="1">
      <c r="I3" s="25" t="str">
        <f>I1</f>
        <v>// -------------------------------------------------------------------------------</v>
      </c>
    </row>
    <row r="4" spans="1:9">
      <c r="A4" s="5" t="s">
        <v>12</v>
      </c>
      <c r="B4" s="46" t="s">
        <v>154</v>
      </c>
      <c r="I4" s="17" t="str">
        <f>CONCATENATE("Logical: ",B4)</f>
        <v>Logical: SubjectI4rc</v>
      </c>
    </row>
    <row r="5" spans="1:9">
      <c r="A5" s="15" t="s">
        <v>17</v>
      </c>
      <c r="B5" s="47" t="s">
        <v>10</v>
      </c>
      <c r="I5" s="17" t="str">
        <f>CONCATENATE("Id: ",B5)</f>
        <v>Id: Subject</v>
      </c>
    </row>
    <row r="6" spans="1:9">
      <c r="A6" s="15" t="s">
        <v>11</v>
      </c>
      <c r="B6" s="48" t="s">
        <v>155</v>
      </c>
      <c r="I6" s="18" t="str">
        <f>CONCATENATE("Title: ##34#",B6,"##34#")</f>
        <v>Title: ##34#Subject of care##34#</v>
      </c>
    </row>
    <row r="7" spans="1:9" ht="30.25" thickBot="1">
      <c r="A7" s="27" t="s">
        <v>3</v>
      </c>
      <c r="B7" s="49" t="s">
        <v>156</v>
      </c>
      <c r="C7" s="9" t="s">
        <v>4</v>
      </c>
      <c r="D7" s="1" t="s">
        <v>5</v>
      </c>
      <c r="E7" s="3" t="s">
        <v>6</v>
      </c>
      <c r="F7" s="3" t="s">
        <v>7</v>
      </c>
      <c r="G7" s="3" t="s">
        <v>8</v>
      </c>
      <c r="I7" s="18" t="str">
        <f>CONCATENATE("Description: "," ##334#",B7,"##334#",)</f>
        <v>Description:  ##334#Subject of care 
Maturity Level: 0 Draft##334#</v>
      </c>
    </row>
    <row r="8" spans="1:9" ht="59">
      <c r="A8" s="11">
        <v>1</v>
      </c>
      <c r="B8" s="11" t="s">
        <v>157</v>
      </c>
      <c r="C8" s="14" t="s">
        <v>33</v>
      </c>
      <c r="D8" s="12" t="s">
        <v>35</v>
      </c>
      <c r="E8" s="11">
        <v>1</v>
      </c>
      <c r="F8" s="11">
        <v>1</v>
      </c>
      <c r="G8" s="11" t="s">
        <v>2</v>
      </c>
      <c r="H8" s="26"/>
      <c r="I8" s="12" t="str">
        <f t="shared" ref="I8:I20" si="0">CONCATENATE("* ",B8, " ",E8,"..",F8," ",G8," ##34#",C8,"##34# ##334#",D8,"##334#")</f>
        <v>* dateOfBirth 1..1 BackboneElement ##34#Date of birth##34# ##334#Date of birth as recorded in the patient's identity document or in the hospital record. In the absence of documentation, the one declared by the patient will be recorded##334#</v>
      </c>
    </row>
    <row r="9" spans="1:9" ht="59">
      <c r="A9" s="11">
        <v>2</v>
      </c>
      <c r="B9" s="11" t="s">
        <v>158</v>
      </c>
      <c r="C9" s="14" t="s">
        <v>33</v>
      </c>
      <c r="D9" s="12" t="s">
        <v>35</v>
      </c>
      <c r="E9" s="11">
        <v>0</v>
      </c>
      <c r="F9" s="11">
        <v>1</v>
      </c>
      <c r="G9" s="11" t="s">
        <v>164</v>
      </c>
      <c r="H9" s="26"/>
      <c r="I9" s="12" t="str">
        <f t="shared" si="0"/>
        <v>* dateOfBirth.date 0..1 date ##34#Date of birth##34# ##334#Date of birth as recorded in the patient's identity document or in the hospital record. In the absence of documentation, the one declared by the patient will be recorded##334#</v>
      </c>
    </row>
    <row r="10" spans="1:9" ht="29.5">
      <c r="A10" s="11">
        <v>3</v>
      </c>
      <c r="B10" s="11" t="s">
        <v>159</v>
      </c>
      <c r="C10" s="14" t="s">
        <v>39</v>
      </c>
      <c r="D10" s="12" t="s">
        <v>41</v>
      </c>
      <c r="E10" s="11">
        <v>0</v>
      </c>
      <c r="F10" s="11">
        <v>1</v>
      </c>
      <c r="G10" s="11" t="s">
        <v>165</v>
      </c>
      <c r="H10" s="26"/>
      <c r="I10" s="12" t="str">
        <f t="shared" si="0"/>
        <v>* dateOfBirth.unknown 0..1 boolean ##34#Date of birth day unknown##34# ##334#Describes if day of date of birthday is unknown##334#</v>
      </c>
    </row>
    <row r="11" spans="1:9" ht="44.25">
      <c r="A11" s="11">
        <v>4</v>
      </c>
      <c r="B11" s="11" t="s">
        <v>160</v>
      </c>
      <c r="C11" s="14" t="s">
        <v>50</v>
      </c>
      <c r="D11" s="12" t="s">
        <v>52</v>
      </c>
      <c r="E11" s="11">
        <v>0</v>
      </c>
      <c r="F11" s="11">
        <v>1</v>
      </c>
      <c r="G11" s="11" t="s">
        <v>0</v>
      </c>
      <c r="H11" s="26"/>
      <c r="I11" s="12" t="str">
        <f t="shared" si="0"/>
        <v>* maritalStatus 0..1 CodeableConcept ##34#Marital status##34# ##334#Describes the marital status declared by the patient, at the time of diagnosis (section 4, Primary Cancer)##334#</v>
      </c>
    </row>
    <row r="12" spans="1:9" ht="59">
      <c r="A12" s="11">
        <v>5</v>
      </c>
      <c r="B12" s="11" t="s">
        <v>161</v>
      </c>
      <c r="C12" s="50" t="s">
        <v>166</v>
      </c>
      <c r="D12" s="51" t="s">
        <v>167</v>
      </c>
      <c r="E12" s="11">
        <v>1</v>
      </c>
      <c r="F12" s="11">
        <v>1</v>
      </c>
      <c r="G12" s="11" t="s">
        <v>0</v>
      </c>
      <c r="H12" s="26"/>
      <c r="I12" s="12" t="str">
        <f t="shared" si="0"/>
        <v>* sexOrGender 1..1 CodeableConcept ##34#Gender/Sex##34# ##334#Describes biological sex as recorded in the patient's identity document or in the hospital record. In the absence of documentation, the one declared by the patient will be recorded##334#</v>
      </c>
    </row>
    <row r="13" spans="1:9" ht="44.25">
      <c r="A13" s="11">
        <v>6</v>
      </c>
      <c r="B13" s="11" t="s">
        <v>162</v>
      </c>
      <c r="C13" s="14" t="s">
        <v>59</v>
      </c>
      <c r="D13" s="12" t="s">
        <v>61</v>
      </c>
      <c r="E13" s="11">
        <v>0</v>
      </c>
      <c r="F13" s="11" t="s">
        <v>9</v>
      </c>
      <c r="G13" s="11" t="s">
        <v>0</v>
      </c>
      <c r="H13" s="26"/>
      <c r="I13" s="12" t="str">
        <f t="shared" si="0"/>
        <v>* race 0..* CodeableConcept ##34#Race##34# ##334#Describes race as recorded in  the hospital record, the one declared by the patient,, otherwise, the onerecognized by the observer##334#</v>
      </c>
    </row>
    <row r="14" spans="1:9" ht="29.5">
      <c r="A14" s="11">
        <v>7</v>
      </c>
      <c r="B14" s="11" t="s">
        <v>163</v>
      </c>
      <c r="C14" s="14" t="s">
        <v>65</v>
      </c>
      <c r="D14" s="12" t="s">
        <v>67</v>
      </c>
      <c r="E14" s="11">
        <v>0</v>
      </c>
      <c r="F14" s="11" t="s">
        <v>9</v>
      </c>
      <c r="G14" s="11" t="s">
        <v>0</v>
      </c>
      <c r="H14" s="26"/>
      <c r="I14" s="12" t="str">
        <f t="shared" si="0"/>
        <v>* countryOfResidence 0..* CodeableConcept ##34#Country of Residence ##34# ##334#Country of residence at the time of diagnosis##334#</v>
      </c>
    </row>
    <row r="15" spans="1:9">
      <c r="A15" s="11"/>
      <c r="B15" s="11"/>
      <c r="C15" s="11"/>
      <c r="D15" s="11"/>
      <c r="E15" s="11"/>
      <c r="F15" s="11"/>
      <c r="G15" s="11"/>
      <c r="H15" s="26"/>
      <c r="I15" s="12" t="str">
        <f t="shared" si="0"/>
        <v>*  ..  ##34###34# ##334###334#</v>
      </c>
    </row>
    <row r="16" spans="1:9">
      <c r="A16" s="11"/>
      <c r="B16" s="11"/>
      <c r="C16" s="11"/>
      <c r="D16" s="12"/>
      <c r="E16" s="11"/>
      <c r="F16" s="11"/>
      <c r="G16" s="11"/>
      <c r="H16" s="26"/>
      <c r="I16" s="12" t="str">
        <f t="shared" si="0"/>
        <v>*  ..  ##34###34# ##334###334#</v>
      </c>
    </row>
    <row r="17" spans="9:9">
      <c r="I17" s="12" t="str">
        <f t="shared" si="0"/>
        <v>*  ..  ##34###34# ##334###334#</v>
      </c>
    </row>
    <row r="18" spans="9:9">
      <c r="I18" s="12" t="str">
        <f t="shared" si="0"/>
        <v>*  ..  ##34###34# ##334###334#</v>
      </c>
    </row>
    <row r="19" spans="9:9">
      <c r="I19" s="12" t="str">
        <f t="shared" si="0"/>
        <v>*  ..  ##34###34# ##334###334#</v>
      </c>
    </row>
    <row r="20" spans="9:9">
      <c r="I20" s="12" t="str">
        <f t="shared" si="0"/>
        <v>*  ..  ##34###34# ##334###334#</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4"/>
  <sheetViews>
    <sheetView workbookViewId="0">
      <selection activeCell="C4" sqref="C4"/>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6" t="s">
        <v>21</v>
      </c>
      <c r="H1" s="7"/>
      <c r="I1" s="7"/>
      <c r="J1" s="7"/>
      <c r="K1" s="7"/>
      <c r="L1" s="7"/>
      <c r="M1" s="7"/>
      <c r="N1" s="7"/>
      <c r="O1" s="7"/>
    </row>
    <row r="2" spans="1:15">
      <c r="E2" s="23" t="s">
        <v>22</v>
      </c>
      <c r="H2" s="7"/>
      <c r="I2" s="7"/>
      <c r="J2" s="7"/>
      <c r="K2" s="7"/>
      <c r="L2" s="7"/>
      <c r="M2" s="7"/>
      <c r="N2" s="7"/>
      <c r="O2" s="7"/>
    </row>
    <row r="3" spans="1:15" ht="15.5" thickBot="1">
      <c r="E3" s="23" t="str">
        <f>E1</f>
        <v>// -------------------------------------------------------------------------------</v>
      </c>
      <c r="H3" s="7"/>
      <c r="I3" s="7"/>
      <c r="J3" s="7"/>
      <c r="K3" s="7"/>
      <c r="L3" s="7"/>
      <c r="M3" s="7"/>
      <c r="N3" s="7"/>
      <c r="O3" s="7"/>
    </row>
    <row r="4" spans="1:15" ht="15.5" thickBot="1">
      <c r="B4" s="10" t="s">
        <v>18</v>
      </c>
      <c r="C4" s="29" t="s">
        <v>176</v>
      </c>
      <c r="E4" s="20" t="str">
        <f>CONCATENATE("Mapping: ",C4)</f>
        <v>Mapping: I4RCSubject2Fhir</v>
      </c>
      <c r="H4" s="7"/>
      <c r="I4" s="7"/>
      <c r="J4" s="7"/>
      <c r="K4" s="7"/>
      <c r="L4" s="7"/>
      <c r="M4" s="7"/>
      <c r="N4" s="7"/>
      <c r="O4" s="7"/>
    </row>
    <row r="5" spans="1:15" ht="15.5" thickBot="1">
      <c r="B5" s="10" t="s">
        <v>17</v>
      </c>
      <c r="C5" s="13" t="s">
        <v>14</v>
      </c>
      <c r="E5" s="21" t="str">
        <f>CONCATENATE("Id: ",C5)</f>
        <v>Id: fhir</v>
      </c>
      <c r="H5" s="7"/>
      <c r="I5" s="7"/>
      <c r="J5" s="7"/>
      <c r="K5" s="7"/>
      <c r="L5" s="7"/>
      <c r="M5" s="7"/>
      <c r="N5" s="7"/>
      <c r="O5" s="7"/>
    </row>
    <row r="6" spans="1:15" ht="15.5" thickBot="1">
      <c r="B6" s="10" t="s">
        <v>11</v>
      </c>
      <c r="C6" s="7" t="s">
        <v>168</v>
      </c>
      <c r="E6" s="21" t="str">
        <f>CONCATENATE("Title: ##34#",C6,"##34#")</f>
        <v>Title: ##34#Idea4RC Subject model to FHIR R4 Map##34#</v>
      </c>
      <c r="H6" s="7"/>
      <c r="I6" s="7"/>
      <c r="J6" s="7"/>
      <c r="K6" s="7"/>
      <c r="L6" s="7"/>
      <c r="M6" s="7"/>
      <c r="N6" s="7"/>
      <c r="O6" s="7"/>
    </row>
    <row r="7" spans="1:15" ht="15.5" thickBot="1">
      <c r="B7" s="10" t="s">
        <v>19</v>
      </c>
      <c r="C7" s="8" t="str">
        <f>B9</f>
        <v>Subject</v>
      </c>
      <c r="E7" s="21" t="str">
        <f>CONCATENATE("Source: ",C7)</f>
        <v>Source: Subject</v>
      </c>
      <c r="H7" s="7"/>
      <c r="I7" s="7"/>
      <c r="J7" s="7"/>
      <c r="K7" s="7"/>
      <c r="L7" s="7"/>
      <c r="M7" s="7"/>
      <c r="N7" s="7"/>
      <c r="O7" s="7"/>
    </row>
    <row r="8" spans="1:15" ht="15.5" thickBot="1">
      <c r="B8" s="19" t="s">
        <v>16</v>
      </c>
      <c r="C8" t="s">
        <v>13</v>
      </c>
      <c r="E8" s="22" t="str">
        <f>CONCATENATE("Target: ##34#",C8,"##34#")</f>
        <v>Target: ##34#hl7.org/fhir/r4##34#</v>
      </c>
      <c r="H8" s="7"/>
      <c r="I8" s="7"/>
      <c r="J8" s="7"/>
      <c r="K8" s="7"/>
      <c r="L8" s="7"/>
      <c r="M8" s="7"/>
      <c r="N8" s="7"/>
      <c r="O8" s="7"/>
    </row>
    <row r="9" spans="1:15">
      <c r="A9" s="11"/>
      <c r="B9" s="6" t="str">
        <f>Subject!B5</f>
        <v>Subject</v>
      </c>
      <c r="C9" s="6" t="s">
        <v>15</v>
      </c>
      <c r="E9" s="28" t="str">
        <f>CONCATENATE("* -&gt; ##34#",C9,"##34#")</f>
        <v>* -&gt; ##34#Patient##34#</v>
      </c>
      <c r="H9" s="7"/>
      <c r="I9" s="7"/>
      <c r="J9" s="7"/>
      <c r="K9" s="7"/>
      <c r="L9" s="7"/>
      <c r="M9" s="7"/>
      <c r="N9" s="7"/>
      <c r="O9" s="7"/>
    </row>
    <row r="10" spans="1:15">
      <c r="A10" s="11"/>
      <c r="B10" s="11" t="str">
        <f>Subject!B8</f>
        <v>dateOfBirth</v>
      </c>
      <c r="C10" s="11" t="s">
        <v>169</v>
      </c>
      <c r="E10" s="12" t="str">
        <f t="shared" ref="E10:E25" si="0">IF(B10=0,"*  -&gt; ##34###34#",CONCATENATE("* ",B10," -&gt; ##34#",C10,"##34#"))</f>
        <v>* dateOfBirth -&gt; ##34#.birthDate##34#</v>
      </c>
      <c r="H10" s="7"/>
      <c r="I10" s="7"/>
      <c r="J10" s="7"/>
      <c r="K10" s="7"/>
      <c r="L10" s="7"/>
      <c r="M10" s="7"/>
      <c r="N10" s="7"/>
      <c r="O10" s="7"/>
    </row>
    <row r="11" spans="1:15">
      <c r="A11" s="11"/>
      <c r="B11" s="11" t="str">
        <f>Subject!B9</f>
        <v>dateOfBirth.date</v>
      </c>
      <c r="C11" s="11" t="s">
        <v>169</v>
      </c>
      <c r="E11" s="12" t="str">
        <f t="shared" si="0"/>
        <v>* dateOfBirth.date -&gt; ##34#.birthDate##34#</v>
      </c>
      <c r="H11" s="7"/>
      <c r="I11" s="7"/>
      <c r="J11" s="7"/>
      <c r="K11" s="7"/>
      <c r="L11" s="7"/>
      <c r="M11" s="7"/>
      <c r="N11" s="7"/>
      <c r="O11" s="7"/>
    </row>
    <row r="12" spans="1:15">
      <c r="A12" s="11"/>
      <c r="B12" s="11" t="str">
        <f>Subject!B10</f>
        <v>dateOfBirth.unknown</v>
      </c>
      <c r="C12" s="11" t="s">
        <v>170</v>
      </c>
      <c r="E12" s="12" t="str">
        <f t="shared" si="0"/>
        <v>* dateOfBirth.unknown -&gt; ##34#.birthDate.extension('data-absent-reason').where(valueCode = 'unknown')##34#</v>
      </c>
      <c r="H12" s="7"/>
      <c r="I12" s="7"/>
      <c r="J12" s="7"/>
      <c r="K12" s="7"/>
      <c r="L12" s="7"/>
      <c r="M12" s="7"/>
      <c r="N12" s="7"/>
      <c r="O12" s="7"/>
    </row>
    <row r="13" spans="1:15">
      <c r="A13" s="11"/>
      <c r="B13" s="11" t="str">
        <f>Subject!B11</f>
        <v>maritalStatus</v>
      </c>
      <c r="C13" s="11" t="s">
        <v>171</v>
      </c>
      <c r="E13" s="12" t="str">
        <f t="shared" si="0"/>
        <v>* maritalStatus -&gt; ##34#.maritalStatus##34#</v>
      </c>
      <c r="H13" s="7"/>
      <c r="I13" s="7"/>
      <c r="J13" s="7"/>
      <c r="K13" s="7"/>
      <c r="L13" s="7"/>
      <c r="M13" s="7"/>
      <c r="N13" s="7"/>
      <c r="O13" s="7"/>
    </row>
    <row r="14" spans="1:15">
      <c r="A14" s="11"/>
      <c r="B14" s="11" t="str">
        <f>Subject!$B$12</f>
        <v>sexOrGender</v>
      </c>
      <c r="C14" s="11" t="s">
        <v>172</v>
      </c>
      <c r="E14" s="12" t="str">
        <f t="shared" si="0"/>
        <v>* sexOrGender -&gt; ##34#.gender##34#</v>
      </c>
      <c r="H14" s="7"/>
      <c r="I14" s="7"/>
      <c r="J14" s="7"/>
      <c r="K14" s="7"/>
      <c r="L14" s="7"/>
      <c r="M14" s="7"/>
      <c r="N14" s="7"/>
      <c r="O14" s="7"/>
    </row>
    <row r="15" spans="1:15">
      <c r="A15" s="11"/>
      <c r="B15" s="11" t="str">
        <f>Subject!$B$12</f>
        <v>sexOrGender</v>
      </c>
      <c r="C15" s="11" t="s">
        <v>173</v>
      </c>
      <c r="E15" s="12" t="str">
        <f t="shared" si="0"/>
        <v>* sexOrGender -&gt; ##34#.extension('individual-recordedSexOrGender').value##34#</v>
      </c>
      <c r="H15" s="7"/>
      <c r="I15" s="7"/>
      <c r="J15" s="7"/>
      <c r="K15" s="7"/>
      <c r="L15" s="7"/>
      <c r="M15" s="7"/>
      <c r="N15" s="7"/>
      <c r="O15" s="7"/>
    </row>
    <row r="16" spans="1:15">
      <c r="A16" s="11"/>
      <c r="B16" s="11" t="str">
        <f>Subject!$B$12</f>
        <v>sexOrGender</v>
      </c>
      <c r="C16" s="11" t="s">
        <v>174</v>
      </c>
      <c r="E16" s="12" t="str">
        <f t="shared" si="0"/>
        <v>* sexOrGender -&gt; ##34#.extension('patient-sexForClinicalUse').value##34#</v>
      </c>
      <c r="H16" s="7"/>
      <c r="I16" s="7"/>
      <c r="J16" s="7"/>
      <c r="K16" s="7"/>
      <c r="L16" s="7"/>
      <c r="M16" s="7"/>
      <c r="N16" s="7"/>
      <c r="O16" s="7"/>
    </row>
    <row r="17" spans="1:5">
      <c r="A17" s="11"/>
      <c r="B17" s="11" t="str">
        <f>Subject!B13</f>
        <v>race</v>
      </c>
      <c r="C17" s="11" t="s">
        <v>23</v>
      </c>
      <c r="E17" s="12" t="str">
        <f t="shared" si="0"/>
        <v>* race -&gt; ##34#to be mapped##34#</v>
      </c>
    </row>
    <row r="18" spans="1:5">
      <c r="A18" s="11"/>
      <c r="B18" s="11" t="str">
        <f>Subject!B14</f>
        <v>countryOfResidence</v>
      </c>
      <c r="C18" s="11" t="s">
        <v>175</v>
      </c>
      <c r="E18" s="12" t="str">
        <f t="shared" si="0"/>
        <v>* countryOfResidence -&gt; ##34#.address.country##34#</v>
      </c>
    </row>
    <row r="19" spans="1:5">
      <c r="A19" s="11"/>
      <c r="B19" s="11">
        <f>Subject!B15</f>
        <v>0</v>
      </c>
      <c r="C19" s="12"/>
      <c r="E19" s="12" t="str">
        <f t="shared" si="0"/>
        <v>*  -&gt; ##34###34#</v>
      </c>
    </row>
    <row r="20" spans="1:5">
      <c r="A20" s="11"/>
      <c r="B20" s="11">
        <f>Subject!B16</f>
        <v>0</v>
      </c>
      <c r="C20" s="12"/>
      <c r="E20" s="12" t="str">
        <f t="shared" si="0"/>
        <v>*  -&gt; ##34###34#</v>
      </c>
    </row>
    <row r="21" spans="1:5">
      <c r="B21" s="11">
        <f>Subject!B17</f>
        <v>0</v>
      </c>
      <c r="C21" s="12"/>
      <c r="E21" s="12" t="str">
        <f t="shared" si="0"/>
        <v>*  -&gt; ##34###34#</v>
      </c>
    </row>
    <row r="22" spans="1:5">
      <c r="B22" s="11">
        <f>Subject!B18</f>
        <v>0</v>
      </c>
      <c r="C22" s="12"/>
      <c r="E22" s="12" t="str">
        <f t="shared" si="0"/>
        <v>*  -&gt; ##34###34#</v>
      </c>
    </row>
    <row r="23" spans="1:5">
      <c r="B23" s="11">
        <f>Subject!B19</f>
        <v>0</v>
      </c>
      <c r="C23" s="12"/>
      <c r="E23" s="12" t="str">
        <f t="shared" si="0"/>
        <v>*  -&gt; ##34###34#</v>
      </c>
    </row>
    <row r="24" spans="1:5">
      <c r="B24" s="11">
        <f>Subject!B20</f>
        <v>0</v>
      </c>
      <c r="C24" s="12"/>
      <c r="E24" s="12" t="str">
        <f t="shared" si="0"/>
        <v>*  -&gt; ##34###34#</v>
      </c>
    </row>
    <row r="25" spans="1:5">
      <c r="B25" s="11">
        <f>Subject!B21</f>
        <v>0</v>
      </c>
      <c r="C25" s="12"/>
      <c r="E25" s="12" t="str">
        <f t="shared" si="0"/>
        <v>*  -&gt; ##34###34#</v>
      </c>
    </row>
    <row r="26" spans="1:5">
      <c r="B26" s="11">
        <f>Subject!B22</f>
        <v>0</v>
      </c>
      <c r="C26" s="12"/>
      <c r="E26" s="12"/>
    </row>
    <row r="27" spans="1:5">
      <c r="B27" s="11">
        <f>Subject!B23</f>
        <v>0</v>
      </c>
      <c r="C27" s="12"/>
      <c r="E27" s="12"/>
    </row>
    <row r="28" spans="1:5">
      <c r="B28" s="11">
        <f>Subject!B24</f>
        <v>0</v>
      </c>
      <c r="E28" s="12"/>
    </row>
    <row r="29" spans="1:5">
      <c r="B29" s="11">
        <f>Subject!B25</f>
        <v>0</v>
      </c>
      <c r="C29" s="12"/>
      <c r="E29" s="12"/>
    </row>
    <row r="30" spans="1:5">
      <c r="B30" s="11">
        <f>Subject!B26</f>
        <v>0</v>
      </c>
      <c r="E30" s="12"/>
    </row>
    <row r="31" spans="1:5">
      <c r="B31" s="11">
        <f>Subject!B27</f>
        <v>0</v>
      </c>
      <c r="E31" s="12"/>
    </row>
    <row r="32" spans="1:5">
      <c r="B32" s="11">
        <f>Subject!B28</f>
        <v>0</v>
      </c>
      <c r="E32" s="12"/>
    </row>
    <row r="33" spans="2:2">
      <c r="B33" s="11">
        <f>Subject!B29</f>
        <v>0</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51"/>
  <sheetViews>
    <sheetView workbookViewId="0">
      <selection activeCell="I1" sqref="I1:I20"/>
    </sheetView>
  </sheetViews>
  <sheetFormatPr defaultRowHeight="14.75"/>
  <cols>
    <col min="3" max="3" width="108.2265625" style="12" customWidth="1"/>
    <col min="7" max="7" width="29.54296875" customWidth="1"/>
    <col min="8" max="8" width="54.90625" customWidth="1"/>
  </cols>
  <sheetData>
    <row r="1" spans="3:7" ht="15.5" thickBot="1">
      <c r="C1" s="24" t="str">
        <f>Subject!I1</f>
        <v>// -------------------------------------------------------------------------------</v>
      </c>
    </row>
    <row r="2" spans="3:7" ht="16.75" thickBot="1">
      <c r="C2" s="25" t="str">
        <f>Subject!I2</f>
        <v>//  Logical Model</v>
      </c>
      <c r="G2" s="30" t="s">
        <v>177</v>
      </c>
    </row>
    <row r="3" spans="3:7">
      <c r="C3" s="25" t="str">
        <f>Subject!I3</f>
        <v>// -------------------------------------------------------------------------------</v>
      </c>
    </row>
    <row r="4" spans="3:7">
      <c r="C4" s="17" t="str">
        <f>Subject!I4</f>
        <v>Logical: SubjectI4rc</v>
      </c>
    </row>
    <row r="5" spans="3:7">
      <c r="C5" s="17" t="str">
        <f>Subject!I5</f>
        <v>Id: Subject</v>
      </c>
    </row>
    <row r="6" spans="3:7">
      <c r="C6" s="17" t="str">
        <f>Subject!I6</f>
        <v>Title: ##34#Subject of care##34#</v>
      </c>
    </row>
    <row r="7" spans="3:7" ht="29.5">
      <c r="C7" s="17" t="str">
        <f>Subject!I7</f>
        <v>Description:  ##334#Subject of care 
Maturity Level: 0 Draft##334#</v>
      </c>
    </row>
    <row r="8" spans="3:7" ht="29.5">
      <c r="C8" s="12" t="str">
        <f>IF(Subject!I8="*  ..  ##34###34# ##334###334#","//--- END",Subject!I8)</f>
        <v>* dateOfBirth 1..1 BackboneElement ##34#Date of birth##34# ##334#Date of birth as recorded in the patient's identity document or in the hospital record. In the absence of documentation, the one declared by the patient will be recorded##334#</v>
      </c>
    </row>
    <row r="9" spans="3:7" ht="29.5">
      <c r="C9" s="12" t="str">
        <f>IF(Subject!I9="*  ..  ##34###34# ##334###334#","//--- END",Subject!I9)</f>
        <v>* dateOfBirth.date 0..1 date ##34#Date of birth##34# ##334#Date of birth as recorded in the patient's identity document or in the hospital record. In the absence of documentation, the one declared by the patient will be recorded##334#</v>
      </c>
    </row>
    <row r="10" spans="3:7" ht="29.5">
      <c r="C10" s="12" t="str">
        <f>IF(Subject!I10="*  ..  ##34###34# ##334###334#","//--- END",Subject!I10)</f>
        <v>* dateOfBirth.unknown 0..1 boolean ##34#Date of birth day unknown##34# ##334#Describes if day of date of birthday is unknown##334#</v>
      </c>
    </row>
    <row r="11" spans="3:7" ht="29.5">
      <c r="C11" s="12" t="str">
        <f>IF(Subject!I11="*  ..  ##34###34# ##334###334#","//--- END",Subject!I11)</f>
        <v>* maritalStatus 0..1 CodeableConcept ##34#Marital status##34# ##334#Describes the marital status declared by the patient, at the time of diagnosis (section 4, Primary Cancer)##334#</v>
      </c>
    </row>
    <row r="12" spans="3:7" ht="44.25">
      <c r="C12" s="12" t="str">
        <f>IF(Subject!I12="*  ..  ##34###34# ##334###334#","//--- END",Subject!I12)</f>
        <v>* sexOrGender 1..1 CodeableConcept ##34#Gender/Sex##34# ##334#Describes biological sex as recorded in the patient's identity document or in the hospital record. In the absence of documentation, the one declared by the patient will be recorded##334#</v>
      </c>
    </row>
    <row r="13" spans="3:7" ht="29.5">
      <c r="C13" s="12" t="str">
        <f>IF(Subject!I13="*  ..  ##34###34# ##334###334#","//--- END",Subject!I13)</f>
        <v>* race 0..* CodeableConcept ##34#Race##34# ##334#Describes race as recorded in  the hospital record, the one declared by the patient,, otherwise, the onerecognized by the observer##334#</v>
      </c>
    </row>
    <row r="14" spans="3:7" ht="29.5">
      <c r="C14" s="12" t="str">
        <f>IF(Subject!I14="*  ..  ##34###34# ##334###334#","//--- END",Subject!I14)</f>
        <v>* countryOfResidence 0..* CodeableConcept ##34#Country of Residence ##34# ##334#Country of residence at the time of diagnosis##334#</v>
      </c>
    </row>
    <row r="15" spans="3:7">
      <c r="C15" s="12" t="str">
        <f>IF(Subject!I15="*  ..  ##34###34# ##334###334#","//--- END",Subject!I15)</f>
        <v>//--- END</v>
      </c>
    </row>
    <row r="16" spans="3:7">
      <c r="C16" s="12" t="str">
        <f>IF(Subject!I16="*  ..  ##34###34# ##334###334#","//--- END",Subject!I16)</f>
        <v>//--- END</v>
      </c>
    </row>
    <row r="17" spans="3:3">
      <c r="C17" s="12" t="str">
        <f>IF(Subject!I17="*  ..  ##34###34# ##334###334#","//--- END",Subject!I17)</f>
        <v>//--- END</v>
      </c>
    </row>
    <row r="30" spans="3:3">
      <c r="C30" s="24" t="str">
        <f>'Subject-Map-1'!E1</f>
        <v>// -------------------------------------------------------------------------------</v>
      </c>
    </row>
    <row r="31" spans="3:3">
      <c r="C31" s="25" t="str">
        <f>'Subject-Map-1'!E2</f>
        <v>//  Map to FHIR R4</v>
      </c>
    </row>
    <row r="32" spans="3:3">
      <c r="C32" s="25" t="str">
        <f>'Subject-Map-1'!E3</f>
        <v>// -------------------------------------------------------------------------------</v>
      </c>
    </row>
    <row r="33" spans="3:3">
      <c r="C33" s="12" t="str">
        <f>'Subject-Map-1'!E4</f>
        <v>Mapping: I4RCSubject2Fhir</v>
      </c>
    </row>
    <row r="34" spans="3:3">
      <c r="C34" s="12" t="str">
        <f>'Subject-Map-1'!E5</f>
        <v>Id: fhir</v>
      </c>
    </row>
    <row r="35" spans="3:3">
      <c r="C35" s="12" t="str">
        <f>'Subject-Map-1'!E6</f>
        <v>Title: ##34#Idea4RC Subject model to FHIR R4 Map##34#</v>
      </c>
    </row>
    <row r="36" spans="3:3">
      <c r="C36" s="12" t="str">
        <f>'Subject-Map-1'!E7</f>
        <v>Source: Subject</v>
      </c>
    </row>
    <row r="37" spans="3:3">
      <c r="C37" s="12" t="str">
        <f>'Subject-Map-1'!E8</f>
        <v>Target: ##34#hl7.org/fhir/r4##34#</v>
      </c>
    </row>
    <row r="39" spans="3:3">
      <c r="C39" s="4" t="str">
        <f>'Subject-Map-1'!E9</f>
        <v>* -&gt; ##34#Patient##34#</v>
      </c>
    </row>
    <row r="40" spans="3:3">
      <c r="C40" s="12" t="str">
        <f>IF('Subject-Map-1'!E10="*  -&gt; ##34###34#","// --END",'Subject-Map-1'!E10)</f>
        <v>* dateOfBirth -&gt; ##34#.birthDate##34#</v>
      </c>
    </row>
    <row r="41" spans="3:3">
      <c r="C41" s="12" t="str">
        <f>IF('Subject-Map-1'!E11="*  -&gt; ##34###34#","// --END",'Subject-Map-1'!E11)</f>
        <v>* dateOfBirth.date -&gt; ##34#.birthDate##34#</v>
      </c>
    </row>
    <row r="42" spans="3:3">
      <c r="C42" s="12" t="str">
        <f>IF('Subject-Map-1'!E12="*  -&gt; ##34###34#","// --END",'Subject-Map-1'!E12)</f>
        <v>* dateOfBirth.unknown -&gt; ##34#.birthDate.extension('data-absent-reason').where(valueCode = 'unknown')##34#</v>
      </c>
    </row>
    <row r="43" spans="3:3">
      <c r="C43" s="12" t="str">
        <f>IF('Subject-Map-1'!E13="*  -&gt; ##34###34#","// --END",'Subject-Map-1'!E13)</f>
        <v>* maritalStatus -&gt; ##34#.maritalStatus##34#</v>
      </c>
    </row>
    <row r="44" spans="3:3">
      <c r="C44" s="12" t="str">
        <f>IF('Subject-Map-1'!E14="*  -&gt; ##34###34#","// --END",'Subject-Map-1'!E14)</f>
        <v>* sexOrGender -&gt; ##34#.gender##34#</v>
      </c>
    </row>
    <row r="45" spans="3:3">
      <c r="C45" s="12" t="str">
        <f>IF('Subject-Map-1'!E15="*  -&gt; ##34###34#","// --END",'Subject-Map-1'!E15)</f>
        <v>* sexOrGender -&gt; ##34#.extension('individual-recordedSexOrGender').value##34#</v>
      </c>
    </row>
    <row r="46" spans="3:3">
      <c r="C46" s="12" t="str">
        <f>IF('Subject-Map-1'!E16="*  -&gt; ##34###34#","// --END",'Subject-Map-1'!E16)</f>
        <v>* sexOrGender -&gt; ##34#.extension('patient-sexForClinicalUse').value##34#</v>
      </c>
    </row>
    <row r="47" spans="3:3">
      <c r="C47" s="12" t="str">
        <f>IF('Subject-Map-1'!E17="*  -&gt; ##34###34#","// --END",'Subject-Map-1'!E17)</f>
        <v>* race -&gt; ##34#to be mapped##34#</v>
      </c>
    </row>
    <row r="48" spans="3:3">
      <c r="C48" s="12" t="str">
        <f>IF('Subject-Map-1'!E18="*  -&gt; ##34###34#","// --END",'Subject-Map-1'!E18)</f>
        <v>* countryOfResidence -&gt; ##34#.address.country##34#</v>
      </c>
    </row>
    <row r="49" spans="3:3">
      <c r="C49" s="12" t="str">
        <f>IF('Subject-Map-1'!E19="*  -&gt; ##34###34#","// --END",'Subject-Map-1'!E19)</f>
        <v>// --END</v>
      </c>
    </row>
    <row r="50" spans="3:3">
      <c r="C50" s="12" t="str">
        <f>IF('Subject-Map-1'!E20="*  -&gt; ##34###34#","// --END",'Subject-Map-1'!E20)</f>
        <v>// --END</v>
      </c>
    </row>
    <row r="51" spans="3:3">
      <c r="C51" s="12" t="str">
        <f>IF('Subject-Map-1'!E21="*  -&gt; ##34###34#","// --END",'Subject-Map-1'!E21)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EAD6AE-01FF-44D5-9E6F-2CF1DEF6AF68}">
  <sheetPr codeName="Foglio43">
    <tabColor theme="9" tint="0.39997558519241921"/>
  </sheetPr>
  <dimension ref="A3:Q184"/>
  <sheetViews>
    <sheetView workbookViewId="0">
      <selection activeCell="I1" sqref="I1:I20"/>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1412</v>
      </c>
      <c r="I3" s="12" t="s">
        <v>1413</v>
      </c>
      <c r="J3" s="12" t="s">
        <v>1414</v>
      </c>
      <c r="K3" s="12" t="s">
        <v>1415</v>
      </c>
      <c r="L3" s="11" t="s">
        <v>1416</v>
      </c>
      <c r="N3" s="53" t="s">
        <v>1451</v>
      </c>
      <c r="O3" s="53">
        <v>5</v>
      </c>
    </row>
    <row r="4" spans="1:17" ht="15.5" thickBot="1">
      <c r="B4" s="10" t="s">
        <v>18</v>
      </c>
      <c r="C4" s="29"/>
      <c r="E4" s="58"/>
      <c r="H4" s="12"/>
      <c r="I4" s="11"/>
      <c r="J4" s="11"/>
      <c r="K4" s="11"/>
      <c r="L4" s="11"/>
    </row>
    <row r="5" spans="1:17" ht="15.5" thickBot="1">
      <c r="B5" s="10" t="s">
        <v>17</v>
      </c>
      <c r="C5" s="13"/>
      <c r="E5" s="59"/>
      <c r="H5" s="12"/>
      <c r="I5" s="11"/>
      <c r="J5" s="11"/>
      <c r="K5" s="11"/>
      <c r="L5" s="11"/>
    </row>
    <row r="6" spans="1:17" ht="15.5" thickBot="1">
      <c r="B6" s="10" t="s">
        <v>11</v>
      </c>
      <c r="C6" s="7"/>
      <c r="E6" s="7"/>
      <c r="H6" s="17" t="s">
        <v>1454</v>
      </c>
      <c r="I6" s="71" t="s">
        <v>1455</v>
      </c>
      <c r="J6" s="17" t="s">
        <v>1452</v>
      </c>
      <c r="K6" s="71" t="s">
        <v>1453</v>
      </c>
      <c r="L6" s="67" t="s">
        <v>1447</v>
      </c>
    </row>
    <row r="7" spans="1:17">
      <c r="B7" s="64" t="s">
        <v>19</v>
      </c>
      <c r="C7" s="60"/>
      <c r="E7" s="60"/>
      <c r="H7" s="12"/>
      <c r="I7" s="11"/>
      <c r="J7" s="11"/>
      <c r="K7" s="11"/>
      <c r="L7" s="11"/>
    </row>
    <row r="8" spans="1:17">
      <c r="B8" s="66" t="s">
        <v>16</v>
      </c>
      <c r="C8" s="11"/>
      <c r="D8" s="12"/>
      <c r="E8" s="11"/>
      <c r="F8" s="67" t="s">
        <v>1447</v>
      </c>
      <c r="G8" s="70"/>
      <c r="H8" s="12"/>
      <c r="I8" s="11"/>
      <c r="J8" s="67"/>
      <c r="K8" s="67"/>
      <c r="L8" s="67"/>
    </row>
    <row r="9" spans="1:17">
      <c r="A9" s="63"/>
      <c r="B9" s="6"/>
      <c r="C9" s="11"/>
      <c r="D9" s="6" t="s">
        <v>1406</v>
      </c>
      <c r="E9" s="6"/>
      <c r="F9" s="11"/>
      <c r="H9" s="12"/>
      <c r="I9" s="11"/>
      <c r="J9" s="11"/>
      <c r="K9" s="11"/>
      <c r="L9" s="67"/>
    </row>
    <row r="10" spans="1:17" ht="44.25">
      <c r="A10" s="63"/>
      <c r="B10" s="6" t="str">
        <f>Subject!B5</f>
        <v>Subject</v>
      </c>
      <c r="C10" s="6" t="str">
        <f>Subject!B6</f>
        <v>Subject of care</v>
      </c>
      <c r="D10" s="61" t="str">
        <f>ConvertOsiris!I2</f>
        <v>Patient</v>
      </c>
      <c r="E10" s="61" t="str">
        <f>ConvertOsiris!J2</f>
        <v>Patient</v>
      </c>
      <c r="F10" s="68" t="s">
        <v>1439</v>
      </c>
      <c r="G10" s="62"/>
      <c r="H10" s="12" t="str">
        <f>"* group[=].element[+].code = #"&amp;B10</f>
        <v>* group[=].element[+].code = #Subject</v>
      </c>
      <c r="I10" s="12" t="str">
        <f>"* group[=].element[=].display = ##34#"&amp;C10&amp;"##34#"</f>
        <v>* group[=].element[=].display = ##34#Subject of care##34#</v>
      </c>
      <c r="J10" s="12" t="str">
        <f>IF(F10="unmatched","//-- unmatched","* group[=].element[=].target.code = #"&amp;$D$9&amp;"."&amp;D10)</f>
        <v>* group[=].element[=].target.code = #Osiris.Patient</v>
      </c>
      <c r="K10" s="12" t="str">
        <f>IF(F10="unmatched","//-- unmatched","* group[=].element[=].target.display = ##34#"&amp;E10&amp;"##34#")</f>
        <v>* group[=].element[=].target.display = ##34#Patient##34#</v>
      </c>
      <c r="L10" s="12" t="str">
        <f>"* group[=].element[=].target.equivalence = #"&amp;F10</f>
        <v>* group[=].element[=].target.equivalence = #equivalent</v>
      </c>
      <c r="N10" s="11">
        <v>1</v>
      </c>
      <c r="O10" s="11">
        <f>IF(MOD(N10,$O$3)=0,N10/$O$3-1,INT(N10/$O$3))</f>
        <v>0</v>
      </c>
      <c r="P10" s="11">
        <f>IF(MOD(N10,$O$3)=0,$O$3,MOD(N10,$O$3))</f>
        <v>1</v>
      </c>
      <c r="Q10" s="12" t="str" cm="1">
        <f t="array" ref="Q10">INDEX('Subject-ConceptMap'!$H$10:$L$264,O10+1,P10)</f>
        <v>* group[=].element[+].code = #Subject</v>
      </c>
    </row>
    <row r="11" spans="1:17" ht="44.25">
      <c r="A11" s="63"/>
      <c r="B11" s="11" t="str">
        <f>$B$10&amp;"."&amp;Subject!B8</f>
        <v>Subject.dateOfBirth</v>
      </c>
      <c r="C11" s="11" t="str">
        <f>Subject!C8</f>
        <v>Date of birth</v>
      </c>
      <c r="D11" s="11" t="str">
        <f>ConvertOsiris!I6</f>
        <v>Patient.BirthDate</v>
      </c>
      <c r="E11" s="11" t="str">
        <f>ConvertOsiris!J6</f>
        <v>Birth Date [C4]</v>
      </c>
      <c r="F11" s="68" t="s">
        <v>1417</v>
      </c>
      <c r="G11" s="62"/>
      <c r="H11" s="12" t="str">
        <f t="shared" ref="H11:H17" si="0">"* group[=].element[+].code = #"&amp;B11</f>
        <v>* group[=].element[+].code = #Subject.dateOfBirth</v>
      </c>
      <c r="I11" s="12" t="str">
        <f t="shared" ref="I11:I17" si="1">"* group[=].element[=].display = ##34#"&amp;C11&amp;"##34#"</f>
        <v>* group[=].element[=].display = ##34#Date of birth##34#</v>
      </c>
      <c r="J11" s="12" t="str">
        <f t="shared" ref="J11:J17" si="2">IF(F11="unmatched","//-- unmatched","* group[=].element[=].target.code = #"&amp;$D$9&amp;"."&amp;D11)</f>
        <v>* group[=].element[=].target.code = #Osiris.Patient.BirthDate</v>
      </c>
      <c r="K11" s="12" t="str">
        <f t="shared" ref="K11:K17" si="3">IF(F11="unmatched","//-- unmatched","* group[=].element[=].target.display = ##34#"&amp;E11&amp;"##34#")</f>
        <v>* group[=].element[=].target.display = ##34#Birth Date [C4]##34#</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INDEX('Subject-ConceptMap'!$H$10:$L$264,O11+1,P11)</f>
        <v>* group[=].element[=].display = ##34#Subject of care##34#</v>
      </c>
    </row>
    <row r="12" spans="1:17" ht="44.25">
      <c r="A12" s="63"/>
      <c r="B12" s="11" t="str">
        <f>$B$10&amp;"."&amp;Subject!B9</f>
        <v>Subject.dateOfBirth.date</v>
      </c>
      <c r="C12" s="11" t="str">
        <f>Subject!C9</f>
        <v>Date of birth</v>
      </c>
      <c r="D12" s="11" t="str">
        <f>ConvertOsiris!I6</f>
        <v>Patient.BirthDate</v>
      </c>
      <c r="E12" s="11" t="str">
        <f>ConvertOsiris!J6</f>
        <v>Birth Date [C4]</v>
      </c>
      <c r="F12" s="68" t="s">
        <v>1439</v>
      </c>
      <c r="G12" s="62"/>
      <c r="H12" s="12" t="str">
        <f t="shared" si="0"/>
        <v>* group[=].element[+].code = #Subject.dateOfBirth.date</v>
      </c>
      <c r="I12" s="12" t="str">
        <f t="shared" si="1"/>
        <v>* group[=].element[=].display = ##34#Date of birth##34#</v>
      </c>
      <c r="J12" s="12" t="str">
        <f t="shared" si="2"/>
        <v>* group[=].element[=].target.code = #Osiris.Patient.BirthDate</v>
      </c>
      <c r="K12" s="12" t="str">
        <f t="shared" si="3"/>
        <v>* group[=].element[=].target.display = ##34#Birth Date [C4]##34#</v>
      </c>
      <c r="L12" s="12" t="str">
        <f t="shared" si="4"/>
        <v>* group[=].element[=].target.equivalence = #equivalent</v>
      </c>
      <c r="N12" s="11">
        <v>3</v>
      </c>
      <c r="O12" s="11">
        <f t="shared" si="5"/>
        <v>0</v>
      </c>
      <c r="P12" s="11">
        <f t="shared" si="6"/>
        <v>3</v>
      </c>
      <c r="Q12" s="12" t="str" cm="1">
        <f t="array" ref="Q12">INDEX('Subject-ConceptMap'!$H$10:$L$264,O12+1,P12)</f>
        <v>* group[=].element[=].target.code = #Osiris.Patient</v>
      </c>
    </row>
    <row r="13" spans="1:17" ht="44.25">
      <c r="A13" s="63"/>
      <c r="B13" s="11" t="str">
        <f>$B$10&amp;"."&amp;Subject!B10</f>
        <v>Subject.dateOfBirth.unknown</v>
      </c>
      <c r="C13" s="11" t="str">
        <f>Subject!C10</f>
        <v>Date of birth day unknown</v>
      </c>
      <c r="D13" s="11"/>
      <c r="E13" s="11"/>
      <c r="F13" s="68" t="s">
        <v>1434</v>
      </c>
      <c r="G13" s="62"/>
      <c r="H13" s="12" t="str">
        <f t="shared" si="0"/>
        <v>* group[=].element[+].code = #Subject.dateOfBirth.unknown</v>
      </c>
      <c r="I13" s="12" t="str">
        <f t="shared" si="1"/>
        <v>* group[=].element[=].display = ##34#Date of birth day unknown##34#</v>
      </c>
      <c r="J13" s="12" t="str">
        <f t="shared" si="2"/>
        <v>//-- unmatched</v>
      </c>
      <c r="K13" s="12" t="str">
        <f t="shared" si="3"/>
        <v>//-- unmatched</v>
      </c>
      <c r="L13" s="12" t="str">
        <f t="shared" si="4"/>
        <v>* group[=].element[=].target.equivalence = #unmatched</v>
      </c>
      <c r="N13" s="11">
        <v>4</v>
      </c>
      <c r="O13" s="11">
        <f t="shared" si="5"/>
        <v>0</v>
      </c>
      <c r="P13" s="11">
        <f t="shared" si="6"/>
        <v>4</v>
      </c>
      <c r="Q13" s="12" t="str" cm="1">
        <f t="array" ref="Q13">INDEX('Subject-ConceptMap'!$H$10:$L$264,O13+1,P13)</f>
        <v>* group[=].element[=].target.display = ##34#Patient##34#</v>
      </c>
    </row>
    <row r="14" spans="1:17" ht="44.25">
      <c r="A14" s="63"/>
      <c r="B14" s="11" t="str">
        <f>$B$10&amp;"."&amp;Subject!B11</f>
        <v>Subject.maritalStatus</v>
      </c>
      <c r="C14" s="11" t="str">
        <f>Subject!C11</f>
        <v>Marital status</v>
      </c>
      <c r="D14" s="11"/>
      <c r="E14" s="11"/>
      <c r="F14" s="68" t="s">
        <v>1434</v>
      </c>
      <c r="G14" s="62"/>
      <c r="H14" s="12" t="str">
        <f t="shared" si="0"/>
        <v>* group[=].element[+].code = #Subject.maritalStatus</v>
      </c>
      <c r="I14" s="12" t="str">
        <f t="shared" si="1"/>
        <v>* group[=].element[=].display = ##34#Marital status##34#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INDEX('Subject-ConceptMap'!$H$10:$L$264,O14+1,P14)</f>
        <v>* group[=].element[=].target.equivalence = #equivalent</v>
      </c>
    </row>
    <row r="15" spans="1:17" ht="44.25">
      <c r="A15" s="63"/>
      <c r="B15" s="11" t="str">
        <f>$B$10&amp;"."&amp;Subject!B12</f>
        <v>Subject.sexOrGender</v>
      </c>
      <c r="C15" s="11" t="str">
        <f>Subject!C12</f>
        <v>Gender/Sex</v>
      </c>
      <c r="D15" s="11" t="str">
        <f>ConvertOsiris!I4</f>
        <v>Patient.Gender</v>
      </c>
      <c r="E15" s="11" t="str">
        <f>ConvertOsiris!J4</f>
        <v>Gender [C2]</v>
      </c>
      <c r="F15" s="68" t="s">
        <v>1443</v>
      </c>
      <c r="G15" s="62"/>
      <c r="H15" s="12" t="str">
        <f t="shared" si="0"/>
        <v>* group[=].element[+].code = #Subject.sexOrGender</v>
      </c>
      <c r="I15" s="12" t="str">
        <f t="shared" si="1"/>
        <v>* group[=].element[=].display = ##34#Gender/Sex##34#</v>
      </c>
      <c r="J15" s="12" t="str">
        <f t="shared" si="2"/>
        <v>* group[=].element[=].target.code = #Osiris.Patient.Gender</v>
      </c>
      <c r="K15" s="12" t="str">
        <f t="shared" si="3"/>
        <v>* group[=].element[=].target.display = ##34#Gender [C2]##34#</v>
      </c>
      <c r="L15" s="12" t="str">
        <f t="shared" si="4"/>
        <v>* group[=].element[=].target.equivalence = #narrower</v>
      </c>
      <c r="N15" s="11">
        <v>6</v>
      </c>
      <c r="O15" s="11">
        <f t="shared" si="5"/>
        <v>1</v>
      </c>
      <c r="P15" s="11">
        <f t="shared" si="6"/>
        <v>1</v>
      </c>
      <c r="Q15" s="12" t="str" cm="1">
        <f t="array" ref="Q15">INDEX('Subject-ConceptMap'!$H$10:$L$264,O15+1,P15)</f>
        <v>* group[=].element[+].code = #Subject.dateOfBirth</v>
      </c>
    </row>
    <row r="16" spans="1:17" ht="44.25">
      <c r="A16" s="63"/>
      <c r="B16" s="11" t="str">
        <f>$B$10&amp;"."&amp;Subject!B13</f>
        <v>Subject.race</v>
      </c>
      <c r="C16" s="11" t="str">
        <f>Subject!C13</f>
        <v>Race</v>
      </c>
      <c r="D16" s="11" t="str">
        <f>ConvertOsiris!I5</f>
        <v>Patient.Ethnicity</v>
      </c>
      <c r="E16" s="11" t="str">
        <f>ConvertOsiris!J5</f>
        <v>Ethnicity [C3]</v>
      </c>
      <c r="F16" s="68" t="s">
        <v>1441</v>
      </c>
      <c r="G16" s="62"/>
      <c r="H16" s="12" t="str">
        <f t="shared" si="0"/>
        <v>* group[=].element[+].code = #Subject.race</v>
      </c>
      <c r="I16" s="12" t="str">
        <f t="shared" si="1"/>
        <v>* group[=].element[=].display = ##34#Race##34#</v>
      </c>
      <c r="J16" s="12" t="str">
        <f t="shared" si="2"/>
        <v>* group[=].element[=].target.code = #Osiris.Patient.Ethnicity</v>
      </c>
      <c r="K16" s="12" t="str">
        <f t="shared" si="3"/>
        <v>* group[=].element[=].target.display = ##34#Ethnicity [C3]##34#</v>
      </c>
      <c r="L16" s="12" t="str">
        <f t="shared" si="4"/>
        <v>* group[=].element[=].target.equivalence = #wider</v>
      </c>
      <c r="N16" s="11">
        <v>7</v>
      </c>
      <c r="O16" s="11">
        <f t="shared" si="5"/>
        <v>1</v>
      </c>
      <c r="P16" s="11">
        <f t="shared" si="6"/>
        <v>2</v>
      </c>
      <c r="Q16" s="12" t="str" cm="1">
        <f t="array" ref="Q16">INDEX('Subject-ConceptMap'!$H$10:$L$264,O16+1,P16)</f>
        <v>* group[=].element[=].display = ##34#Date of birth##34#</v>
      </c>
    </row>
    <row r="17" spans="1:17" ht="44.25">
      <c r="A17" s="63"/>
      <c r="B17" s="11" t="str">
        <f>$B$10&amp;"."&amp;Subject!B14</f>
        <v>Subject.countryOfResidence</v>
      </c>
      <c r="C17" s="11" t="str">
        <f>Subject!C14</f>
        <v xml:space="preserve">Country of Residence </v>
      </c>
      <c r="D17" s="11"/>
      <c r="E17" s="12"/>
      <c r="F17" s="68" t="s">
        <v>1434</v>
      </c>
      <c r="G17" s="62"/>
      <c r="H17" s="12" t="str">
        <f t="shared" si="0"/>
        <v>* group[=].element[+].code = #Subject.countryOfResidence</v>
      </c>
      <c r="I17" s="12" t="str">
        <f t="shared" si="1"/>
        <v>* group[=].element[=].display = ##34#Country of Residence ##34#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INDEX('Subject-ConceptMap'!$H$10:$L$264,O17+1,P17)</f>
        <v>* group[=].element[=].target.code = #Osiris.Patient.BirthDate</v>
      </c>
    </row>
    <row r="18" spans="1:17">
      <c r="A18" s="63"/>
      <c r="B18" s="11"/>
      <c r="C18" s="11"/>
      <c r="D18" s="11"/>
      <c r="E18" s="12"/>
      <c r="F18" s="68"/>
      <c r="G18" s="62"/>
      <c r="H18" s="12"/>
      <c r="I18" s="12"/>
      <c r="J18" s="12"/>
      <c r="K18" s="12"/>
      <c r="L18" s="12"/>
      <c r="N18" s="11">
        <v>9</v>
      </c>
      <c r="O18" s="11">
        <f t="shared" si="5"/>
        <v>1</v>
      </c>
      <c r="P18" s="11">
        <f t="shared" si="6"/>
        <v>4</v>
      </c>
      <c r="Q18" s="12" t="str" cm="1">
        <f t="array" ref="Q18">INDEX('Subject-ConceptMap'!$H$10:$L$264,O18+1,P18)</f>
        <v>* group[=].element[=].target.display = ##34#Birth Date [C4]##34#</v>
      </c>
    </row>
    <row r="19" spans="1:17">
      <c r="B19" s="11"/>
      <c r="C19" s="11"/>
      <c r="D19" s="11"/>
      <c r="E19" s="12"/>
      <c r="F19" s="68"/>
      <c r="G19" s="62"/>
      <c r="H19" s="12"/>
      <c r="I19" s="12"/>
      <c r="J19" s="12"/>
      <c r="K19" s="12"/>
      <c r="L19" s="12"/>
      <c r="N19" s="11">
        <v>10</v>
      </c>
      <c r="O19" s="11">
        <f t="shared" si="5"/>
        <v>1</v>
      </c>
      <c r="P19" s="11">
        <f t="shared" si="6"/>
        <v>5</v>
      </c>
      <c r="Q19" s="12" t="str" cm="1">
        <f t="array" ref="Q19">INDEX('Subject-ConceptMap'!$H$10:$L$264,O19+1,P19)</f>
        <v>* group[=].element[=].target.equivalence = #relatedto</v>
      </c>
    </row>
    <row r="20" spans="1:17">
      <c r="B20" s="11"/>
      <c r="C20" s="11"/>
      <c r="D20" s="11"/>
      <c r="E20" s="12"/>
      <c r="F20" s="68"/>
      <c r="G20" s="62"/>
      <c r="H20" s="12"/>
      <c r="I20" s="12"/>
      <c r="J20" s="12"/>
      <c r="K20" s="12"/>
      <c r="L20" s="12"/>
      <c r="N20" s="11">
        <v>11</v>
      </c>
      <c r="O20" s="11">
        <f t="shared" si="5"/>
        <v>2</v>
      </c>
      <c r="P20" s="11">
        <f t="shared" si="6"/>
        <v>1</v>
      </c>
      <c r="Q20" s="12" t="str" cm="1">
        <f t="array" ref="Q20">INDEX('Subject-ConceptMap'!$H$10:$L$264,O20+1,P20)</f>
        <v>* group[=].element[+].code = #Subject.dateOfBirth.date</v>
      </c>
    </row>
    <row r="21" spans="1:17">
      <c r="B21" s="11"/>
      <c r="C21" s="11"/>
      <c r="D21" s="11"/>
      <c r="E21" s="12"/>
      <c r="F21" s="68"/>
      <c r="G21" s="62"/>
      <c r="J21" s="62"/>
      <c r="K21" s="62"/>
      <c r="L21" s="70"/>
      <c r="N21" s="11">
        <v>12</v>
      </c>
      <c r="O21" s="11">
        <f t="shared" si="5"/>
        <v>2</v>
      </c>
      <c r="P21" s="11">
        <f t="shared" si="6"/>
        <v>2</v>
      </c>
      <c r="Q21" s="12" t="str" cm="1">
        <f t="array" ref="Q21">INDEX('Subject-ConceptMap'!$H$10:$L$264,O21+1,P21)</f>
        <v>* group[=].element[=].display = ##34#Date of birth##34#</v>
      </c>
    </row>
    <row r="22" spans="1:17">
      <c r="B22" s="11"/>
      <c r="C22" s="11"/>
      <c r="D22" s="11"/>
      <c r="E22" s="12"/>
      <c r="F22" s="68"/>
      <c r="G22" s="62"/>
      <c r="J22" s="62"/>
      <c r="K22" s="62"/>
      <c r="L22" s="70"/>
      <c r="N22" s="11">
        <v>13</v>
      </c>
      <c r="O22" s="11">
        <f t="shared" si="5"/>
        <v>2</v>
      </c>
      <c r="P22" s="11">
        <f t="shared" si="6"/>
        <v>3</v>
      </c>
      <c r="Q22" s="12" t="str" cm="1">
        <f t="array" ref="Q22">INDEX('Subject-ConceptMap'!$H$10:$L$264,O22+1,P22)</f>
        <v>* group[=].element[=].target.code = #Osiris.Patient.BirthDate</v>
      </c>
    </row>
    <row r="23" spans="1:17">
      <c r="B23" s="11"/>
      <c r="C23" s="11"/>
      <c r="D23" s="11"/>
      <c r="E23" s="12"/>
      <c r="F23" s="68"/>
      <c r="G23" s="62"/>
      <c r="J23" s="62"/>
      <c r="K23" s="62"/>
      <c r="L23" s="70"/>
      <c r="N23" s="11">
        <v>14</v>
      </c>
      <c r="O23" s="11">
        <f t="shared" si="5"/>
        <v>2</v>
      </c>
      <c r="P23" s="11">
        <f t="shared" si="6"/>
        <v>4</v>
      </c>
      <c r="Q23" s="12" t="str" cm="1">
        <f t="array" ref="Q23">INDEX('Subject-ConceptMap'!$H$10:$L$264,O23+1,P23)</f>
        <v>* group[=].element[=].target.display = ##34#Birth Date [C4]##34#</v>
      </c>
    </row>
    <row r="24" spans="1:17">
      <c r="B24" s="11"/>
      <c r="C24" s="11"/>
      <c r="D24" s="11"/>
      <c r="E24" s="12"/>
      <c r="F24" s="68"/>
      <c r="G24" s="62"/>
      <c r="J24" s="62"/>
      <c r="K24" s="62"/>
      <c r="L24" s="70"/>
      <c r="N24" s="11">
        <v>15</v>
      </c>
      <c r="O24" s="11">
        <f t="shared" si="5"/>
        <v>2</v>
      </c>
      <c r="P24" s="11">
        <f t="shared" si="6"/>
        <v>5</v>
      </c>
      <c r="Q24" s="12" t="str" cm="1">
        <f t="array" ref="Q24">INDEX('Subject-ConceptMap'!$H$10:$L$264,O24+1,P24)</f>
        <v>* group[=].element[=].target.equivalence = #equivalent</v>
      </c>
    </row>
    <row r="25" spans="1:17">
      <c r="B25" s="11"/>
      <c r="C25" s="11"/>
      <c r="D25" s="11"/>
      <c r="E25" s="12"/>
      <c r="F25" s="68"/>
      <c r="G25" s="62"/>
      <c r="J25" s="62"/>
      <c r="K25" s="62"/>
      <c r="L25" s="70"/>
      <c r="N25" s="11">
        <v>16</v>
      </c>
      <c r="O25" s="11">
        <f t="shared" si="5"/>
        <v>3</v>
      </c>
      <c r="P25" s="11">
        <f t="shared" si="6"/>
        <v>1</v>
      </c>
      <c r="Q25" s="12" t="str" cm="1">
        <f t="array" ref="Q25">INDEX('Subject-ConceptMap'!$H$10:$L$264,O25+1,P25)</f>
        <v>* group[=].element[+].code = #Subject.dateOfBirth.unknown</v>
      </c>
    </row>
    <row r="26" spans="1:17">
      <c r="B26" s="11"/>
      <c r="C26" s="11"/>
      <c r="D26" s="11"/>
      <c r="E26" s="12"/>
      <c r="F26" s="68"/>
      <c r="G26" s="62"/>
      <c r="J26" s="62"/>
      <c r="K26" s="62"/>
      <c r="L26" s="70"/>
      <c r="N26" s="11">
        <v>17</v>
      </c>
      <c r="O26" s="11">
        <f t="shared" si="5"/>
        <v>3</v>
      </c>
      <c r="P26" s="11">
        <f t="shared" si="6"/>
        <v>2</v>
      </c>
      <c r="Q26" s="12" t="str" cm="1">
        <f t="array" ref="Q26">INDEX('Subject-ConceptMap'!$H$10:$L$264,O26+1,P26)</f>
        <v>* group[=].element[=].display = ##34#Date of birth day unknown##34#</v>
      </c>
    </row>
    <row r="27" spans="1:17">
      <c r="B27" s="11"/>
      <c r="C27" s="11"/>
      <c r="D27" s="11"/>
      <c r="E27" s="12"/>
      <c r="F27" s="68"/>
      <c r="G27" s="62"/>
      <c r="J27" s="62"/>
      <c r="K27" s="62"/>
      <c r="L27" s="70"/>
      <c r="N27" s="11">
        <v>18</v>
      </c>
      <c r="O27" s="11">
        <f t="shared" si="5"/>
        <v>3</v>
      </c>
      <c r="P27" s="11">
        <f t="shared" si="6"/>
        <v>3</v>
      </c>
      <c r="Q27" s="12" t="str" cm="1">
        <f t="array" ref="Q27">INDEX('Subject-ConceptMap'!$H$10:$L$264,O27+1,P27)</f>
        <v>//-- unmatched</v>
      </c>
    </row>
    <row r="28" spans="1:17">
      <c r="B28" s="11"/>
      <c r="C28" s="11"/>
      <c r="D28" s="11"/>
      <c r="E28" s="12"/>
      <c r="F28" s="68"/>
      <c r="G28" s="62"/>
      <c r="J28" s="62"/>
      <c r="K28" s="62"/>
      <c r="L28" s="70"/>
      <c r="N28" s="11">
        <v>19</v>
      </c>
      <c r="O28" s="11">
        <f t="shared" si="5"/>
        <v>3</v>
      </c>
      <c r="P28" s="11">
        <f t="shared" si="6"/>
        <v>4</v>
      </c>
      <c r="Q28" s="12" t="str" cm="1">
        <f t="array" ref="Q28">INDEX('Subject-ConceptMap'!$H$10:$L$264,O28+1,P28)</f>
        <v>//-- unmatched</v>
      </c>
    </row>
    <row r="29" spans="1:17">
      <c r="B29" s="11"/>
      <c r="C29" s="11"/>
      <c r="D29" s="11"/>
      <c r="E29" s="12"/>
      <c r="F29" s="68"/>
      <c r="G29" s="62"/>
      <c r="J29" s="62"/>
      <c r="K29" s="62"/>
      <c r="L29" s="70"/>
      <c r="N29" s="11">
        <v>20</v>
      </c>
      <c r="O29" s="11">
        <f t="shared" si="5"/>
        <v>3</v>
      </c>
      <c r="P29" s="11">
        <f t="shared" si="6"/>
        <v>5</v>
      </c>
      <c r="Q29" s="12" t="str" cm="1">
        <f t="array" ref="Q29">INDEX('Subject-ConceptMap'!$H$10:$L$264,O29+1,P29)</f>
        <v>* group[=].element[=].target.equivalence = #unmatched</v>
      </c>
    </row>
    <row r="30" spans="1:17">
      <c r="B30" s="11"/>
      <c r="C30" s="11"/>
      <c r="D30" s="11"/>
      <c r="E30" s="12"/>
      <c r="F30" s="68"/>
      <c r="G30" s="62"/>
      <c r="J30" s="62"/>
      <c r="K30" s="62"/>
      <c r="L30" s="70"/>
      <c r="N30" s="11">
        <v>21</v>
      </c>
      <c r="O30" s="11">
        <f t="shared" si="5"/>
        <v>4</v>
      </c>
      <c r="P30" s="11">
        <f t="shared" si="6"/>
        <v>1</v>
      </c>
      <c r="Q30" s="12" t="str" cm="1">
        <f t="array" ref="Q30">INDEX('Subject-ConceptMap'!$H$10:$L$264,O30+1,P30)</f>
        <v>* group[=].element[+].code = #Subject.maritalStatus</v>
      </c>
    </row>
    <row r="31" spans="1:17" s="2" customFormat="1">
      <c r="A31"/>
      <c r="B31" s="11"/>
      <c r="C31" s="11"/>
      <c r="D31" s="11"/>
      <c r="E31" s="12"/>
      <c r="F31" s="68"/>
      <c r="G31" s="62"/>
      <c r="I31"/>
      <c r="J31" s="62"/>
      <c r="K31" s="62"/>
      <c r="L31" s="70"/>
      <c r="N31" s="11">
        <v>22</v>
      </c>
      <c r="O31" s="11">
        <f t="shared" si="5"/>
        <v>4</v>
      </c>
      <c r="P31" s="11">
        <f t="shared" si="6"/>
        <v>2</v>
      </c>
      <c r="Q31" s="12" t="str" cm="1">
        <f t="array" ref="Q31">INDEX('Subject-ConceptMap'!$H$10:$L$264,O31+1,P31)</f>
        <v>* group[=].element[=].display = ##34#Marital status##34#</v>
      </c>
    </row>
    <row r="32" spans="1:17" s="2" customFormat="1">
      <c r="A32"/>
      <c r="B32" s="65"/>
      <c r="C32" s="65"/>
      <c r="D32" s="65"/>
      <c r="F32" s="62"/>
      <c r="G32" s="62"/>
      <c r="I32"/>
      <c r="J32" s="62"/>
      <c r="K32" s="62"/>
      <c r="L32" s="70"/>
      <c r="N32" s="11">
        <v>23</v>
      </c>
      <c r="O32" s="11">
        <f t="shared" si="5"/>
        <v>4</v>
      </c>
      <c r="P32" s="11">
        <f t="shared" si="6"/>
        <v>3</v>
      </c>
      <c r="Q32" s="12" t="str" cm="1">
        <f t="array" ref="Q32">INDEX('Subject-ConceptMap'!$H$10:$L$264,O32+1,P32)</f>
        <v>//-- unmatched</v>
      </c>
    </row>
    <row r="33" spans="1:17" s="2" customFormat="1">
      <c r="A33"/>
      <c r="B33" s="11"/>
      <c r="C33" s="11"/>
      <c r="F33" s="62"/>
      <c r="G33" s="62"/>
      <c r="I33"/>
      <c r="J33" s="62"/>
      <c r="K33" s="62"/>
      <c r="L33" s="70"/>
      <c r="N33" s="11">
        <v>24</v>
      </c>
      <c r="O33" s="11">
        <f t="shared" si="5"/>
        <v>4</v>
      </c>
      <c r="P33" s="11">
        <f t="shared" si="6"/>
        <v>4</v>
      </c>
      <c r="Q33" s="12" t="str" cm="1">
        <f t="array" ref="Q33">INDEX('Subject-ConceptMap'!$H$10:$L$264,O33+1,P33)</f>
        <v>//-- unmatched</v>
      </c>
    </row>
    <row r="34" spans="1:17" s="2" customFormat="1">
      <c r="A34"/>
      <c r="B34" s="11"/>
      <c r="C34"/>
      <c r="F34" s="62"/>
      <c r="G34" s="62"/>
      <c r="I34" s="62"/>
      <c r="J34" s="62"/>
      <c r="K34" s="62"/>
      <c r="L34" s="70"/>
      <c r="N34" s="11">
        <v>25</v>
      </c>
      <c r="O34" s="11">
        <f t="shared" si="5"/>
        <v>4</v>
      </c>
      <c r="P34" s="11">
        <f t="shared" si="6"/>
        <v>5</v>
      </c>
      <c r="Q34" s="12" t="str" cm="1">
        <f t="array" ref="Q34">INDEX('Subject-ConceptMap'!$H$10:$L$264,O34+1,P34)</f>
        <v>* group[=].element[=].target.equivalence = #unmatched</v>
      </c>
    </row>
    <row r="35" spans="1:17" s="2" customFormat="1">
      <c r="A35"/>
      <c r="B35" s="11"/>
      <c r="C35"/>
      <c r="F35" s="62"/>
      <c r="G35" s="62"/>
      <c r="I35" s="62"/>
      <c r="J35" s="62"/>
      <c r="K35" s="62"/>
      <c r="L35" s="70"/>
      <c r="N35" s="11">
        <v>26</v>
      </c>
      <c r="O35" s="11">
        <f t="shared" si="5"/>
        <v>5</v>
      </c>
      <c r="P35" s="11">
        <f t="shared" si="6"/>
        <v>1</v>
      </c>
      <c r="Q35" s="12" t="str" cm="1">
        <f t="array" ref="Q35">INDEX('Subject-ConceptMap'!$H$10:$L$264,O35+1,P35)</f>
        <v>* group[=].element[+].code = #Subject.sexOrGender</v>
      </c>
    </row>
    <row r="36" spans="1:17" s="2" customFormat="1">
      <c r="A36"/>
      <c r="B36" s="11"/>
      <c r="C36"/>
      <c r="F36" s="62"/>
      <c r="G36" s="62"/>
      <c r="I36" s="62"/>
      <c r="J36" s="62"/>
      <c r="K36" s="62"/>
      <c r="L36" s="70"/>
      <c r="N36" s="11">
        <v>27</v>
      </c>
      <c r="O36" s="11">
        <f t="shared" si="5"/>
        <v>5</v>
      </c>
      <c r="P36" s="11">
        <f t="shared" si="6"/>
        <v>2</v>
      </c>
      <c r="Q36" s="12" t="str" cm="1">
        <f t="array" ref="Q36">INDEX('Subject-ConceptMap'!$H$10:$L$264,O36+1,P36)</f>
        <v>* group[=].element[=].display = ##34#Gender/Sex##34#</v>
      </c>
    </row>
    <row r="37" spans="1:17" s="2" customFormat="1">
      <c r="A37"/>
      <c r="B37" s="11"/>
      <c r="C37"/>
      <c r="F37" s="62"/>
      <c r="G37" s="62"/>
      <c r="I37" s="62"/>
      <c r="J37" s="62"/>
      <c r="K37" s="62"/>
      <c r="L37" s="62"/>
      <c r="N37" s="11">
        <v>28</v>
      </c>
      <c r="O37" s="11">
        <f t="shared" si="5"/>
        <v>5</v>
      </c>
      <c r="P37" s="11">
        <f t="shared" si="6"/>
        <v>3</v>
      </c>
      <c r="Q37" s="12" t="str" cm="1">
        <f t="array" ref="Q37">INDEX('Subject-ConceptMap'!$H$10:$L$264,O37+1,P37)</f>
        <v>* group[=].element[=].target.code = #Osiris.Patient.Gender</v>
      </c>
    </row>
    <row r="38" spans="1:17" s="2" customFormat="1">
      <c r="A38"/>
      <c r="B38" s="11"/>
      <c r="C38"/>
      <c r="F38" s="62"/>
      <c r="G38" s="62"/>
      <c r="I38" s="62"/>
      <c r="J38" s="62"/>
      <c r="K38" s="62"/>
      <c r="L38" s="62"/>
      <c r="N38" s="11">
        <v>29</v>
      </c>
      <c r="O38" s="11">
        <f t="shared" si="5"/>
        <v>5</v>
      </c>
      <c r="P38" s="11">
        <f t="shared" si="6"/>
        <v>4</v>
      </c>
      <c r="Q38" s="12" t="str" cm="1">
        <f t="array" ref="Q38">INDEX('Subject-ConceptMap'!$H$10:$L$264,O38+1,P38)</f>
        <v>* group[=].element[=].target.display = ##34#Gender [C2]##34#</v>
      </c>
    </row>
    <row r="39" spans="1:17" s="2" customFormat="1">
      <c r="A39"/>
      <c r="B39" s="11"/>
      <c r="C39"/>
      <c r="F39" s="62"/>
      <c r="G39" s="62"/>
      <c r="I39" s="62"/>
      <c r="J39" s="62"/>
      <c r="K39" s="62"/>
      <c r="L39" s="62"/>
      <c r="N39" s="11">
        <v>30</v>
      </c>
      <c r="O39" s="11">
        <f t="shared" si="5"/>
        <v>5</v>
      </c>
      <c r="P39" s="11">
        <f t="shared" si="6"/>
        <v>5</v>
      </c>
      <c r="Q39" s="12" t="str" cm="1">
        <f t="array" ref="Q39">INDEX('Subject-ConceptMap'!$H$10:$L$264,O39+1,P39)</f>
        <v>* group[=].element[=].target.equivalence = #narrower</v>
      </c>
    </row>
    <row r="40" spans="1:17" s="2" customFormat="1">
      <c r="A40"/>
      <c r="B40" s="11"/>
      <c r="C40"/>
      <c r="F40" s="62"/>
      <c r="G40" s="62"/>
      <c r="I40" s="62"/>
      <c r="J40" s="62"/>
      <c r="K40" s="62"/>
      <c r="L40" s="62"/>
      <c r="N40" s="11">
        <v>31</v>
      </c>
      <c r="O40" s="11">
        <f t="shared" si="5"/>
        <v>6</v>
      </c>
      <c r="P40" s="11">
        <f t="shared" si="6"/>
        <v>1</v>
      </c>
      <c r="Q40" s="12" t="str" cm="1">
        <f t="array" ref="Q40">INDEX('Subject-ConceptMap'!$H$10:$L$264,O40+1,P40)</f>
        <v>* group[=].element[+].code = #Subject.race</v>
      </c>
    </row>
    <row r="41" spans="1:17" s="2" customFormat="1">
      <c r="A41"/>
      <c r="B41" s="11"/>
      <c r="C41"/>
      <c r="F41" s="62"/>
      <c r="G41" s="62"/>
      <c r="I41" s="62"/>
      <c r="J41" s="62"/>
      <c r="K41" s="62"/>
      <c r="L41" s="62"/>
      <c r="N41" s="11">
        <v>32</v>
      </c>
      <c r="O41" s="11">
        <f t="shared" si="5"/>
        <v>6</v>
      </c>
      <c r="P41" s="11">
        <f t="shared" si="6"/>
        <v>2</v>
      </c>
      <c r="Q41" s="12" t="str" cm="1">
        <f t="array" ref="Q41">INDEX('Subject-ConceptMap'!$H$10:$L$264,O41+1,P41)</f>
        <v>* group[=].element[=].display = ##34#Race##34#</v>
      </c>
    </row>
    <row r="42" spans="1:17" s="2" customFormat="1">
      <c r="A42"/>
      <c r="B42" s="11"/>
      <c r="C42"/>
      <c r="F42" s="62"/>
      <c r="G42" s="62"/>
      <c r="I42" s="62"/>
      <c r="J42" s="62"/>
      <c r="K42" s="62"/>
      <c r="L42" s="62"/>
      <c r="N42" s="11">
        <v>33</v>
      </c>
      <c r="O42" s="11">
        <f t="shared" si="5"/>
        <v>6</v>
      </c>
      <c r="P42" s="11">
        <f t="shared" si="6"/>
        <v>3</v>
      </c>
      <c r="Q42" s="12" t="str" cm="1">
        <f t="array" ref="Q42">INDEX('Subject-ConceptMap'!$H$10:$L$264,O42+1,P42)</f>
        <v>* group[=].element[=].target.code = #Osiris.Patient.Ethnicity</v>
      </c>
    </row>
    <row r="43" spans="1:17">
      <c r="F43" s="62"/>
      <c r="G43" s="62"/>
      <c r="I43" s="62"/>
      <c r="J43" s="62"/>
      <c r="K43" s="62"/>
      <c r="L43" s="62"/>
      <c r="N43" s="11">
        <v>34</v>
      </c>
      <c r="O43" s="11">
        <f t="shared" si="5"/>
        <v>6</v>
      </c>
      <c r="P43" s="11">
        <f t="shared" si="6"/>
        <v>4</v>
      </c>
      <c r="Q43" s="12" t="str" cm="1">
        <f t="array" ref="Q43">INDEX('Subject-ConceptMap'!$H$10:$L$264,O43+1,P43)</f>
        <v>* group[=].element[=].target.display = ##34#Ethnicity [C3]##34#</v>
      </c>
    </row>
    <row r="44" spans="1:17">
      <c r="F44" s="62"/>
      <c r="G44" s="62"/>
      <c r="I44" s="62"/>
      <c r="J44" s="62"/>
      <c r="K44" s="62"/>
      <c r="L44" s="62"/>
      <c r="N44" s="11">
        <v>35</v>
      </c>
      <c r="O44" s="11">
        <f t="shared" si="5"/>
        <v>6</v>
      </c>
      <c r="P44" s="11">
        <f t="shared" si="6"/>
        <v>5</v>
      </c>
      <c r="Q44" s="12" t="str" cm="1">
        <f t="array" ref="Q44">INDEX('Subject-ConceptMap'!$H$10:$L$264,O44+1,P44)</f>
        <v>* group[=].element[=].target.equivalence = #wider</v>
      </c>
    </row>
    <row r="45" spans="1:17">
      <c r="F45" s="62"/>
      <c r="G45" s="62"/>
      <c r="I45" s="62"/>
      <c r="J45" s="62"/>
      <c r="K45" s="62"/>
      <c r="L45" s="62"/>
      <c r="N45" s="11">
        <v>36</v>
      </c>
      <c r="O45" s="11">
        <f t="shared" si="5"/>
        <v>7</v>
      </c>
      <c r="P45" s="11">
        <f t="shared" si="6"/>
        <v>1</v>
      </c>
      <c r="Q45" s="12" t="str" cm="1">
        <f t="array" ref="Q45">INDEX('Subject-ConceptMap'!$H$10:$L$264,O45+1,P45)</f>
        <v>* group[=].element[+].code = #Subject.countryOfResidence</v>
      </c>
    </row>
    <row r="46" spans="1:17">
      <c r="F46" s="62"/>
      <c r="G46" s="62"/>
      <c r="I46" s="62"/>
      <c r="J46" s="62"/>
      <c r="K46" s="62"/>
      <c r="L46" s="62"/>
      <c r="N46" s="11">
        <v>37</v>
      </c>
      <c r="O46" s="11">
        <f t="shared" si="5"/>
        <v>7</v>
      </c>
      <c r="P46" s="11">
        <f t="shared" si="6"/>
        <v>2</v>
      </c>
      <c r="Q46" s="12" t="str" cm="1">
        <f t="array" ref="Q46">INDEX('Subject-ConceptMap'!$H$10:$L$264,O46+1,P46)</f>
        <v>* group[=].element[=].display = ##34#Country of Residence ##34#</v>
      </c>
    </row>
    <row r="47" spans="1:17">
      <c r="B47" t="s">
        <v>1412</v>
      </c>
      <c r="C47" t="s">
        <v>1413</v>
      </c>
      <c r="D47" t="s">
        <v>1414</v>
      </c>
      <c r="E47" t="s">
        <v>1415</v>
      </c>
      <c r="N47" s="11">
        <v>38</v>
      </c>
      <c r="O47" s="11">
        <f t="shared" si="5"/>
        <v>7</v>
      </c>
      <c r="P47" s="11">
        <f t="shared" si="6"/>
        <v>3</v>
      </c>
      <c r="Q47" s="12" t="str" cm="1">
        <f t="array" ref="Q47">INDEX('Subject-ConceptMap'!$H$10:$L$264,O47+1,P47)</f>
        <v>//-- unmatched</v>
      </c>
    </row>
    <row r="48" spans="1:17">
      <c r="N48" s="11">
        <v>39</v>
      </c>
      <c r="O48" s="11">
        <f t="shared" si="5"/>
        <v>7</v>
      </c>
      <c r="P48" s="11">
        <f t="shared" si="6"/>
        <v>4</v>
      </c>
      <c r="Q48" s="12" t="str" cm="1">
        <f t="array" ref="Q48">INDEX('Subject-ConceptMap'!$H$10:$L$264,O48+1,P48)</f>
        <v>//-- unmatched</v>
      </c>
    </row>
    <row r="49" spans="14:17">
      <c r="N49" s="11">
        <v>40</v>
      </c>
      <c r="O49" s="11">
        <f t="shared" si="5"/>
        <v>7</v>
      </c>
      <c r="P49" s="11">
        <f t="shared" si="6"/>
        <v>5</v>
      </c>
      <c r="Q49" s="12" t="str" cm="1">
        <f t="array" ref="Q49">INDEX('Subject-ConceptMap'!$H$10:$L$264,O49+1,P49)</f>
        <v>* group[=].element[=].target.equivalence = #unmatched</v>
      </c>
    </row>
    <row r="50" spans="14:17">
      <c r="N50" s="11">
        <v>41</v>
      </c>
      <c r="O50" s="11">
        <f t="shared" si="5"/>
        <v>8</v>
      </c>
      <c r="P50" s="11">
        <f t="shared" si="6"/>
        <v>1</v>
      </c>
      <c r="Q50" s="12" cm="1">
        <f t="array" ref="Q50">INDEX('Subject-ConceptMap'!$H$10:$L$264,O50+1,P50)</f>
        <v>0</v>
      </c>
    </row>
    <row r="51" spans="14:17">
      <c r="N51" s="11">
        <v>42</v>
      </c>
      <c r="O51" s="11">
        <f t="shared" si="5"/>
        <v>8</v>
      </c>
      <c r="P51" s="11">
        <f t="shared" si="6"/>
        <v>2</v>
      </c>
      <c r="Q51" s="12" cm="1">
        <f t="array" ref="Q51">INDEX('Subject-ConceptMap'!$H$10:$L$264,O51+1,P51)</f>
        <v>0</v>
      </c>
    </row>
    <row r="52" spans="14:17">
      <c r="N52" s="11">
        <v>43</v>
      </c>
      <c r="O52" s="11">
        <f t="shared" si="5"/>
        <v>8</v>
      </c>
      <c r="P52" s="11">
        <f t="shared" si="6"/>
        <v>3</v>
      </c>
      <c r="Q52" s="12" cm="1">
        <f t="array" ref="Q52">INDEX('Subject-ConceptMap'!$H$10:$L$264,O52+1,P52)</f>
        <v>0</v>
      </c>
    </row>
    <row r="53" spans="14:17">
      <c r="N53" s="11">
        <v>44</v>
      </c>
      <c r="O53" s="11">
        <f t="shared" si="5"/>
        <v>8</v>
      </c>
      <c r="P53" s="11">
        <f t="shared" si="6"/>
        <v>4</v>
      </c>
      <c r="Q53" s="12" cm="1">
        <f t="array" ref="Q53">INDEX('Subject-ConceptMap'!$H$10:$L$264,O53+1,P53)</f>
        <v>0</v>
      </c>
    </row>
    <row r="54" spans="14:17">
      <c r="N54" s="11">
        <v>45</v>
      </c>
      <c r="O54" s="11">
        <f t="shared" si="5"/>
        <v>8</v>
      </c>
      <c r="P54" s="11">
        <f t="shared" si="6"/>
        <v>5</v>
      </c>
      <c r="Q54" s="12" cm="1">
        <f t="array" ref="Q54">INDEX('Subject-ConceptMap'!$H$10:$L$264,O54+1,P54)</f>
        <v>0</v>
      </c>
    </row>
    <row r="55" spans="14:17">
      <c r="N55" s="11">
        <v>46</v>
      </c>
      <c r="O55" s="11">
        <f t="shared" si="5"/>
        <v>9</v>
      </c>
      <c r="P55" s="11">
        <f t="shared" si="6"/>
        <v>1</v>
      </c>
      <c r="Q55" s="12" cm="1">
        <f t="array" ref="Q55">INDEX('Subject-ConceptMap'!$H$10:$L$264,O55+1,P55)</f>
        <v>0</v>
      </c>
    </row>
    <row r="56" spans="14:17">
      <c r="N56" s="11">
        <v>47</v>
      </c>
      <c r="O56" s="11">
        <f t="shared" si="5"/>
        <v>9</v>
      </c>
      <c r="P56" s="11">
        <f t="shared" si="6"/>
        <v>2</v>
      </c>
      <c r="Q56" s="12" cm="1">
        <f t="array" ref="Q56">INDEX('Subject-ConceptMap'!$H$10:$L$264,O56+1,P56)</f>
        <v>0</v>
      </c>
    </row>
    <row r="57" spans="14:17">
      <c r="N57" s="11">
        <v>48</v>
      </c>
      <c r="O57" s="11">
        <f t="shared" si="5"/>
        <v>9</v>
      </c>
      <c r="P57" s="11">
        <f t="shared" si="6"/>
        <v>3</v>
      </c>
      <c r="Q57" s="12" cm="1">
        <f t="array" ref="Q57">INDEX('Subject-ConceptMap'!$H$10:$L$264,O57+1,P57)</f>
        <v>0</v>
      </c>
    </row>
    <row r="58" spans="14:17">
      <c r="N58" s="11">
        <v>49</v>
      </c>
      <c r="O58" s="11">
        <f t="shared" si="5"/>
        <v>9</v>
      </c>
      <c r="P58" s="11">
        <f t="shared" si="6"/>
        <v>4</v>
      </c>
      <c r="Q58" s="12" cm="1">
        <f t="array" ref="Q58">INDEX('Subject-ConceptMap'!$H$10:$L$264,O58+1,P58)</f>
        <v>0</v>
      </c>
    </row>
    <row r="59" spans="14:17">
      <c r="N59" s="11">
        <v>50</v>
      </c>
      <c r="O59" s="11">
        <f t="shared" si="5"/>
        <v>9</v>
      </c>
      <c r="P59" s="11">
        <f t="shared" si="6"/>
        <v>5</v>
      </c>
      <c r="Q59" s="12" cm="1">
        <f t="array" ref="Q59">INDEX('Subject-ConceptMap'!$H$10:$L$264,O59+1,P59)</f>
        <v>0</v>
      </c>
    </row>
    <row r="60" spans="14:17">
      <c r="N60" s="11">
        <v>51</v>
      </c>
      <c r="O60" s="11">
        <f t="shared" si="5"/>
        <v>10</v>
      </c>
      <c r="P60" s="11">
        <f t="shared" si="6"/>
        <v>1</v>
      </c>
      <c r="Q60" s="12" cm="1">
        <f t="array" ref="Q60">INDEX('Subject-ConceptMap'!$H$10:$L$264,O60+1,P60)</f>
        <v>0</v>
      </c>
    </row>
    <row r="61" spans="14:17">
      <c r="N61" s="11">
        <v>52</v>
      </c>
      <c r="O61" s="11">
        <f t="shared" si="5"/>
        <v>10</v>
      </c>
      <c r="P61" s="11">
        <f t="shared" si="6"/>
        <v>2</v>
      </c>
      <c r="Q61" s="12" cm="1">
        <f t="array" ref="Q61">INDEX('Subject-ConceptMap'!$H$10:$L$264,O61+1,P61)</f>
        <v>0</v>
      </c>
    </row>
    <row r="62" spans="14:17">
      <c r="N62" s="11">
        <v>53</v>
      </c>
      <c r="O62" s="11">
        <f t="shared" si="5"/>
        <v>10</v>
      </c>
      <c r="P62" s="11">
        <f t="shared" si="6"/>
        <v>3</v>
      </c>
      <c r="Q62" s="12" cm="1">
        <f t="array" ref="Q62">INDEX('Subject-ConceptMap'!$H$10:$L$264,O62+1,P62)</f>
        <v>0</v>
      </c>
    </row>
    <row r="63" spans="14:17">
      <c r="N63" s="11">
        <v>54</v>
      </c>
      <c r="O63" s="11">
        <f t="shared" si="5"/>
        <v>10</v>
      </c>
      <c r="P63" s="11">
        <f t="shared" si="6"/>
        <v>4</v>
      </c>
      <c r="Q63" s="12" cm="1">
        <f t="array" ref="Q63">INDEX('Subject-ConceptMap'!$H$10:$L$264,O63+1,P63)</f>
        <v>0</v>
      </c>
    </row>
    <row r="64" spans="14:17">
      <c r="N64" s="11">
        <v>55</v>
      </c>
      <c r="O64" s="11">
        <f t="shared" si="5"/>
        <v>10</v>
      </c>
      <c r="P64" s="11">
        <f t="shared" si="6"/>
        <v>5</v>
      </c>
      <c r="Q64" s="12" cm="1">
        <f t="array" ref="Q64">INDEX('Subject-ConceptMap'!$H$10:$L$264,O64+1,P64)</f>
        <v>0</v>
      </c>
    </row>
    <row r="65" spans="14:17">
      <c r="N65" s="11">
        <v>56</v>
      </c>
      <c r="O65" s="11">
        <f t="shared" si="5"/>
        <v>11</v>
      </c>
      <c r="P65" s="11">
        <f t="shared" si="6"/>
        <v>1</v>
      </c>
      <c r="Q65" s="12" cm="1">
        <f t="array" ref="Q65">INDEX('Subject-ConceptMap'!$H$10:$L$264,O65+1,P65)</f>
        <v>0</v>
      </c>
    </row>
    <row r="66" spans="14:17">
      <c r="N66" s="11">
        <v>57</v>
      </c>
      <c r="O66" s="11">
        <f t="shared" si="5"/>
        <v>11</v>
      </c>
      <c r="P66" s="11">
        <f t="shared" si="6"/>
        <v>2</v>
      </c>
      <c r="Q66" s="12" cm="1">
        <f t="array" ref="Q66">INDEX('Subject-ConceptMap'!$H$10:$L$264,O66+1,P66)</f>
        <v>0</v>
      </c>
    </row>
    <row r="67" spans="14:17">
      <c r="N67" s="11">
        <v>58</v>
      </c>
      <c r="O67" s="11">
        <f t="shared" si="5"/>
        <v>11</v>
      </c>
      <c r="P67" s="11">
        <f t="shared" si="6"/>
        <v>3</v>
      </c>
      <c r="Q67" s="12" cm="1">
        <f t="array" ref="Q67">INDEX('Subject-ConceptMap'!$H$10:$L$264,O67+1,P67)</f>
        <v>0</v>
      </c>
    </row>
    <row r="68" spans="14:17">
      <c r="N68" s="11">
        <v>59</v>
      </c>
      <c r="O68" s="11">
        <f t="shared" si="5"/>
        <v>11</v>
      </c>
      <c r="P68" s="11">
        <f t="shared" si="6"/>
        <v>4</v>
      </c>
      <c r="Q68" s="12" cm="1">
        <f t="array" ref="Q68">INDEX('Subject-ConceptMap'!$H$10:$L$264,O68+1,P68)</f>
        <v>0</v>
      </c>
    </row>
    <row r="69" spans="14:17">
      <c r="N69" s="11">
        <v>60</v>
      </c>
      <c r="O69" s="11">
        <f t="shared" si="5"/>
        <v>11</v>
      </c>
      <c r="P69" s="11">
        <f t="shared" si="6"/>
        <v>5</v>
      </c>
      <c r="Q69" s="12" cm="1">
        <f t="array" ref="Q69">INDEX('Subject-ConceptMap'!$H$10:$L$264,O69+1,P69)</f>
        <v>0</v>
      </c>
    </row>
    <row r="70" spans="14:17">
      <c r="N70" s="11">
        <v>61</v>
      </c>
      <c r="O70" s="11">
        <f t="shared" si="5"/>
        <v>12</v>
      </c>
      <c r="P70" s="11">
        <f t="shared" si="6"/>
        <v>1</v>
      </c>
      <c r="Q70" s="12" cm="1">
        <f t="array" ref="Q70">INDEX('Subject-ConceptMap'!$H$10:$L$264,O70+1,P70)</f>
        <v>0</v>
      </c>
    </row>
    <row r="71" spans="14:17">
      <c r="N71" s="11">
        <v>62</v>
      </c>
      <c r="O71" s="11">
        <f t="shared" si="5"/>
        <v>12</v>
      </c>
      <c r="P71" s="11">
        <f t="shared" si="6"/>
        <v>2</v>
      </c>
      <c r="Q71" s="12" cm="1">
        <f t="array" ref="Q71">INDEX('Subject-ConceptMap'!$H$10:$L$264,O71+1,P71)</f>
        <v>0</v>
      </c>
    </row>
    <row r="72" spans="14:17">
      <c r="N72" s="11">
        <v>63</v>
      </c>
      <c r="O72" s="11">
        <f t="shared" si="5"/>
        <v>12</v>
      </c>
      <c r="P72" s="11">
        <f t="shared" si="6"/>
        <v>3</v>
      </c>
      <c r="Q72" s="12" cm="1">
        <f t="array" ref="Q72">INDEX('Subject-ConceptMap'!$H$10:$L$264,O72+1,P72)</f>
        <v>0</v>
      </c>
    </row>
    <row r="73" spans="14:17">
      <c r="N73" s="11">
        <v>64</v>
      </c>
      <c r="O73" s="11">
        <f t="shared" si="5"/>
        <v>12</v>
      </c>
      <c r="P73" s="11">
        <f t="shared" si="6"/>
        <v>4</v>
      </c>
      <c r="Q73" s="12" cm="1">
        <f t="array" ref="Q73">INDEX('Subject-ConceptMap'!$H$10:$L$264,O73+1,P73)</f>
        <v>0</v>
      </c>
    </row>
    <row r="74" spans="14:17">
      <c r="N74" s="11">
        <v>65</v>
      </c>
      <c r="O74" s="11">
        <f t="shared" si="5"/>
        <v>12</v>
      </c>
      <c r="P74" s="11">
        <f t="shared" si="6"/>
        <v>5</v>
      </c>
      <c r="Q74" s="12" cm="1">
        <f t="array" ref="Q74">INDEX('Subject-ConceptMap'!$H$10:$L$264,O74+1,P74)</f>
        <v>0</v>
      </c>
    </row>
    <row r="75" spans="14:17">
      <c r="N75" s="11">
        <v>66</v>
      </c>
      <c r="O75" s="11">
        <f t="shared" ref="O75:O138" si="7">IF(MOD(N75,$O$3)=0,N75/$O$3-1,INT(N75/$O$3))</f>
        <v>13</v>
      </c>
      <c r="P75" s="11">
        <f t="shared" ref="P75:P138" si="8">IF(MOD(N75,$O$3)=0,$O$3,MOD(N75,$O$3))</f>
        <v>1</v>
      </c>
      <c r="Q75" s="12" cm="1">
        <f t="array" ref="Q75">INDEX('Subject-ConceptMap'!$H$10:$L$264,O75+1,P75)</f>
        <v>0</v>
      </c>
    </row>
    <row r="76" spans="14:17">
      <c r="N76" s="11">
        <v>67</v>
      </c>
      <c r="O76" s="11">
        <f t="shared" si="7"/>
        <v>13</v>
      </c>
      <c r="P76" s="11">
        <f t="shared" si="8"/>
        <v>2</v>
      </c>
      <c r="Q76" s="12" cm="1">
        <f t="array" ref="Q76">INDEX('Subject-ConceptMap'!$H$10:$L$264,O76+1,P76)</f>
        <v>0</v>
      </c>
    </row>
    <row r="77" spans="14:17">
      <c r="N77" s="11">
        <v>68</v>
      </c>
      <c r="O77" s="11">
        <f t="shared" si="7"/>
        <v>13</v>
      </c>
      <c r="P77" s="11">
        <f t="shared" si="8"/>
        <v>3</v>
      </c>
      <c r="Q77" s="12" cm="1">
        <f t="array" ref="Q77">INDEX('Subject-ConceptMap'!$H$10:$L$264,O77+1,P77)</f>
        <v>0</v>
      </c>
    </row>
    <row r="78" spans="14:17">
      <c r="N78" s="11">
        <v>69</v>
      </c>
      <c r="O78" s="11">
        <f t="shared" si="7"/>
        <v>13</v>
      </c>
      <c r="P78" s="11">
        <f t="shared" si="8"/>
        <v>4</v>
      </c>
      <c r="Q78" s="12" cm="1">
        <f t="array" ref="Q78">INDEX('Subject-ConceptMap'!$H$10:$L$264,O78+1,P78)</f>
        <v>0</v>
      </c>
    </row>
    <row r="79" spans="14:17">
      <c r="N79" s="11">
        <v>70</v>
      </c>
      <c r="O79" s="11">
        <f t="shared" si="7"/>
        <v>13</v>
      </c>
      <c r="P79" s="11">
        <f t="shared" si="8"/>
        <v>5</v>
      </c>
      <c r="Q79" s="12" cm="1">
        <f t="array" ref="Q79">INDEX('Subject-ConceptMap'!$H$10:$L$264,O79+1,P79)</f>
        <v>0</v>
      </c>
    </row>
    <row r="80" spans="14:17">
      <c r="N80" s="11">
        <v>71</v>
      </c>
      <c r="O80" s="11">
        <f t="shared" si="7"/>
        <v>14</v>
      </c>
      <c r="P80" s="11">
        <f t="shared" si="8"/>
        <v>1</v>
      </c>
      <c r="Q80" s="12" cm="1">
        <f t="array" ref="Q80">INDEX('Subject-ConceptMap'!$H$10:$L$264,O80+1,P80)</f>
        <v>0</v>
      </c>
    </row>
    <row r="81" spans="14:17">
      <c r="N81" s="11">
        <v>72</v>
      </c>
      <c r="O81" s="11">
        <f t="shared" si="7"/>
        <v>14</v>
      </c>
      <c r="P81" s="11">
        <f t="shared" si="8"/>
        <v>2</v>
      </c>
      <c r="Q81" s="12" cm="1">
        <f t="array" ref="Q81">INDEX('Subject-ConceptMap'!$H$10:$L$264,O81+1,P81)</f>
        <v>0</v>
      </c>
    </row>
    <row r="82" spans="14:17">
      <c r="N82" s="11">
        <v>73</v>
      </c>
      <c r="O82" s="11">
        <f t="shared" si="7"/>
        <v>14</v>
      </c>
      <c r="P82" s="11">
        <f t="shared" si="8"/>
        <v>3</v>
      </c>
      <c r="Q82" s="12" cm="1">
        <f t="array" ref="Q82">INDEX('Subject-ConceptMap'!$H$10:$L$264,O82+1,P82)</f>
        <v>0</v>
      </c>
    </row>
    <row r="83" spans="14:17">
      <c r="N83" s="11">
        <v>74</v>
      </c>
      <c r="O83" s="11">
        <f t="shared" si="7"/>
        <v>14</v>
      </c>
      <c r="P83" s="11">
        <f t="shared" si="8"/>
        <v>4</v>
      </c>
      <c r="Q83" s="12" cm="1">
        <f t="array" ref="Q83">INDEX('Subject-ConceptMap'!$H$10:$L$264,O83+1,P83)</f>
        <v>0</v>
      </c>
    </row>
    <row r="84" spans="14:17">
      <c r="N84" s="11">
        <v>75</v>
      </c>
      <c r="O84" s="11">
        <f t="shared" si="7"/>
        <v>14</v>
      </c>
      <c r="P84" s="11">
        <f t="shared" si="8"/>
        <v>5</v>
      </c>
      <c r="Q84" s="12" cm="1">
        <f t="array" ref="Q84">INDEX('Subject-ConceptMap'!$H$10:$L$264,O84+1,P84)</f>
        <v>0</v>
      </c>
    </row>
    <row r="85" spans="14:17">
      <c r="N85" s="11">
        <v>76</v>
      </c>
      <c r="O85" s="11">
        <f t="shared" si="7"/>
        <v>15</v>
      </c>
      <c r="P85" s="11">
        <f t="shared" si="8"/>
        <v>1</v>
      </c>
      <c r="Q85" s="12" cm="1">
        <f t="array" ref="Q85">INDEX('Subject-ConceptMap'!$H$10:$L$264,O85+1,P85)</f>
        <v>0</v>
      </c>
    </row>
    <row r="86" spans="14:17">
      <c r="N86" s="11">
        <v>77</v>
      </c>
      <c r="O86" s="11">
        <f t="shared" si="7"/>
        <v>15</v>
      </c>
      <c r="P86" s="11">
        <f t="shared" si="8"/>
        <v>2</v>
      </c>
      <c r="Q86" s="12" cm="1">
        <f t="array" ref="Q86">INDEX('Subject-ConceptMap'!$H$10:$L$264,O86+1,P86)</f>
        <v>0</v>
      </c>
    </row>
    <row r="87" spans="14:17">
      <c r="N87" s="11">
        <v>78</v>
      </c>
      <c r="O87" s="11">
        <f t="shared" si="7"/>
        <v>15</v>
      </c>
      <c r="P87" s="11">
        <f t="shared" si="8"/>
        <v>3</v>
      </c>
      <c r="Q87" s="12" cm="1">
        <f t="array" ref="Q87">INDEX('Subject-ConceptMap'!$H$10:$L$264,O87+1,P87)</f>
        <v>0</v>
      </c>
    </row>
    <row r="88" spans="14:17">
      <c r="N88" s="11">
        <v>79</v>
      </c>
      <c r="O88" s="11">
        <f t="shared" si="7"/>
        <v>15</v>
      </c>
      <c r="P88" s="11">
        <f t="shared" si="8"/>
        <v>4</v>
      </c>
      <c r="Q88" s="12" cm="1">
        <f t="array" ref="Q88">INDEX('Subject-ConceptMap'!$H$10:$L$264,O88+1,P88)</f>
        <v>0</v>
      </c>
    </row>
    <row r="89" spans="14:17">
      <c r="N89" s="11">
        <v>80</v>
      </c>
      <c r="O89" s="11">
        <f t="shared" si="7"/>
        <v>15</v>
      </c>
      <c r="P89" s="11">
        <f t="shared" si="8"/>
        <v>5</v>
      </c>
      <c r="Q89" s="12" cm="1">
        <f t="array" ref="Q89">INDEX('Subject-ConceptMap'!$H$10:$L$264,O89+1,P89)</f>
        <v>0</v>
      </c>
    </row>
    <row r="90" spans="14:17">
      <c r="N90" s="11">
        <v>81</v>
      </c>
      <c r="O90" s="11">
        <f t="shared" si="7"/>
        <v>16</v>
      </c>
      <c r="P90" s="11">
        <f t="shared" si="8"/>
        <v>1</v>
      </c>
      <c r="Q90" s="12" cm="1">
        <f t="array" ref="Q90">INDEX('Subject-ConceptMap'!$H$10:$L$264,O90+1,P90)</f>
        <v>0</v>
      </c>
    </row>
    <row r="91" spans="14:17">
      <c r="N91" s="11">
        <v>82</v>
      </c>
      <c r="O91" s="11">
        <f t="shared" si="7"/>
        <v>16</v>
      </c>
      <c r="P91" s="11">
        <f t="shared" si="8"/>
        <v>2</v>
      </c>
      <c r="Q91" s="12" cm="1">
        <f t="array" ref="Q91">INDEX('Subject-ConceptMap'!$H$10:$L$264,O91+1,P91)</f>
        <v>0</v>
      </c>
    </row>
    <row r="92" spans="14:17">
      <c r="N92" s="11">
        <v>83</v>
      </c>
      <c r="O92" s="11">
        <f t="shared" si="7"/>
        <v>16</v>
      </c>
      <c r="P92" s="11">
        <f t="shared" si="8"/>
        <v>3</v>
      </c>
      <c r="Q92" s="12" cm="1">
        <f t="array" ref="Q92">INDEX('Subject-ConceptMap'!$H$10:$L$264,O92+1,P92)</f>
        <v>0</v>
      </c>
    </row>
    <row r="93" spans="14:17">
      <c r="N93" s="11">
        <v>84</v>
      </c>
      <c r="O93" s="11">
        <f t="shared" si="7"/>
        <v>16</v>
      </c>
      <c r="P93" s="11">
        <f t="shared" si="8"/>
        <v>4</v>
      </c>
      <c r="Q93" s="12" cm="1">
        <f t="array" ref="Q93">INDEX('Subject-ConceptMap'!$H$10:$L$264,O93+1,P93)</f>
        <v>0</v>
      </c>
    </row>
    <row r="94" spans="14:17">
      <c r="N94" s="11">
        <v>85</v>
      </c>
      <c r="O94" s="11">
        <f t="shared" si="7"/>
        <v>16</v>
      </c>
      <c r="P94" s="11">
        <f t="shared" si="8"/>
        <v>5</v>
      </c>
      <c r="Q94" s="12" cm="1">
        <f t="array" ref="Q94">INDEX('Subject-ConceptMap'!$H$10:$L$264,O94+1,P94)</f>
        <v>0</v>
      </c>
    </row>
    <row r="95" spans="14:17">
      <c r="N95" s="11">
        <v>86</v>
      </c>
      <c r="O95" s="11">
        <f t="shared" si="7"/>
        <v>17</v>
      </c>
      <c r="P95" s="11">
        <f t="shared" si="8"/>
        <v>1</v>
      </c>
      <c r="Q95" s="12" cm="1">
        <f t="array" ref="Q95">INDEX('Subject-ConceptMap'!$H$10:$L$264,O95+1,P95)</f>
        <v>0</v>
      </c>
    </row>
    <row r="96" spans="14:17">
      <c r="N96" s="11">
        <v>87</v>
      </c>
      <c r="O96" s="11">
        <f t="shared" si="7"/>
        <v>17</v>
      </c>
      <c r="P96" s="11">
        <f t="shared" si="8"/>
        <v>2</v>
      </c>
      <c r="Q96" s="12" cm="1">
        <f t="array" ref="Q96">INDEX('Subject-ConceptMap'!$H$10:$L$264,O96+1,P96)</f>
        <v>0</v>
      </c>
    </row>
    <row r="97" spans="14:17">
      <c r="N97" s="11">
        <v>88</v>
      </c>
      <c r="O97" s="11">
        <f t="shared" si="7"/>
        <v>17</v>
      </c>
      <c r="P97" s="11">
        <f t="shared" si="8"/>
        <v>3</v>
      </c>
      <c r="Q97" s="12" cm="1">
        <f t="array" ref="Q97">INDEX('Subject-ConceptMap'!$H$10:$L$264,O97+1,P97)</f>
        <v>0</v>
      </c>
    </row>
    <row r="98" spans="14:17">
      <c r="N98" s="11">
        <v>89</v>
      </c>
      <c r="O98" s="11">
        <f t="shared" si="7"/>
        <v>17</v>
      </c>
      <c r="P98" s="11">
        <f t="shared" si="8"/>
        <v>4</v>
      </c>
      <c r="Q98" s="12" cm="1">
        <f t="array" ref="Q98">INDEX('Subject-ConceptMap'!$H$10:$L$264,O98+1,P98)</f>
        <v>0</v>
      </c>
    </row>
    <row r="99" spans="14:17">
      <c r="N99" s="11">
        <v>90</v>
      </c>
      <c r="O99" s="11">
        <f t="shared" si="7"/>
        <v>17</v>
      </c>
      <c r="P99" s="11">
        <f t="shared" si="8"/>
        <v>5</v>
      </c>
      <c r="Q99" s="12" cm="1">
        <f t="array" ref="Q99">INDEX('Subject-ConceptMap'!$H$10:$L$264,O99+1,P99)</f>
        <v>0</v>
      </c>
    </row>
    <row r="100" spans="14:17">
      <c r="N100" s="11">
        <v>91</v>
      </c>
      <c r="O100" s="11">
        <f t="shared" si="7"/>
        <v>18</v>
      </c>
      <c r="P100" s="11">
        <f t="shared" si="8"/>
        <v>1</v>
      </c>
      <c r="Q100" s="12" cm="1">
        <f t="array" ref="Q100">INDEX('Subject-ConceptMap'!$H$10:$L$264,O100+1,P100)</f>
        <v>0</v>
      </c>
    </row>
    <row r="101" spans="14:17">
      <c r="N101" s="11">
        <v>92</v>
      </c>
      <c r="O101" s="11">
        <f t="shared" si="7"/>
        <v>18</v>
      </c>
      <c r="P101" s="11">
        <f t="shared" si="8"/>
        <v>2</v>
      </c>
      <c r="Q101" s="12" cm="1">
        <f t="array" ref="Q101">INDEX('Subject-ConceptMap'!U85:Y339,1+O101,P101)</f>
        <v>0</v>
      </c>
    </row>
    <row r="102" spans="14:17">
      <c r="N102" s="11">
        <v>93</v>
      </c>
      <c r="O102" s="11">
        <f t="shared" si="7"/>
        <v>18</v>
      </c>
      <c r="P102" s="11">
        <f t="shared" si="8"/>
        <v>3</v>
      </c>
      <c r="Q102" s="12" cm="1">
        <f t="array" ref="Q102">INDEX('Subject-ConceptMap'!U86:Y340,1+O102,P102)</f>
        <v>0</v>
      </c>
    </row>
    <row r="103" spans="14:17">
      <c r="N103" s="11">
        <v>94</v>
      </c>
      <c r="O103" s="11">
        <f t="shared" si="7"/>
        <v>18</v>
      </c>
      <c r="P103" s="11">
        <f t="shared" si="8"/>
        <v>4</v>
      </c>
      <c r="Q103" s="12" cm="1">
        <f t="array" ref="Q103">INDEX('Subject-ConceptMap'!U87:Y341,1+O103,P103)</f>
        <v>0</v>
      </c>
    </row>
    <row r="104" spans="14:17">
      <c r="N104" s="11">
        <v>95</v>
      </c>
      <c r="O104" s="11">
        <f t="shared" si="7"/>
        <v>18</v>
      </c>
      <c r="P104" s="11">
        <f t="shared" si="8"/>
        <v>5</v>
      </c>
      <c r="Q104" s="12" cm="1">
        <f t="array" ref="Q104">INDEX('Subject-ConceptMap'!U88:Y342,1+O104,P104)</f>
        <v>0</v>
      </c>
    </row>
    <row r="105" spans="14:17">
      <c r="N105" s="11">
        <v>96</v>
      </c>
      <c r="O105" s="11">
        <f t="shared" si="7"/>
        <v>19</v>
      </c>
      <c r="P105" s="11">
        <f t="shared" si="8"/>
        <v>1</v>
      </c>
      <c r="Q105" s="12" cm="1">
        <f t="array" ref="Q105">INDEX('Subject-ConceptMap'!U89:Y343,1+O105,P105)</f>
        <v>0</v>
      </c>
    </row>
    <row r="106" spans="14:17">
      <c r="N106" s="11">
        <v>97</v>
      </c>
      <c r="O106" s="11">
        <f t="shared" si="7"/>
        <v>19</v>
      </c>
      <c r="P106" s="11">
        <f t="shared" si="8"/>
        <v>2</v>
      </c>
      <c r="Q106" s="12" cm="1">
        <f t="array" ref="Q106">INDEX('Subject-ConceptMap'!U90:Y344,1+O106,P106)</f>
        <v>0</v>
      </c>
    </row>
    <row r="107" spans="14:17">
      <c r="N107" s="11">
        <v>98</v>
      </c>
      <c r="O107" s="11">
        <f t="shared" si="7"/>
        <v>19</v>
      </c>
      <c r="P107" s="11">
        <f t="shared" si="8"/>
        <v>3</v>
      </c>
      <c r="Q107" s="12" cm="1">
        <f t="array" ref="Q107">INDEX('Subject-ConceptMap'!U91:Y345,1+O107,P107)</f>
        <v>0</v>
      </c>
    </row>
    <row r="108" spans="14:17">
      <c r="N108" s="11">
        <v>99</v>
      </c>
      <c r="O108" s="11">
        <f t="shared" si="7"/>
        <v>19</v>
      </c>
      <c r="P108" s="11">
        <f t="shared" si="8"/>
        <v>4</v>
      </c>
      <c r="Q108" s="12" cm="1">
        <f t="array" ref="Q108">INDEX('Subject-ConceptMap'!U92:Y346,1+O108,P108)</f>
        <v>0</v>
      </c>
    </row>
    <row r="109" spans="14:17">
      <c r="N109" s="11">
        <v>100</v>
      </c>
      <c r="O109" s="11">
        <f t="shared" si="7"/>
        <v>19</v>
      </c>
      <c r="P109" s="11">
        <f t="shared" si="8"/>
        <v>5</v>
      </c>
      <c r="Q109" s="12" cm="1">
        <f t="array" ref="Q109">INDEX('Subject-ConceptMap'!U93:Y347,1+O109,P109)</f>
        <v>0</v>
      </c>
    </row>
    <row r="110" spans="14:17">
      <c r="N110" s="11">
        <v>101</v>
      </c>
      <c r="O110" s="11">
        <f t="shared" si="7"/>
        <v>20</v>
      </c>
      <c r="P110" s="11">
        <f t="shared" si="8"/>
        <v>1</v>
      </c>
      <c r="Q110" s="12" cm="1">
        <f t="array" ref="Q110">INDEX('Subject-ConceptMap'!U94:Y348,1+O110,P110)</f>
        <v>0</v>
      </c>
    </row>
    <row r="111" spans="14:17">
      <c r="N111" s="11">
        <v>102</v>
      </c>
      <c r="O111" s="11">
        <f t="shared" si="7"/>
        <v>20</v>
      </c>
      <c r="P111" s="11">
        <f t="shared" si="8"/>
        <v>2</v>
      </c>
      <c r="Q111" s="12" cm="1">
        <f t="array" ref="Q111">INDEX('Subject-ConceptMap'!U95:Y349,1+O111,P111)</f>
        <v>0</v>
      </c>
    </row>
    <row r="112" spans="14:17">
      <c r="N112" s="11">
        <v>103</v>
      </c>
      <c r="O112" s="11">
        <f t="shared" si="7"/>
        <v>20</v>
      </c>
      <c r="P112" s="11">
        <f t="shared" si="8"/>
        <v>3</v>
      </c>
      <c r="Q112" s="12" cm="1">
        <f t="array" ref="Q112">INDEX('Subject-ConceptMap'!U96:Y350,1+O112,P112)</f>
        <v>0</v>
      </c>
    </row>
    <row r="113" spans="14:17">
      <c r="N113" s="11">
        <v>104</v>
      </c>
      <c r="O113" s="11">
        <f t="shared" si="7"/>
        <v>20</v>
      </c>
      <c r="P113" s="11">
        <f t="shared" si="8"/>
        <v>4</v>
      </c>
      <c r="Q113" s="12" cm="1">
        <f t="array" ref="Q113">INDEX('Subject-ConceptMap'!U97:Y351,1+O113,P113)</f>
        <v>0</v>
      </c>
    </row>
    <row r="114" spans="14:17">
      <c r="N114" s="11">
        <v>105</v>
      </c>
      <c r="O114" s="11">
        <f t="shared" si="7"/>
        <v>20</v>
      </c>
      <c r="P114" s="11">
        <f t="shared" si="8"/>
        <v>5</v>
      </c>
      <c r="Q114" s="12" cm="1">
        <f t="array" ref="Q114">INDEX('Subject-ConceptMap'!U98:Y352,1+O114,P114)</f>
        <v>0</v>
      </c>
    </row>
    <row r="115" spans="14:17">
      <c r="N115" s="11">
        <v>106</v>
      </c>
      <c r="O115" s="11">
        <f t="shared" si="7"/>
        <v>21</v>
      </c>
      <c r="P115" s="11">
        <f t="shared" si="8"/>
        <v>1</v>
      </c>
      <c r="Q115" s="12" cm="1">
        <f t="array" ref="Q115">INDEX('Subject-ConceptMap'!U99:Y353,1+O115,P115)</f>
        <v>0</v>
      </c>
    </row>
    <row r="116" spans="14:17">
      <c r="N116" s="11">
        <v>107</v>
      </c>
      <c r="O116" s="11">
        <f t="shared" si="7"/>
        <v>21</v>
      </c>
      <c r="P116" s="11">
        <f t="shared" si="8"/>
        <v>2</v>
      </c>
      <c r="Q116" s="12" cm="1">
        <f t="array" ref="Q116">INDEX('Subject-ConceptMap'!U100:Y354,1+O116,P116)</f>
        <v>0</v>
      </c>
    </row>
    <row r="117" spans="14:17">
      <c r="N117" s="11">
        <v>108</v>
      </c>
      <c r="O117" s="11">
        <f t="shared" si="7"/>
        <v>21</v>
      </c>
      <c r="P117" s="11">
        <f t="shared" si="8"/>
        <v>3</v>
      </c>
      <c r="Q117" s="12" cm="1">
        <f t="array" ref="Q117">INDEX('Subject-ConceptMap'!U101:Y355,1+O117,P117)</f>
        <v>0</v>
      </c>
    </row>
    <row r="118" spans="14:17">
      <c r="N118" s="11">
        <v>109</v>
      </c>
      <c r="O118" s="11">
        <f t="shared" si="7"/>
        <v>21</v>
      </c>
      <c r="P118" s="11">
        <f t="shared" si="8"/>
        <v>4</v>
      </c>
      <c r="Q118" s="12" cm="1">
        <f t="array" ref="Q118">INDEX('Subject-ConceptMap'!U102:Y356,1+O118,P118)</f>
        <v>0</v>
      </c>
    </row>
    <row r="119" spans="14:17">
      <c r="N119" s="11">
        <v>110</v>
      </c>
      <c r="O119" s="11">
        <f t="shared" si="7"/>
        <v>21</v>
      </c>
      <c r="P119" s="11">
        <f t="shared" si="8"/>
        <v>5</v>
      </c>
      <c r="Q119" s="12" cm="1">
        <f t="array" ref="Q119">INDEX('Subject-ConceptMap'!U103:Y357,1+O119,P119)</f>
        <v>0</v>
      </c>
    </row>
    <row r="120" spans="14:17">
      <c r="N120" s="11">
        <v>111</v>
      </c>
      <c r="O120" s="11">
        <f t="shared" si="7"/>
        <v>22</v>
      </c>
      <c r="P120" s="11">
        <f t="shared" si="8"/>
        <v>1</v>
      </c>
      <c r="Q120" s="12" cm="1">
        <f t="array" ref="Q120">INDEX('Subject-ConceptMap'!U104:Y358,1+O120,P120)</f>
        <v>0</v>
      </c>
    </row>
    <row r="121" spans="14:17">
      <c r="N121" s="11">
        <v>112</v>
      </c>
      <c r="O121" s="11">
        <f t="shared" si="7"/>
        <v>22</v>
      </c>
      <c r="P121" s="11">
        <f t="shared" si="8"/>
        <v>2</v>
      </c>
      <c r="Q121" s="12" cm="1">
        <f t="array" ref="Q121">INDEX('Subject-ConceptMap'!U105:Y359,1+O121,P121)</f>
        <v>0</v>
      </c>
    </row>
    <row r="122" spans="14:17">
      <c r="N122" s="11">
        <v>113</v>
      </c>
      <c r="O122" s="11">
        <f t="shared" si="7"/>
        <v>22</v>
      </c>
      <c r="P122" s="11">
        <f t="shared" si="8"/>
        <v>3</v>
      </c>
      <c r="Q122" s="12" cm="1">
        <f t="array" ref="Q122">INDEX('Subject-ConceptMap'!U106:Y360,1+O122,P122)</f>
        <v>0</v>
      </c>
    </row>
    <row r="123" spans="14:17">
      <c r="N123" s="11">
        <v>114</v>
      </c>
      <c r="O123" s="11">
        <f t="shared" si="7"/>
        <v>22</v>
      </c>
      <c r="P123" s="11">
        <f t="shared" si="8"/>
        <v>4</v>
      </c>
      <c r="Q123" s="12" cm="1">
        <f t="array" ref="Q123">INDEX('Subject-ConceptMap'!U107:Y361,1+O123,P123)</f>
        <v>0</v>
      </c>
    </row>
    <row r="124" spans="14:17">
      <c r="N124" s="11">
        <v>115</v>
      </c>
      <c r="O124" s="11">
        <f t="shared" si="7"/>
        <v>22</v>
      </c>
      <c r="P124" s="11">
        <f t="shared" si="8"/>
        <v>5</v>
      </c>
      <c r="Q124" s="12" cm="1">
        <f t="array" ref="Q124">INDEX('Subject-ConceptMap'!U108:Y362,1+O124,P124)</f>
        <v>0</v>
      </c>
    </row>
    <row r="125" spans="14:17">
      <c r="N125" s="11">
        <v>116</v>
      </c>
      <c r="O125" s="11">
        <f t="shared" si="7"/>
        <v>23</v>
      </c>
      <c r="P125" s="11">
        <f t="shared" si="8"/>
        <v>1</v>
      </c>
      <c r="Q125" s="12" cm="1">
        <f t="array" ref="Q125">INDEX('Subject-ConceptMap'!U109:Y363,1+O125,P125)</f>
        <v>0</v>
      </c>
    </row>
    <row r="126" spans="14:17">
      <c r="N126" s="11">
        <v>117</v>
      </c>
      <c r="O126" s="11">
        <f t="shared" si="7"/>
        <v>23</v>
      </c>
      <c r="P126" s="11">
        <f t="shared" si="8"/>
        <v>2</v>
      </c>
      <c r="Q126" s="12" cm="1">
        <f t="array" ref="Q126">INDEX('Subject-ConceptMap'!U110:Y364,1+O126,P126)</f>
        <v>0</v>
      </c>
    </row>
    <row r="127" spans="14:17">
      <c r="N127" s="11">
        <v>118</v>
      </c>
      <c r="O127" s="11">
        <f t="shared" si="7"/>
        <v>23</v>
      </c>
      <c r="P127" s="11">
        <f t="shared" si="8"/>
        <v>3</v>
      </c>
      <c r="Q127" s="12" cm="1">
        <f t="array" ref="Q127">INDEX('Subject-ConceptMap'!U111:Y365,1+O127,P127)</f>
        <v>0</v>
      </c>
    </row>
    <row r="128" spans="14:17">
      <c r="N128" s="11">
        <v>119</v>
      </c>
      <c r="O128" s="11">
        <f t="shared" si="7"/>
        <v>23</v>
      </c>
      <c r="P128" s="11">
        <f t="shared" si="8"/>
        <v>4</v>
      </c>
      <c r="Q128" s="12" cm="1">
        <f t="array" ref="Q128">INDEX('Subject-ConceptMap'!U112:Y366,1+O128,P128)</f>
        <v>0</v>
      </c>
    </row>
    <row r="129" spans="14:17">
      <c r="N129" s="11">
        <v>120</v>
      </c>
      <c r="O129" s="11">
        <f t="shared" si="7"/>
        <v>23</v>
      </c>
      <c r="P129" s="11">
        <f t="shared" si="8"/>
        <v>5</v>
      </c>
      <c r="Q129" s="12" cm="1">
        <f t="array" ref="Q129">INDEX('Subject-ConceptMap'!U113:Y367,1+O129,P129)</f>
        <v>0</v>
      </c>
    </row>
    <row r="130" spans="14:17">
      <c r="N130" s="11">
        <v>121</v>
      </c>
      <c r="O130" s="11">
        <f t="shared" si="7"/>
        <v>24</v>
      </c>
      <c r="P130" s="11">
        <f t="shared" si="8"/>
        <v>1</v>
      </c>
      <c r="Q130" s="12" cm="1">
        <f t="array" ref="Q130">INDEX('Subject-ConceptMap'!U114:Y368,1+O130,P130)</f>
        <v>0</v>
      </c>
    </row>
    <row r="131" spans="14:17">
      <c r="N131" s="11">
        <v>122</v>
      </c>
      <c r="O131" s="11">
        <f t="shared" si="7"/>
        <v>24</v>
      </c>
      <c r="P131" s="11">
        <f t="shared" si="8"/>
        <v>2</v>
      </c>
      <c r="Q131" s="12" cm="1">
        <f t="array" ref="Q131">INDEX('Subject-ConceptMap'!U115:Y369,1+O131,P131)</f>
        <v>0</v>
      </c>
    </row>
    <row r="132" spans="14:17">
      <c r="N132" s="11">
        <v>123</v>
      </c>
      <c r="O132" s="11">
        <f t="shared" si="7"/>
        <v>24</v>
      </c>
      <c r="P132" s="11">
        <f t="shared" si="8"/>
        <v>3</v>
      </c>
      <c r="Q132" s="12" cm="1">
        <f t="array" ref="Q132">INDEX('Subject-ConceptMap'!U116:Y370,1+O132,P132)</f>
        <v>0</v>
      </c>
    </row>
    <row r="133" spans="14:17">
      <c r="N133" s="11">
        <v>124</v>
      </c>
      <c r="O133" s="11">
        <f t="shared" si="7"/>
        <v>24</v>
      </c>
      <c r="P133" s="11">
        <f t="shared" si="8"/>
        <v>4</v>
      </c>
      <c r="Q133" s="12" cm="1">
        <f t="array" ref="Q133">INDEX('Subject-ConceptMap'!U117:Y371,1+O133,P133)</f>
        <v>0</v>
      </c>
    </row>
    <row r="134" spans="14:17">
      <c r="N134" s="11">
        <v>125</v>
      </c>
      <c r="O134" s="11">
        <f t="shared" si="7"/>
        <v>24</v>
      </c>
      <c r="P134" s="11">
        <f t="shared" si="8"/>
        <v>5</v>
      </c>
      <c r="Q134" s="12" cm="1">
        <f t="array" ref="Q134">INDEX('Subject-ConceptMap'!U118:Y372,1+O134,P134)</f>
        <v>0</v>
      </c>
    </row>
    <row r="135" spans="14:17">
      <c r="N135" s="11">
        <v>126</v>
      </c>
      <c r="O135" s="11">
        <f t="shared" si="7"/>
        <v>25</v>
      </c>
      <c r="P135" s="11">
        <f t="shared" si="8"/>
        <v>1</v>
      </c>
      <c r="Q135" s="12" cm="1">
        <f t="array" ref="Q135">INDEX('Subject-ConceptMap'!U119:Y373,1+O135,P135)</f>
        <v>0</v>
      </c>
    </row>
    <row r="136" spans="14:17">
      <c r="N136" s="11">
        <v>127</v>
      </c>
      <c r="O136" s="11">
        <f t="shared" si="7"/>
        <v>25</v>
      </c>
      <c r="P136" s="11">
        <f t="shared" si="8"/>
        <v>2</v>
      </c>
      <c r="Q136" s="12" cm="1">
        <f t="array" ref="Q136">INDEX('Subject-ConceptMap'!U120:Y374,1+O136,P136)</f>
        <v>0</v>
      </c>
    </row>
    <row r="137" spans="14:17">
      <c r="N137" s="11">
        <v>128</v>
      </c>
      <c r="O137" s="11">
        <f t="shared" si="7"/>
        <v>25</v>
      </c>
      <c r="P137" s="11">
        <f t="shared" si="8"/>
        <v>3</v>
      </c>
      <c r="Q137" s="12" cm="1">
        <f t="array" ref="Q137">INDEX('Subject-ConceptMap'!U121:Y375,1+O137,P137)</f>
        <v>0</v>
      </c>
    </row>
    <row r="138" spans="14:17">
      <c r="N138" s="11">
        <v>129</v>
      </c>
      <c r="O138" s="11">
        <f t="shared" si="7"/>
        <v>25</v>
      </c>
      <c r="P138" s="11">
        <f t="shared" si="8"/>
        <v>4</v>
      </c>
      <c r="Q138" s="12" cm="1">
        <f t="array" ref="Q138">INDEX('Subject-ConceptMap'!U122:Y376,1+O138,P138)</f>
        <v>0</v>
      </c>
    </row>
    <row r="139" spans="14:17">
      <c r="N139" s="11">
        <v>130</v>
      </c>
      <c r="O139" s="11">
        <f t="shared" ref="O139:O184" si="9">IF(MOD(N139,$O$3)=0,N139/$O$3-1,INT(N139/$O$3))</f>
        <v>25</v>
      </c>
      <c r="P139" s="11">
        <f t="shared" ref="P139:P184" si="10">IF(MOD(N139,$O$3)=0,$O$3,MOD(N139,$O$3))</f>
        <v>5</v>
      </c>
      <c r="Q139" s="12" cm="1">
        <f t="array" ref="Q139">INDEX('Subject-ConceptMap'!U123:Y377,1+O139,P139)</f>
        <v>0</v>
      </c>
    </row>
    <row r="140" spans="14:17">
      <c r="N140" s="11">
        <v>131</v>
      </c>
      <c r="O140" s="11">
        <f t="shared" si="9"/>
        <v>26</v>
      </c>
      <c r="P140" s="11">
        <f t="shared" si="10"/>
        <v>1</v>
      </c>
      <c r="Q140" s="12" cm="1">
        <f t="array" ref="Q140">INDEX('Subject-ConceptMap'!U124:Y378,1+O140,P140)</f>
        <v>0</v>
      </c>
    </row>
    <row r="141" spans="14:17">
      <c r="N141" s="11">
        <v>132</v>
      </c>
      <c r="O141" s="11">
        <f t="shared" si="9"/>
        <v>26</v>
      </c>
      <c r="P141" s="11">
        <f t="shared" si="10"/>
        <v>2</v>
      </c>
      <c r="Q141" s="12" cm="1">
        <f t="array" ref="Q141">INDEX('Subject-ConceptMap'!U125:Y379,1+O141,P141)</f>
        <v>0</v>
      </c>
    </row>
    <row r="142" spans="14:17">
      <c r="N142" s="11">
        <v>133</v>
      </c>
      <c r="O142" s="11">
        <f t="shared" si="9"/>
        <v>26</v>
      </c>
      <c r="P142" s="11">
        <f t="shared" si="10"/>
        <v>3</v>
      </c>
      <c r="Q142" s="12" cm="1">
        <f t="array" ref="Q142">INDEX('Subject-ConceptMap'!U126:Y380,1+O142,P142)</f>
        <v>0</v>
      </c>
    </row>
    <row r="143" spans="14:17">
      <c r="N143" s="11">
        <v>134</v>
      </c>
      <c r="O143" s="11">
        <f t="shared" si="9"/>
        <v>26</v>
      </c>
      <c r="P143" s="11">
        <f t="shared" si="10"/>
        <v>4</v>
      </c>
      <c r="Q143" s="12" cm="1">
        <f t="array" ref="Q143">INDEX('Subject-ConceptMap'!U127:Y381,1+O143,P143)</f>
        <v>0</v>
      </c>
    </row>
    <row r="144" spans="14:17">
      <c r="N144" s="11">
        <v>135</v>
      </c>
      <c r="O144" s="11">
        <f t="shared" si="9"/>
        <v>26</v>
      </c>
      <c r="P144" s="11">
        <f t="shared" si="10"/>
        <v>5</v>
      </c>
      <c r="Q144" s="12" cm="1">
        <f t="array" ref="Q144">INDEX('Subject-ConceptMap'!U128:Y382,1+O144,P144)</f>
        <v>0</v>
      </c>
    </row>
    <row r="145" spans="14:17">
      <c r="N145" s="11">
        <v>136</v>
      </c>
      <c r="O145" s="11">
        <f t="shared" si="9"/>
        <v>27</v>
      </c>
      <c r="P145" s="11">
        <f t="shared" si="10"/>
        <v>1</v>
      </c>
      <c r="Q145" s="12" cm="1">
        <f t="array" ref="Q145">INDEX('Subject-ConceptMap'!U129:Y383,1+O145,P145)</f>
        <v>0</v>
      </c>
    </row>
    <row r="146" spans="14:17">
      <c r="N146" s="11">
        <v>137</v>
      </c>
      <c r="O146" s="11">
        <f t="shared" si="9"/>
        <v>27</v>
      </c>
      <c r="P146" s="11">
        <f t="shared" si="10"/>
        <v>2</v>
      </c>
      <c r="Q146" s="12" cm="1">
        <f t="array" ref="Q146">INDEX('Subject-ConceptMap'!U130:Y384,1+O146,P146)</f>
        <v>0</v>
      </c>
    </row>
    <row r="147" spans="14:17">
      <c r="N147" s="11">
        <v>138</v>
      </c>
      <c r="O147" s="11">
        <f t="shared" si="9"/>
        <v>27</v>
      </c>
      <c r="P147" s="11">
        <f t="shared" si="10"/>
        <v>3</v>
      </c>
      <c r="Q147" s="12" cm="1">
        <f t="array" ref="Q147">INDEX('Subject-ConceptMap'!U131:Y385,1+O147,P147)</f>
        <v>0</v>
      </c>
    </row>
    <row r="148" spans="14:17">
      <c r="N148" s="11">
        <v>139</v>
      </c>
      <c r="O148" s="11">
        <f t="shared" si="9"/>
        <v>27</v>
      </c>
      <c r="P148" s="11">
        <f t="shared" si="10"/>
        <v>4</v>
      </c>
      <c r="Q148" s="12" cm="1">
        <f t="array" ref="Q148">INDEX('Subject-ConceptMap'!U132:Y386,1+O148,P148)</f>
        <v>0</v>
      </c>
    </row>
    <row r="149" spans="14:17">
      <c r="N149" s="11">
        <v>140</v>
      </c>
      <c r="O149" s="11">
        <f t="shared" si="9"/>
        <v>27</v>
      </c>
      <c r="P149" s="11">
        <f t="shared" si="10"/>
        <v>5</v>
      </c>
      <c r="Q149" s="12" cm="1">
        <f t="array" ref="Q149">INDEX('Subject-ConceptMap'!U133:Y387,1+O149,P149)</f>
        <v>0</v>
      </c>
    </row>
    <row r="150" spans="14:17">
      <c r="N150" s="11">
        <v>141</v>
      </c>
      <c r="O150" s="11">
        <f t="shared" si="9"/>
        <v>28</v>
      </c>
      <c r="P150" s="11">
        <f t="shared" si="10"/>
        <v>1</v>
      </c>
      <c r="Q150" s="12" cm="1">
        <f t="array" ref="Q150">INDEX('Subject-ConceptMap'!U134:Y388,1+O150,P150)</f>
        <v>0</v>
      </c>
    </row>
    <row r="151" spans="14:17">
      <c r="N151" s="11">
        <v>142</v>
      </c>
      <c r="O151" s="11">
        <f t="shared" si="9"/>
        <v>28</v>
      </c>
      <c r="P151" s="11">
        <f t="shared" si="10"/>
        <v>2</v>
      </c>
      <c r="Q151" s="12" cm="1">
        <f t="array" ref="Q151">INDEX('Subject-ConceptMap'!U135:Y389,1+O151,P151)</f>
        <v>0</v>
      </c>
    </row>
    <row r="152" spans="14:17">
      <c r="N152" s="11">
        <v>143</v>
      </c>
      <c r="O152" s="11">
        <f t="shared" si="9"/>
        <v>28</v>
      </c>
      <c r="P152" s="11">
        <f t="shared" si="10"/>
        <v>3</v>
      </c>
      <c r="Q152" s="12" cm="1">
        <f t="array" ref="Q152">INDEX('Subject-ConceptMap'!U136:Y390,1+O152,P152)</f>
        <v>0</v>
      </c>
    </row>
    <row r="153" spans="14:17">
      <c r="N153" s="11">
        <v>144</v>
      </c>
      <c r="O153" s="11">
        <f t="shared" si="9"/>
        <v>28</v>
      </c>
      <c r="P153" s="11">
        <f t="shared" si="10"/>
        <v>4</v>
      </c>
      <c r="Q153" s="12" cm="1">
        <f t="array" ref="Q153">INDEX('Subject-ConceptMap'!U137:Y391,1+O153,P153)</f>
        <v>0</v>
      </c>
    </row>
    <row r="154" spans="14:17">
      <c r="N154" s="11">
        <v>145</v>
      </c>
      <c r="O154" s="11">
        <f t="shared" si="9"/>
        <v>28</v>
      </c>
      <c r="P154" s="11">
        <f t="shared" si="10"/>
        <v>5</v>
      </c>
      <c r="Q154" s="12" cm="1">
        <f t="array" ref="Q154">INDEX('Subject-ConceptMap'!U138:Y392,1+O154,P154)</f>
        <v>0</v>
      </c>
    </row>
    <row r="155" spans="14:17">
      <c r="N155" s="11">
        <v>146</v>
      </c>
      <c r="O155" s="11">
        <f t="shared" si="9"/>
        <v>29</v>
      </c>
      <c r="P155" s="11">
        <f t="shared" si="10"/>
        <v>1</v>
      </c>
      <c r="Q155" s="12" cm="1">
        <f t="array" ref="Q155">INDEX('Subject-ConceptMap'!U139:Y393,1+O155,P155)</f>
        <v>0</v>
      </c>
    </row>
    <row r="156" spans="14:17">
      <c r="N156" s="11">
        <v>147</v>
      </c>
      <c r="O156" s="11">
        <f t="shared" si="9"/>
        <v>29</v>
      </c>
      <c r="P156" s="11">
        <f t="shared" si="10"/>
        <v>2</v>
      </c>
      <c r="Q156" s="12" cm="1">
        <f t="array" ref="Q156">INDEX('Subject-ConceptMap'!U140:Y394,1+O156,P156)</f>
        <v>0</v>
      </c>
    </row>
    <row r="157" spans="14:17">
      <c r="N157" s="11">
        <v>148</v>
      </c>
      <c r="O157" s="11">
        <f t="shared" si="9"/>
        <v>29</v>
      </c>
      <c r="P157" s="11">
        <f t="shared" si="10"/>
        <v>3</v>
      </c>
      <c r="Q157" s="12" cm="1">
        <f t="array" ref="Q157">INDEX('Subject-ConceptMap'!U141:Y395,1+O157,P157)</f>
        <v>0</v>
      </c>
    </row>
    <row r="158" spans="14:17">
      <c r="N158" s="11">
        <v>149</v>
      </c>
      <c r="O158" s="11">
        <f t="shared" si="9"/>
        <v>29</v>
      </c>
      <c r="P158" s="11">
        <f t="shared" si="10"/>
        <v>4</v>
      </c>
      <c r="Q158" s="12" cm="1">
        <f t="array" ref="Q158">INDEX('Subject-ConceptMap'!U142:Y396,1+O158,P158)</f>
        <v>0</v>
      </c>
    </row>
    <row r="159" spans="14:17">
      <c r="N159" s="11">
        <v>150</v>
      </c>
      <c r="O159" s="11">
        <f t="shared" si="9"/>
        <v>29</v>
      </c>
      <c r="P159" s="11">
        <f t="shared" si="10"/>
        <v>5</v>
      </c>
      <c r="Q159" s="12" cm="1">
        <f t="array" ref="Q159">INDEX('Subject-ConceptMap'!U143:Y397,1+O159,P159)</f>
        <v>0</v>
      </c>
    </row>
    <row r="160" spans="14:17">
      <c r="N160" s="11">
        <v>151</v>
      </c>
      <c r="O160" s="11">
        <f t="shared" si="9"/>
        <v>30</v>
      </c>
      <c r="P160" s="11">
        <f t="shared" si="10"/>
        <v>1</v>
      </c>
      <c r="Q160" s="12" cm="1">
        <f t="array" ref="Q160">INDEX('Subject-ConceptMap'!U144:Y398,1+O160,P160)</f>
        <v>0</v>
      </c>
    </row>
    <row r="161" spans="14:17">
      <c r="N161" s="11">
        <v>152</v>
      </c>
      <c r="O161" s="11">
        <f t="shared" si="9"/>
        <v>30</v>
      </c>
      <c r="P161" s="11">
        <f t="shared" si="10"/>
        <v>2</v>
      </c>
      <c r="Q161" s="12" cm="1">
        <f t="array" ref="Q161">INDEX('Subject-ConceptMap'!U145:Y399,1+O161,P161)</f>
        <v>0</v>
      </c>
    </row>
    <row r="162" spans="14:17">
      <c r="N162" s="11">
        <v>153</v>
      </c>
      <c r="O162" s="11">
        <f t="shared" si="9"/>
        <v>30</v>
      </c>
      <c r="P162" s="11">
        <f t="shared" si="10"/>
        <v>3</v>
      </c>
      <c r="Q162" s="12" cm="1">
        <f t="array" ref="Q162">INDEX('Subject-ConceptMap'!U146:Y400,1+O162,P162)</f>
        <v>0</v>
      </c>
    </row>
    <row r="163" spans="14:17">
      <c r="N163" s="11">
        <v>154</v>
      </c>
      <c r="O163" s="11">
        <f t="shared" si="9"/>
        <v>30</v>
      </c>
      <c r="P163" s="11">
        <f t="shared" si="10"/>
        <v>4</v>
      </c>
      <c r="Q163" s="12" cm="1">
        <f t="array" ref="Q163">INDEX('Subject-ConceptMap'!U147:Y401,1+O163,P163)</f>
        <v>0</v>
      </c>
    </row>
    <row r="164" spans="14:17">
      <c r="N164" s="11">
        <v>155</v>
      </c>
      <c r="O164" s="11">
        <f t="shared" si="9"/>
        <v>30</v>
      </c>
      <c r="P164" s="11">
        <f t="shared" si="10"/>
        <v>5</v>
      </c>
      <c r="Q164" s="12" cm="1">
        <f t="array" ref="Q164">INDEX('Subject-ConceptMap'!U148:Y402,1+O164,P164)</f>
        <v>0</v>
      </c>
    </row>
    <row r="165" spans="14:17">
      <c r="N165" s="11">
        <v>156</v>
      </c>
      <c r="O165" s="11">
        <f t="shared" si="9"/>
        <v>31</v>
      </c>
      <c r="P165" s="11">
        <f t="shared" si="10"/>
        <v>1</v>
      </c>
      <c r="Q165" s="12" cm="1">
        <f t="array" ref="Q165">INDEX('Subject-ConceptMap'!U149:Y403,1+O165,P165)</f>
        <v>0</v>
      </c>
    </row>
    <row r="166" spans="14:17">
      <c r="N166" s="11">
        <v>157</v>
      </c>
      <c r="O166" s="11">
        <f t="shared" si="9"/>
        <v>31</v>
      </c>
      <c r="P166" s="11">
        <f t="shared" si="10"/>
        <v>2</v>
      </c>
      <c r="Q166" s="12" cm="1">
        <f t="array" ref="Q166">INDEX('Subject-ConceptMap'!U150:Y404,1+O166,P166)</f>
        <v>0</v>
      </c>
    </row>
    <row r="167" spans="14:17">
      <c r="N167" s="11">
        <v>158</v>
      </c>
      <c r="O167" s="11">
        <f t="shared" si="9"/>
        <v>31</v>
      </c>
      <c r="P167" s="11">
        <f t="shared" si="10"/>
        <v>3</v>
      </c>
      <c r="Q167" s="12" cm="1">
        <f t="array" ref="Q167">INDEX('Subject-ConceptMap'!U151:Y405,1+O167,P167)</f>
        <v>0</v>
      </c>
    </row>
    <row r="168" spans="14:17">
      <c r="N168" s="11">
        <v>159</v>
      </c>
      <c r="O168" s="11">
        <f t="shared" si="9"/>
        <v>31</v>
      </c>
      <c r="P168" s="11">
        <f t="shared" si="10"/>
        <v>4</v>
      </c>
      <c r="Q168" s="12" cm="1">
        <f t="array" ref="Q168">INDEX('Subject-ConceptMap'!U152:Y406,1+O168,P168)</f>
        <v>0</v>
      </c>
    </row>
    <row r="169" spans="14:17">
      <c r="N169" s="11">
        <v>160</v>
      </c>
      <c r="O169" s="11">
        <f t="shared" si="9"/>
        <v>31</v>
      </c>
      <c r="P169" s="11">
        <f t="shared" si="10"/>
        <v>5</v>
      </c>
      <c r="Q169" s="12" cm="1">
        <f t="array" ref="Q169">INDEX('Subject-ConceptMap'!U153:Y407,1+O169,P169)</f>
        <v>0</v>
      </c>
    </row>
    <row r="170" spans="14:17">
      <c r="N170" s="11">
        <v>161</v>
      </c>
      <c r="O170" s="11">
        <f t="shared" si="9"/>
        <v>32</v>
      </c>
      <c r="P170" s="11">
        <f t="shared" si="10"/>
        <v>1</v>
      </c>
      <c r="Q170" s="12" cm="1">
        <f t="array" ref="Q170">INDEX('Subject-ConceptMap'!U154:Y408,1+O170,P170)</f>
        <v>0</v>
      </c>
    </row>
    <row r="171" spans="14:17">
      <c r="N171" s="11">
        <v>162</v>
      </c>
      <c r="O171" s="11">
        <f t="shared" si="9"/>
        <v>32</v>
      </c>
      <c r="P171" s="11">
        <f t="shared" si="10"/>
        <v>2</v>
      </c>
      <c r="Q171" s="12" cm="1">
        <f t="array" ref="Q171">INDEX('Subject-ConceptMap'!U155:Y409,1+O171,P171)</f>
        <v>0</v>
      </c>
    </row>
    <row r="172" spans="14:17">
      <c r="N172" s="11">
        <v>163</v>
      </c>
      <c r="O172" s="11">
        <f t="shared" si="9"/>
        <v>32</v>
      </c>
      <c r="P172" s="11">
        <f t="shared" si="10"/>
        <v>3</v>
      </c>
      <c r="Q172" s="12" cm="1">
        <f t="array" ref="Q172">INDEX('Subject-ConceptMap'!U156:Y410,1+O172,P172)</f>
        <v>0</v>
      </c>
    </row>
    <row r="173" spans="14:17">
      <c r="N173" s="11">
        <v>164</v>
      </c>
      <c r="O173" s="11">
        <f t="shared" si="9"/>
        <v>32</v>
      </c>
      <c r="P173" s="11">
        <f t="shared" si="10"/>
        <v>4</v>
      </c>
      <c r="Q173" s="12" cm="1">
        <f t="array" ref="Q173">INDEX('Subject-ConceptMap'!U157:Y411,1+O173,P173)</f>
        <v>0</v>
      </c>
    </row>
    <row r="174" spans="14:17">
      <c r="N174" s="11">
        <v>165</v>
      </c>
      <c r="O174" s="11">
        <f t="shared" si="9"/>
        <v>32</v>
      </c>
      <c r="P174" s="11">
        <f t="shared" si="10"/>
        <v>5</v>
      </c>
      <c r="Q174" s="12" cm="1">
        <f t="array" ref="Q174">INDEX('Subject-ConceptMap'!U158:Y412,1+O174,P174)</f>
        <v>0</v>
      </c>
    </row>
    <row r="175" spans="14:17">
      <c r="N175" s="11">
        <v>166</v>
      </c>
      <c r="O175" s="11">
        <f t="shared" si="9"/>
        <v>33</v>
      </c>
      <c r="P175" s="11">
        <f t="shared" si="10"/>
        <v>1</v>
      </c>
      <c r="Q175" s="12" cm="1">
        <f t="array" ref="Q175">INDEX('Subject-ConceptMap'!U159:Y413,1+O175,P175)</f>
        <v>0</v>
      </c>
    </row>
    <row r="176" spans="14:17">
      <c r="N176" s="11">
        <v>167</v>
      </c>
      <c r="O176" s="11">
        <f t="shared" si="9"/>
        <v>33</v>
      </c>
      <c r="P176" s="11">
        <f t="shared" si="10"/>
        <v>2</v>
      </c>
      <c r="Q176" s="12" cm="1">
        <f t="array" ref="Q176">INDEX('Subject-ConceptMap'!U160:Y414,1+O176,P176)</f>
        <v>0</v>
      </c>
    </row>
    <row r="177" spans="14:17">
      <c r="N177" s="11">
        <v>168</v>
      </c>
      <c r="O177" s="11">
        <f t="shared" si="9"/>
        <v>33</v>
      </c>
      <c r="P177" s="11">
        <f t="shared" si="10"/>
        <v>3</v>
      </c>
      <c r="Q177" s="12" cm="1">
        <f t="array" ref="Q177">INDEX('Subject-ConceptMap'!U161:Y415,1+O177,P177)</f>
        <v>0</v>
      </c>
    </row>
    <row r="178" spans="14:17">
      <c r="N178" s="11">
        <v>169</v>
      </c>
      <c r="O178" s="11">
        <f t="shared" si="9"/>
        <v>33</v>
      </c>
      <c r="P178" s="11">
        <f t="shared" si="10"/>
        <v>4</v>
      </c>
      <c r="Q178" s="12" cm="1">
        <f t="array" ref="Q178">INDEX('Subject-ConceptMap'!U162:Y416,1+O178,P178)</f>
        <v>0</v>
      </c>
    </row>
    <row r="179" spans="14:17">
      <c r="N179" s="11">
        <v>170</v>
      </c>
      <c r="O179" s="11">
        <f t="shared" si="9"/>
        <v>33</v>
      </c>
      <c r="P179" s="11">
        <f t="shared" si="10"/>
        <v>5</v>
      </c>
      <c r="Q179" s="12" cm="1">
        <f t="array" ref="Q179">INDEX('Subject-ConceptMap'!U163:Y417,1+O179,P179)</f>
        <v>0</v>
      </c>
    </row>
    <row r="180" spans="14:17">
      <c r="N180" s="11">
        <v>171</v>
      </c>
      <c r="O180" s="11">
        <f t="shared" si="9"/>
        <v>34</v>
      </c>
      <c r="P180" s="11">
        <f t="shared" si="10"/>
        <v>1</v>
      </c>
      <c r="Q180" s="12" cm="1">
        <f t="array" ref="Q180">INDEX('Subject-ConceptMap'!U164:Y418,1+O180,P180)</f>
        <v>0</v>
      </c>
    </row>
    <row r="181" spans="14:17">
      <c r="N181" s="11">
        <v>172</v>
      </c>
      <c r="O181" s="11">
        <f t="shared" si="9"/>
        <v>34</v>
      </c>
      <c r="P181" s="11">
        <f t="shared" si="10"/>
        <v>2</v>
      </c>
      <c r="Q181" s="12" cm="1">
        <f t="array" ref="Q181">INDEX('Subject-ConceptMap'!U165:Y419,1+O181,P181)</f>
        <v>0</v>
      </c>
    </row>
    <row r="182" spans="14:17">
      <c r="N182" s="11">
        <v>173</v>
      </c>
      <c r="O182" s="11">
        <f t="shared" si="9"/>
        <v>34</v>
      </c>
      <c r="P182" s="11">
        <f t="shared" si="10"/>
        <v>3</v>
      </c>
      <c r="Q182" s="12" cm="1">
        <f t="array" ref="Q182">INDEX('Subject-ConceptMap'!U166:Y420,1+O182,P182)</f>
        <v>0</v>
      </c>
    </row>
    <row r="183" spans="14:17">
      <c r="N183" s="11">
        <v>174</v>
      </c>
      <c r="O183" s="11">
        <f t="shared" si="9"/>
        <v>34</v>
      </c>
      <c r="P183" s="11">
        <f t="shared" si="10"/>
        <v>4</v>
      </c>
      <c r="Q183" s="12" cm="1">
        <f t="array" ref="Q183">INDEX('Subject-ConceptMap'!U167:Y421,1+O183,P183)</f>
        <v>0</v>
      </c>
    </row>
    <row r="184" spans="14:17">
      <c r="N184" s="11">
        <v>175</v>
      </c>
      <c r="O184" s="11">
        <f t="shared" si="9"/>
        <v>34</v>
      </c>
      <c r="P184" s="11">
        <f t="shared" si="10"/>
        <v>5</v>
      </c>
      <c r="Q184" s="12" cm="1">
        <f t="array" ref="Q184">INDEX('Subject-ConceptMap'!U168:Y422,1+O184,P184)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D5EF33B-3919-4BE4-A8D6-CE0404C75504}">
          <x14:formula1>
            <xm:f>Foglio2!$D$6:$D$15</xm:f>
          </x14:formula1>
          <xm:sqref>L37:L46 I34:I46 J21:K46 F10:G46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27781-A722-49BA-8657-D6A93BE71BAA}">
  <sheetPr codeName="Foglio12">
    <tabColor rgb="FFFF0000"/>
  </sheetPr>
  <dimension ref="B1:G77"/>
  <sheetViews>
    <sheetView workbookViewId="0">
      <selection activeCell="I1" sqref="I1:I20"/>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4" t="s">
        <v>21</v>
      </c>
    </row>
    <row r="2" spans="2:7" ht="16.75" thickBot="1">
      <c r="B2" s="25" t="s">
        <v>1459</v>
      </c>
      <c r="G2" s="30" t="s">
        <v>1476</v>
      </c>
    </row>
    <row r="3" spans="2:7">
      <c r="B3" s="25" t="s">
        <v>21</v>
      </c>
    </row>
    <row r="4" spans="2:7">
      <c r="B4" s="69" t="s">
        <v>1477</v>
      </c>
    </row>
    <row r="5" spans="2:7">
      <c r="B5" s="69" t="s">
        <v>1457</v>
      </c>
    </row>
    <row r="6" spans="2:7">
      <c r="B6" s="69" t="s">
        <v>1448</v>
      </c>
    </row>
    <row r="7" spans="2:7">
      <c r="B7" s="69" t="s">
        <v>1478</v>
      </c>
    </row>
    <row r="8" spans="2:7">
      <c r="B8" s="69" t="s">
        <v>1479</v>
      </c>
    </row>
    <row r="9" spans="2:7">
      <c r="B9" s="69" t="s">
        <v>1480</v>
      </c>
    </row>
    <row r="10" spans="2:7">
      <c r="B10" s="69" t="s">
        <v>1449</v>
      </c>
    </row>
    <row r="11" spans="2:7">
      <c r="B11" s="69" t="s">
        <v>1450</v>
      </c>
    </row>
    <row r="12" spans="2:7">
      <c r="B12" s="69" t="s">
        <v>1481</v>
      </c>
    </row>
    <row r="13" spans="2:7">
      <c r="B13" s="69" t="s">
        <v>1482</v>
      </c>
    </row>
    <row r="14" spans="2:7">
      <c r="B14" s="73" t="s">
        <v>1472</v>
      </c>
    </row>
    <row r="15" spans="2:7">
      <c r="B15" s="73" t="s">
        <v>1473</v>
      </c>
    </row>
    <row r="16" spans="2:7">
      <c r="B16" s="69"/>
    </row>
    <row r="17" spans="2:7">
      <c r="B17" s="72" t="s">
        <v>1474</v>
      </c>
    </row>
    <row r="18" spans="2:7">
      <c r="B18" s="72" t="s">
        <v>1475</v>
      </c>
    </row>
    <row r="19" spans="2:7">
      <c r="B19" s="74"/>
    </row>
    <row r="20" spans="2:7">
      <c r="B20" s="12" t="str">
        <f>IF('Subject-ConceptMap'!Q10=0,"//---END",'Subject-ConceptMap'!Q10)</f>
        <v>* group[=].element[+].code = #Subject</v>
      </c>
    </row>
    <row r="21" spans="2:7">
      <c r="B21" s="12" t="str">
        <f>IF('Subject-ConceptMap'!Q11=0,"//---END",'Subject-ConceptMap'!Q11)</f>
        <v>* group[=].element[=].display = ##34#Subject of care##34#</v>
      </c>
    </row>
    <row r="22" spans="2:7">
      <c r="B22" s="12" t="str">
        <f>IF('Subject-ConceptMap'!Q12=0,"//---END",'Subject-ConceptMap'!Q12)</f>
        <v>* group[=].element[=].target.code = #Osiris.Patient</v>
      </c>
    </row>
    <row r="23" spans="2:7">
      <c r="B23" s="12" t="str">
        <f>IF('Subject-ConceptMap'!Q13=0,"//---END",'Subject-ConceptMap'!Q13)</f>
        <v>* group[=].element[=].target.display = ##34#Patient##34#</v>
      </c>
    </row>
    <row r="24" spans="2:7">
      <c r="B24" s="12" t="str">
        <f>IF('Subject-ConceptMap'!Q14=0,"//---END",'Subject-ConceptMap'!Q14)</f>
        <v>* group[=].element[=].target.equivalence = #equivalent</v>
      </c>
    </row>
    <row r="25" spans="2:7">
      <c r="B25" s="12" t="str">
        <f>IF('Subject-ConceptMap'!Q15=0,"//---END",'Subject-ConceptMap'!Q15)</f>
        <v>* group[=].element[+].code = #Subject.dateOfBirth</v>
      </c>
      <c r="G25" s="7"/>
    </row>
    <row r="26" spans="2:7">
      <c r="B26" s="12" t="str">
        <f>IF('Subject-ConceptMap'!Q16=0,"//---END",'Subject-ConceptMap'!Q16)</f>
        <v>* group[=].element[=].display = ##34#Date of birth##34#</v>
      </c>
    </row>
    <row r="27" spans="2:7">
      <c r="B27" s="12" t="str">
        <f>IF('Subject-ConceptMap'!Q17=0,"//---END",'Subject-ConceptMap'!Q17)</f>
        <v>* group[=].element[=].target.code = #Osiris.Patient.BirthDate</v>
      </c>
    </row>
    <row r="28" spans="2:7">
      <c r="B28" s="12" t="str">
        <f>IF('Subject-ConceptMap'!Q18=0,"//---END",'Subject-ConceptMap'!Q18)</f>
        <v>* group[=].element[=].target.display = ##34#Birth Date [C4]##34#</v>
      </c>
    </row>
    <row r="29" spans="2:7">
      <c r="B29" s="12" t="str">
        <f>IF('Subject-ConceptMap'!Q19=0,"//---END",'Subject-ConceptMap'!Q19)</f>
        <v>* group[=].element[=].target.equivalence = #relatedto</v>
      </c>
    </row>
    <row r="30" spans="2:7">
      <c r="B30" s="12" t="str">
        <f>IF('Subject-ConceptMap'!Q20=0,"//---END",'Subject-ConceptMap'!Q20)</f>
        <v>* group[=].element[+].code = #Subject.dateOfBirth.date</v>
      </c>
    </row>
    <row r="31" spans="2:7">
      <c r="B31" s="12" t="str">
        <f>IF('Subject-ConceptMap'!Q21=0,"//---END",'Subject-ConceptMap'!Q21)</f>
        <v>* group[=].element[=].display = ##34#Date of birth##34#</v>
      </c>
    </row>
    <row r="32" spans="2:7">
      <c r="B32" s="12" t="str">
        <f>IF('Subject-ConceptMap'!Q22=0,"//---END",'Subject-ConceptMap'!Q22)</f>
        <v>* group[=].element[=].target.code = #Osiris.Patient.BirthDate</v>
      </c>
    </row>
    <row r="33" spans="2:2">
      <c r="B33" s="12" t="str">
        <f>IF('Subject-ConceptMap'!Q23=0,"//---END",'Subject-ConceptMap'!Q23)</f>
        <v>* group[=].element[=].target.display = ##34#Birth Date [C4]##34#</v>
      </c>
    </row>
    <row r="34" spans="2:2">
      <c r="B34" s="12" t="str">
        <f>IF('Subject-ConceptMap'!Q24=0,"//---END",'Subject-ConceptMap'!Q24)</f>
        <v>* group[=].element[=].target.equivalence = #equivalent</v>
      </c>
    </row>
    <row r="35" spans="2:2">
      <c r="B35" s="12" t="str">
        <f>IF('Subject-ConceptMap'!Q25=0,"//---END",'Subject-ConceptMap'!Q25)</f>
        <v>* group[=].element[+].code = #Subject.dateOfBirth.unknown</v>
      </c>
    </row>
    <row r="36" spans="2:2">
      <c r="B36" s="12" t="str">
        <f>IF('Subject-ConceptMap'!Q26=0,"//---END",'Subject-ConceptMap'!Q26)</f>
        <v>* group[=].element[=].display = ##34#Date of birth day unknown##34#</v>
      </c>
    </row>
    <row r="37" spans="2:2">
      <c r="B37" s="12" t="str">
        <f>IF('Subject-ConceptMap'!Q27=0,"//---END",'Subject-ConceptMap'!Q27)</f>
        <v>//-- unmatched</v>
      </c>
    </row>
    <row r="38" spans="2:2">
      <c r="B38" s="12" t="str">
        <f>IF('Subject-ConceptMap'!Q28=0,"//---END",'Subject-ConceptMap'!Q28)</f>
        <v>//-- unmatched</v>
      </c>
    </row>
    <row r="39" spans="2:2">
      <c r="B39" s="12" t="str">
        <f>IF('Subject-ConceptMap'!Q29=0,"//---END",'Subject-ConceptMap'!Q29)</f>
        <v>* group[=].element[=].target.equivalence = #unmatched</v>
      </c>
    </row>
    <row r="40" spans="2:2">
      <c r="B40" s="12" t="str">
        <f>IF('Subject-ConceptMap'!Q30=0,"//---END",'Subject-ConceptMap'!Q30)</f>
        <v>* group[=].element[+].code = #Subject.maritalStatus</v>
      </c>
    </row>
    <row r="41" spans="2:2">
      <c r="B41" s="12" t="str">
        <f>IF('Subject-ConceptMap'!Q31=0,"//---END",'Subject-ConceptMap'!Q31)</f>
        <v>* group[=].element[=].display = ##34#Marital status##34#</v>
      </c>
    </row>
    <row r="42" spans="2:2">
      <c r="B42" s="12" t="str">
        <f>IF('Subject-ConceptMap'!Q32=0,"//---END",'Subject-ConceptMap'!Q32)</f>
        <v>//-- unmatched</v>
      </c>
    </row>
    <row r="43" spans="2:2">
      <c r="B43" s="12" t="str">
        <f>IF('Subject-ConceptMap'!Q33=0,"//---END",'Subject-ConceptMap'!Q33)</f>
        <v>//-- unmatched</v>
      </c>
    </row>
    <row r="44" spans="2:2">
      <c r="B44" s="12" t="str">
        <f>IF('Subject-ConceptMap'!Q34=0,"//---END",'Subject-ConceptMap'!Q34)</f>
        <v>* group[=].element[=].target.equivalence = #unmatched</v>
      </c>
    </row>
    <row r="45" spans="2:2">
      <c r="B45" s="12" t="str">
        <f>IF('Subject-ConceptMap'!Q35=0,"//---END",'Subject-ConceptMap'!Q35)</f>
        <v>* group[=].element[+].code = #Subject.sexOrGender</v>
      </c>
    </row>
    <row r="46" spans="2:2">
      <c r="B46" s="12" t="str">
        <f>IF('Subject-ConceptMap'!Q36=0,"//---END",'Subject-ConceptMap'!Q36)</f>
        <v>* group[=].element[=].display = ##34#Gender/Sex##34#</v>
      </c>
    </row>
    <row r="47" spans="2:2">
      <c r="B47" s="12" t="str">
        <f>IF('Subject-ConceptMap'!Q37=0,"//---END",'Subject-ConceptMap'!Q37)</f>
        <v>* group[=].element[=].target.code = #Osiris.Patient.Gender</v>
      </c>
    </row>
    <row r="48" spans="2:2">
      <c r="B48" s="12" t="str">
        <f>IF('Subject-ConceptMap'!Q38=0,"//---END",'Subject-ConceptMap'!Q38)</f>
        <v>* group[=].element[=].target.display = ##34#Gender [C2]##34#</v>
      </c>
    </row>
    <row r="49" spans="2:2">
      <c r="B49" s="12" t="str">
        <f>IF('Subject-ConceptMap'!Q39=0,"//---END",'Subject-ConceptMap'!Q39)</f>
        <v>* group[=].element[=].target.equivalence = #narrower</v>
      </c>
    </row>
    <row r="50" spans="2:2">
      <c r="B50" s="12" t="str">
        <f>IF('Subject-ConceptMap'!Q40=0,"//---END",'Subject-ConceptMap'!Q40)</f>
        <v>* group[=].element[+].code = #Subject.race</v>
      </c>
    </row>
    <row r="51" spans="2:2">
      <c r="B51" s="12" t="str">
        <f>IF('Subject-ConceptMap'!Q41=0,"//---END",'Subject-ConceptMap'!Q41)</f>
        <v>* group[=].element[=].display = ##34#Race##34#</v>
      </c>
    </row>
    <row r="52" spans="2:2">
      <c r="B52" s="12" t="str">
        <f>IF('Subject-ConceptMap'!Q42=0,"//---END",'Subject-ConceptMap'!Q42)</f>
        <v>* group[=].element[=].target.code = #Osiris.Patient.Ethnicity</v>
      </c>
    </row>
    <row r="53" spans="2:2">
      <c r="B53" s="12" t="str">
        <f>IF('Subject-ConceptMap'!Q43=0,"//---END",'Subject-ConceptMap'!Q43)</f>
        <v>* group[=].element[=].target.display = ##34#Ethnicity [C3]##34#</v>
      </c>
    </row>
    <row r="54" spans="2:2">
      <c r="B54" s="12" t="str">
        <f>IF('Subject-ConceptMap'!Q44=0,"//---END",'Subject-ConceptMap'!Q44)</f>
        <v>* group[=].element[=].target.equivalence = #wider</v>
      </c>
    </row>
    <row r="55" spans="2:2">
      <c r="B55" s="12" t="str">
        <f>IF('Subject-ConceptMap'!Q45=0,"//---END",'Subject-ConceptMap'!Q45)</f>
        <v>* group[=].element[+].code = #Subject.countryOfResidence</v>
      </c>
    </row>
    <row r="56" spans="2:2">
      <c r="B56" s="12" t="str">
        <f>IF('Subject-ConceptMap'!Q46=0,"//---END",'Subject-ConceptMap'!Q46)</f>
        <v>* group[=].element[=].display = ##34#Country of Residence ##34#</v>
      </c>
    </row>
    <row r="57" spans="2:2">
      <c r="B57" s="12" t="str">
        <f>IF('Subject-ConceptMap'!Q47=0,"//---END",'Subject-ConceptMap'!Q47)</f>
        <v>//-- unmatched</v>
      </c>
    </row>
    <row r="58" spans="2:2">
      <c r="B58" s="12" t="str">
        <f>IF('Subject-ConceptMap'!Q48=0,"//---END",'Subject-ConceptMap'!Q48)</f>
        <v>//-- unmatched</v>
      </c>
    </row>
    <row r="59" spans="2:2">
      <c r="B59" s="12" t="str">
        <f>IF('Subject-ConceptMap'!Q49=0,"//---END",'Subject-ConceptMap'!Q49)</f>
        <v>* group[=].element[=].target.equivalence = #unmatched</v>
      </c>
    </row>
    <row r="60" spans="2:2">
      <c r="B60" s="12" t="str">
        <f>IF('Subject-ConceptMap'!Q50=0,"//---END",'Subject-ConceptMap'!Q50)</f>
        <v>//---END</v>
      </c>
    </row>
    <row r="61" spans="2:2">
      <c r="B61" s="12" t="str">
        <f>IF('Subject-ConceptMap'!Q51=0,"//---END",'Subject-ConceptMap'!Q51)</f>
        <v>//---END</v>
      </c>
    </row>
    <row r="62" spans="2:2">
      <c r="B62" s="12" t="str">
        <f>IF('Subject-ConceptMap'!Q52=0,"//---END",'Subject-ConceptMap'!Q52)</f>
        <v>//---END</v>
      </c>
    </row>
    <row r="63" spans="2:2">
      <c r="B63" s="12"/>
    </row>
    <row r="64" spans="2:2">
      <c r="B64" s="12"/>
    </row>
    <row r="65" spans="2:4">
      <c r="B65" s="12"/>
    </row>
    <row r="66" spans="2:4">
      <c r="B66" s="12"/>
    </row>
    <row r="67" spans="2:4">
      <c r="B67" s="12"/>
    </row>
    <row r="68" spans="2:4">
      <c r="B68" s="12"/>
    </row>
    <row r="69" spans="2:4">
      <c r="B69" s="12"/>
    </row>
    <row r="70" spans="2:4">
      <c r="B70" s="12"/>
      <c r="D70" s="62"/>
    </row>
    <row r="71" spans="2:4">
      <c r="B71" s="12"/>
    </row>
    <row r="72" spans="2:4">
      <c r="B72" s="12"/>
    </row>
    <row r="73" spans="2:4">
      <c r="B73" s="12"/>
    </row>
    <row r="74" spans="2:4">
      <c r="B74" s="12"/>
    </row>
    <row r="75" spans="2:4">
      <c r="B75" s="12"/>
    </row>
    <row r="76" spans="2:4">
      <c r="B76" s="12"/>
    </row>
    <row r="77" spans="2:4">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M97"/>
  <sheetViews>
    <sheetView topLeftCell="A2" zoomScale="115" zoomScaleNormal="115" workbookViewId="0">
      <selection activeCell="B11" sqref="B11"/>
    </sheetView>
  </sheetViews>
  <sheetFormatPr defaultRowHeight="14.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4" t="s">
        <v>1643</v>
      </c>
      <c r="L1" s="24" t="s">
        <v>21</v>
      </c>
    </row>
    <row r="2" spans="1:12">
      <c r="J2" s="25" t="s">
        <v>20</v>
      </c>
      <c r="L2" s="25" t="s">
        <v>1642</v>
      </c>
    </row>
    <row r="3" spans="1:12" ht="17.75" customHeight="1" thickBot="1">
      <c r="J3" s="25" t="str">
        <f>J1</f>
        <v>//===================================================</v>
      </c>
      <c r="L3" s="25" t="str">
        <f>L1</f>
        <v>// -------------------------------------------------------------------------------</v>
      </c>
    </row>
    <row r="4" spans="1:12">
      <c r="A4" s="5" t="s">
        <v>12</v>
      </c>
      <c r="B4" s="46" t="s">
        <v>1712</v>
      </c>
      <c r="J4" s="17" t="str">
        <f>CONCATENATE("Logical: ",B4)</f>
        <v>Logical: StagingI4rc</v>
      </c>
    </row>
    <row r="5" spans="1:12">
      <c r="A5" s="15" t="s">
        <v>17</v>
      </c>
      <c r="B5" s="47" t="s">
        <v>1713</v>
      </c>
      <c r="J5" s="17" t="str">
        <f>CONCATENATE("Id: ",B5)</f>
        <v>Id: Staging</v>
      </c>
    </row>
    <row r="6" spans="1:12">
      <c r="A6" s="15" t="s">
        <v>11</v>
      </c>
      <c r="B6" s="48" t="s">
        <v>1713</v>
      </c>
      <c r="J6" s="18" t="str">
        <f>CONCATENATE("Title: ##34#",B6,"##34#")</f>
        <v>Title: ##34#Staging##34#</v>
      </c>
    </row>
    <row r="7" spans="1:12" ht="30.25" thickBot="1">
      <c r="A7" s="27" t="s">
        <v>3</v>
      </c>
      <c r="B7" s="52" t="s">
        <v>1714</v>
      </c>
      <c r="C7" s="9" t="s">
        <v>4</v>
      </c>
      <c r="D7" s="1" t="s">
        <v>5</v>
      </c>
      <c r="E7" s="3" t="s">
        <v>6</v>
      </c>
      <c r="F7" s="3" t="s">
        <v>7</v>
      </c>
      <c r="G7" s="3" t="s">
        <v>8</v>
      </c>
      <c r="H7" s="107" t="s">
        <v>1641</v>
      </c>
      <c r="J7" s="18" t="str">
        <f>CONCATENATE("Description: "," ##334#",B7,"##334#",)</f>
        <v>Description:  ##334#Staging
Maturity Level: 0 Draft##334#</v>
      </c>
    </row>
    <row r="8" spans="1:12" ht="29.5">
      <c r="A8" s="108">
        <v>0</v>
      </c>
      <c r="B8" s="110" t="s">
        <v>1715</v>
      </c>
      <c r="C8" t="s">
        <v>1716</v>
      </c>
      <c r="D8" s="2"/>
      <c r="E8">
        <v>0</v>
      </c>
      <c r="F8">
        <v>1</v>
      </c>
      <c r="G8" t="s">
        <v>2</v>
      </c>
      <c r="H8"/>
      <c r="I8" s="26"/>
      <c r="J8" s="12" t="str">
        <f t="shared" ref="J8:J71" si="0">CONCATENATE("* ",B8, " ",E8,"..",F8," ",G8," ##34#",C8,"##34# ##334#",D8,"##334#")</f>
        <v>* stagingProceduresDoneBy 0..1 BackboneElement ##34#Staging procedures done by##34# ##334###334#</v>
      </c>
      <c r="L8" s="12" t="str">
        <f>IF(H8="",IF(J8="*  ..  ##34###34# ##334###334#",J8,""),IF(J8="*  ..  ##34###34# ##334###334#",J8,CONCATENATE("* ",B8," ^comment = ##334#",H8,"##334#")))</f>
        <v/>
      </c>
    </row>
    <row r="9" spans="1:12" ht="29.5">
      <c r="A9" s="111"/>
      <c r="B9" s="77" t="s">
        <v>1717</v>
      </c>
      <c r="C9" s="77" t="s">
        <v>1718</v>
      </c>
      <c r="D9" s="112" t="s">
        <v>1719</v>
      </c>
      <c r="E9" s="77">
        <v>0</v>
      </c>
      <c r="F9" s="77">
        <v>1</v>
      </c>
      <c r="G9" s="77" t="s">
        <v>2</v>
      </c>
      <c r="H9" s="77"/>
      <c r="I9" s="26"/>
      <c r="J9" s="12" t="str">
        <f t="shared" si="0"/>
        <v>* imagingPerformed 0..1 BackboneElement ##34#Imaging for primary site##34# ##334#Imaging study for primary site##334#</v>
      </c>
      <c r="L9" s="12" t="str">
        <f t="shared" ref="L9:L72" si="1">IF(H9="",IF(J9="*  ..  ##34###34# ##334###334#",J9,""),IF(J9="*  ..  ##34###34# ##334###334#",J9,CONCATENATE("* ",B9," ^comment = ##334#",H9,"##334#")))</f>
        <v/>
      </c>
    </row>
    <row r="10" spans="1:12" ht="29.5">
      <c r="A10" s="108">
        <v>1</v>
      </c>
      <c r="B10" s="77" t="s">
        <v>1947</v>
      </c>
      <c r="C10" s="77" t="s">
        <v>40</v>
      </c>
      <c r="D10" s="2" t="s">
        <v>1720</v>
      </c>
      <c r="E10">
        <v>0</v>
      </c>
      <c r="F10">
        <v>1</v>
      </c>
      <c r="G10" t="s">
        <v>165</v>
      </c>
      <c r="H10" t="s">
        <v>1721</v>
      </c>
      <c r="I10" s="26"/>
      <c r="J10" s="12" t="str">
        <f t="shared" si="0"/>
        <v>* imagingPerformed.flag 0..1 boolean ##34#flag##34# ##334#Whether any imaging study for primary site  was performed or not##334#</v>
      </c>
      <c r="L10" s="12" t="str">
        <f t="shared" si="1"/>
        <v>* imagingPerformed.flag ^comment = ##334#A boolean value 1 if it was performed 0 if not empty if unknown##334#</v>
      </c>
    </row>
    <row r="11" spans="1:12" ht="44.25">
      <c r="A11" s="108">
        <v>2</v>
      </c>
      <c r="B11" s="77" t="s">
        <v>1722</v>
      </c>
      <c r="C11" t="s">
        <v>1723</v>
      </c>
      <c r="D11" s="2" t="s">
        <v>1724</v>
      </c>
      <c r="E11">
        <v>0</v>
      </c>
      <c r="F11">
        <v>1</v>
      </c>
      <c r="G11" t="s">
        <v>1</v>
      </c>
      <c r="H11" t="s">
        <v>1725</v>
      </c>
      <c r="I11" s="26"/>
      <c r="J11" s="12" t="str">
        <f t="shared" si="0"/>
        <v>* imagingPerformed.cTPerformed 0..1 string ##34#CT##34# ##334#Whether Computed Tomography  for primary site was performed or not and when it was performed if contrast was used##334#</v>
      </c>
      <c r="L11" s="12" t="str">
        <f t="shared" si="1"/>
        <v>* imagingPerformed.cTPerformed ^comment = ##334#A string value whether it was performed with contrast without contrast it was not performed or it is unknown##334#</v>
      </c>
    </row>
    <row r="12" spans="1:12" ht="44.25">
      <c r="A12" s="108">
        <v>3</v>
      </c>
      <c r="B12" s="77" t="s">
        <v>1726</v>
      </c>
      <c r="C12" t="s">
        <v>1727</v>
      </c>
      <c r="D12" s="2" t="s">
        <v>1728</v>
      </c>
      <c r="E12">
        <v>0</v>
      </c>
      <c r="F12">
        <v>1</v>
      </c>
      <c r="G12" t="s">
        <v>1</v>
      </c>
      <c r="H12" t="s">
        <v>1725</v>
      </c>
      <c r="I12" s="26"/>
      <c r="J12" s="12" t="str">
        <f t="shared" si="0"/>
        <v>* imagingPerformed.mRIPerformed 0..1 string ##34#MRI##34# ##334#Describes wherther Magnetic Resonance for primary site was performed or not and when it was performed if contrast was used##334#</v>
      </c>
      <c r="L12" s="12" t="str">
        <f t="shared" si="1"/>
        <v>* imagingPerformed.mRIPerformed ^comment = ##334#A string value whether it was performed with contrast without contrast it was not performed or it is unknown##334#</v>
      </c>
    </row>
    <row r="13" spans="1:12" ht="29.5">
      <c r="A13" s="108">
        <v>4</v>
      </c>
      <c r="B13" s="77" t="s">
        <v>1729</v>
      </c>
      <c r="C13" t="s">
        <v>1730</v>
      </c>
      <c r="D13" s="2" t="s">
        <v>1731</v>
      </c>
      <c r="E13">
        <v>0</v>
      </c>
      <c r="F13">
        <v>1</v>
      </c>
      <c r="G13" t="s">
        <v>1</v>
      </c>
      <c r="H13" t="s">
        <v>1721</v>
      </c>
      <c r="I13" s="26"/>
      <c r="J13" s="12" t="str">
        <f t="shared" si="0"/>
        <v>* imagingPerformed.uSPerformed 0..1 string ##34#US##34# ##334#Describes whether Ultrasound Scan for primary site was performed or not##334#</v>
      </c>
      <c r="L13" s="12" t="str">
        <f t="shared" si="1"/>
        <v>* imagingPerformed.uSPerformed ^comment = ##334#A boolean value 1 if it was performed 0 if not empty if unknown##334#</v>
      </c>
    </row>
    <row r="14" spans="1:12" ht="44.25">
      <c r="A14" s="108">
        <v>5</v>
      </c>
      <c r="B14" s="77" t="s">
        <v>1732</v>
      </c>
      <c r="C14" t="s">
        <v>1733</v>
      </c>
      <c r="D14" s="2" t="s">
        <v>1734</v>
      </c>
      <c r="E14">
        <v>0</v>
      </c>
      <c r="F14">
        <v>1</v>
      </c>
      <c r="G14" t="s">
        <v>1</v>
      </c>
      <c r="H14" t="s">
        <v>1721</v>
      </c>
      <c r="I14" s="26"/>
      <c r="J14" s="12" t="str">
        <f t="shared" si="0"/>
        <v>* imagingPerformed.fDGPETPerformed 0..1 string ##34#FDG PET##34# ##334#Describes whether a  fluorodeoxyglucose positron emission tomography for primary site was performed or not##334#</v>
      </c>
      <c r="L14" s="12" t="str">
        <f t="shared" si="1"/>
        <v>* imagingPerformed.fDGPETPerformed ^comment = ##334#A boolean value 1 if it was performed 0 if not empty if unknown##334#</v>
      </c>
    </row>
    <row r="15" spans="1:12" ht="44.25">
      <c r="A15" s="108">
        <v>6</v>
      </c>
      <c r="B15" s="77" t="s">
        <v>1735</v>
      </c>
      <c r="C15" t="s">
        <v>1736</v>
      </c>
      <c r="D15" s="2" t="s">
        <v>1737</v>
      </c>
      <c r="E15">
        <v>0</v>
      </c>
      <c r="F15">
        <v>1</v>
      </c>
      <c r="G15" t="s">
        <v>1</v>
      </c>
      <c r="H15" t="s">
        <v>1721</v>
      </c>
      <c r="I15" s="26"/>
      <c r="J15" s="12" t="str">
        <f t="shared" si="0"/>
        <v>* imagingPerformed.pETwithothertracersPerformed 0..1 string ##34#PET with other tracers##34# ##334#Describes whether a  positron emission tomography using other tracers for primary site was performed or not##334#</v>
      </c>
      <c r="L15" s="12" t="str">
        <f t="shared" si="1"/>
        <v>* imagingPerformed.pETwithothertracersPerformed ^comment = ##334#A boolean value 1 if it was performed 0 if not empty if unknown##334#</v>
      </c>
    </row>
    <row r="16" spans="1:12" ht="59">
      <c r="A16" s="108">
        <v>7</v>
      </c>
      <c r="B16" s="77" t="s">
        <v>1738</v>
      </c>
      <c r="C16" t="s">
        <v>1739</v>
      </c>
      <c r="D16" s="2" t="s">
        <v>1740</v>
      </c>
      <c r="E16">
        <v>0</v>
      </c>
      <c r="F16">
        <v>1</v>
      </c>
      <c r="G16" t="s">
        <v>1</v>
      </c>
      <c r="H16" t="s">
        <v>1721</v>
      </c>
      <c r="I16" s="26"/>
      <c r="J16" s="12" t="str">
        <f t="shared" si="0"/>
        <v>* imagingPerformed.opticaldigitalmethodsegnarrowbandimagingPerformed 0..1 string ##34#Optical digital methods eg narrowband imaging##34# ##334#Describes whether a optical digital diagnostic method for primary site was performed or not##334#</v>
      </c>
      <c r="L16" s="12" t="str">
        <f t="shared" si="1"/>
        <v>* imagingPerformed.opticaldigitalmethodsegnarrowbandimagingPerformed ^comment = ##334#A boolean value 1 if it was performed 0 if not empty if unknown##334#</v>
      </c>
    </row>
    <row r="17" spans="1:13" ht="44.25">
      <c r="A17" s="108">
        <v>8</v>
      </c>
      <c r="B17" s="77" t="s">
        <v>1741</v>
      </c>
      <c r="C17" t="s">
        <v>1742</v>
      </c>
      <c r="D17" s="2" t="s">
        <v>1743</v>
      </c>
      <c r="E17">
        <v>0</v>
      </c>
      <c r="F17">
        <v>1</v>
      </c>
      <c r="G17" t="s">
        <v>1</v>
      </c>
      <c r="H17" t="s">
        <v>1721</v>
      </c>
      <c r="I17" s="26"/>
      <c r="J17" s="12" t="str">
        <f t="shared" si="0"/>
        <v>* imagingPerformed.cTPETPerformed 0..1 string ##34#CTPET##34# ##334#Describes whether a  computed tomography with positron emission tomography for primary site was performed or not##334#</v>
      </c>
      <c r="L17" s="12" t="str">
        <f t="shared" si="1"/>
        <v>* imagingPerformed.cTPETPerformed ^comment = ##334#A boolean value 1 if it was performed 0 if not empty if unknown##334#</v>
      </c>
    </row>
    <row r="18" spans="1:13" ht="44.25">
      <c r="A18" s="108">
        <v>9</v>
      </c>
      <c r="B18" s="77" t="s">
        <v>1744</v>
      </c>
      <c r="C18" t="s">
        <v>1745</v>
      </c>
      <c r="D18" s="2" t="s">
        <v>1746</v>
      </c>
      <c r="E18">
        <v>0</v>
      </c>
      <c r="F18">
        <v>1</v>
      </c>
      <c r="G18" t="s">
        <v>1</v>
      </c>
      <c r="H18" t="s">
        <v>1721</v>
      </c>
      <c r="J18" s="12" t="str">
        <f t="shared" si="0"/>
        <v>* imagingPerformed.unknownPerformed 0..1 string ##34#Unknown##34# ##334#Describes whether an imaging was performed but the information about the type of imaging was not available##334#</v>
      </c>
      <c r="L18" s="12" t="str">
        <f t="shared" si="1"/>
        <v>* imagingPerformed.unknownPerformed ^comment = ##334#A boolean value 1 if it was performed 0 if not empty if unknown##334#</v>
      </c>
    </row>
    <row r="19" spans="1:13" ht="59">
      <c r="A19" s="108">
        <v>10</v>
      </c>
      <c r="B19" s="77" t="s">
        <v>1747</v>
      </c>
      <c r="C19" t="s">
        <v>1748</v>
      </c>
      <c r="D19" s="2" t="s">
        <v>1749</v>
      </c>
      <c r="E19">
        <v>0</v>
      </c>
      <c r="F19">
        <v>1</v>
      </c>
      <c r="G19" t="s">
        <v>1</v>
      </c>
      <c r="H19"/>
      <c r="J19" s="12" t="str">
        <f t="shared" si="0"/>
        <v>* imagingPerformed.otherimagingforprimarysitePerformed 0..1 string ##34#Other imaging for primary site##34# ##334#Any other diagnostic imaging method performed for staging the primary tumor should be included here##334#</v>
      </c>
      <c r="L19" s="12" t="str">
        <f t="shared" si="1"/>
        <v/>
      </c>
    </row>
    <row r="20" spans="1:13" ht="29.5">
      <c r="A20" s="108"/>
      <c r="B20" s="77" t="s">
        <v>1750</v>
      </c>
      <c r="C20" s="77" t="s">
        <v>1751</v>
      </c>
      <c r="D20" s="112" t="s">
        <v>1752</v>
      </c>
      <c r="E20" s="77">
        <v>0</v>
      </c>
      <c r="F20" s="77">
        <v>1</v>
      </c>
      <c r="G20" s="77" t="s">
        <v>2</v>
      </c>
      <c r="H20" s="77"/>
      <c r="J20" s="12" t="str">
        <f t="shared" si="0"/>
        <v>* imagingforneckPerformed 0..1 BackboneElement ##34#Imaging for neck##34# ##334#Imaging study for the neck##334#</v>
      </c>
      <c r="L20" s="12" t="str">
        <f t="shared" si="1"/>
        <v/>
      </c>
    </row>
    <row r="21" spans="1:13" ht="29.5">
      <c r="A21" s="108">
        <v>11</v>
      </c>
      <c r="B21" s="77" t="s">
        <v>1753</v>
      </c>
      <c r="C21" t="s">
        <v>1751</v>
      </c>
      <c r="D21" s="2" t="s">
        <v>1754</v>
      </c>
      <c r="E21">
        <v>0</v>
      </c>
      <c r="F21">
        <v>1</v>
      </c>
      <c r="G21" t="s">
        <v>1</v>
      </c>
      <c r="H21" t="s">
        <v>1721</v>
      </c>
      <c r="J21" s="12" t="str">
        <f t="shared" si="0"/>
        <v>* imagingforneckPerformed.flag 0..1 string ##34#Imaging for neck##34# ##334#Whether any imaging study for the neck was performed or not##334#</v>
      </c>
      <c r="L21" s="12" t="str">
        <f t="shared" si="1"/>
        <v>* imagingforneckPerformed.flag ^comment = ##334#A boolean value 1 if it was performed 0 if not empty if unknown##334#</v>
      </c>
      <c r="M21"/>
    </row>
    <row r="22" spans="1:13" ht="44.25">
      <c r="A22" s="108">
        <v>12</v>
      </c>
      <c r="B22" s="77" t="s">
        <v>1755</v>
      </c>
      <c r="C22" t="s">
        <v>1723</v>
      </c>
      <c r="D22" s="2" t="s">
        <v>1756</v>
      </c>
      <c r="E22">
        <v>0</v>
      </c>
      <c r="F22">
        <v>1</v>
      </c>
      <c r="G22" t="s">
        <v>1</v>
      </c>
      <c r="H22" t="s">
        <v>1721</v>
      </c>
      <c r="J22" s="12" t="str">
        <f t="shared" si="0"/>
        <v>* imagingforneckPerformed.cTPerformed 0..1 string ##34#CT##34# ##334#whether Computed Tomography  for the neck was performed or not and when it was performed if contrast was used##334#</v>
      </c>
      <c r="L22" s="12" t="str">
        <f t="shared" si="1"/>
        <v>* imagingforneckPerformed.cTPerformed ^comment = ##334#A boolean value 1 if it was performed 0 if not empty if unknown##334#</v>
      </c>
      <c r="M22"/>
    </row>
    <row r="23" spans="1:13" ht="44.25">
      <c r="A23" s="108">
        <v>13</v>
      </c>
      <c r="B23" s="77" t="s">
        <v>1757</v>
      </c>
      <c r="C23" t="s">
        <v>1727</v>
      </c>
      <c r="D23" s="2" t="s">
        <v>1758</v>
      </c>
      <c r="E23">
        <v>0</v>
      </c>
      <c r="F23">
        <v>1</v>
      </c>
      <c r="G23" t="s">
        <v>1</v>
      </c>
      <c r="H23" t="s">
        <v>1721</v>
      </c>
      <c r="J23" s="12" t="str">
        <f t="shared" si="0"/>
        <v>* imagingforneckPerformed.mRIPerformed 0..1 string ##34#MRI##34# ##334#Describes whether Magnetic Resonance for the neck was performed or not and when it was performed if contrast was used##334#</v>
      </c>
      <c r="L23" s="12" t="str">
        <f t="shared" si="1"/>
        <v>* imagingforneckPerformed.mRIPerformed ^comment = ##334#A boolean value 1 if it was performed 0 if not empty if unknown##334#</v>
      </c>
      <c r="M23"/>
    </row>
    <row r="24" spans="1:13" ht="44.25">
      <c r="A24" s="108">
        <v>14</v>
      </c>
      <c r="B24" s="77" t="s">
        <v>1759</v>
      </c>
      <c r="C24" t="s">
        <v>1730</v>
      </c>
      <c r="D24" s="2" t="s">
        <v>1760</v>
      </c>
      <c r="E24">
        <v>0</v>
      </c>
      <c r="F24">
        <v>1</v>
      </c>
      <c r="G24" t="s">
        <v>1</v>
      </c>
      <c r="H24" t="s">
        <v>1721</v>
      </c>
      <c r="J24" s="12" t="str">
        <f t="shared" si="0"/>
        <v>* imagingforneckPerformed.uSPerformed 0..1 string ##34#US##34# ##334#Describes whether Ultrasound Scan for the neck was performed or not##334#</v>
      </c>
      <c r="L24" s="12" t="str">
        <f t="shared" si="1"/>
        <v>* imagingforneckPerformed.uSPerformed ^comment = ##334#A boolean value 1 if it was performed 0 if not empty if unknown##334#</v>
      </c>
      <c r="M24"/>
    </row>
    <row r="25" spans="1:13" ht="44.25">
      <c r="A25" s="108">
        <v>15</v>
      </c>
      <c r="B25" s="77" t="s">
        <v>1761</v>
      </c>
      <c r="C25" t="s">
        <v>1733</v>
      </c>
      <c r="D25" s="2" t="s">
        <v>1762</v>
      </c>
      <c r="E25">
        <v>0</v>
      </c>
      <c r="F25">
        <v>1</v>
      </c>
      <c r="G25" t="s">
        <v>1</v>
      </c>
      <c r="H25" t="s">
        <v>1721</v>
      </c>
      <c r="J25" s="12" t="str">
        <f t="shared" si="0"/>
        <v>* imagingforneckPerformed.fDGPETPerformed 0..1 string ##34#FDG PET##34# ##334#Describes whether a  fluorodeoxyglucose positron emission tomography for the neck was performed or not##334#</v>
      </c>
      <c r="L25" s="12" t="str">
        <f t="shared" si="1"/>
        <v>* imagingforneckPerformed.fDGPETPerformed ^comment = ##334#A boolean value 1 if it was performed 0 if not empty if unknown##334#</v>
      </c>
      <c r="M25"/>
    </row>
    <row r="26" spans="1:13" ht="59">
      <c r="A26" s="108">
        <v>16</v>
      </c>
      <c r="B26" s="77" t="s">
        <v>1763</v>
      </c>
      <c r="C26" t="s">
        <v>1736</v>
      </c>
      <c r="D26" s="2" t="s">
        <v>1764</v>
      </c>
      <c r="E26">
        <v>0</v>
      </c>
      <c r="F26">
        <v>1</v>
      </c>
      <c r="G26" t="s">
        <v>1</v>
      </c>
      <c r="H26" t="s">
        <v>1721</v>
      </c>
      <c r="J26" s="12" t="str">
        <f t="shared" si="0"/>
        <v>* imagingforneckPerformed.pETwithothertracersPerformed 0..1 string ##34#PET with other tracers##34# ##334#Describes whether a  positron emission tomography using other tracers for the neck was performed or not##334#</v>
      </c>
      <c r="L26" s="12" t="str">
        <f t="shared" si="1"/>
        <v>* imagingforneckPerformed.pETwithothertracersPerformed ^comment = ##334#A boolean value 1 if it was performed 0 if not empty if unknown##334#</v>
      </c>
      <c r="M26"/>
    </row>
    <row r="27" spans="1:13" ht="44.25">
      <c r="A27" s="108">
        <v>17</v>
      </c>
      <c r="B27" s="77" t="s">
        <v>1765</v>
      </c>
      <c r="C27" t="s">
        <v>1742</v>
      </c>
      <c r="D27" s="2" t="s">
        <v>1766</v>
      </c>
      <c r="E27">
        <v>0</v>
      </c>
      <c r="F27">
        <v>1</v>
      </c>
      <c r="G27" t="s">
        <v>1</v>
      </c>
      <c r="H27" t="s">
        <v>1721</v>
      </c>
      <c r="J27" s="12" t="str">
        <f t="shared" si="0"/>
        <v>* imagingforneckPerformed.cTPETPerformed 0..1 string ##34#CTPET##34# ##334#Describes whether a  computed tomography with positron emission tomography for the neck was performed or not##334#</v>
      </c>
      <c r="L27" s="12" t="str">
        <f t="shared" si="1"/>
        <v>* imagingforneckPerformed.cTPETPerformed ^comment = ##334#A boolean value 1 if it was performed 0 if not empty if unknown##334#</v>
      </c>
      <c r="M27"/>
    </row>
    <row r="28" spans="1:13" ht="59">
      <c r="A28" s="108">
        <v>18</v>
      </c>
      <c r="B28" s="77" t="s">
        <v>1767</v>
      </c>
      <c r="C28" t="s">
        <v>1745</v>
      </c>
      <c r="D28" s="2" t="s">
        <v>1768</v>
      </c>
      <c r="E28">
        <v>0</v>
      </c>
      <c r="F28">
        <v>1</v>
      </c>
      <c r="G28" t="s">
        <v>1</v>
      </c>
      <c r="H28" t="s">
        <v>1721</v>
      </c>
      <c r="J28" s="12" t="str">
        <f t="shared" si="0"/>
        <v>* imagingforneckPerformed.unknownPerformed 0..1 string ##34#Unknown##34# ##334#Describes whether an imaging on neck was performed but the information about the type of imaging was not available##334#</v>
      </c>
      <c r="L28" s="12" t="str">
        <f t="shared" si="1"/>
        <v>* imagingforneckPerformed.unknownPerformed ^comment = ##334#A boolean value 1 if it was performed 0 if not empty if unknown##334#</v>
      </c>
      <c r="M28"/>
    </row>
    <row r="29" spans="1:13" ht="44.25">
      <c r="A29" s="108">
        <v>19</v>
      </c>
      <c r="B29" s="77" t="s">
        <v>1769</v>
      </c>
      <c r="C29" t="s">
        <v>1770</v>
      </c>
      <c r="D29" s="2" t="s">
        <v>1771</v>
      </c>
      <c r="E29">
        <v>0</v>
      </c>
      <c r="F29">
        <v>1</v>
      </c>
      <c r="G29" t="s">
        <v>1</v>
      </c>
      <c r="H29"/>
      <c r="I29" s="2"/>
      <c r="J29" s="12" t="str">
        <f t="shared" si="0"/>
        <v>* imagingforneckPerformed.otherimagingforneckPerformed 0..1 string ##34#Other imaging for neck##34# ##334#Any other diagnostic imaging method performed for staging the neck should be included here##334#</v>
      </c>
      <c r="L29" s="12" t="str">
        <f t="shared" si="1"/>
        <v/>
      </c>
      <c r="M29"/>
    </row>
    <row r="30" spans="1:13" ht="29.5">
      <c r="A30" s="108"/>
      <c r="B30" s="77" t="s">
        <v>1772</v>
      </c>
      <c r="C30" s="77" t="s">
        <v>1773</v>
      </c>
      <c r="D30" s="112" t="s">
        <v>1774</v>
      </c>
      <c r="E30" s="77">
        <v>0</v>
      </c>
      <c r="F30" s="77">
        <v>1</v>
      </c>
      <c r="G30" s="77" t="s">
        <v>2</v>
      </c>
      <c r="H30"/>
      <c r="J30" s="12" t="str">
        <f t="shared" si="0"/>
        <v>* imagingformetastasisPerformed 0..1 BackboneElement ##34#Imaging for metastasis ##34# ##334#Imaging study for metastasis##334#</v>
      </c>
      <c r="L30" s="12" t="str">
        <f t="shared" si="1"/>
        <v/>
      </c>
    </row>
    <row r="31" spans="1:13" ht="59">
      <c r="A31" s="108">
        <v>20</v>
      </c>
      <c r="B31" s="77" t="s">
        <v>1775</v>
      </c>
      <c r="C31" t="s">
        <v>1773</v>
      </c>
      <c r="D31" s="2" t="s">
        <v>1776</v>
      </c>
      <c r="E31">
        <v>0</v>
      </c>
      <c r="F31">
        <v>1</v>
      </c>
      <c r="G31" t="s">
        <v>1</v>
      </c>
      <c r="H31" t="s">
        <v>1721</v>
      </c>
      <c r="J31" s="12" t="str">
        <f t="shared" si="0"/>
        <v>* imagingformetastasisPerformed.imagingformetastasisPerformed 0..1 string ##34#Imaging for metastasis ##34# ##334#Wherther any imaging study for metastasis was performed or not##334#</v>
      </c>
      <c r="L31" s="12" t="str">
        <f t="shared" si="1"/>
        <v>* imagingformetastasisPerformed.imagingformetastasisPerformed ^comment = ##334#A boolean value 1 if it was performed 0 if not empty if unknown##334#</v>
      </c>
    </row>
    <row r="32" spans="1:13" ht="44.25">
      <c r="A32" s="108">
        <v>21</v>
      </c>
      <c r="B32" s="77" t="s">
        <v>1777</v>
      </c>
      <c r="C32" t="s">
        <v>1723</v>
      </c>
      <c r="D32" s="2" t="s">
        <v>1778</v>
      </c>
      <c r="E32">
        <v>0</v>
      </c>
      <c r="F32">
        <v>1</v>
      </c>
      <c r="G32" t="s">
        <v>1</v>
      </c>
      <c r="H32" t="s">
        <v>1721</v>
      </c>
      <c r="J32" s="12" t="str">
        <f t="shared" si="0"/>
        <v>* imagingformetastasisPerformed.cTPerformed 0..1 string ##34#CT##34# ##334#whether Computed Tomography  for metatasis was performed or not and when it was performed if contrast was used##334#</v>
      </c>
      <c r="L32" s="12" t="str">
        <f t="shared" si="1"/>
        <v>* imagingformetastasisPerformed.cTPerformed ^comment = ##334#A boolean value 1 if it was performed 0 if not empty if unknown##334#</v>
      </c>
    </row>
    <row r="33" spans="1:12" ht="44.25">
      <c r="A33" s="108">
        <v>22</v>
      </c>
      <c r="B33" s="77" t="s">
        <v>1779</v>
      </c>
      <c r="C33" t="s">
        <v>1727</v>
      </c>
      <c r="D33" s="2" t="s">
        <v>1780</v>
      </c>
      <c r="E33">
        <v>0</v>
      </c>
      <c r="F33">
        <v>1</v>
      </c>
      <c r="G33" t="s">
        <v>1</v>
      </c>
      <c r="H33" t="s">
        <v>1721</v>
      </c>
      <c r="J33" s="12" t="str">
        <f t="shared" si="0"/>
        <v>* imagingformetastasisPerformed.mRIPerformed 0..1 string ##34#MRI##34# ##334#Describes whether Magnetic Resonanc for metastasis was performed or not and when it was performed if contrast was used##334#</v>
      </c>
      <c r="L33" s="12" t="str">
        <f t="shared" si="1"/>
        <v>* imagingformetastasisPerformed.mRIPerformed ^comment = ##334#A boolean value 1 if it was performed 0 if not empty if unknown##334#</v>
      </c>
    </row>
    <row r="34" spans="1:12" ht="44.25">
      <c r="A34" s="108">
        <v>23</v>
      </c>
      <c r="B34" s="77" t="s">
        <v>1781</v>
      </c>
      <c r="C34" t="s">
        <v>1730</v>
      </c>
      <c r="D34" s="2" t="s">
        <v>1782</v>
      </c>
      <c r="E34">
        <v>0</v>
      </c>
      <c r="F34">
        <v>1</v>
      </c>
      <c r="G34" t="s">
        <v>1</v>
      </c>
      <c r="H34" t="s">
        <v>1721</v>
      </c>
      <c r="J34" s="12" t="str">
        <f t="shared" si="0"/>
        <v>* imagingformetastasisPerformed.uSPerformed 0..1 string ##34#US##34# ##334#Describes whether Ultrasound Scan for metastasis was performed or not##334#</v>
      </c>
      <c r="L34" s="12" t="str">
        <f t="shared" si="1"/>
        <v>* imagingformetastasisPerformed.uSPerformed ^comment = ##334#A boolean value 1 if it was performed 0 if not empty if unknown##334#</v>
      </c>
    </row>
    <row r="35" spans="1:12" ht="44.25">
      <c r="A35" s="108">
        <v>24</v>
      </c>
      <c r="B35" s="77" t="s">
        <v>1783</v>
      </c>
      <c r="C35" t="s">
        <v>1733</v>
      </c>
      <c r="D35" s="2" t="s">
        <v>1784</v>
      </c>
      <c r="E35">
        <v>0</v>
      </c>
      <c r="F35">
        <v>1</v>
      </c>
      <c r="G35" t="s">
        <v>1</v>
      </c>
      <c r="H35" t="s">
        <v>1721</v>
      </c>
      <c r="J35" s="12" t="str">
        <f t="shared" si="0"/>
        <v>* imagingformetastasisPerformed.fDGPETPerformed 0..1 string ##34#FDG PET##34# ##334#Describes whether a  fluorodeoxyglucose positron emission tomography for metastasis was performed or not##334#</v>
      </c>
      <c r="L35" s="12" t="str">
        <f t="shared" si="1"/>
        <v>* imagingformetastasisPerformed.fDGPETPerformed ^comment = ##334#A boolean value 1 if it was performed 0 if not empty if unknown##334#</v>
      </c>
    </row>
    <row r="36" spans="1:12" ht="59">
      <c r="A36" s="108">
        <v>25</v>
      </c>
      <c r="B36" s="77" t="s">
        <v>1785</v>
      </c>
      <c r="C36" t="s">
        <v>1736</v>
      </c>
      <c r="D36" s="2" t="s">
        <v>1786</v>
      </c>
      <c r="E36">
        <v>0</v>
      </c>
      <c r="F36">
        <v>1</v>
      </c>
      <c r="G36" t="s">
        <v>1</v>
      </c>
      <c r="H36" t="s">
        <v>1721</v>
      </c>
      <c r="J36" s="12" t="str">
        <f t="shared" si="0"/>
        <v>* imagingformetastasisPerformed.pETwithothertracersPerformed 0..1 string ##34#PET with other tracers##34# ##334#Describes whether a  positron emission tomography using other tracers for metastasis was performed or not##334#</v>
      </c>
      <c r="L36" s="12" t="str">
        <f t="shared" si="1"/>
        <v>* imagingformetastasisPerformed.pETwithothertracersPerformed ^comment = ##334#A boolean value 1 if it was performed 0 if not empty if unknown##334#</v>
      </c>
    </row>
    <row r="37" spans="1:12" ht="44.25">
      <c r="A37" s="108">
        <v>26</v>
      </c>
      <c r="B37" s="77" t="s">
        <v>1787</v>
      </c>
      <c r="C37" t="s">
        <v>1742</v>
      </c>
      <c r="D37" s="2" t="s">
        <v>1766</v>
      </c>
      <c r="E37">
        <v>0</v>
      </c>
      <c r="F37">
        <v>1</v>
      </c>
      <c r="G37" t="s">
        <v>1</v>
      </c>
      <c r="H37" t="s">
        <v>1721</v>
      </c>
      <c r="J37" s="12" t="str">
        <f t="shared" si="0"/>
        <v>* imagingformetastasisPerformed.cTPETPerformed 0..1 string ##34#CTPET##34# ##334#Describes whether a  computed tomography with positron emission tomography for the neck was performed or not##334#</v>
      </c>
      <c r="L37" s="12" t="str">
        <f t="shared" si="1"/>
        <v>* imagingformetastasisPerformed.cTPETPerformed ^comment = ##334#A boolean value 1 if it was performed 0 if not empty if unknown##334#</v>
      </c>
    </row>
    <row r="38" spans="1:12" ht="59">
      <c r="A38" s="108">
        <v>27</v>
      </c>
      <c r="B38" s="77" t="s">
        <v>1788</v>
      </c>
      <c r="C38" t="s">
        <v>1745</v>
      </c>
      <c r="D38" s="2" t="s">
        <v>1789</v>
      </c>
      <c r="E38">
        <v>0</v>
      </c>
      <c r="F38">
        <v>1</v>
      </c>
      <c r="G38" t="s">
        <v>1</v>
      </c>
      <c r="H38" t="s">
        <v>1721</v>
      </c>
      <c r="J38" s="12" t="str">
        <f t="shared" si="0"/>
        <v>* imagingformetastasisPerformed.unknownPerformed 0..1 string ##34#Unknown##34# ##334#Describes whether an imaging for metastasis was performed but the information about the type of imaging was not available##334#</v>
      </c>
      <c r="L38" s="12" t="str">
        <f t="shared" si="1"/>
        <v>* imagingformetastasisPerformed.unknownPerformed ^comment = ##334#A boolean value 1 if it was performed 0 if not empty if unknown##334#</v>
      </c>
    </row>
    <row r="39" spans="1:12" ht="73.75">
      <c r="A39" s="108">
        <v>28</v>
      </c>
      <c r="B39" s="77" t="s">
        <v>1790</v>
      </c>
      <c r="C39" t="s">
        <v>1791</v>
      </c>
      <c r="D39" s="2" t="s">
        <v>1792</v>
      </c>
      <c r="E39">
        <v>0</v>
      </c>
      <c r="F39">
        <v>1</v>
      </c>
      <c r="G39" t="s">
        <v>1</v>
      </c>
      <c r="H39"/>
      <c r="J39" s="12" t="str">
        <f t="shared" si="0"/>
        <v>* imagingformetastasisPerformed.otherimagingformetastaticdiseasePerformed 0..1 string ##34#Other imaging for metastatic disease##34# ##334#Any other diagnostic imaging method performed for staging metastasis should be included here##334#</v>
      </c>
      <c r="L39" s="12" t="str">
        <f t="shared" si="1"/>
        <v/>
      </c>
    </row>
    <row r="40" spans="1:12">
      <c r="A40" s="108">
        <v>29</v>
      </c>
      <c r="B40" s="110" t="s">
        <v>1793</v>
      </c>
      <c r="C40" t="s">
        <v>1794</v>
      </c>
      <c r="D40" s="2"/>
      <c r="E40">
        <v>0</v>
      </c>
      <c r="F40">
        <v>1</v>
      </c>
      <c r="G40" t="s">
        <v>2</v>
      </c>
      <c r="H40"/>
      <c r="J40" s="12" t="str">
        <f t="shared" si="0"/>
        <v>* clinicalStage 0..1 BackboneElement ##34#Clinical  stage##34# ##334###334#</v>
      </c>
      <c r="L40" s="12" t="str">
        <f t="shared" si="1"/>
        <v/>
      </c>
    </row>
    <row r="41" spans="1:12" ht="29.5">
      <c r="A41" s="108">
        <v>30</v>
      </c>
      <c r="B41" s="77" t="s">
        <v>1795</v>
      </c>
      <c r="C41" t="s">
        <v>1796</v>
      </c>
      <c r="D41" s="2" t="s">
        <v>1797</v>
      </c>
      <c r="E41">
        <v>0</v>
      </c>
      <c r="F41">
        <v>1</v>
      </c>
      <c r="G41" t="s">
        <v>1</v>
      </c>
      <c r="H41" t="s">
        <v>1798</v>
      </c>
      <c r="J41" s="12" t="str">
        <f t="shared" si="0"/>
        <v>* clinicalStage.ct 0..1 string ##34#cT##34# ##334#Specifies the clinical T##334#</v>
      </c>
      <c r="L41" s="12" t="str">
        <f t="shared" si="1"/>
        <v>* clinicalStage.ct ^comment = ##334#A string value for the clinical T Unknown if empty##334#</v>
      </c>
    </row>
    <row r="42" spans="1:12" ht="29.5">
      <c r="A42" s="108">
        <v>31</v>
      </c>
      <c r="B42" s="77" t="s">
        <v>1799</v>
      </c>
      <c r="C42" t="s">
        <v>1800</v>
      </c>
      <c r="D42" s="2" t="s">
        <v>1801</v>
      </c>
      <c r="E42">
        <v>0</v>
      </c>
      <c r="F42">
        <v>1</v>
      </c>
      <c r="G42" t="s">
        <v>1</v>
      </c>
      <c r="H42" t="s">
        <v>1802</v>
      </c>
      <c r="J42" s="12" t="str">
        <f t="shared" si="0"/>
        <v>* clinicalStage.cn 0..1 string ##34#cN##34# ##334#Specifies the clinical N##334#</v>
      </c>
      <c r="L42" s="12" t="str">
        <f t="shared" si="1"/>
        <v>* clinicalStage.cn ^comment = ##334#A string value for the clinical N Unknown if empty##334#</v>
      </c>
    </row>
    <row r="43" spans="1:12" ht="59">
      <c r="A43" s="108">
        <v>32</v>
      </c>
      <c r="B43" s="77" t="s">
        <v>1803</v>
      </c>
      <c r="C43" t="s">
        <v>1804</v>
      </c>
      <c r="D43" s="2" t="s">
        <v>1805</v>
      </c>
      <c r="E43">
        <v>0</v>
      </c>
      <c r="F43">
        <v>1</v>
      </c>
      <c r="G43" t="s">
        <v>1</v>
      </c>
      <c r="H43" t="s">
        <v>1806</v>
      </c>
      <c r="J43" s="12" t="str">
        <f t="shared" si="0"/>
        <v>* clinicalStage.radiologicalExtraNodalExtensionRene 0..1 string ##34#Radiological Extranodal extension rENE##34# ##334#Describes the presence or absence of radiological signs of extracapsular extension as defined in the AJCC 8th Ed##334#</v>
      </c>
      <c r="L43" s="12" t="str">
        <f t="shared" si="1"/>
        <v>* clinicalStage.radiologicalExtraNodalExtensionRene ^comment = ##334#A string value for the rENE Unknown if empty##334#</v>
      </c>
    </row>
    <row r="44" spans="1:12" ht="29.5">
      <c r="A44" s="108">
        <v>33</v>
      </c>
      <c r="B44" s="77" t="s">
        <v>1807</v>
      </c>
      <c r="C44" t="s">
        <v>1808</v>
      </c>
      <c r="D44" s="2" t="s">
        <v>1809</v>
      </c>
      <c r="E44">
        <v>0</v>
      </c>
      <c r="F44">
        <v>1</v>
      </c>
      <c r="G44" t="s">
        <v>1</v>
      </c>
      <c r="H44" t="s">
        <v>1810</v>
      </c>
      <c r="J44" s="12" t="str">
        <f t="shared" si="0"/>
        <v>* clinicalStage.cm 0..1 string ##34#cM##34# ##334#Specifies the clinical M##334#</v>
      </c>
      <c r="L44" s="12" t="str">
        <f t="shared" si="1"/>
        <v>* clinicalStage.cm ^comment = ##334#A string value for the clinical M Unknown if empty##334#</v>
      </c>
    </row>
    <row r="45" spans="1:12" ht="29.5">
      <c r="A45" s="108">
        <v>34</v>
      </c>
      <c r="B45" s="77" t="s">
        <v>1811</v>
      </c>
      <c r="C45" t="s">
        <v>1812</v>
      </c>
      <c r="D45" s="2" t="s">
        <v>1813</v>
      </c>
      <c r="E45">
        <v>0</v>
      </c>
      <c r="F45">
        <v>1</v>
      </c>
      <c r="G45" t="s">
        <v>1</v>
      </c>
      <c r="H45" t="s">
        <v>1814</v>
      </c>
      <c r="J45" s="12" t="str">
        <f t="shared" si="0"/>
        <v>* clinicalStage.clinicalStaging 0..1 string ##34#Clinical staging##34# ##334#Specifies the clinical TNM##334#</v>
      </c>
      <c r="L45" s="12" t="str">
        <f t="shared" si="1"/>
        <v>* clinicalStage.clinicalStaging ^comment = ##334#A string value for the clinical TNM Unknown if empty##334#</v>
      </c>
    </row>
    <row r="46" spans="1:12" ht="29.5">
      <c r="A46" s="108">
        <v>35</v>
      </c>
      <c r="B46" s="77" t="s">
        <v>1815</v>
      </c>
      <c r="C46" t="s">
        <v>1816</v>
      </c>
      <c r="D46" s="2" t="s">
        <v>1817</v>
      </c>
      <c r="E46">
        <v>0</v>
      </c>
      <c r="F46">
        <v>1</v>
      </c>
      <c r="G46" t="s">
        <v>1</v>
      </c>
      <c r="H46" t="s">
        <v>1818</v>
      </c>
      <c r="J46" s="12" t="str">
        <f t="shared" si="0"/>
        <v>* clinicalStage.ajccEdition 0..1 string ##34#Ajcc edition##34# ##334#Describe the edition of the AJCC used for staging##334#</v>
      </c>
      <c r="L46" s="12" t="str">
        <f t="shared" si="1"/>
        <v>* clinicalStage.ajccEdition ^comment = ##334#A string value for the used AJCC edition manual##334#</v>
      </c>
    </row>
    <row r="47" spans="1:12" ht="44.25">
      <c r="A47" s="108">
        <v>36</v>
      </c>
      <c r="B47" s="113" t="s">
        <v>1819</v>
      </c>
      <c r="C47" s="113" t="s">
        <v>1820</v>
      </c>
      <c r="D47" s="114" t="s">
        <v>1821</v>
      </c>
      <c r="E47" s="113">
        <v>0</v>
      </c>
      <c r="F47" s="113">
        <v>1</v>
      </c>
      <c r="G47" s="113" t="s">
        <v>1</v>
      </c>
      <c r="H47" s="113"/>
      <c r="J47" s="12" t="str">
        <f t="shared" si="0"/>
        <v>* clinicalStage.nan 0..1 string ##34#M site##34# ##334#Describes site of metastasic disease at the time of initial diagnosis or assesed before treatment More than one choice is allowed##334#</v>
      </c>
      <c r="L47" s="12" t="str">
        <f t="shared" si="1"/>
        <v/>
      </c>
    </row>
    <row r="48" spans="1:12" ht="29.5">
      <c r="A48" s="111"/>
      <c r="B48" s="77" t="s">
        <v>1822</v>
      </c>
      <c r="C48" s="77" t="s">
        <v>1823</v>
      </c>
      <c r="D48" s="77" t="s">
        <v>1823</v>
      </c>
      <c r="E48" s="77">
        <v>0</v>
      </c>
      <c r="F48" s="77" t="s">
        <v>9</v>
      </c>
      <c r="G48" s="77" t="s">
        <v>2</v>
      </c>
      <c r="H48"/>
      <c r="J48" s="12" t="str">
        <f t="shared" si="0"/>
        <v>* metastasisSite 0..* BackboneElement ##34#Site of Metastasis##34# ##334#Site of Metastasis##334#</v>
      </c>
      <c r="L48" s="12" t="str">
        <f t="shared" si="1"/>
        <v/>
      </c>
    </row>
    <row r="49" spans="1:12" ht="29.5">
      <c r="A49" s="108">
        <v>37</v>
      </c>
      <c r="B49" s="77" t="s">
        <v>1824</v>
      </c>
      <c r="C49" t="s">
        <v>1825</v>
      </c>
      <c r="D49" s="2" t="s">
        <v>1826</v>
      </c>
      <c r="E49">
        <v>0</v>
      </c>
      <c r="F49">
        <v>1</v>
      </c>
      <c r="G49" t="s">
        <v>1</v>
      </c>
      <c r="H49"/>
      <c r="J49" s="12" t="str">
        <f t="shared" si="0"/>
        <v>* metastasisSite.softTissue 0..1 string ##34#Soft tissue##34# ##334#Describes if site of metastasic disease  is soft tissue##334#</v>
      </c>
      <c r="L49" s="12" t="str">
        <f t="shared" si="1"/>
        <v/>
      </c>
    </row>
    <row r="50" spans="1:12" ht="29.5">
      <c r="A50" s="108">
        <v>38</v>
      </c>
      <c r="B50" s="77" t="s">
        <v>1827</v>
      </c>
      <c r="C50" t="s">
        <v>1828</v>
      </c>
      <c r="D50" s="2" t="s">
        <v>1829</v>
      </c>
      <c r="E50">
        <v>0</v>
      </c>
      <c r="F50">
        <v>1</v>
      </c>
      <c r="G50" t="s">
        <v>1</v>
      </c>
      <c r="H50"/>
      <c r="J50" s="12" t="str">
        <f t="shared" si="0"/>
        <v>* metastasisSite.distantLymphNode 0..1 string ##34#distant lymph node##34# ##334#Describes if site of metastasic disease  is dystan lymph node##334#</v>
      </c>
      <c r="L50" s="12" t="str">
        <f t="shared" si="1"/>
        <v/>
      </c>
    </row>
    <row r="51" spans="1:12" ht="29.5">
      <c r="A51" s="108">
        <v>39</v>
      </c>
      <c r="B51" s="77" t="s">
        <v>1830</v>
      </c>
      <c r="C51" t="s">
        <v>1831</v>
      </c>
      <c r="D51" s="2" t="s">
        <v>1832</v>
      </c>
      <c r="E51">
        <v>0</v>
      </c>
      <c r="F51">
        <v>1</v>
      </c>
      <c r="G51" s="77" t="s">
        <v>1</v>
      </c>
      <c r="H51"/>
      <c r="J51" s="12" t="str">
        <f t="shared" si="0"/>
        <v>* metastasisSite.lung 0..1 string ##34#lung##34# ##334#Describes if site of metastasic disease  is lung##334#</v>
      </c>
      <c r="L51" s="12" t="str">
        <f t="shared" si="1"/>
        <v/>
      </c>
    </row>
    <row r="52" spans="1:12" ht="29.5">
      <c r="A52" s="108">
        <v>40</v>
      </c>
      <c r="B52" s="77" t="s">
        <v>1833</v>
      </c>
      <c r="C52" t="s">
        <v>1834</v>
      </c>
      <c r="D52" s="2" t="s">
        <v>1835</v>
      </c>
      <c r="E52">
        <v>0</v>
      </c>
      <c r="F52">
        <v>1</v>
      </c>
      <c r="G52" s="77" t="s">
        <v>1</v>
      </c>
      <c r="H52"/>
      <c r="J52" s="12" t="str">
        <f t="shared" si="0"/>
        <v>* metastasisSite.bone 0..1 string ##34#bone##34# ##334#Describes if site of metastasic disease  is bone##334#</v>
      </c>
      <c r="L52" s="12" t="str">
        <f t="shared" si="1"/>
        <v/>
      </c>
    </row>
    <row r="53" spans="1:12" ht="29.5">
      <c r="A53" s="108">
        <v>41</v>
      </c>
      <c r="B53" s="77" t="s">
        <v>1836</v>
      </c>
      <c r="C53" t="s">
        <v>1837</v>
      </c>
      <c r="D53" s="2" t="s">
        <v>1838</v>
      </c>
      <c r="E53">
        <v>0</v>
      </c>
      <c r="F53">
        <v>1</v>
      </c>
      <c r="G53" s="77" t="s">
        <v>1</v>
      </c>
      <c r="H53"/>
      <c r="J53" s="12" t="str">
        <f t="shared" si="0"/>
        <v>* metastasisSite.liver 0..1 string ##34#liver##34# ##334#Describes if site of metastasic disease  is liver##334#</v>
      </c>
      <c r="L53" s="12" t="str">
        <f t="shared" si="1"/>
        <v/>
      </c>
    </row>
    <row r="54" spans="1:12" ht="29.5">
      <c r="A54" s="108">
        <v>42</v>
      </c>
      <c r="B54" s="77" t="s">
        <v>1839</v>
      </c>
      <c r="C54" t="s">
        <v>1840</v>
      </c>
      <c r="D54" s="2" t="s">
        <v>1841</v>
      </c>
      <c r="E54">
        <v>0</v>
      </c>
      <c r="F54">
        <v>1</v>
      </c>
      <c r="G54" s="77" t="s">
        <v>1</v>
      </c>
      <c r="H54"/>
      <c r="J54" s="12" t="str">
        <f t="shared" si="0"/>
        <v>* metastasisSite.pleura 0..1 string ##34#pleura##34# ##334#Describes if site of metastasic disease  is pleura##334#</v>
      </c>
      <c r="L54" s="12" t="str">
        <f t="shared" si="1"/>
        <v/>
      </c>
    </row>
    <row r="55" spans="1:12" ht="29.5">
      <c r="A55" s="108">
        <v>43</v>
      </c>
      <c r="B55" s="77" t="s">
        <v>1842</v>
      </c>
      <c r="C55" t="s">
        <v>1843</v>
      </c>
      <c r="D55" s="2" t="s">
        <v>1844</v>
      </c>
      <c r="E55">
        <v>0</v>
      </c>
      <c r="F55">
        <v>1</v>
      </c>
      <c r="G55" s="77" t="s">
        <v>1</v>
      </c>
      <c r="H55"/>
      <c r="J55" s="12" t="str">
        <f t="shared" si="0"/>
        <v>* metastasisSite.peritoneum 0..1 string ##34#peritoneum##34# ##334#Describes if site of metastasic disease  is peritoneum##334#</v>
      </c>
      <c r="L55" s="12" t="str">
        <f t="shared" si="1"/>
        <v/>
      </c>
    </row>
    <row r="56" spans="1:12" ht="29.5">
      <c r="A56" s="108">
        <v>44</v>
      </c>
      <c r="B56" s="77" t="s">
        <v>1845</v>
      </c>
      <c r="C56" t="s">
        <v>1846</v>
      </c>
      <c r="D56" s="2" t="s">
        <v>1847</v>
      </c>
      <c r="E56">
        <v>0</v>
      </c>
      <c r="F56">
        <v>1</v>
      </c>
      <c r="G56" s="77" t="s">
        <v>1</v>
      </c>
      <c r="H56"/>
      <c r="J56" s="12" t="str">
        <f t="shared" si="0"/>
        <v>* metastasisSite.brain 0..1 string ##34#brain##34# ##334#Describes if site of metastasic disease  is brain##334#</v>
      </c>
      <c r="L56" s="12" t="str">
        <f t="shared" si="1"/>
        <v/>
      </c>
    </row>
    <row r="57" spans="1:12" ht="29.5">
      <c r="A57" s="108">
        <v>45</v>
      </c>
      <c r="B57" s="77" t="s">
        <v>1848</v>
      </c>
      <c r="C57" t="s">
        <v>1849</v>
      </c>
      <c r="D57" s="2" t="s">
        <v>1850</v>
      </c>
      <c r="E57">
        <v>0</v>
      </c>
      <c r="F57">
        <v>1</v>
      </c>
      <c r="G57" s="77" t="s">
        <v>1</v>
      </c>
      <c r="H57"/>
      <c r="J57" s="12" t="str">
        <f t="shared" si="0"/>
        <v>* metastasisSite.otherViscera 0..1 string ##34#other viscera##34# ##334#Describes if site of metastasic disease  is other viscera##334#</v>
      </c>
      <c r="L57" s="12" t="str">
        <f t="shared" si="1"/>
        <v/>
      </c>
    </row>
    <row r="58" spans="1:12" ht="29.5">
      <c r="A58" s="108">
        <v>46</v>
      </c>
      <c r="B58" s="77" t="s">
        <v>1851</v>
      </c>
      <c r="C58" t="s">
        <v>1852</v>
      </c>
      <c r="D58" s="2" t="s">
        <v>1853</v>
      </c>
      <c r="E58">
        <v>0</v>
      </c>
      <c r="F58">
        <v>1</v>
      </c>
      <c r="G58" s="77" t="s">
        <v>1</v>
      </c>
      <c r="H58"/>
      <c r="J58" s="12" t="str">
        <f t="shared" si="0"/>
        <v>* metastasisSite.unknown 0..1 string ##34#unknown##34# ##334#Describes if site of metastasic disease  is unknown##334#</v>
      </c>
      <c r="L58" s="12" t="str">
        <f t="shared" si="1"/>
        <v/>
      </c>
    </row>
    <row r="59" spans="1:12" ht="44.25">
      <c r="A59" s="108">
        <v>47</v>
      </c>
      <c r="B59" s="110" t="s">
        <v>1854</v>
      </c>
      <c r="C59" t="s">
        <v>1855</v>
      </c>
      <c r="D59" s="2" t="s">
        <v>1856</v>
      </c>
      <c r="E59">
        <v>0</v>
      </c>
      <c r="F59">
        <v>1</v>
      </c>
      <c r="G59" t="s">
        <v>1</v>
      </c>
      <c r="H59"/>
      <c r="J59" s="12" t="str">
        <f t="shared" si="0"/>
        <v>* clinicalStagingDefinedBy 0..1 string ##34#Clinical staging defined by##34# ##334#Describes the institution where initial clinical staging of the disease was defined##334#</v>
      </c>
      <c r="L59" s="12" t="str">
        <f t="shared" si="1"/>
        <v/>
      </c>
    </row>
    <row r="60" spans="1:12" ht="29.5">
      <c r="A60" s="108">
        <v>48</v>
      </c>
      <c r="B60" s="110" t="s">
        <v>1857</v>
      </c>
      <c r="C60" t="s">
        <v>1858</v>
      </c>
      <c r="D60" s="77" t="s">
        <v>1858</v>
      </c>
      <c r="E60">
        <v>0</v>
      </c>
      <c r="F60">
        <v>1</v>
      </c>
      <c r="G60" t="s">
        <v>2</v>
      </c>
      <c r="H60"/>
      <c r="J60" s="12" t="str">
        <f t="shared" si="0"/>
        <v>* pathologicalStage 0..1 BackboneElement ##34#Pathological stage##34# ##334#Pathological stage##334#</v>
      </c>
      <c r="L60" s="12" t="str">
        <f t="shared" si="1"/>
        <v/>
      </c>
    </row>
    <row r="61" spans="1:12" ht="29.5">
      <c r="A61" s="108">
        <v>49</v>
      </c>
      <c r="B61" s="77" t="s">
        <v>1859</v>
      </c>
      <c r="C61" t="s">
        <v>1860</v>
      </c>
      <c r="D61" s="2" t="s">
        <v>1861</v>
      </c>
      <c r="E61">
        <v>0</v>
      </c>
      <c r="F61">
        <v>1</v>
      </c>
      <c r="G61" t="s">
        <v>1</v>
      </c>
      <c r="H61" t="s">
        <v>1862</v>
      </c>
      <c r="J61" s="12" t="str">
        <f t="shared" si="0"/>
        <v>* pathologicalStage.pt 0..1 string ##34#pT##34# ##334#Specifies the pathological T##334#</v>
      </c>
      <c r="L61" s="12" t="str">
        <f t="shared" si="1"/>
        <v>* pathologicalStage.pt ^comment = ##334#A string value from pathological T##334#</v>
      </c>
    </row>
    <row r="62" spans="1:12" ht="29.5">
      <c r="A62" s="108">
        <v>50</v>
      </c>
      <c r="B62" s="77" t="s">
        <v>1863</v>
      </c>
      <c r="C62" t="s">
        <v>1864</v>
      </c>
      <c r="D62" s="2" t="s">
        <v>1865</v>
      </c>
      <c r="E62">
        <v>0</v>
      </c>
      <c r="F62">
        <v>1</v>
      </c>
      <c r="G62" t="s">
        <v>1</v>
      </c>
      <c r="H62" t="s">
        <v>1866</v>
      </c>
      <c r="J62" s="12" t="str">
        <f t="shared" si="0"/>
        <v>* pathologicalStage.pn 0..1 string ##34#pN##34# ##334#Specifies the pathological N##334#</v>
      </c>
      <c r="L62" s="12" t="str">
        <f t="shared" si="1"/>
        <v>* pathologicalStage.pn ^comment = ##334#A string value from pathological N##334#</v>
      </c>
    </row>
    <row r="63" spans="1:12" ht="44.25">
      <c r="A63" s="108">
        <v>51</v>
      </c>
      <c r="B63" s="115" t="s">
        <v>1867</v>
      </c>
      <c r="C63" t="s">
        <v>1868</v>
      </c>
      <c r="D63" s="2" t="s">
        <v>1869</v>
      </c>
      <c r="E63">
        <v>0</v>
      </c>
      <c r="F63">
        <v>1</v>
      </c>
      <c r="G63" t="s">
        <v>1</v>
      </c>
      <c r="H63" t="s">
        <v>1870</v>
      </c>
      <c r="J63" s="12" t="str">
        <f t="shared" si="0"/>
        <v>* extranodalExtensionEne 0..1 string ##34#Extranodal extension ENE##34# ##334#Describes whether capsular extension is present by histopathologic examination or not##334#</v>
      </c>
      <c r="L63" s="12" t="str">
        <f t="shared" si="1"/>
        <v>* extranodalExtensionEne ^comment = ##334#A string value for the extranodal extension##334#</v>
      </c>
    </row>
    <row r="64" spans="1:12" ht="44.25">
      <c r="A64" s="108">
        <v>52</v>
      </c>
      <c r="B64" s="115" t="s">
        <v>1871</v>
      </c>
      <c r="C64" t="s">
        <v>1872</v>
      </c>
      <c r="D64" s="2" t="s">
        <v>1873</v>
      </c>
      <c r="E64">
        <v>0</v>
      </c>
      <c r="F64">
        <v>1</v>
      </c>
      <c r="G64" s="77" t="s">
        <v>1631</v>
      </c>
      <c r="H64" t="s">
        <v>1874</v>
      </c>
      <c r="J64" s="12" t="str">
        <f t="shared" si="0"/>
        <v>* extranodalExtent 0..1 integer ##34#Extranodal Extent##34# ##334#Describes extent of extranodal extension This number must be explicitly referred to in the pathological report otherwise it is unknown##334#</v>
      </c>
      <c r="L64" s="12" t="str">
        <f t="shared" si="1"/>
        <v>* extranodalExtent ^comment = ##334#A number describing the extent of the extranodal extension##334#</v>
      </c>
    </row>
    <row r="65" spans="1:12" ht="177">
      <c r="A65" s="108">
        <v>53</v>
      </c>
      <c r="B65" s="115" t="s">
        <v>1875</v>
      </c>
      <c r="C65" t="s">
        <v>1876</v>
      </c>
      <c r="D65" s="2" t="s">
        <v>1877</v>
      </c>
      <c r="E65">
        <v>0</v>
      </c>
      <c r="F65">
        <v>1</v>
      </c>
      <c r="G65" t="s">
        <v>1</v>
      </c>
      <c r="H65" t="s">
        <v>1878</v>
      </c>
      <c r="J65" s="12" t="str">
        <f t="shared" si="0"/>
        <v>* marginsAfterSurgery 0..1 string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65" s="12" t="str">
        <f t="shared" si="1"/>
        <v>* marginsAfterSurgery ^comment = ##334#A string describing the category applied to the margin after surgery##334#</v>
      </c>
    </row>
    <row r="66" spans="1:12" ht="44.25">
      <c r="A66" s="108">
        <v>54</v>
      </c>
      <c r="B66" s="115" t="s">
        <v>1879</v>
      </c>
      <c r="C66" t="s">
        <v>1880</v>
      </c>
      <c r="D66" s="2" t="s">
        <v>1881</v>
      </c>
      <c r="E66">
        <v>0</v>
      </c>
      <c r="F66">
        <v>1</v>
      </c>
      <c r="G66" s="77" t="s">
        <v>1631</v>
      </c>
      <c r="H66" t="s">
        <v>1882</v>
      </c>
      <c r="J66" s="12" t="str">
        <f t="shared" si="0"/>
        <v>* marginsAfterSurgeryIf5Mm 0..1 integer ##34#Margins after surgery if 5mm##34# ##334#Measurement in mm of the margin closest to the resection if any of the margins is less than 5 millimeters from it##334#</v>
      </c>
      <c r="L66" s="12" t="str">
        <f t="shared" si="1"/>
        <v>* marginsAfterSurgeryIf5Mm ^comment = ##334#A number describing the margin closest to the resection##334#</v>
      </c>
    </row>
    <row r="67" spans="1:12" ht="59">
      <c r="A67" s="108">
        <v>55</v>
      </c>
      <c r="B67" s="115" t="s">
        <v>1883</v>
      </c>
      <c r="C67" t="s">
        <v>1884</v>
      </c>
      <c r="D67" s="2" t="s">
        <v>1885</v>
      </c>
      <c r="E67">
        <v>0</v>
      </c>
      <c r="F67">
        <v>1</v>
      </c>
      <c r="G67" t="s">
        <v>1</v>
      </c>
      <c r="H67" t="s">
        <v>1886</v>
      </c>
      <c r="J67" s="12" t="str">
        <f t="shared" si="0"/>
        <v>* sentinelNode 0..1 string ##34#Sentinel node##34# ##334#Describes whether a sentinel node procedure was performed or not Sentinel lymph node biopsy is considered a diagnostic procedure therefore per se the neck is not considered to have been treated if it does not lead to a neck dissection##334#</v>
      </c>
      <c r="L67" s="12" t="str">
        <f t="shared" si="1"/>
        <v>* sentinelNode ^comment = ##334#A string describing whether a sentinel node procedure was performed##334#</v>
      </c>
    </row>
    <row r="68" spans="1:12" ht="44.25">
      <c r="A68" s="108">
        <v>56</v>
      </c>
      <c r="B68" s="115" t="s">
        <v>1887</v>
      </c>
      <c r="C68" t="s">
        <v>1888</v>
      </c>
      <c r="D68" s="2" t="s">
        <v>1889</v>
      </c>
      <c r="E68">
        <v>0</v>
      </c>
      <c r="F68">
        <v>1</v>
      </c>
      <c r="G68" t="s">
        <v>1</v>
      </c>
      <c r="H68" t="s">
        <v>1890</v>
      </c>
      <c r="J68" s="12" t="str">
        <f t="shared" si="0"/>
        <v>* neckDissection 0..1 string ##34#Neck dissection##34# ##334#Describes whether a protocoled and standardized en block resection of lymphatic tissue is performed or not##334#</v>
      </c>
      <c r="L68" s="12" t="str">
        <f t="shared" si="1"/>
        <v>* neckDissection ^comment = ##334#A string describing whether a protocoled and standardized en block resection of lymphatic tissue was performed##334#</v>
      </c>
    </row>
    <row r="69" spans="1:12" ht="59">
      <c r="A69" s="108">
        <v>57</v>
      </c>
      <c r="B69" s="115" t="s">
        <v>1891</v>
      </c>
      <c r="C69" t="s">
        <v>1892</v>
      </c>
      <c r="D69" s="2" t="s">
        <v>1893</v>
      </c>
      <c r="E69">
        <v>0</v>
      </c>
      <c r="F69">
        <v>1</v>
      </c>
      <c r="G69" t="s">
        <v>1631</v>
      </c>
      <c r="H69" t="s">
        <v>1894</v>
      </c>
      <c r="J69" s="12" t="str">
        <f t="shared" si="0"/>
        <v>* numberOfLymphNodesRemovedRightSide 0..1 integer ##34#Number of lymph nodes removed right side##34# ##334#Refers to the total number of lymph nodes resected in the right side of the neck This number must be explicitly referred to in the pathological report otherwise it is unknown##334#</v>
      </c>
      <c r="L69" s="12" t="str">
        <f t="shared" si="1"/>
        <v>* numberOfLymphNodesRemovedRightSide ^comment = ##334#Number of right side lymph nodes removed##334#</v>
      </c>
    </row>
    <row r="70" spans="1:12" ht="73.75">
      <c r="A70" s="108">
        <v>58</v>
      </c>
      <c r="B70" s="115" t="s">
        <v>1895</v>
      </c>
      <c r="C70" t="s">
        <v>1896</v>
      </c>
      <c r="D70" s="2" t="s">
        <v>1897</v>
      </c>
      <c r="E70">
        <v>0</v>
      </c>
      <c r="F70">
        <v>1</v>
      </c>
      <c r="G70" t="s">
        <v>1631</v>
      </c>
      <c r="H70" t="s">
        <v>1898</v>
      </c>
      <c r="J70" s="12" t="str">
        <f t="shared" si="0"/>
        <v>* numberOfPositiveLymphNodesRightSide 0..1 integer ##34#Number of positive lymph nodes right side##34# ##334#Refers to the total number of positive lymph nodes resected in the right side of the neck This number must be explicitly referred to in the pathological report otherwise it is unknown##334#</v>
      </c>
      <c r="L70" s="12" t="str">
        <f t="shared" si="1"/>
        <v>* numberOfPositiveLymphNodesRightSide ^comment = ##334#Number of positive right side lymph nodes removed##334#</v>
      </c>
    </row>
    <row r="71" spans="1:12" ht="29.5">
      <c r="A71" s="108">
        <v>59</v>
      </c>
      <c r="B71" s="115" t="s">
        <v>1899</v>
      </c>
      <c r="C71" t="s">
        <v>1900</v>
      </c>
      <c r="D71" s="2" t="s">
        <v>1901</v>
      </c>
      <c r="E71">
        <v>0</v>
      </c>
      <c r="F71">
        <v>1</v>
      </c>
      <c r="G71" t="s">
        <v>1631</v>
      </c>
      <c r="H71" t="s">
        <v>1902</v>
      </c>
      <c r="J71" s="12" t="str">
        <f t="shared" si="0"/>
        <v>* lnrRightLymphNodeRatio 0..1 integer ##34#LNR right Lymph node ratio##34# ##334#Automatically calculated from the right results##334#</v>
      </c>
      <c r="L71" s="12" t="str">
        <f t="shared" si="1"/>
        <v>* lnrRightLymphNodeRatio ^comment = ##334#Ratio of right side removed lymph nodes##334#</v>
      </c>
    </row>
    <row r="72" spans="1:12" ht="59">
      <c r="A72" s="108">
        <v>60</v>
      </c>
      <c r="B72" s="115" t="s">
        <v>1903</v>
      </c>
      <c r="C72" t="s">
        <v>1904</v>
      </c>
      <c r="D72" s="2" t="s">
        <v>1905</v>
      </c>
      <c r="E72">
        <v>0</v>
      </c>
      <c r="F72">
        <v>1</v>
      </c>
      <c r="G72" t="s">
        <v>1631</v>
      </c>
      <c r="H72" t="s">
        <v>1906</v>
      </c>
      <c r="J72" s="12" t="str">
        <f t="shared" ref="J72:J97" si="2">CONCATENATE("* ",B72, " ",E72,"..",F72," ",G72," ##34#",C72,"##34# ##334#",D72,"##334#")</f>
        <v>* numberOfLymphNodesRemovedLeftSide 0..1 integer ##34#Number of lymph nodes removed left side##34# ##334#Refers to the total number of lymph nodes resected in the left side of the neck This number must be explicitly referred to in the pathological report otherwise it is unknown##334#</v>
      </c>
      <c r="L72" s="12" t="str">
        <f t="shared" si="1"/>
        <v>* numberOfLymphNodesRemovedLeftSide ^comment = ##334#Number of left side lymph nodes removed##334#</v>
      </c>
    </row>
    <row r="73" spans="1:12" ht="59">
      <c r="A73" s="108">
        <v>61</v>
      </c>
      <c r="B73" s="115" t="s">
        <v>1907</v>
      </c>
      <c r="C73" t="s">
        <v>1908</v>
      </c>
      <c r="D73" s="2" t="s">
        <v>1909</v>
      </c>
      <c r="E73">
        <v>0</v>
      </c>
      <c r="F73">
        <v>1</v>
      </c>
      <c r="G73" t="s">
        <v>1631</v>
      </c>
      <c r="H73" t="s">
        <v>1910</v>
      </c>
      <c r="J73" s="12" t="str">
        <f t="shared" si="2"/>
        <v>* numberOfPositiveLymphNodesLeftSide 0..1 integer ##34#Number of positive lymph nodes left side##34# ##334#Refers to the total number of positive lymph nodes resected in the left side of the neck This number must be explicitly referred to in the pathological report otherwise it is unknown##334#</v>
      </c>
      <c r="L73" s="12" t="str">
        <f t="shared" ref="L73:L97" si="3">IF(H73="",IF(J73="*  ..  ##34###34# ##334###334#",J73,""),IF(J73="*  ..  ##34###34# ##334###334#",J73,CONCATENATE("* ",B73," ^comment = ##334#",H73,"##334#")))</f>
        <v>* numberOfPositiveLymphNodesLeftSide ^comment = ##334#Number of positive left side lymph nodes removed##334#</v>
      </c>
    </row>
    <row r="74" spans="1:12" ht="29.5">
      <c r="A74" s="108">
        <v>62</v>
      </c>
      <c r="B74" s="115" t="s">
        <v>1911</v>
      </c>
      <c r="C74" t="s">
        <v>1912</v>
      </c>
      <c r="D74" s="2" t="s">
        <v>1913</v>
      </c>
      <c r="E74">
        <v>0</v>
      </c>
      <c r="F74">
        <v>1</v>
      </c>
      <c r="G74" t="s">
        <v>1631</v>
      </c>
      <c r="H74" t="s">
        <v>1914</v>
      </c>
      <c r="J74" s="12" t="str">
        <f t="shared" si="2"/>
        <v>* lnrLeftLymphNodeRatio 0..1 integer ##34#LNR left Lymph node ratio##34# ##334#Automatically calculated from left results##334#</v>
      </c>
      <c r="L74" s="12" t="str">
        <f t="shared" si="3"/>
        <v>* lnrLeftLymphNodeRatio ^comment = ##334#Ratio of left side removed lymph nodes##334#</v>
      </c>
    </row>
    <row r="75" spans="1:12" ht="73.75">
      <c r="A75" s="108">
        <v>63</v>
      </c>
      <c r="B75" s="115" t="s">
        <v>1915</v>
      </c>
      <c r="C75" t="s">
        <v>1916</v>
      </c>
      <c r="D75" s="2" t="s">
        <v>1917</v>
      </c>
      <c r="E75">
        <v>0</v>
      </c>
      <c r="F75">
        <v>1</v>
      </c>
      <c r="G75" t="s">
        <v>1</v>
      </c>
      <c r="H75" t="s">
        <v>1918</v>
      </c>
      <c r="J75" s="12" t="str">
        <f t="shared" si="2"/>
        <v>* lymphovascularSpaceInvasionLvsi 0..1 string ##34#Lymphovascular space invasion LVSI##34# ##334#Describes a pathologic phenomenon in which tumor cells invade an endotheliumlinedspace of vascular or lymphatic vessels without underlying muscular walls Pathological report must include whether it is present or not otherwise it is Unknown##334#</v>
      </c>
      <c r="L75" s="12" t="str">
        <f t="shared" si="3"/>
        <v>* lymphovascularSpaceInvasionLvsi ^comment = ##334#A string describing whether a Lymphovascular space invasion LVSI happened##334#</v>
      </c>
    </row>
    <row r="76" spans="1:12" ht="59">
      <c r="A76" s="108">
        <v>64</v>
      </c>
      <c r="B76" s="115" t="s">
        <v>1919</v>
      </c>
      <c r="C76" t="s">
        <v>1920</v>
      </c>
      <c r="D76" s="2" t="s">
        <v>1921</v>
      </c>
      <c r="E76">
        <v>0</v>
      </c>
      <c r="F76">
        <v>1</v>
      </c>
      <c r="G76" t="s">
        <v>1</v>
      </c>
      <c r="H76" t="s">
        <v>1922</v>
      </c>
      <c r="J76" s="12" t="str">
        <f t="shared" si="2"/>
        <v>* perineuralInvasionPni 0..1 string ##34#Perineural invasion PNI##34# ##334#Describes a histologic finding of tumor cell infiltration of the nerves Pathological report must include whether it is present or not otherwise it is Unknown##334#</v>
      </c>
      <c r="L76" s="12" t="str">
        <f t="shared" si="3"/>
        <v>* perineuralInvasionPni ^comment = ##334#A string describing whether a perineural invasion happened##334#</v>
      </c>
    </row>
    <row r="77" spans="1:12" ht="29.5">
      <c r="A77" s="108">
        <v>65</v>
      </c>
      <c r="B77" s="115" t="s">
        <v>1923</v>
      </c>
      <c r="C77" t="s">
        <v>1924</v>
      </c>
      <c r="D77" s="2" t="s">
        <v>1925</v>
      </c>
      <c r="E77">
        <v>0</v>
      </c>
      <c r="F77">
        <v>1</v>
      </c>
      <c r="G77" t="s">
        <v>1</v>
      </c>
      <c r="H77" t="s">
        <v>1926</v>
      </c>
      <c r="J77" s="12" t="str">
        <f t="shared" si="2"/>
        <v>* pm 0..1 string ##34#pM##34# ##334#Specifies the pathological M##334#</v>
      </c>
      <c r="L77" s="12" t="str">
        <f t="shared" si="3"/>
        <v>* pm ^comment = ##334#A string describing the pathological M##334#</v>
      </c>
    </row>
    <row r="78" spans="1:12" ht="29.5">
      <c r="A78" s="108">
        <v>66</v>
      </c>
      <c r="B78" s="115" t="s">
        <v>1927</v>
      </c>
      <c r="C78" t="s">
        <v>1928</v>
      </c>
      <c r="D78" s="2" t="s">
        <v>1929</v>
      </c>
      <c r="E78">
        <v>0</v>
      </c>
      <c r="F78">
        <v>1</v>
      </c>
      <c r="G78" t="s">
        <v>1</v>
      </c>
      <c r="H78" t="s">
        <v>1930</v>
      </c>
      <c r="J78" s="12" t="str">
        <f t="shared" si="2"/>
        <v>* pathologicalStaging 0..1 string ##34#Pathological staging##34# ##334#Specifies the pathological staging##334#</v>
      </c>
      <c r="L78" s="12" t="str">
        <f t="shared" si="3"/>
        <v>* pathologicalStaging ^comment = ##334#A string describing the pathological staging##334#</v>
      </c>
    </row>
    <row r="79" spans="1:12" ht="29.5">
      <c r="A79" s="108">
        <v>67</v>
      </c>
      <c r="B79" s="115" t="s">
        <v>1931</v>
      </c>
      <c r="C79" t="s">
        <v>1816</v>
      </c>
      <c r="D79" s="77" t="s">
        <v>1816</v>
      </c>
      <c r="E79">
        <v>0</v>
      </c>
      <c r="F79">
        <v>1</v>
      </c>
      <c r="G79" t="s">
        <v>2</v>
      </c>
      <c r="H79"/>
      <c r="J79" s="12" t="str">
        <f t="shared" si="2"/>
        <v>* ajccEdition 0..1 BackboneElement ##34#Ajcc edition##34# ##334#Ajcc edition##334#</v>
      </c>
      <c r="L79" s="12" t="str">
        <f t="shared" si="3"/>
        <v/>
      </c>
    </row>
    <row r="80" spans="1:12">
      <c r="A80" s="108">
        <v>68</v>
      </c>
      <c r="B80" s="115" t="s">
        <v>1932</v>
      </c>
      <c r="C80" t="s">
        <v>1820</v>
      </c>
      <c r="D80" s="77" t="s">
        <v>1820</v>
      </c>
      <c r="E80">
        <v>0</v>
      </c>
      <c r="F80">
        <v>1</v>
      </c>
      <c r="G80" t="s">
        <v>2</v>
      </c>
      <c r="H80"/>
      <c r="J80" s="12" t="str">
        <f t="shared" si="2"/>
        <v>* mSite 0..1 BackboneElement ##34#M site##34# ##334#M site##334#</v>
      </c>
      <c r="L80" s="12" t="str">
        <f t="shared" si="3"/>
        <v/>
      </c>
    </row>
    <row r="81" spans="1:12" ht="29.5">
      <c r="A81" s="108">
        <v>69</v>
      </c>
      <c r="B81" s="115" t="s">
        <v>1933</v>
      </c>
      <c r="C81" t="s">
        <v>1934</v>
      </c>
      <c r="D81" s="77" t="s">
        <v>1934</v>
      </c>
      <c r="E81">
        <v>0</v>
      </c>
      <c r="F81">
        <v>1</v>
      </c>
      <c r="G81" t="s">
        <v>2</v>
      </c>
      <c r="H81"/>
      <c r="J81" s="12" t="str">
        <f t="shared" si="2"/>
        <v>* softTissue 0..1 BackboneElement ##34#Soft Tissue##34# ##334#Soft Tissue##334#</v>
      </c>
      <c r="L81" s="12" t="str">
        <f t="shared" si="3"/>
        <v/>
      </c>
    </row>
    <row r="82" spans="1:12" ht="29.5">
      <c r="A82" s="108">
        <v>70</v>
      </c>
      <c r="B82" s="115" t="s">
        <v>1935</v>
      </c>
      <c r="C82" t="s">
        <v>1828</v>
      </c>
      <c r="D82" s="77" t="s">
        <v>1828</v>
      </c>
      <c r="E82">
        <v>0</v>
      </c>
      <c r="F82">
        <v>1</v>
      </c>
      <c r="G82" t="s">
        <v>2</v>
      </c>
      <c r="H82"/>
      <c r="J82" s="12" t="str">
        <f t="shared" si="2"/>
        <v>* distantLymphNode 0..1 BackboneElement ##34#distant lymph node##34# ##334#distant lymph node##334#</v>
      </c>
      <c r="L82" s="12" t="str">
        <f t="shared" si="3"/>
        <v/>
      </c>
    </row>
    <row r="83" spans="1:12">
      <c r="A83" s="108">
        <v>71</v>
      </c>
      <c r="B83" s="115" t="s">
        <v>1831</v>
      </c>
      <c r="C83" t="s">
        <v>1831</v>
      </c>
      <c r="D83" s="77" t="s">
        <v>1831</v>
      </c>
      <c r="E83">
        <v>0</v>
      </c>
      <c r="F83">
        <v>1</v>
      </c>
      <c r="G83" t="s">
        <v>2</v>
      </c>
      <c r="H83"/>
      <c r="J83" s="12" t="str">
        <f t="shared" si="2"/>
        <v>* lung 0..1 BackboneElement ##34#lung##34# ##334#lung##334#</v>
      </c>
      <c r="L83" s="12" t="str">
        <f t="shared" si="3"/>
        <v/>
      </c>
    </row>
    <row r="84" spans="1:12">
      <c r="A84" s="108">
        <v>72</v>
      </c>
      <c r="B84" s="115" t="s">
        <v>1834</v>
      </c>
      <c r="C84" t="s">
        <v>1834</v>
      </c>
      <c r="D84" s="77" t="s">
        <v>1834</v>
      </c>
      <c r="E84">
        <v>0</v>
      </c>
      <c r="F84">
        <v>1</v>
      </c>
      <c r="G84" t="s">
        <v>2</v>
      </c>
      <c r="H84"/>
      <c r="J84" s="12" t="str">
        <f t="shared" si="2"/>
        <v>* bone 0..1 BackboneElement ##34#bone##34# ##334#bone##334#</v>
      </c>
      <c r="L84" s="12" t="str">
        <f t="shared" si="3"/>
        <v/>
      </c>
    </row>
    <row r="85" spans="1:12">
      <c r="A85" s="108">
        <v>73</v>
      </c>
      <c r="B85" s="115" t="s">
        <v>1837</v>
      </c>
      <c r="C85" t="s">
        <v>1837</v>
      </c>
      <c r="D85" s="77" t="s">
        <v>1837</v>
      </c>
      <c r="E85">
        <v>0</v>
      </c>
      <c r="F85">
        <v>1</v>
      </c>
      <c r="G85" t="s">
        <v>2</v>
      </c>
      <c r="H85"/>
      <c r="J85" s="12" t="str">
        <f t="shared" si="2"/>
        <v>* liver 0..1 BackboneElement ##34#liver##34# ##334#liver##334#</v>
      </c>
      <c r="L85" s="12" t="str">
        <f t="shared" si="3"/>
        <v/>
      </c>
    </row>
    <row r="86" spans="1:12">
      <c r="A86" s="108">
        <v>74</v>
      </c>
      <c r="B86" s="115" t="s">
        <v>1840</v>
      </c>
      <c r="C86" t="s">
        <v>1840</v>
      </c>
      <c r="D86" s="77" t="s">
        <v>1840</v>
      </c>
      <c r="E86">
        <v>0</v>
      </c>
      <c r="F86">
        <v>1</v>
      </c>
      <c r="G86" t="s">
        <v>2</v>
      </c>
      <c r="H86"/>
      <c r="J86" s="12" t="str">
        <f t="shared" si="2"/>
        <v>* pleura 0..1 BackboneElement ##34#pleura##34# ##334#pleura##334#</v>
      </c>
      <c r="L86" s="12" t="str">
        <f t="shared" si="3"/>
        <v/>
      </c>
    </row>
    <row r="87" spans="1:12" ht="29.5">
      <c r="A87" s="108">
        <v>75</v>
      </c>
      <c r="B87" s="115" t="s">
        <v>1843</v>
      </c>
      <c r="C87" t="s">
        <v>1843</v>
      </c>
      <c r="D87" s="77" t="s">
        <v>1843</v>
      </c>
      <c r="E87">
        <v>0</v>
      </c>
      <c r="F87">
        <v>1</v>
      </c>
      <c r="G87" t="s">
        <v>2</v>
      </c>
      <c r="H87"/>
      <c r="J87" s="12" t="str">
        <f t="shared" si="2"/>
        <v>* peritoneum 0..1 BackboneElement ##34#peritoneum##34# ##334#peritoneum##334#</v>
      </c>
      <c r="L87" s="12" t="str">
        <f t="shared" si="3"/>
        <v/>
      </c>
    </row>
    <row r="88" spans="1:12">
      <c r="A88" s="108">
        <v>76</v>
      </c>
      <c r="B88" s="115" t="s">
        <v>1846</v>
      </c>
      <c r="C88" t="s">
        <v>1846</v>
      </c>
      <c r="D88" s="77" t="s">
        <v>1846</v>
      </c>
      <c r="E88">
        <v>0</v>
      </c>
      <c r="F88">
        <v>1</v>
      </c>
      <c r="G88" t="s">
        <v>2</v>
      </c>
      <c r="H88"/>
      <c r="J88" s="12" t="str">
        <f t="shared" si="2"/>
        <v>* brain 0..1 BackboneElement ##34#brain##34# ##334#brain##334#</v>
      </c>
      <c r="L88" s="12" t="str">
        <f t="shared" si="3"/>
        <v/>
      </c>
    </row>
    <row r="89" spans="1:12" ht="29.5">
      <c r="A89" s="108">
        <v>77</v>
      </c>
      <c r="B89" s="115" t="s">
        <v>1936</v>
      </c>
      <c r="C89" t="s">
        <v>1849</v>
      </c>
      <c r="D89" s="77" t="s">
        <v>1849</v>
      </c>
      <c r="E89">
        <v>0</v>
      </c>
      <c r="F89">
        <v>1</v>
      </c>
      <c r="G89" t="s">
        <v>2</v>
      </c>
      <c r="H89"/>
      <c r="J89" s="12" t="str">
        <f t="shared" si="2"/>
        <v>* otherViscera 0..1 BackboneElement ##34#other viscera##34# ##334#other viscera##334#</v>
      </c>
      <c r="L89" s="12" t="str">
        <f t="shared" si="3"/>
        <v/>
      </c>
    </row>
    <row r="90" spans="1:12" ht="29.5">
      <c r="A90" s="108">
        <v>78</v>
      </c>
      <c r="B90" s="115" t="s">
        <v>1937</v>
      </c>
      <c r="C90" t="s">
        <v>1938</v>
      </c>
      <c r="D90" s="2" t="s">
        <v>1939</v>
      </c>
      <c r="E90">
        <v>0</v>
      </c>
      <c r="F90">
        <v>1</v>
      </c>
      <c r="G90" t="s">
        <v>1</v>
      </c>
      <c r="H90" t="s">
        <v>1940</v>
      </c>
      <c r="J90" s="12" t="str">
        <f t="shared" si="2"/>
        <v>* msite 0..1 string ##34#M SITE##34# ##334#Specifices the M SITE##334#</v>
      </c>
      <c r="L90" s="12" t="str">
        <f t="shared" si="3"/>
        <v>* msite ^comment = ##334#A string or list of string describing where is the metastatic disease##334#</v>
      </c>
    </row>
    <row r="91" spans="1:12" ht="29.5">
      <c r="A91" s="108">
        <v>79</v>
      </c>
      <c r="B91" s="115" t="s">
        <v>1852</v>
      </c>
      <c r="C91" t="s">
        <v>1852</v>
      </c>
      <c r="D91" s="77" t="s">
        <v>1852</v>
      </c>
      <c r="E91">
        <v>0</v>
      </c>
      <c r="F91">
        <v>1</v>
      </c>
      <c r="G91" t="s">
        <v>2</v>
      </c>
      <c r="H91"/>
      <c r="J91" s="12" t="str">
        <f t="shared" si="2"/>
        <v>* unknown 0..1 BackboneElement ##34#unknown##34# ##334#unknown##334#</v>
      </c>
      <c r="L91" s="12" t="str">
        <f t="shared" si="3"/>
        <v/>
      </c>
    </row>
    <row r="92" spans="1:12" ht="29.5">
      <c r="A92" s="108">
        <v>80</v>
      </c>
      <c r="B92" s="115" t="s">
        <v>1941</v>
      </c>
      <c r="C92" t="s">
        <v>1942</v>
      </c>
      <c r="D92" s="77" t="s">
        <v>1942</v>
      </c>
      <c r="E92">
        <v>0</v>
      </c>
      <c r="F92">
        <v>1</v>
      </c>
      <c r="G92" t="s">
        <v>2</v>
      </c>
      <c r="H92"/>
      <c r="J92" s="12" t="str">
        <f t="shared" si="2"/>
        <v>* pathologicalStagingDefinedBy 0..1 BackboneElement ##34#Pathological staging defined by##34# ##334#Pathological staging defined by##334#</v>
      </c>
      <c r="L92" s="12" t="str">
        <f t="shared" si="3"/>
        <v/>
      </c>
    </row>
    <row r="93" spans="1:12" ht="29.5">
      <c r="A93" s="108">
        <v>81</v>
      </c>
      <c r="B93" s="115" t="s">
        <v>1711</v>
      </c>
      <c r="C93" t="s">
        <v>1626</v>
      </c>
      <c r="D93" s="77" t="s">
        <v>1626</v>
      </c>
      <c r="E93">
        <v>0</v>
      </c>
      <c r="F93">
        <v>1</v>
      </c>
      <c r="G93" t="s">
        <v>2</v>
      </c>
      <c r="H93"/>
      <c r="J93" s="12" t="str">
        <f t="shared" si="2"/>
        <v>* instrumentStatus 0..1 BackboneElement ##34#Instrument status##34# ##334#Instrument status##334#</v>
      </c>
      <c r="L93" s="12" t="str">
        <f t="shared" si="3"/>
        <v/>
      </c>
    </row>
    <row r="94" spans="1:12">
      <c r="J94" s="12" t="str">
        <f t="shared" si="2"/>
        <v>*  ..  ##34###34# ##334###334#</v>
      </c>
      <c r="L94" s="12" t="str">
        <f t="shared" si="3"/>
        <v>*  ..  ##34###34# ##334###334#</v>
      </c>
    </row>
    <row r="95" spans="1:12">
      <c r="J95" s="12" t="str">
        <f t="shared" si="2"/>
        <v>*  ..  ##34###34# ##334###334#</v>
      </c>
      <c r="L95" s="12" t="str">
        <f t="shared" si="3"/>
        <v>*  ..  ##34###34# ##334###334#</v>
      </c>
    </row>
    <row r="96" spans="1:12">
      <c r="J96" s="12" t="str">
        <f t="shared" si="2"/>
        <v>*  ..  ##34###34# ##334###334#</v>
      </c>
      <c r="L96" s="12" t="str">
        <f t="shared" si="3"/>
        <v>*  ..  ##34###34# ##334###334#</v>
      </c>
    </row>
    <row r="97" spans="10:12">
      <c r="J97" s="12" t="str">
        <f t="shared" si="2"/>
        <v>*  ..  ##34###34# ##334###334#</v>
      </c>
      <c r="L97" s="12" t="str">
        <f t="shared" si="3"/>
        <v>*  ..  ##34###34# ##334###334#</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69056-C717-43AF-BAE3-6F5120D19DFB}">
  <sheetPr codeName="Foglio47"/>
  <dimension ref="A1:O103"/>
  <sheetViews>
    <sheetView workbookViewId="0">
      <selection activeCell="B11" sqref="B11"/>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6" t="s">
        <v>21</v>
      </c>
      <c r="H1" s="7"/>
      <c r="I1" s="7"/>
      <c r="J1" s="7"/>
      <c r="K1" s="7"/>
      <c r="L1" s="7"/>
      <c r="M1" s="7"/>
      <c r="N1" s="7"/>
      <c r="O1" s="7"/>
    </row>
    <row r="2" spans="1:15">
      <c r="E2" s="23" t="s">
        <v>22</v>
      </c>
      <c r="H2" s="7"/>
      <c r="I2" s="7"/>
      <c r="J2" s="7"/>
      <c r="K2" s="7"/>
      <c r="L2" s="7"/>
      <c r="M2" s="7"/>
      <c r="N2" s="7"/>
      <c r="O2" s="7"/>
    </row>
    <row r="3" spans="1:15" ht="15.5" thickBot="1">
      <c r="E3" s="23" t="str">
        <f>E1</f>
        <v>// -------------------------------------------------------------------------------</v>
      </c>
      <c r="H3" s="7"/>
      <c r="I3" s="7"/>
      <c r="J3" s="7"/>
      <c r="K3" s="7"/>
      <c r="L3" s="7"/>
      <c r="M3" s="7"/>
      <c r="N3" s="7"/>
      <c r="O3" s="7"/>
    </row>
    <row r="4" spans="1:15" ht="15.5" thickBot="1">
      <c r="B4" s="10" t="s">
        <v>18</v>
      </c>
      <c r="C4" s="29" t="s">
        <v>1945</v>
      </c>
      <c r="E4" s="20" t="str">
        <f>CONCATENATE("Mapping: ",C4)</f>
        <v>Mapping: I4RCStaging2Fhir</v>
      </c>
      <c r="H4" s="7"/>
      <c r="I4" s="7"/>
      <c r="J4" s="7"/>
      <c r="K4" s="7"/>
      <c r="L4" s="7"/>
      <c r="M4" s="7"/>
      <c r="N4" s="7"/>
      <c r="O4" s="7"/>
    </row>
    <row r="5" spans="1:15" ht="15.5" thickBot="1">
      <c r="B5" s="10" t="s">
        <v>17</v>
      </c>
      <c r="C5" s="13" t="s">
        <v>14</v>
      </c>
      <c r="E5" s="21" t="str">
        <f>CONCATENATE("Id: ",C5)</f>
        <v>Id: fhir</v>
      </c>
      <c r="H5" s="7"/>
      <c r="I5" s="7"/>
      <c r="J5" s="7"/>
      <c r="K5" s="7"/>
      <c r="L5" s="7"/>
      <c r="M5" s="7"/>
      <c r="N5" s="7"/>
      <c r="O5" s="7"/>
    </row>
    <row r="6" spans="1:15" ht="15.5" thickBot="1">
      <c r="B6" s="10" t="s">
        <v>11</v>
      </c>
      <c r="C6" s="7" t="s">
        <v>1946</v>
      </c>
      <c r="E6" s="21" t="str">
        <f>CONCATENATE("Title: ##34#",C6,"##34#")</f>
        <v>Title: ##34#Idea4RC Staging model to FHIR R4 Map##34#</v>
      </c>
      <c r="H6" s="7"/>
      <c r="I6" s="7"/>
      <c r="J6" s="7"/>
      <c r="K6" s="7"/>
      <c r="L6" s="7"/>
      <c r="M6" s="7"/>
      <c r="N6" s="7"/>
      <c r="O6" s="7"/>
    </row>
    <row r="7" spans="1:15" ht="15.5" thickBot="1">
      <c r="B7" s="10" t="s">
        <v>19</v>
      </c>
      <c r="C7" s="8" t="str">
        <f>B9</f>
        <v>Staging</v>
      </c>
      <c r="E7" s="21" t="str">
        <f>CONCATENATE("Source: ",C7)</f>
        <v>Source: Staging</v>
      </c>
      <c r="H7" s="7"/>
      <c r="I7" s="7"/>
      <c r="J7" s="7"/>
      <c r="K7" s="7"/>
      <c r="L7" s="7"/>
      <c r="M7" s="7"/>
      <c r="N7" s="7"/>
      <c r="O7" s="7"/>
    </row>
    <row r="8" spans="1:15" ht="15.5" thickBot="1">
      <c r="B8" s="19" t="s">
        <v>16</v>
      </c>
      <c r="C8" t="s">
        <v>13</v>
      </c>
      <c r="E8" s="22" t="str">
        <f>CONCATENATE("Target: ##34#",C8,"##34#")</f>
        <v>Target: ##34#hl7.org/fhir/r4##34#</v>
      </c>
      <c r="H8" s="7"/>
      <c r="I8" s="7"/>
      <c r="J8" s="7"/>
      <c r="K8" s="7"/>
      <c r="L8" s="7"/>
      <c r="M8" s="7"/>
      <c r="N8" s="7"/>
      <c r="O8" s="7"/>
    </row>
    <row r="9" spans="1:15">
      <c r="A9" s="11"/>
      <c r="B9" s="6" t="str">
        <f>Staging!B5</f>
        <v>Staging</v>
      </c>
      <c r="C9" s="6" t="s">
        <v>1637</v>
      </c>
      <c r="E9" s="28" t="str">
        <f>CONCATENATE("* -&gt; ##34#",C9,"##34#")</f>
        <v>* -&gt; ##34#TBD##34#</v>
      </c>
      <c r="H9" s="7"/>
      <c r="I9" s="7"/>
      <c r="J9" s="7"/>
      <c r="K9" s="7"/>
      <c r="L9" s="7"/>
      <c r="M9" s="7"/>
      <c r="N9" s="7"/>
      <c r="O9" s="7"/>
    </row>
    <row r="10" spans="1:15">
      <c r="A10" s="11"/>
      <c r="B10" s="11" t="str">
        <f>Staging!B8</f>
        <v>stagingProceduresDoneBy</v>
      </c>
      <c r="C10" s="11" t="s">
        <v>1637</v>
      </c>
      <c r="E10" s="12" t="str">
        <f t="shared" ref="E10:E73" si="0">IF(B10=0,"*  -&gt; ##34###34#",CONCATENATE("* ",B10," -&gt; ##34#",C10,"##34#"))</f>
        <v>* stagingProceduresDoneBy -&gt; ##34#TBD##34#</v>
      </c>
      <c r="H10" s="7"/>
      <c r="I10" s="7"/>
      <c r="J10" s="7"/>
      <c r="K10" s="7"/>
      <c r="L10" s="7"/>
      <c r="M10" s="7"/>
      <c r="N10" s="7"/>
      <c r="O10" s="7"/>
    </row>
    <row r="11" spans="1:15">
      <c r="A11" s="11"/>
      <c r="B11" s="11" t="str">
        <f>Staging!B9</f>
        <v>imagingPerformed</v>
      </c>
      <c r="C11" s="11" t="s">
        <v>1637</v>
      </c>
      <c r="E11" s="12" t="str">
        <f t="shared" si="0"/>
        <v>* imagingPerformed -&gt; ##34#TBD##34#</v>
      </c>
      <c r="H11" s="7"/>
      <c r="I11" s="7"/>
      <c r="J11" s="7"/>
      <c r="K11" s="7"/>
      <c r="L11" s="7"/>
      <c r="M11" s="7"/>
      <c r="N11" s="7"/>
      <c r="O11" s="7"/>
    </row>
    <row r="12" spans="1:15">
      <c r="A12" s="11"/>
      <c r="B12" s="11" t="str">
        <f>Staging!B10</f>
        <v>imagingPerformed.flag</v>
      </c>
      <c r="C12" s="11" t="s">
        <v>1637</v>
      </c>
      <c r="E12" s="12" t="str">
        <f t="shared" si="0"/>
        <v>* imagingPerformed.flag -&gt; ##34#TBD##34#</v>
      </c>
      <c r="H12" s="7"/>
      <c r="I12" s="7"/>
      <c r="J12" s="7"/>
      <c r="K12" s="7"/>
      <c r="L12" s="7"/>
      <c r="M12" s="7"/>
      <c r="N12" s="7"/>
      <c r="O12" s="7"/>
    </row>
    <row r="13" spans="1:15">
      <c r="A13" s="11"/>
      <c r="B13" s="11" t="str">
        <f>Staging!B11</f>
        <v>imagingPerformed.cTPerformed</v>
      </c>
      <c r="C13" s="11" t="s">
        <v>1637</v>
      </c>
      <c r="E13" s="12" t="str">
        <f t="shared" si="0"/>
        <v>* imagingPerformed.cTPerformed -&gt; ##34#TBD##34#</v>
      </c>
      <c r="H13" s="7"/>
      <c r="I13" s="7"/>
      <c r="J13" s="7"/>
      <c r="K13" s="7"/>
      <c r="L13" s="7"/>
      <c r="M13" s="7"/>
      <c r="N13" s="7"/>
      <c r="O13" s="7"/>
    </row>
    <row r="14" spans="1:15">
      <c r="A14" s="11"/>
      <c r="B14" s="11" t="str">
        <f>Staging!B12</f>
        <v>imagingPerformed.mRIPerformed</v>
      </c>
      <c r="C14" s="11" t="s">
        <v>1637</v>
      </c>
      <c r="E14" s="12" t="str">
        <f t="shared" si="0"/>
        <v>* imagingPerformed.mRIPerformed -&gt; ##34#TBD##34#</v>
      </c>
      <c r="H14" s="7"/>
      <c r="I14" s="7"/>
      <c r="J14" s="7"/>
      <c r="K14" s="7"/>
      <c r="L14" s="7"/>
      <c r="M14" s="7"/>
      <c r="N14" s="7"/>
      <c r="O14" s="7"/>
    </row>
    <row r="15" spans="1:15">
      <c r="A15" s="11"/>
      <c r="B15" s="11" t="str">
        <f>Staging!B13</f>
        <v>imagingPerformed.uSPerformed</v>
      </c>
      <c r="C15" s="11" t="s">
        <v>1637</v>
      </c>
      <c r="E15" s="12" t="str">
        <f t="shared" si="0"/>
        <v>* imagingPerformed.uSPerformed -&gt; ##34#TBD##34#</v>
      </c>
      <c r="H15" s="7"/>
      <c r="I15" s="7"/>
      <c r="J15" s="7"/>
      <c r="K15" s="7"/>
      <c r="L15" s="7"/>
      <c r="M15" s="7"/>
      <c r="N15" s="7"/>
      <c r="O15" s="7"/>
    </row>
    <row r="16" spans="1:15">
      <c r="A16" s="11"/>
      <c r="B16" s="11" t="str">
        <f>Staging!B14</f>
        <v>imagingPerformed.fDGPETPerformed</v>
      </c>
      <c r="C16" s="11" t="s">
        <v>1637</v>
      </c>
      <c r="E16" s="12" t="str">
        <f t="shared" si="0"/>
        <v>* imagingPerformed.fDGPETPerformed -&gt; ##34#TBD##34#</v>
      </c>
      <c r="H16" s="7"/>
      <c r="I16" s="7"/>
      <c r="J16" s="7"/>
      <c r="K16" s="7"/>
      <c r="L16" s="7"/>
      <c r="M16" s="7"/>
      <c r="N16" s="7"/>
      <c r="O16" s="7"/>
    </row>
    <row r="17" spans="1:5">
      <c r="A17" s="11"/>
      <c r="B17" s="11" t="str">
        <f>Staging!B15</f>
        <v>imagingPerformed.pETwithothertracersPerformed</v>
      </c>
      <c r="C17" s="11" t="s">
        <v>1637</v>
      </c>
      <c r="E17" s="12" t="str">
        <f t="shared" si="0"/>
        <v>* imagingPerformed.pETwithothertracersPerformed -&gt; ##34#TBD##34#</v>
      </c>
    </row>
    <row r="18" spans="1:5">
      <c r="A18" s="11"/>
      <c r="B18" s="11" t="str">
        <f>Staging!B16</f>
        <v>imagingPerformed.opticaldigitalmethodsegnarrowbandimagingPerformed</v>
      </c>
      <c r="C18" s="11" t="s">
        <v>1637</v>
      </c>
      <c r="E18" s="12" t="str">
        <f t="shared" si="0"/>
        <v>* imagingPerformed.opticaldigitalmethodsegnarrowbandimagingPerformed -&gt; ##34#TBD##34#</v>
      </c>
    </row>
    <row r="19" spans="1:5">
      <c r="A19" s="11"/>
      <c r="B19" s="11" t="str">
        <f>Staging!B17</f>
        <v>imagingPerformed.cTPETPerformed</v>
      </c>
      <c r="C19" s="11" t="s">
        <v>1637</v>
      </c>
      <c r="E19" s="12" t="str">
        <f t="shared" si="0"/>
        <v>* imagingPerformed.cTPETPerformed -&gt; ##34#TBD##34#</v>
      </c>
    </row>
    <row r="20" spans="1:5">
      <c r="A20" s="11"/>
      <c r="B20" s="11" t="str">
        <f>Staging!B18</f>
        <v>imagingPerformed.unknownPerformed</v>
      </c>
      <c r="C20" s="11" t="s">
        <v>1637</v>
      </c>
      <c r="E20" s="12" t="str">
        <f t="shared" si="0"/>
        <v>* imagingPerformed.unknownPerformed -&gt; ##34#TBD##34#</v>
      </c>
    </row>
    <row r="21" spans="1:5">
      <c r="B21" s="11" t="str">
        <f>Staging!B19</f>
        <v>imagingPerformed.otherimagingforprimarysitePerformed</v>
      </c>
      <c r="C21" s="11" t="s">
        <v>1637</v>
      </c>
      <c r="E21" s="12" t="str">
        <f t="shared" si="0"/>
        <v>* imagingPerformed.otherimagingforprimarysitePerformed -&gt; ##34#TBD##34#</v>
      </c>
    </row>
    <row r="22" spans="1:5">
      <c r="B22" s="11" t="str">
        <f>Staging!B20</f>
        <v>imagingforneckPerformed</v>
      </c>
      <c r="C22" s="11" t="s">
        <v>1637</v>
      </c>
      <c r="E22" s="12" t="str">
        <f t="shared" si="0"/>
        <v>* imagingforneckPerformed -&gt; ##34#TBD##34#</v>
      </c>
    </row>
    <row r="23" spans="1:5">
      <c r="B23" s="11" t="str">
        <f>Staging!B21</f>
        <v>imagingforneckPerformed.flag</v>
      </c>
      <c r="C23" s="11" t="s">
        <v>1637</v>
      </c>
      <c r="E23" s="12" t="str">
        <f t="shared" si="0"/>
        <v>* imagingforneckPerformed.flag -&gt; ##34#TBD##34#</v>
      </c>
    </row>
    <row r="24" spans="1:5">
      <c r="B24" s="11" t="str">
        <f>Staging!B22</f>
        <v>imagingforneckPerformed.cTPerformed</v>
      </c>
      <c r="C24" s="11" t="s">
        <v>1637</v>
      </c>
      <c r="E24" s="12" t="str">
        <f t="shared" si="0"/>
        <v>* imagingforneckPerformed.cTPerformed -&gt; ##34#TBD##34#</v>
      </c>
    </row>
    <row r="25" spans="1:5">
      <c r="B25" s="11" t="str">
        <f>Staging!B23</f>
        <v>imagingforneckPerformed.mRIPerformed</v>
      </c>
      <c r="C25" s="11" t="s">
        <v>1637</v>
      </c>
      <c r="E25" s="12" t="str">
        <f t="shared" si="0"/>
        <v>* imagingforneckPerformed.mRIPerformed -&gt; ##34#TBD##34#</v>
      </c>
    </row>
    <row r="26" spans="1:5">
      <c r="B26" s="11" t="str">
        <f>Staging!B24</f>
        <v>imagingforneckPerformed.uSPerformed</v>
      </c>
      <c r="C26" s="11" t="s">
        <v>1637</v>
      </c>
      <c r="E26" s="12" t="str">
        <f t="shared" si="0"/>
        <v>* imagingforneckPerformed.uSPerformed -&gt; ##34#TBD##34#</v>
      </c>
    </row>
    <row r="27" spans="1:5">
      <c r="B27" s="11" t="str">
        <f>Staging!B25</f>
        <v>imagingforneckPerformed.fDGPETPerformed</v>
      </c>
      <c r="C27" s="11" t="s">
        <v>1637</v>
      </c>
      <c r="E27" s="12" t="str">
        <f t="shared" si="0"/>
        <v>* imagingforneckPerformed.fDGPETPerformed -&gt; ##34#TBD##34#</v>
      </c>
    </row>
    <row r="28" spans="1:5">
      <c r="B28" s="11" t="str">
        <f>Staging!B26</f>
        <v>imagingforneckPerformed.pETwithothertracersPerformed</v>
      </c>
      <c r="C28" s="11" t="s">
        <v>1637</v>
      </c>
      <c r="E28" s="12" t="str">
        <f t="shared" si="0"/>
        <v>* imagingforneckPerformed.pETwithothertracersPerformed -&gt; ##34#TBD##34#</v>
      </c>
    </row>
    <row r="29" spans="1:5">
      <c r="B29" s="11" t="str">
        <f>Staging!B27</f>
        <v>imagingforneckPerformed.cTPETPerformed</v>
      </c>
      <c r="C29" s="11" t="s">
        <v>1637</v>
      </c>
      <c r="E29" s="12" t="str">
        <f t="shared" si="0"/>
        <v>* imagingforneckPerformed.cTPETPerformed -&gt; ##34#TBD##34#</v>
      </c>
    </row>
    <row r="30" spans="1:5">
      <c r="B30" s="11" t="str">
        <f>Staging!B28</f>
        <v>imagingforneckPerformed.unknownPerformed</v>
      </c>
      <c r="C30" s="11" t="s">
        <v>1637</v>
      </c>
      <c r="E30" s="12" t="str">
        <f t="shared" si="0"/>
        <v>* imagingforneckPerformed.unknownPerformed -&gt; ##34#TBD##34#</v>
      </c>
    </row>
    <row r="31" spans="1:5">
      <c r="B31" s="11" t="str">
        <f>Staging!B29</f>
        <v>imagingforneckPerformed.otherimagingforneckPerformed</v>
      </c>
      <c r="C31" s="11" t="s">
        <v>1637</v>
      </c>
      <c r="E31" s="12" t="str">
        <f t="shared" si="0"/>
        <v>* imagingforneckPerformed.otherimagingforneckPerformed -&gt; ##34#TBD##34#</v>
      </c>
    </row>
    <row r="32" spans="1:5">
      <c r="B32" s="11" t="str">
        <f>Staging!B30</f>
        <v>imagingformetastasisPerformed</v>
      </c>
      <c r="C32" s="11" t="s">
        <v>1637</v>
      </c>
      <c r="E32" s="12" t="str">
        <f t="shared" si="0"/>
        <v>* imagingformetastasisPerformed -&gt; ##34#TBD##34#</v>
      </c>
    </row>
    <row r="33" spans="2:5">
      <c r="B33" s="11" t="str">
        <f>Staging!B31</f>
        <v>imagingformetastasisPerformed.imagingformetastasisPerformed</v>
      </c>
      <c r="C33" s="11" t="s">
        <v>1637</v>
      </c>
      <c r="E33" s="12" t="str">
        <f t="shared" si="0"/>
        <v>* imagingformetastasisPerformed.imagingformetastasisPerformed -&gt; ##34#TBD##34#</v>
      </c>
    </row>
    <row r="34" spans="2:5">
      <c r="B34" s="11" t="str">
        <f>Staging!B32</f>
        <v>imagingformetastasisPerformed.cTPerformed</v>
      </c>
      <c r="C34" s="11" t="s">
        <v>1637</v>
      </c>
      <c r="E34" s="12" t="str">
        <f t="shared" si="0"/>
        <v>* imagingformetastasisPerformed.cTPerformed -&gt; ##34#TBD##34#</v>
      </c>
    </row>
    <row r="35" spans="2:5">
      <c r="B35" s="11" t="str">
        <f>Staging!B33</f>
        <v>imagingformetastasisPerformed.mRIPerformed</v>
      </c>
      <c r="C35" s="11" t="s">
        <v>1637</v>
      </c>
      <c r="E35" s="12" t="str">
        <f t="shared" si="0"/>
        <v>* imagingformetastasisPerformed.mRIPerformed -&gt; ##34#TBD##34#</v>
      </c>
    </row>
    <row r="36" spans="2:5">
      <c r="B36" s="11" t="str">
        <f>Staging!B34</f>
        <v>imagingformetastasisPerformed.uSPerformed</v>
      </c>
      <c r="C36" s="11" t="s">
        <v>1637</v>
      </c>
      <c r="E36" s="12" t="str">
        <f t="shared" si="0"/>
        <v>* imagingformetastasisPerformed.uSPerformed -&gt; ##34#TBD##34#</v>
      </c>
    </row>
    <row r="37" spans="2:5">
      <c r="B37" s="11" t="str">
        <f>Staging!B35</f>
        <v>imagingformetastasisPerformed.fDGPETPerformed</v>
      </c>
      <c r="C37" s="11" t="s">
        <v>1637</v>
      </c>
      <c r="E37" s="12" t="str">
        <f t="shared" si="0"/>
        <v>* imagingformetastasisPerformed.fDGPETPerformed -&gt; ##34#TBD##34#</v>
      </c>
    </row>
    <row r="38" spans="2:5">
      <c r="B38" s="11" t="str">
        <f>Staging!B36</f>
        <v>imagingformetastasisPerformed.pETwithothertracersPerformed</v>
      </c>
      <c r="C38" s="11" t="s">
        <v>1637</v>
      </c>
      <c r="E38" s="12" t="str">
        <f t="shared" si="0"/>
        <v>* imagingformetastasisPerformed.pETwithothertracersPerformed -&gt; ##34#TBD##34#</v>
      </c>
    </row>
    <row r="39" spans="2:5">
      <c r="B39" s="11" t="str">
        <f>Staging!B37</f>
        <v>imagingformetastasisPerformed.cTPETPerformed</v>
      </c>
      <c r="C39" s="11" t="s">
        <v>1637</v>
      </c>
      <c r="E39" s="12" t="str">
        <f t="shared" si="0"/>
        <v>* imagingformetastasisPerformed.cTPETPerformed -&gt; ##34#TBD##34#</v>
      </c>
    </row>
    <row r="40" spans="2:5">
      <c r="B40" s="11" t="str">
        <f>Staging!B38</f>
        <v>imagingformetastasisPerformed.unknownPerformed</v>
      </c>
      <c r="C40" s="11" t="s">
        <v>1637</v>
      </c>
      <c r="E40" s="12" t="str">
        <f t="shared" si="0"/>
        <v>* imagingformetastasisPerformed.unknownPerformed -&gt; ##34#TBD##34#</v>
      </c>
    </row>
    <row r="41" spans="2:5">
      <c r="B41" s="11" t="str">
        <f>Staging!B39</f>
        <v>imagingformetastasisPerformed.otherimagingformetastaticdiseasePerformed</v>
      </c>
      <c r="C41" s="11" t="s">
        <v>1637</v>
      </c>
      <c r="E41" s="12" t="str">
        <f t="shared" si="0"/>
        <v>* imagingformetastasisPerformed.otherimagingformetastaticdiseasePerformed -&gt; ##34#TBD##34#</v>
      </c>
    </row>
    <row r="42" spans="2:5">
      <c r="B42" s="11" t="str">
        <f>Staging!B40</f>
        <v>clinicalStage</v>
      </c>
      <c r="C42" s="11" t="s">
        <v>1637</v>
      </c>
      <c r="E42" s="12" t="str">
        <f t="shared" si="0"/>
        <v>* clinicalStage -&gt; ##34#TBD##34#</v>
      </c>
    </row>
    <row r="43" spans="2:5">
      <c r="B43" s="11" t="str">
        <f>Staging!B41</f>
        <v>clinicalStage.ct</v>
      </c>
      <c r="C43" s="11" t="s">
        <v>1637</v>
      </c>
      <c r="E43" s="12" t="str">
        <f t="shared" si="0"/>
        <v>* clinicalStage.ct -&gt; ##34#TBD##34#</v>
      </c>
    </row>
    <row r="44" spans="2:5">
      <c r="B44" s="11" t="str">
        <f>Staging!B42</f>
        <v>clinicalStage.cn</v>
      </c>
      <c r="C44" s="11" t="s">
        <v>1637</v>
      </c>
      <c r="E44" s="12" t="str">
        <f t="shared" si="0"/>
        <v>* clinicalStage.cn -&gt; ##34#TBD##34#</v>
      </c>
    </row>
    <row r="45" spans="2:5">
      <c r="B45" s="11" t="str">
        <f>Staging!B43</f>
        <v>clinicalStage.radiologicalExtraNodalExtensionRene</v>
      </c>
      <c r="C45" s="11" t="s">
        <v>1637</v>
      </c>
      <c r="E45" s="12" t="str">
        <f t="shared" si="0"/>
        <v>* clinicalStage.radiologicalExtraNodalExtensionRene -&gt; ##34#TBD##34#</v>
      </c>
    </row>
    <row r="46" spans="2:5">
      <c r="B46" s="11" t="str">
        <f>Staging!B44</f>
        <v>clinicalStage.cm</v>
      </c>
      <c r="C46" s="11" t="s">
        <v>1637</v>
      </c>
      <c r="E46" s="12" t="str">
        <f t="shared" si="0"/>
        <v>* clinicalStage.cm -&gt; ##34#TBD##34#</v>
      </c>
    </row>
    <row r="47" spans="2:5">
      <c r="B47" s="11" t="str">
        <f>Staging!B45</f>
        <v>clinicalStage.clinicalStaging</v>
      </c>
      <c r="C47" s="11" t="s">
        <v>1637</v>
      </c>
      <c r="E47" s="12" t="str">
        <f t="shared" si="0"/>
        <v>* clinicalStage.clinicalStaging -&gt; ##34#TBD##34#</v>
      </c>
    </row>
    <row r="48" spans="2:5">
      <c r="B48" s="11" t="str">
        <f>Staging!B46</f>
        <v>clinicalStage.ajccEdition</v>
      </c>
      <c r="C48" s="11" t="s">
        <v>1637</v>
      </c>
      <c r="E48" s="12" t="str">
        <f t="shared" si="0"/>
        <v>* clinicalStage.ajccEdition -&gt; ##34#TBD##34#</v>
      </c>
    </row>
    <row r="49" spans="2:5">
      <c r="B49" s="11" t="str">
        <f>Staging!B47</f>
        <v>clinicalStage.nan</v>
      </c>
      <c r="C49" s="11" t="s">
        <v>1637</v>
      </c>
      <c r="E49" s="12" t="str">
        <f t="shared" si="0"/>
        <v>* clinicalStage.nan -&gt; ##34#TBD##34#</v>
      </c>
    </row>
    <row r="50" spans="2:5">
      <c r="B50" s="11" t="str">
        <f>Staging!B48</f>
        <v>metastasisSite</v>
      </c>
      <c r="C50" s="11" t="s">
        <v>1637</v>
      </c>
      <c r="E50" s="12" t="str">
        <f t="shared" si="0"/>
        <v>* metastasisSite -&gt; ##34#TBD##34#</v>
      </c>
    </row>
    <row r="51" spans="2:5">
      <c r="B51" s="11" t="str">
        <f>Staging!B49</f>
        <v>metastasisSite.softTissue</v>
      </c>
      <c r="C51" s="11" t="s">
        <v>1637</v>
      </c>
      <c r="E51" s="12" t="str">
        <f t="shared" si="0"/>
        <v>* metastasisSite.softTissue -&gt; ##34#TBD##34#</v>
      </c>
    </row>
    <row r="52" spans="2:5">
      <c r="B52" s="11" t="str">
        <f>Staging!B50</f>
        <v>metastasisSite.distantLymphNode</v>
      </c>
      <c r="C52" s="11" t="s">
        <v>1637</v>
      </c>
      <c r="E52" s="12" t="str">
        <f t="shared" si="0"/>
        <v>* metastasisSite.distantLymphNode -&gt; ##34#TBD##34#</v>
      </c>
    </row>
    <row r="53" spans="2:5">
      <c r="B53" s="11" t="str">
        <f>Staging!B51</f>
        <v>metastasisSite.lung</v>
      </c>
      <c r="C53" s="11" t="s">
        <v>1637</v>
      </c>
      <c r="E53" s="12" t="str">
        <f t="shared" si="0"/>
        <v>* metastasisSite.lung -&gt; ##34#TBD##34#</v>
      </c>
    </row>
    <row r="54" spans="2:5">
      <c r="B54" s="11" t="str">
        <f>Staging!B52</f>
        <v>metastasisSite.bone</v>
      </c>
      <c r="C54" s="11" t="s">
        <v>1637</v>
      </c>
      <c r="E54" s="12" t="str">
        <f t="shared" si="0"/>
        <v>* metastasisSite.bone -&gt; ##34#TBD##34#</v>
      </c>
    </row>
    <row r="55" spans="2:5">
      <c r="B55" s="11" t="str">
        <f>Staging!B53</f>
        <v>metastasisSite.liver</v>
      </c>
      <c r="C55" s="11" t="s">
        <v>1637</v>
      </c>
      <c r="E55" s="12" t="str">
        <f t="shared" si="0"/>
        <v>* metastasisSite.liver -&gt; ##34#TBD##34#</v>
      </c>
    </row>
    <row r="56" spans="2:5">
      <c r="B56" s="11" t="str">
        <f>Staging!B54</f>
        <v>metastasisSite.pleura</v>
      </c>
      <c r="C56" s="11" t="s">
        <v>1637</v>
      </c>
      <c r="E56" s="12" t="str">
        <f t="shared" si="0"/>
        <v>* metastasisSite.pleura -&gt; ##34#TBD##34#</v>
      </c>
    </row>
    <row r="57" spans="2:5">
      <c r="B57" s="11" t="str">
        <f>Staging!B55</f>
        <v>metastasisSite.peritoneum</v>
      </c>
      <c r="C57" s="11" t="s">
        <v>1637</v>
      </c>
      <c r="E57" s="12" t="str">
        <f t="shared" si="0"/>
        <v>* metastasisSite.peritoneum -&gt; ##34#TBD##34#</v>
      </c>
    </row>
    <row r="58" spans="2:5">
      <c r="B58" s="11" t="str">
        <f>Staging!B56</f>
        <v>metastasisSite.brain</v>
      </c>
      <c r="C58" s="11" t="s">
        <v>1637</v>
      </c>
      <c r="E58" s="12" t="str">
        <f t="shared" si="0"/>
        <v>* metastasisSite.brain -&gt; ##34#TBD##34#</v>
      </c>
    </row>
    <row r="59" spans="2:5">
      <c r="B59" s="11" t="str">
        <f>Staging!B57</f>
        <v>metastasisSite.otherViscera</v>
      </c>
      <c r="C59" s="11" t="s">
        <v>1637</v>
      </c>
      <c r="E59" s="12" t="str">
        <f t="shared" si="0"/>
        <v>* metastasisSite.otherViscera -&gt; ##34#TBD##34#</v>
      </c>
    </row>
    <row r="60" spans="2:5">
      <c r="B60" s="11" t="str">
        <f>Staging!B58</f>
        <v>metastasisSite.unknown</v>
      </c>
      <c r="C60" s="11" t="s">
        <v>1637</v>
      </c>
      <c r="E60" s="12" t="str">
        <f t="shared" si="0"/>
        <v>* metastasisSite.unknown -&gt; ##34#TBD##34#</v>
      </c>
    </row>
    <row r="61" spans="2:5">
      <c r="B61" s="11" t="str">
        <f>Staging!B59</f>
        <v>clinicalStagingDefinedBy</v>
      </c>
      <c r="C61" s="11" t="s">
        <v>1637</v>
      </c>
      <c r="E61" s="12" t="str">
        <f t="shared" si="0"/>
        <v>* clinicalStagingDefinedBy -&gt; ##34#TBD##34#</v>
      </c>
    </row>
    <row r="62" spans="2:5">
      <c r="B62" s="11" t="str">
        <f>Staging!B60</f>
        <v>pathologicalStage</v>
      </c>
      <c r="C62" s="11" t="s">
        <v>1637</v>
      </c>
      <c r="E62" s="12" t="str">
        <f t="shared" si="0"/>
        <v>* pathologicalStage -&gt; ##34#TBD##34#</v>
      </c>
    </row>
    <row r="63" spans="2:5">
      <c r="B63" s="11" t="str">
        <f>Staging!B61</f>
        <v>pathologicalStage.pt</v>
      </c>
      <c r="C63" s="11" t="s">
        <v>1637</v>
      </c>
      <c r="E63" s="12" t="str">
        <f t="shared" si="0"/>
        <v>* pathologicalStage.pt -&gt; ##34#TBD##34#</v>
      </c>
    </row>
    <row r="64" spans="2:5">
      <c r="B64" s="11" t="str">
        <f>Staging!B62</f>
        <v>pathologicalStage.pn</v>
      </c>
      <c r="C64" s="11" t="s">
        <v>1637</v>
      </c>
      <c r="E64" s="12" t="str">
        <f t="shared" si="0"/>
        <v>* pathologicalStage.pn -&gt; ##34#TBD##34#</v>
      </c>
    </row>
    <row r="65" spans="2:5">
      <c r="B65" s="11" t="str">
        <f>Staging!B63</f>
        <v>extranodalExtensionEne</v>
      </c>
      <c r="C65" s="11" t="s">
        <v>1637</v>
      </c>
      <c r="E65" s="12" t="str">
        <f t="shared" si="0"/>
        <v>* extranodalExtensionEne -&gt; ##34#TBD##34#</v>
      </c>
    </row>
    <row r="66" spans="2:5">
      <c r="B66" s="11" t="str">
        <f>Staging!B64</f>
        <v>extranodalExtent</v>
      </c>
      <c r="C66" s="11" t="s">
        <v>1637</v>
      </c>
      <c r="E66" s="12" t="str">
        <f t="shared" si="0"/>
        <v>* extranodalExtent -&gt; ##34#TBD##34#</v>
      </c>
    </row>
    <row r="67" spans="2:5">
      <c r="B67" s="11" t="str">
        <f>Staging!B65</f>
        <v>marginsAfterSurgery</v>
      </c>
      <c r="C67" s="11" t="s">
        <v>1637</v>
      </c>
      <c r="E67" s="12" t="str">
        <f t="shared" si="0"/>
        <v>* marginsAfterSurgery -&gt; ##34#TBD##34#</v>
      </c>
    </row>
    <row r="68" spans="2:5">
      <c r="B68" s="11" t="str">
        <f>Staging!B66</f>
        <v>marginsAfterSurgeryIf5Mm</v>
      </c>
      <c r="C68" s="11" t="s">
        <v>1637</v>
      </c>
      <c r="E68" s="12" t="str">
        <f t="shared" si="0"/>
        <v>* marginsAfterSurgeryIf5Mm -&gt; ##34#TBD##34#</v>
      </c>
    </row>
    <row r="69" spans="2:5">
      <c r="B69" s="11" t="str">
        <f>Staging!B67</f>
        <v>sentinelNode</v>
      </c>
      <c r="C69" s="11" t="s">
        <v>1637</v>
      </c>
      <c r="E69" s="12" t="str">
        <f t="shared" si="0"/>
        <v>* sentinelNode -&gt; ##34#TBD##34#</v>
      </c>
    </row>
    <row r="70" spans="2:5">
      <c r="B70" s="11" t="str">
        <f>Staging!B68</f>
        <v>neckDissection</v>
      </c>
      <c r="C70" s="11" t="s">
        <v>1637</v>
      </c>
      <c r="E70" s="12" t="str">
        <f t="shared" si="0"/>
        <v>* neckDissection -&gt; ##34#TBD##34#</v>
      </c>
    </row>
    <row r="71" spans="2:5">
      <c r="B71" s="11" t="str">
        <f>Staging!B69</f>
        <v>numberOfLymphNodesRemovedRightSide</v>
      </c>
      <c r="C71" s="11" t="s">
        <v>1637</v>
      </c>
      <c r="E71" s="12" t="str">
        <f t="shared" si="0"/>
        <v>* numberOfLymphNodesRemovedRightSide -&gt; ##34#TBD##34#</v>
      </c>
    </row>
    <row r="72" spans="2:5">
      <c r="B72" s="11" t="str">
        <f>Staging!B70</f>
        <v>numberOfPositiveLymphNodesRightSide</v>
      </c>
      <c r="C72" s="11" t="s">
        <v>1637</v>
      </c>
      <c r="E72" s="12" t="str">
        <f t="shared" si="0"/>
        <v>* numberOfPositiveLymphNodesRightSide -&gt; ##34#TBD##34#</v>
      </c>
    </row>
    <row r="73" spans="2:5">
      <c r="B73" s="11" t="str">
        <f>Staging!B71</f>
        <v>lnrRightLymphNodeRatio</v>
      </c>
      <c r="C73" s="11" t="s">
        <v>1637</v>
      </c>
      <c r="E73" s="12" t="str">
        <f t="shared" si="0"/>
        <v>* lnrRightLymphNodeRatio -&gt; ##34#TBD##34#</v>
      </c>
    </row>
    <row r="74" spans="2:5">
      <c r="B74" s="11" t="str">
        <f>Staging!B72</f>
        <v>numberOfLymphNodesRemovedLeftSide</v>
      </c>
      <c r="C74" s="11" t="s">
        <v>1637</v>
      </c>
      <c r="E74" s="12" t="str">
        <f t="shared" ref="E74:E98" si="1">IF(B74=0,"*  -&gt; ##34###34#",CONCATENATE("* ",B74," -&gt; ##34#",C74,"##34#"))</f>
        <v>* numberOfLymphNodesRemovedLeftSide -&gt; ##34#TBD##34#</v>
      </c>
    </row>
    <row r="75" spans="2:5">
      <c r="B75" s="11" t="str">
        <f>Staging!B73</f>
        <v>numberOfPositiveLymphNodesLeftSide</v>
      </c>
      <c r="C75" s="11" t="s">
        <v>1637</v>
      </c>
      <c r="E75" s="12" t="str">
        <f t="shared" si="1"/>
        <v>* numberOfPositiveLymphNodesLeftSide -&gt; ##34#TBD##34#</v>
      </c>
    </row>
    <row r="76" spans="2:5">
      <c r="B76" s="11" t="str">
        <f>Staging!B74</f>
        <v>lnrLeftLymphNodeRatio</v>
      </c>
      <c r="C76" s="11" t="s">
        <v>1637</v>
      </c>
      <c r="E76" s="12" t="str">
        <f t="shared" si="1"/>
        <v>* lnrLeftLymphNodeRatio -&gt; ##34#TBD##34#</v>
      </c>
    </row>
    <row r="77" spans="2:5">
      <c r="B77" s="11" t="str">
        <f>Staging!B75</f>
        <v>lymphovascularSpaceInvasionLvsi</v>
      </c>
      <c r="C77" s="11" t="s">
        <v>1637</v>
      </c>
      <c r="E77" s="12" t="str">
        <f t="shared" si="1"/>
        <v>* lymphovascularSpaceInvasionLvsi -&gt; ##34#TBD##34#</v>
      </c>
    </row>
    <row r="78" spans="2:5">
      <c r="B78" s="11" t="str">
        <f>Staging!B76</f>
        <v>perineuralInvasionPni</v>
      </c>
      <c r="C78" s="11" t="s">
        <v>1637</v>
      </c>
      <c r="E78" s="12" t="str">
        <f t="shared" si="1"/>
        <v>* perineuralInvasionPni -&gt; ##34#TBD##34#</v>
      </c>
    </row>
    <row r="79" spans="2:5">
      <c r="B79" s="11" t="str">
        <f>Staging!B77</f>
        <v>pm</v>
      </c>
      <c r="C79" s="11" t="s">
        <v>1637</v>
      </c>
      <c r="E79" s="12" t="str">
        <f t="shared" si="1"/>
        <v>* pm -&gt; ##34#TBD##34#</v>
      </c>
    </row>
    <row r="80" spans="2:5">
      <c r="B80" s="11" t="str">
        <f>Staging!B78</f>
        <v>pathologicalStaging</v>
      </c>
      <c r="C80" s="11" t="s">
        <v>1637</v>
      </c>
      <c r="E80" s="12" t="str">
        <f t="shared" si="1"/>
        <v>* pathologicalStaging -&gt; ##34#TBD##34#</v>
      </c>
    </row>
    <row r="81" spans="2:5">
      <c r="B81" s="11" t="str">
        <f>Staging!B79</f>
        <v>ajccEdition</v>
      </c>
      <c r="C81" s="11" t="s">
        <v>1637</v>
      </c>
      <c r="E81" s="12" t="str">
        <f t="shared" si="1"/>
        <v>* ajccEdition -&gt; ##34#TBD##34#</v>
      </c>
    </row>
    <row r="82" spans="2:5">
      <c r="B82" s="11" t="str">
        <f>Staging!B80</f>
        <v>mSite</v>
      </c>
      <c r="C82" s="11" t="s">
        <v>1637</v>
      </c>
      <c r="E82" s="12" t="str">
        <f t="shared" si="1"/>
        <v>* mSite -&gt; ##34#TBD##34#</v>
      </c>
    </row>
    <row r="83" spans="2:5">
      <c r="B83" s="11" t="str">
        <f>Staging!B81</f>
        <v>softTissue</v>
      </c>
      <c r="C83" s="11" t="s">
        <v>1637</v>
      </c>
      <c r="E83" s="12" t="str">
        <f t="shared" si="1"/>
        <v>* softTissue -&gt; ##34#TBD##34#</v>
      </c>
    </row>
    <row r="84" spans="2:5">
      <c r="B84" s="11" t="str">
        <f>Staging!B82</f>
        <v>distantLymphNode</v>
      </c>
      <c r="C84" s="11" t="s">
        <v>1637</v>
      </c>
      <c r="E84" s="12" t="str">
        <f t="shared" si="1"/>
        <v>* distantLymphNode -&gt; ##34#TBD##34#</v>
      </c>
    </row>
    <row r="85" spans="2:5">
      <c r="B85" s="11" t="str">
        <f>Staging!B83</f>
        <v>lung</v>
      </c>
      <c r="C85" s="11" t="s">
        <v>1637</v>
      </c>
      <c r="E85" s="12" t="str">
        <f t="shared" si="1"/>
        <v>* lung -&gt; ##34#TBD##34#</v>
      </c>
    </row>
    <row r="86" spans="2:5">
      <c r="B86" s="11" t="str">
        <f>Staging!B84</f>
        <v>bone</v>
      </c>
      <c r="C86" s="11" t="s">
        <v>1637</v>
      </c>
      <c r="E86" s="12" t="str">
        <f t="shared" si="1"/>
        <v>* bone -&gt; ##34#TBD##34#</v>
      </c>
    </row>
    <row r="87" spans="2:5">
      <c r="B87" s="11" t="str">
        <f>Staging!B85</f>
        <v>liver</v>
      </c>
      <c r="C87" s="11" t="s">
        <v>1637</v>
      </c>
      <c r="E87" s="12" t="str">
        <f t="shared" si="1"/>
        <v>* liver -&gt; ##34#TBD##34#</v>
      </c>
    </row>
    <row r="88" spans="2:5">
      <c r="B88" s="11" t="str">
        <f>Staging!B86</f>
        <v>pleura</v>
      </c>
      <c r="C88" s="11" t="s">
        <v>1637</v>
      </c>
      <c r="E88" s="12" t="str">
        <f t="shared" si="1"/>
        <v>* pleura -&gt; ##34#TBD##34#</v>
      </c>
    </row>
    <row r="89" spans="2:5">
      <c r="B89" s="11" t="str">
        <f>Staging!B87</f>
        <v>peritoneum</v>
      </c>
      <c r="C89" s="11" t="s">
        <v>1637</v>
      </c>
      <c r="E89" s="12" t="str">
        <f t="shared" si="1"/>
        <v>* peritoneum -&gt; ##34#TBD##34#</v>
      </c>
    </row>
    <row r="90" spans="2:5">
      <c r="B90" s="11" t="str">
        <f>Staging!B88</f>
        <v>brain</v>
      </c>
      <c r="C90" s="11" t="s">
        <v>1637</v>
      </c>
      <c r="E90" s="12" t="str">
        <f t="shared" si="1"/>
        <v>* brain -&gt; ##34#TBD##34#</v>
      </c>
    </row>
    <row r="91" spans="2:5">
      <c r="B91" s="11" t="str">
        <f>Staging!B89</f>
        <v>otherViscera</v>
      </c>
      <c r="C91" s="11" t="s">
        <v>1637</v>
      </c>
      <c r="E91" s="12" t="str">
        <f t="shared" si="1"/>
        <v>* otherViscera -&gt; ##34#TBD##34#</v>
      </c>
    </row>
    <row r="92" spans="2:5">
      <c r="B92" s="11" t="str">
        <f>Staging!B90</f>
        <v>msite</v>
      </c>
      <c r="C92" s="11" t="s">
        <v>1637</v>
      </c>
      <c r="E92" s="12" t="str">
        <f t="shared" si="1"/>
        <v>* msite -&gt; ##34#TBD##34#</v>
      </c>
    </row>
    <row r="93" spans="2:5">
      <c r="B93" s="11" t="str">
        <f>Staging!B91</f>
        <v>unknown</v>
      </c>
      <c r="C93" s="11" t="s">
        <v>1637</v>
      </c>
      <c r="E93" s="12" t="str">
        <f t="shared" si="1"/>
        <v>* unknown -&gt; ##34#TBD##34#</v>
      </c>
    </row>
    <row r="94" spans="2:5">
      <c r="B94" s="11" t="str">
        <f>Staging!B92</f>
        <v>pathologicalStagingDefinedBy</v>
      </c>
      <c r="C94" s="11" t="s">
        <v>1637</v>
      </c>
      <c r="E94" s="12" t="str">
        <f t="shared" si="1"/>
        <v>* pathologicalStagingDefinedBy -&gt; ##34#TBD##34#</v>
      </c>
    </row>
    <row r="95" spans="2:5">
      <c r="B95" s="11" t="str">
        <f>Staging!B93</f>
        <v>instrumentStatus</v>
      </c>
      <c r="C95" s="11" t="s">
        <v>1637</v>
      </c>
      <c r="E95" s="12" t="str">
        <f t="shared" si="1"/>
        <v>* instrumentStatus -&gt; ##34#TBD##34#</v>
      </c>
    </row>
    <row r="96" spans="2:5">
      <c r="B96" s="11"/>
      <c r="C96" s="11" t="s">
        <v>1637</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07"/>
  <sheetViews>
    <sheetView workbookViewId="0">
      <selection activeCell="B11" sqref="B11"/>
    </sheetView>
  </sheetViews>
  <sheetFormatPr defaultRowHeight="14.75"/>
  <cols>
    <col min="3" max="3" width="108.2265625" style="12" customWidth="1"/>
    <col min="7" max="7" width="29.54296875" customWidth="1"/>
    <col min="8" max="8" width="54.90625" customWidth="1"/>
  </cols>
  <sheetData>
    <row r="1" spans="3:7" ht="15.5" thickBot="1">
      <c r="C1" s="24" t="str">
        <f>Staging!J1</f>
        <v>//===================================================</v>
      </c>
    </row>
    <row r="2" spans="3:7" ht="16.75" thickBot="1">
      <c r="C2" s="25" t="str">
        <f>Staging!J2</f>
        <v>//  Logical Model</v>
      </c>
      <c r="G2" s="30" t="s">
        <v>1944</v>
      </c>
    </row>
    <row r="3" spans="3:7">
      <c r="C3" s="25" t="str">
        <f>Staging!J3</f>
        <v>//===================================================</v>
      </c>
    </row>
    <row r="4" spans="3:7">
      <c r="C4" s="17" t="str">
        <f>Staging!J4</f>
        <v>Logical: StagingI4rc</v>
      </c>
    </row>
    <row r="5" spans="3:7">
      <c r="C5" s="17" t="str">
        <f>Staging!J5</f>
        <v>Id: Staging</v>
      </c>
    </row>
    <row r="6" spans="3:7">
      <c r="C6" s="17" t="str">
        <f>Staging!J6</f>
        <v>Title: ##34#Staging##34#</v>
      </c>
    </row>
    <row r="7" spans="3:7" ht="29.5">
      <c r="C7" s="17" t="str">
        <f>Staging!J7</f>
        <v>Description:  ##334#Staging
Maturity Level: 0 Draft##334#</v>
      </c>
    </row>
    <row r="8" spans="3:7">
      <c r="C8" s="12" t="str">
        <f>IF(Staging!J8="*  ..  ##34###34# ##334###334#","//--- END",Staging!J8)</f>
        <v>* stagingProceduresDoneBy 0..1 BackboneElement ##34#Staging procedures done by##34# ##334###334#</v>
      </c>
    </row>
    <row r="9" spans="3:7">
      <c r="C9" s="12" t="str">
        <f>IF(Staging!J9="*  ..  ##34###34# ##334###334#","//--- END",Staging!J9)</f>
        <v>* imagingPerformed 0..1 BackboneElement ##34#Imaging for primary site##34# ##334#Imaging study for primary site##334#</v>
      </c>
    </row>
    <row r="10" spans="3:7" ht="29.5">
      <c r="C10" s="12" t="str">
        <f>IF(Staging!J10="*  ..  ##34###34# ##334###334#","//--- END",Staging!J10)</f>
        <v>* imagingPerformed.flag 0..1 boolean ##34#flag##34# ##334#Whether any imaging study for primary site  was performed or not##334#</v>
      </c>
    </row>
    <row r="11" spans="3:7" ht="29.5">
      <c r="C11" s="12" t="str">
        <f>IF(Staging!J11="*  ..  ##34###34# ##334###334#","//--- END",Staging!J11)</f>
        <v>* imagingPerformed.cTPerformed 0..1 string ##34#CT##34# ##334#Whether Computed Tomography  for primary site was performed or not and when it was performed if contrast was used##334#</v>
      </c>
    </row>
    <row r="12" spans="3:7" ht="29.5">
      <c r="C12" s="12" t="str">
        <f>IF(Staging!J12="*  ..  ##34###34# ##334###334#","//--- END",Staging!J12)</f>
        <v>* imagingPerformed.mRIPerformed 0..1 string ##34#MRI##34# ##334#Describes wherther Magnetic Resonance for primary site was performed or not and when it was performed if contrast was used##334#</v>
      </c>
    </row>
    <row r="13" spans="3:7" ht="29.5">
      <c r="C13" s="12" t="str">
        <f>IF(Staging!J13="*  ..  ##34###34# ##334###334#","//--- END",Staging!J13)</f>
        <v>* imagingPerformed.uSPerformed 0..1 string ##34#US##34# ##334#Describes whether Ultrasound Scan for primary site was performed or not##334#</v>
      </c>
    </row>
    <row r="14" spans="3:7" ht="29.5">
      <c r="C14" s="12" t="str">
        <f>IF(Staging!J14="*  ..  ##34###34# ##334###334#","//--- END",Staging!J14)</f>
        <v>* imagingPerformed.fDGPETPerformed 0..1 string ##34#FDG PET##34# ##334#Describes whether a  fluorodeoxyglucose positron emission tomography for primary site was performed or not##334#</v>
      </c>
    </row>
    <row r="15" spans="3:7" ht="29.5">
      <c r="C15" s="12" t="str">
        <f>IF(Staging!J15="*  ..  ##34###34# ##334###334#","//--- END",Staging!J15)</f>
        <v>* imagingPerformed.pETwithothertracersPerformed 0..1 string ##34#PET with other tracers##34# ##334#Describes whether a  positron emission tomography using other tracers for primary site was performed or not##334#</v>
      </c>
    </row>
    <row r="16" spans="3:7" ht="44.25">
      <c r="C16" s="12" t="str">
        <f>IF(Staging!J16="*  ..  ##34###34# ##334###334#","//--- END",Staging!J16)</f>
        <v>* imagingPerformed.opticaldigitalmethodsegnarrowbandimagingPerformed 0..1 string ##34#Optical digital methods eg narrowband imaging##34# ##334#Describes whether a optical digital diagnostic method for primary site was performed or not##334#</v>
      </c>
    </row>
    <row r="17" spans="3:3" ht="29.5">
      <c r="C17" s="12" t="str">
        <f>IF(Staging!J17="*  ..  ##34###34# ##334###334#","//--- END",Staging!J17)</f>
        <v>* imagingPerformed.cTPETPerformed 0..1 string ##34#CTPET##34# ##334#Describes whether a  computed tomography with positron emission tomography for primary site was performed or not##334#</v>
      </c>
    </row>
    <row r="18" spans="3:3" ht="29.5">
      <c r="C18" s="12" t="str">
        <f>IF(Staging!J18="*  ..  ##34###34# ##334###334#","//--- END",Staging!J18)</f>
        <v>* imagingPerformed.unknownPerformed 0..1 string ##34#Unknown##34# ##334#Describes whether an imaging was performed but the information about the type of imaging was not available##334#</v>
      </c>
    </row>
    <row r="19" spans="3:3" ht="29.5">
      <c r="C19" s="12" t="str">
        <f>IF(Staging!J19="*  ..  ##34###34# ##334###334#","//--- END",Staging!J19)</f>
        <v>* imagingPerformed.otherimagingforprimarysitePerformed 0..1 string ##34#Other imaging for primary site##34# ##334#Any other diagnostic imaging method performed for staging the primary tumor should be included here##334#</v>
      </c>
    </row>
    <row r="20" spans="3:3">
      <c r="C20" s="12" t="str">
        <f>IF(Staging!J20="*  ..  ##34###34# ##334###334#","//--- END",Staging!J20)</f>
        <v>* imagingforneckPerformed 0..1 BackboneElement ##34#Imaging for neck##34# ##334#Imaging study for the neck##334#</v>
      </c>
    </row>
    <row r="21" spans="3:3" ht="29.5">
      <c r="C21" s="12" t="str">
        <f>IF(Staging!J21="*  ..  ##34###34# ##334###334#","//--- END",Staging!J21)</f>
        <v>* imagingforneckPerformed.flag 0..1 string ##34#Imaging for neck##34# ##334#Whether any imaging study for the neck was performed or not##334#</v>
      </c>
    </row>
    <row r="22" spans="3:3" ht="29.5">
      <c r="C22" s="12" t="str">
        <f>IF(Staging!J22="*  ..  ##34###34# ##334###334#","//--- END",Staging!J22)</f>
        <v>* imagingforneckPerformed.cTPerformed 0..1 string ##34#CT##34# ##334#whether Computed Tomography  for the neck was performed or not and when it was performed if contrast was used##334#</v>
      </c>
    </row>
    <row r="23" spans="3:3" ht="29.5">
      <c r="C23" s="12" t="str">
        <f>IF(Staging!J23="*  ..  ##34###34# ##334###334#","//--- END",Staging!J23)</f>
        <v>* imagingforneckPerformed.mRIPerformed 0..1 string ##34#MRI##34# ##334#Describes whether Magnetic Resonance for the neck was performed or not and when it was performed if contrast was used##334#</v>
      </c>
    </row>
    <row r="24" spans="3:3" ht="29.5">
      <c r="C24" s="12" t="str">
        <f>IF(Staging!J24="*  ..  ##34###34# ##334###334#","//--- END",Staging!J24)</f>
        <v>* imagingforneckPerformed.uSPerformed 0..1 string ##34#US##34# ##334#Describes whether Ultrasound Scan for the neck was performed or not##334#</v>
      </c>
    </row>
    <row r="25" spans="3:3" ht="29.5">
      <c r="C25" s="12" t="str">
        <f>IF(Staging!J25="*  ..  ##34###34# ##334###334#","//--- END",Staging!J25)</f>
        <v>* imagingforneckPerformed.fDGPETPerformed 0..1 string ##34#FDG PET##34# ##334#Describes whether a  fluorodeoxyglucose positron emission tomography for the neck was performed or not##334#</v>
      </c>
    </row>
    <row r="26" spans="3:3" ht="29.5">
      <c r="C26" s="12" t="str">
        <f>IF(Staging!J26="*  ..  ##34###34# ##334###334#","//--- END",Staging!J26)</f>
        <v>* imagingforneckPerformed.pETwithothertracersPerformed 0..1 string ##34#PET with other tracers##34# ##334#Describes whether a  positron emission tomography using other tracers for the neck was performed or not##334#</v>
      </c>
    </row>
    <row r="27" spans="3:3" ht="29.5">
      <c r="C27" s="12" t="str">
        <f>IF(Staging!J27="*  ..  ##34###34# ##334###334#","//--- END",Staging!J27)</f>
        <v>* imagingforneckPerformed.cTPETPerformed 0..1 string ##34#CTPET##34# ##334#Describes whether a  computed tomography with positron emission tomography for the neck was performed or not##334#</v>
      </c>
    </row>
    <row r="28" spans="3:3" ht="29.5">
      <c r="C28" s="12" t="str">
        <f>IF(Staging!J28="*  ..  ##34###34# ##334###334#","//--- END",Staging!J28)</f>
        <v>* imagingforneckPerformed.unknownPerformed 0..1 string ##34#Unknown##34# ##334#Describes whether an imaging on neck was performed but the information about the type of imaging was not available##334#</v>
      </c>
    </row>
    <row r="29" spans="3:3" ht="29.5">
      <c r="C29" s="12" t="str">
        <f>IF(Staging!J29="*  ..  ##34###34# ##334###334#","//--- END",Staging!J29)</f>
        <v>* imagingforneckPerformed.otherimagingforneckPerformed 0..1 string ##34#Other imaging for neck##34# ##334#Any other diagnostic imaging method performed for staging the neck should be included here##334#</v>
      </c>
    </row>
    <row r="30" spans="3:3" ht="29.5">
      <c r="C30" s="12" t="str">
        <f>IF(Staging!J30="*  ..  ##34###34# ##334###334#","//--- END",Staging!J30)</f>
        <v>* imagingformetastasisPerformed 0..1 BackboneElement ##34#Imaging for metastasis ##34# ##334#Imaging study for metastasis##334#</v>
      </c>
    </row>
    <row r="31" spans="3:3" ht="29.5">
      <c r="C31" s="12" t="str">
        <f>IF(Staging!J31="*  ..  ##34###34# ##334###334#","//--- END",Staging!J31)</f>
        <v>* imagingformetastasisPerformed.imagingformetastasisPerformed 0..1 string ##34#Imaging for metastasis ##34# ##334#Wherther any imaging study for metastasis was performed or not##334#</v>
      </c>
    </row>
    <row r="32" spans="3:3" ht="29.5">
      <c r="C32" s="12" t="str">
        <f>IF(Staging!J32="*  ..  ##34###34# ##334###334#","//--- END",Staging!J32)</f>
        <v>* imagingformetastasisPerformed.cTPerformed 0..1 string ##34#CT##34# ##334#whether Computed Tomography  for metatasis was performed or not and when it was performed if contrast was used##334#</v>
      </c>
    </row>
    <row r="33" spans="3:3" ht="29.5">
      <c r="C33" s="12" t="str">
        <f>IF(Staging!J33="*  ..  ##34###34# ##334###334#","//--- END",Staging!J33)</f>
        <v>* imagingformetastasisPerformed.mRIPerformed 0..1 string ##34#MRI##34# ##334#Describes whether Magnetic Resonanc for metastasis was performed or not and when it was performed if contrast was used##334#</v>
      </c>
    </row>
    <row r="34" spans="3:3" ht="29.5">
      <c r="C34" s="12" t="str">
        <f>IF(Staging!J34="*  ..  ##34###34# ##334###334#","//--- END",Staging!J34)</f>
        <v>* imagingformetastasisPerformed.uSPerformed 0..1 string ##34#US##34# ##334#Describes whether Ultrasound Scan for metastasis was performed or not##334#</v>
      </c>
    </row>
    <row r="35" spans="3:3" ht="29.5">
      <c r="C35" s="12" t="str">
        <f>IF(Staging!J35="*  ..  ##34###34# ##334###334#","//--- END",Staging!J35)</f>
        <v>* imagingformetastasisPerformed.fDGPETPerformed 0..1 string ##34#FDG PET##34# ##334#Describes whether a  fluorodeoxyglucose positron emission tomography for metastasis was performed or not##334#</v>
      </c>
    </row>
    <row r="36" spans="3:3" ht="29.5">
      <c r="C36" s="12" t="str">
        <f>IF(Staging!J36="*  ..  ##34###34# ##334###334#","//--- END",Staging!J36)</f>
        <v>* imagingformetastasisPerformed.pETwithothertracersPerformed 0..1 string ##34#PET with other tracers##34# ##334#Describes whether a  positron emission tomography using other tracers for metastasis was performed or not##334#</v>
      </c>
    </row>
    <row r="37" spans="3:3" ht="29.5">
      <c r="C37" s="12" t="str">
        <f>IF(Staging!J37="*  ..  ##34###34# ##334###334#","//--- END",Staging!J37)</f>
        <v>* imagingformetastasisPerformed.cTPETPerformed 0..1 string ##34#CTPET##34# ##334#Describes whether a  computed tomography with positron emission tomography for the neck was performed or not##334#</v>
      </c>
    </row>
    <row r="38" spans="3:3" ht="29.5">
      <c r="C38" s="12" t="str">
        <f>IF(Staging!J38="*  ..  ##34###34# ##334###334#","//--- END",Staging!J38)</f>
        <v>* imagingformetastasisPerformed.unknownPerformed 0..1 string ##34#Unknown##34# ##334#Describes whether an imaging for metastasis was performed but the information about the type of imaging was not available##334#</v>
      </c>
    </row>
    <row r="39" spans="3:3" ht="29.5">
      <c r="C39" s="12" t="str">
        <f>IF(Staging!J39="*  ..  ##34###34# ##334###334#","//--- END",Staging!J39)</f>
        <v>* imagingformetastasisPerformed.otherimagingformetastaticdiseasePerformed 0..1 string ##34#Other imaging for metastatic disease##34# ##334#Any other diagnostic imaging method performed for staging metastasis should be included here##334#</v>
      </c>
    </row>
    <row r="40" spans="3:3">
      <c r="C40" s="12" t="str">
        <f>IF(Staging!J40="*  ..  ##34###34# ##334###334#","//--- END",Staging!J40)</f>
        <v>* clinicalStage 0..1 BackboneElement ##34#Clinical  stage##34# ##334###334#</v>
      </c>
    </row>
    <row r="41" spans="3:3">
      <c r="C41" s="12" t="str">
        <f>IF(Staging!J41="*  ..  ##34###34# ##334###334#","//--- END",Staging!J41)</f>
        <v>* clinicalStage.ct 0..1 string ##34#cT##34# ##334#Specifies the clinical T##334#</v>
      </c>
    </row>
    <row r="42" spans="3:3">
      <c r="C42" s="12" t="str">
        <f>IF(Staging!J42="*  ..  ##34###34# ##334###334#","//--- END",Staging!J42)</f>
        <v>* clinicalStage.cn 0..1 string ##34#cN##34# ##334#Specifies the clinical N##334#</v>
      </c>
    </row>
    <row r="43" spans="3:3" ht="29.5">
      <c r="C43" s="12" t="str">
        <f>IF(Staging!J43="*  ..  ##34###34# ##334###334#","//--- END",Staging!J43)</f>
        <v>* clinicalStage.radiologicalExtraNodalExtensionRene 0..1 string ##34#Radiological Extranodal extension rENE##34# ##334#Describes the presence or absence of radiological signs of extracapsular extension as defined in the AJCC 8th Ed##334#</v>
      </c>
    </row>
    <row r="44" spans="3:3">
      <c r="C44" s="12" t="str">
        <f>IF(Staging!J44="*  ..  ##34###34# ##334###334#","//--- END",Staging!J44)</f>
        <v>* clinicalStage.cm 0..1 string ##34#cM##34# ##334#Specifies the clinical M##334#</v>
      </c>
    </row>
    <row r="45" spans="3:3">
      <c r="C45" s="12" t="str">
        <f>IF(Staging!J45="*  ..  ##34###34# ##334###334#","//--- END",Staging!J45)</f>
        <v>* clinicalStage.clinicalStaging 0..1 string ##34#Clinical staging##34# ##334#Specifies the clinical TNM##334#</v>
      </c>
    </row>
    <row r="46" spans="3:3">
      <c r="C46" s="12" t="str">
        <f>IF(Staging!J46="*  ..  ##34###34# ##334###334#","//--- END",Staging!J46)</f>
        <v>* clinicalStage.ajccEdition 0..1 string ##34#Ajcc edition##34# ##334#Describe the edition of the AJCC used for staging##334#</v>
      </c>
    </row>
    <row r="47" spans="3:3" ht="29.5">
      <c r="C47" s="12" t="str">
        <f>IF(Staging!J47="*  ..  ##34###34# ##334###334#","//--- END",Staging!J47)</f>
        <v>* clinicalStage.nan 0..1 string ##34#M site##34# ##334#Describes site of metastasic disease at the time of initial diagnosis or assesed before treatment More than one choice is allowed##334#</v>
      </c>
    </row>
    <row r="48" spans="3:3">
      <c r="C48" s="12" t="str">
        <f>IF(Staging!J48="*  ..  ##34###34# ##334###334#","//--- END",Staging!J48)</f>
        <v>* metastasisSite 0..* BackboneElement ##34#Site of Metastasis##34# ##334#Site of Metastasis##334#</v>
      </c>
    </row>
    <row r="49" spans="3:3">
      <c r="C49" s="12" t="str">
        <f>IF(Staging!J49="*  ..  ##34###34# ##334###334#","//--- END",Staging!J49)</f>
        <v>* metastasisSite.softTissue 0..1 string ##34#Soft tissue##34# ##334#Describes if site of metastasic disease  is soft tissue##334#</v>
      </c>
    </row>
    <row r="50" spans="3:3" ht="29.5">
      <c r="C50" s="12" t="str">
        <f>IF(Staging!J50="*  ..  ##34###34# ##334###334#","//--- END",Staging!J50)</f>
        <v>* metastasisSite.distantLymphNode 0..1 string ##34#distant lymph node##34# ##334#Describes if site of metastasic disease  is dystan lymph node##334#</v>
      </c>
    </row>
    <row r="51" spans="3:3">
      <c r="C51" s="12" t="str">
        <f>IF(Staging!J51="*  ..  ##34###34# ##334###334#","//--- END",Staging!J51)</f>
        <v>* metastasisSite.lung 0..1 string ##34#lung##34# ##334#Describes if site of metastasic disease  is lung##334#</v>
      </c>
    </row>
    <row r="52" spans="3:3">
      <c r="C52" s="12" t="str">
        <f>IF(Staging!J52="*  ..  ##34###34# ##334###334#","//--- END",Staging!J52)</f>
        <v>* metastasisSite.bone 0..1 string ##34#bone##34# ##334#Describes if site of metastasic disease  is bone##334#</v>
      </c>
    </row>
    <row r="53" spans="3:3">
      <c r="C53" s="12" t="str">
        <f>IF(Staging!J53="*  ..  ##34###34# ##334###334#","//--- END",Staging!J53)</f>
        <v>* metastasisSite.liver 0..1 string ##34#liver##34# ##334#Describes if site of metastasic disease  is liver##334#</v>
      </c>
    </row>
    <row r="54" spans="3:3">
      <c r="C54" s="12" t="str">
        <f>IF(Staging!J54="*  ..  ##34###34# ##334###334#","//--- END",Staging!J54)</f>
        <v>* metastasisSite.pleura 0..1 string ##34#pleura##34# ##334#Describes if site of metastasic disease  is pleura##334#</v>
      </c>
    </row>
    <row r="55" spans="3:3" ht="29.5">
      <c r="C55" s="12" t="str">
        <f>IF(Staging!J55="*  ..  ##34###34# ##334###334#","//--- END",Staging!J55)</f>
        <v>* metastasisSite.peritoneum 0..1 string ##34#peritoneum##34# ##334#Describes if site of metastasic disease  is peritoneum##334#</v>
      </c>
    </row>
    <row r="56" spans="3:3">
      <c r="C56" s="12" t="str">
        <f>IF(Staging!J56="*  ..  ##34###34# ##334###334#","//--- END",Staging!J56)</f>
        <v>* metastasisSite.brain 0..1 string ##34#brain##34# ##334#Describes if site of metastasic disease  is brain##334#</v>
      </c>
    </row>
    <row r="57" spans="3:3" ht="29.5">
      <c r="C57" s="12" t="str">
        <f>IF(Staging!J57="*  ..  ##34###34# ##334###334#","//--- END",Staging!J57)</f>
        <v>* metastasisSite.otherViscera 0..1 string ##34#other viscera##34# ##334#Describes if site of metastasic disease  is other viscera##334#</v>
      </c>
    </row>
    <row r="58" spans="3:3">
      <c r="C58" s="12" t="str">
        <f>IF(Staging!J58="*  ..  ##34###34# ##334###334#","//--- END",Staging!J58)</f>
        <v>* metastasisSite.unknown 0..1 string ##34#unknown##34# ##334#Describes if site of metastasic disease  is unknown##334#</v>
      </c>
    </row>
    <row r="59" spans="3:3" ht="29.5">
      <c r="C59" s="12" t="str">
        <f>IF(Staging!J59="*  ..  ##34###34# ##334###334#","//--- END",Staging!J59)</f>
        <v>* clinicalStagingDefinedBy 0..1 string ##34#Clinical staging defined by##34# ##334#Describes the institution where initial clinical staging of the disease was defined##334#</v>
      </c>
    </row>
    <row r="60" spans="3:3">
      <c r="C60" s="12" t="str">
        <f>IF(Staging!J60="*  ..  ##34###34# ##334###334#","//--- END",Staging!J60)</f>
        <v>* pathologicalStage 0..1 BackboneElement ##34#Pathological stage##34# ##334#Pathological stage##334#</v>
      </c>
    </row>
    <row r="61" spans="3:3">
      <c r="C61" s="12" t="str">
        <f>IF(Staging!J61="*  ..  ##34###34# ##334###334#","//--- END",Staging!J61)</f>
        <v>* pathologicalStage.pt 0..1 string ##34#pT##34# ##334#Specifies the pathological T##334#</v>
      </c>
    </row>
    <row r="62" spans="3:3">
      <c r="C62" s="12" t="str">
        <f>IF(Staging!J62="*  ..  ##34###34# ##334###334#","//--- END",Staging!J62)</f>
        <v>* pathologicalStage.pn 0..1 string ##34#pN##34# ##334#Specifies the pathological N##334#</v>
      </c>
    </row>
    <row r="63" spans="3:3" ht="29.5">
      <c r="C63" s="12" t="str">
        <f>IF(Staging!J63="*  ..  ##34###34# ##334###334#","//--- END",Staging!J63)</f>
        <v>* extranodalExtensionEne 0..1 string ##34#Extranodal extension ENE##34# ##334#Describes whether capsular extension is present by histopathologic examination or not##334#</v>
      </c>
    </row>
    <row r="64" spans="3:3" ht="29.5">
      <c r="C64" s="12" t="str">
        <f>IF(Staging!J64="*  ..  ##34###34# ##334###334#","//--- END",Staging!J64)</f>
        <v>* extranodalExtent 0..1 integer ##34#Extranodal Extent##34# ##334#Describes extent of extranodal extension This number must be explicitly referred to in the pathological report otherwise it is unknown##334#</v>
      </c>
    </row>
    <row r="65" spans="3:3" ht="103.25">
      <c r="C65" s="12" t="str">
        <f>IF(Staging!J65="*  ..  ##34###34# ##334###334#","//--- END",Staging!J65)</f>
        <v>* marginsAfterSurgery 0..1 string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66" spans="3:3" ht="29.5">
      <c r="C66" s="12" t="str">
        <f>IF(Staging!J66="*  ..  ##34###34# ##334###334#","//--- END",Staging!J66)</f>
        <v>* marginsAfterSurgeryIf5Mm 0..1 integer ##34#Margins after surgery if 5mm##34# ##334#Measurement in mm of the margin closest to the resection if any of the margins is less than 5 millimeters from it##334#</v>
      </c>
    </row>
    <row r="67" spans="3:3" ht="44.25">
      <c r="C67" s="12" t="str">
        <f>IF(Staging!J67="*  ..  ##34###34# ##334###334#","//--- END",Staging!J67)</f>
        <v>* sentinelNode 0..1 string ##34#Sentinel node##34# ##334#Describes whether a sentinel node procedure was performed or not Sentinel lymph node biopsy is considered a diagnostic procedure therefore per se the neck is not considered to have been treated if it does not lead to a neck dissection##334#</v>
      </c>
    </row>
    <row r="68" spans="3:3" ht="29.5">
      <c r="C68" s="12" t="str">
        <f>IF(Staging!J68="*  ..  ##34###34# ##334###334#","//--- END",Staging!J68)</f>
        <v>* neckDissection 0..1 string ##34#Neck dissection##34# ##334#Describes whether a protocoled and standardized en block resection of lymphatic tissue is performed or not##334#</v>
      </c>
    </row>
    <row r="69" spans="3:3" ht="44.25">
      <c r="C69" s="12" t="str">
        <f>IF(Staging!J69="*  ..  ##34###34# ##334###334#","//--- END",Staging!J69)</f>
        <v>* numberOfLymphNodesRemovedRightSide 0..1 integer ##34#Number of lymph nodes removed right side##34# ##334#Refers to the total number of lymph nodes resected in the right side of the neck This number must be explicitly referred to in the pathological report otherwise it is unknown##334#</v>
      </c>
    </row>
    <row r="70" spans="3:3" ht="44.25">
      <c r="C70" s="12" t="str">
        <f>IF(Staging!J70="*  ..  ##34###34# ##334###334#","//--- END",Staging!J70)</f>
        <v>* numberOfPositiveLymphNodesRightSide 0..1 integer ##34#Number of positive lymph nodes right side##34# ##334#Refers to the total number of positive lymph nodes resected in the right side of the neck This number must be explicitly referred to in the pathological report otherwise it is unknown##334#</v>
      </c>
    </row>
    <row r="71" spans="3:3" ht="29.5">
      <c r="C71" s="12" t="str">
        <f>IF(Staging!J71="*  ..  ##34###34# ##334###334#","//--- END",Staging!J71)</f>
        <v>* lnrRightLymphNodeRatio 0..1 integer ##34#LNR right Lymph node ratio##34# ##334#Automatically calculated from the right results##334#</v>
      </c>
    </row>
    <row r="72" spans="3:3" ht="44.25">
      <c r="C72" s="12" t="str">
        <f>IF(Staging!J72="*  ..  ##34###34# ##334###334#","//--- END",Staging!J72)</f>
        <v>* numberOfLymphNodesRemovedLeftSide 0..1 integer ##34#Number of lymph nodes removed left side##34# ##334#Refers to the total number of lymph nodes resected in the left side of the neck This number must be explicitly referred to in the pathological report otherwise it is unknown##334#</v>
      </c>
    </row>
    <row r="73" spans="3:3" ht="44.25">
      <c r="C73" s="12" t="str">
        <f>IF(Staging!J73="*  ..  ##34###34# ##334###334#","//--- END",Staging!J73)</f>
        <v>* numberOfPositiveLymphNodesLeftSide 0..1 integer ##34#Number of positive lymph nodes left side##34# ##334#Refers to the total number of positive lymph nodes resected in the left side of the neck This number must be explicitly referred to in the pathological report otherwise it is unknown##334#</v>
      </c>
    </row>
    <row r="74" spans="3:3" ht="29.5">
      <c r="C74" s="12" t="str">
        <f>IF(Staging!J74="*  ..  ##34###34# ##334###334#","//--- END",Staging!J74)</f>
        <v>* lnrLeftLymphNodeRatio 0..1 integer ##34#LNR left Lymph node ratio##34# ##334#Automatically calculated from left results##334#</v>
      </c>
    </row>
    <row r="75" spans="3:3" ht="44.25">
      <c r="C75" s="12" t="str">
        <f>IF(Staging!J75="*  ..  ##34###34# ##334###334#","//--- END",Staging!J75)</f>
        <v>* lymphovascularSpaceInvasionLvsi 0..1 string ##34#Lymphovascular space invasion LVSI##34# ##334#Describes a pathologic phenomenon in which tumor cells invade an endotheliumlinedspace of vascular or lymphatic vessels without underlying muscular walls Pathological report must include whether it is present or not otherwise it is Unknown##334#</v>
      </c>
    </row>
    <row r="76" spans="3:3" ht="29.5">
      <c r="C76" s="12" t="str">
        <f>IF(Staging!J76="*  ..  ##34###34# ##334###334#","//--- END",Staging!J76)</f>
        <v>* perineuralInvasionPni 0..1 string ##34#Perineural invasion PNI##34# ##334#Describes a histologic finding of tumor cell infiltration of the nerves Pathological report must include whether it is present or not otherwise it is Unknown##334#</v>
      </c>
    </row>
    <row r="77" spans="3:3">
      <c r="C77" s="12" t="str">
        <f>IF(Staging!J77="*  ..  ##34###34# ##334###334#","//--- END",Staging!J77)</f>
        <v>* pm 0..1 string ##34#pM##34# ##334#Specifies the pathological M##334#</v>
      </c>
    </row>
    <row r="78" spans="3:3">
      <c r="C78" s="12" t="str">
        <f>IF(Staging!J78="*  ..  ##34###34# ##334###334#","//--- END",Staging!J78)</f>
        <v>* pathologicalStaging 0..1 string ##34#Pathological staging##34# ##334#Specifies the pathological staging##334#</v>
      </c>
    </row>
    <row r="79" spans="3:3">
      <c r="C79" s="12" t="str">
        <f>IF(Staging!J79="*  ..  ##34###34# ##334###334#","//--- END",Staging!J79)</f>
        <v>* ajccEdition 0..1 BackboneElement ##34#Ajcc edition##34# ##334#Ajcc edition##334#</v>
      </c>
    </row>
    <row r="80" spans="3:3">
      <c r="C80" s="12" t="str">
        <f>IF(Staging!J80="*  ..  ##34###34# ##334###334#","//--- END",Staging!J80)</f>
        <v>* mSite 0..1 BackboneElement ##34#M site##34# ##334#M site##334#</v>
      </c>
    </row>
    <row r="81" spans="3:3">
      <c r="C81" s="12" t="str">
        <f>IF(Staging!J81="*  ..  ##34###34# ##334###334#","//--- END",Staging!J81)</f>
        <v>* softTissue 0..1 BackboneElement ##34#Soft Tissue##34# ##334#Soft Tissue##334#</v>
      </c>
    </row>
    <row r="82" spans="3:3">
      <c r="C82" s="12" t="str">
        <f>IF(Staging!J82="*  ..  ##34###34# ##334###334#","//--- END",Staging!J82)</f>
        <v>* distantLymphNode 0..1 BackboneElement ##34#distant lymph node##34# ##334#distant lymph node##334#</v>
      </c>
    </row>
    <row r="83" spans="3:3">
      <c r="C83" s="12" t="str">
        <f>IF(Staging!J83="*  ..  ##34###34# ##334###334#","//--- END",Staging!J83)</f>
        <v>* lung 0..1 BackboneElement ##34#lung##34# ##334#lung##334#</v>
      </c>
    </row>
    <row r="84" spans="3:3">
      <c r="C84" s="12" t="str">
        <f>IF(Staging!J84="*  ..  ##34###34# ##334###334#","//--- END",Staging!J84)</f>
        <v>* bone 0..1 BackboneElement ##34#bone##34# ##334#bone##334#</v>
      </c>
    </row>
    <row r="85" spans="3:3">
      <c r="C85" s="12" t="str">
        <f>IF(Staging!J85="*  ..  ##34###34# ##334###334#","//--- END",Staging!J85)</f>
        <v>* liver 0..1 BackboneElement ##34#liver##34# ##334#liver##334#</v>
      </c>
    </row>
    <row r="86" spans="3:3">
      <c r="C86" s="12" t="str">
        <f>IF(Staging!J86="*  ..  ##34###34# ##334###334#","//--- END",Staging!J86)</f>
        <v>* pleura 0..1 BackboneElement ##34#pleura##34# ##334#pleura##334#</v>
      </c>
    </row>
    <row r="87" spans="3:3">
      <c r="C87" s="12" t="str">
        <f>IF(Staging!J87="*  ..  ##34###34# ##334###334#","//--- END",Staging!J87)</f>
        <v>* peritoneum 0..1 BackboneElement ##34#peritoneum##34# ##334#peritoneum##334#</v>
      </c>
    </row>
    <row r="88" spans="3:3">
      <c r="C88" s="12" t="str">
        <f>IF(Staging!J88="*  ..  ##34###34# ##334###334#","//--- END",Staging!J88)</f>
        <v>* brain 0..1 BackboneElement ##34#brain##34# ##334#brain##334#</v>
      </c>
    </row>
    <row r="89" spans="3:3">
      <c r="C89" s="12" t="str">
        <f>IF(Staging!J89="*  ..  ##34###34# ##334###334#","//--- END",Staging!J89)</f>
        <v>* otherViscera 0..1 BackboneElement ##34#other viscera##34# ##334#other viscera##334#</v>
      </c>
    </row>
    <row r="90" spans="3:3">
      <c r="C90" s="12" t="str">
        <f>IF(Staging!J90="*  ..  ##34###34# ##334###334#","//--- END",Staging!J90)</f>
        <v>* msite 0..1 string ##34#M SITE##34# ##334#Specifices the M SITE##334#</v>
      </c>
    </row>
    <row r="91" spans="3:3">
      <c r="C91" s="12" t="str">
        <f>IF(Staging!J91="*  ..  ##34###34# ##334###334#","//--- END",Staging!J91)</f>
        <v>* unknown 0..1 BackboneElement ##34#unknown##34# ##334#unknown##334#</v>
      </c>
    </row>
    <row r="92" spans="3:3" ht="29.5">
      <c r="C92" s="12" t="str">
        <f>IF(Staging!J92="*  ..  ##34###34# ##334###334#","//--- END",Staging!J92)</f>
        <v>* pathologicalStagingDefinedBy 0..1 BackboneElement ##34#Pathological staging defined by##34# ##334#Pathological staging defined by##334#</v>
      </c>
    </row>
    <row r="93" spans="3:3">
      <c r="C93" s="12" t="str">
        <f>IF(Staging!J93="*  ..  ##34###34# ##334###334#","//--- END",Staging!J93)</f>
        <v>* instrumentStatus 0..1 BackboneElement ##34#Instrument status##34# ##334#Instrument status##334#</v>
      </c>
    </row>
    <row r="94" spans="3:3">
      <c r="C94" s="12" t="str">
        <f>IF(Staging!J94="*  ..  ##34###34# ##334###334#","//--- END",Staging!J94)</f>
        <v>//--- END</v>
      </c>
    </row>
    <row r="95" spans="3:3">
      <c r="C95" s="12" t="str">
        <f>IF(Staging!J95="*  ..  ##34###34# ##334###334#","//--- END",Staging!J95)</f>
        <v>//--- END</v>
      </c>
    </row>
    <row r="96" spans="3:3">
      <c r="C96" s="12" t="str">
        <f>IF(Staging!J96="*  ..  ##34###34# ##334###334#","//--- END",Staging!J96)</f>
        <v>//--- END</v>
      </c>
    </row>
    <row r="102" spans="3:3">
      <c r="C102" s="24" t="s">
        <v>1644</v>
      </c>
    </row>
    <row r="103" spans="3:3">
      <c r="C103" s="25" t="s">
        <v>1943</v>
      </c>
    </row>
    <row r="104" spans="3:3">
      <c r="C104" s="25" t="s">
        <v>1644</v>
      </c>
    </row>
    <row r="105" spans="3:3">
      <c r="C105" s="12" t="str">
        <f>IF(Staging!L8="*  ..  ##34###34# ##334###334#","//--- END",Staging!L8)</f>
        <v/>
      </c>
    </row>
    <row r="106" spans="3:3">
      <c r="C106" s="12" t="str">
        <f>IF(Staging!L9="*  ..  ##34###34# ##334###334#","//--- END",Staging!L9)</f>
        <v/>
      </c>
    </row>
    <row r="107" spans="3:3">
      <c r="C107" s="12" t="str">
        <f>IF(Staging!L10="*  ..  ##34###34# ##334###334#","//--- END",Staging!L10)</f>
        <v>* imagingPerformed.flag ^comment = ##334#A boolean value 1 if it was performed 0 if not empty if unknown##334#</v>
      </c>
    </row>
    <row r="108" spans="3:3" ht="29.5">
      <c r="C108" s="12" t="str">
        <f>IF(Staging!L11="*  ..  ##34###34# ##334###334#","//--- END",Staging!L11)</f>
        <v>* imagingPerformed.cTPerformed ^comment = ##334#A string value whether it was performed with contrast without contrast it was not performed or it is unknown##334#</v>
      </c>
    </row>
    <row r="109" spans="3:3" ht="29.5">
      <c r="C109" s="12" t="str">
        <f>IF(Staging!L12="*  ..  ##34###34# ##334###334#","//--- END",Staging!L12)</f>
        <v>* imagingPerformed.mRIPerformed ^comment = ##334#A string value whether it was performed with contrast without contrast it was not performed or it is unknown##334#</v>
      </c>
    </row>
    <row r="110" spans="3:3">
      <c r="C110" s="12" t="str">
        <f>IF(Staging!L13="*  ..  ##34###34# ##334###334#","//--- END",Staging!L13)</f>
        <v>* imagingPerformed.uSPerformed ^comment = ##334#A boolean value 1 if it was performed 0 if not empty if unknown##334#</v>
      </c>
    </row>
    <row r="111" spans="3:3" ht="29.5">
      <c r="C111" s="12" t="str">
        <f>IF(Staging!L14="*  ..  ##34###34# ##334###334#","//--- END",Staging!L14)</f>
        <v>* imagingPerformed.fDGPETPerformed ^comment = ##334#A boolean value 1 if it was performed 0 if not empty if unknown##334#</v>
      </c>
    </row>
    <row r="112" spans="3:3" ht="29.5">
      <c r="C112" s="12" t="str">
        <f>IF(Staging!L15="*  ..  ##34###34# ##334###334#","//--- END",Staging!L15)</f>
        <v>* imagingPerformed.pETwithothertracersPerformed ^comment = ##334#A boolean value 1 if it was performed 0 if not empty if unknown##334#</v>
      </c>
    </row>
    <row r="113" spans="3:3" ht="29.5">
      <c r="C113" s="12" t="str">
        <f>IF(Staging!L16="*  ..  ##34###34# ##334###334#","//--- END",Staging!L16)</f>
        <v>* imagingPerformed.opticaldigitalmethodsegnarrowbandimagingPerformed ^comment = ##334#A boolean value 1 if it was performed 0 if not empty if unknown##334#</v>
      </c>
    </row>
    <row r="114" spans="3:3" ht="29.5">
      <c r="C114" s="12" t="str">
        <f>IF(Staging!L17="*  ..  ##34###34# ##334###334#","//--- END",Staging!L17)</f>
        <v>* imagingPerformed.cTPETPerformed ^comment = ##334#A boolean value 1 if it was performed 0 if not empty if unknown##334#</v>
      </c>
    </row>
    <row r="115" spans="3:3" ht="29.5">
      <c r="C115" s="12" t="str">
        <f>IF(Staging!L18="*  ..  ##34###34# ##334###334#","//--- END",Staging!L18)</f>
        <v>* imagingPerformed.unknownPerformed ^comment = ##334#A boolean value 1 if it was performed 0 if not empty if unknown##334#</v>
      </c>
    </row>
    <row r="116" spans="3:3">
      <c r="C116" s="12" t="str">
        <f>IF(Staging!L19="*  ..  ##34###34# ##334###334#","//--- END",Staging!L19)</f>
        <v/>
      </c>
    </row>
    <row r="117" spans="3:3">
      <c r="C117" s="12" t="str">
        <f>IF(Staging!L20="*  ..  ##34###34# ##334###334#","//--- END",Staging!L20)</f>
        <v/>
      </c>
    </row>
    <row r="118" spans="3:3">
      <c r="C118" s="12" t="str">
        <f>IF(Staging!L21="*  ..  ##34###34# ##334###334#","//--- END",Staging!L21)</f>
        <v>* imagingforneckPerformed.flag ^comment = ##334#A boolean value 1 if it was performed 0 if not empty if unknown##334#</v>
      </c>
    </row>
    <row r="119" spans="3:3" ht="29.5">
      <c r="C119" s="12" t="str">
        <f>IF(Staging!L22="*  ..  ##34###34# ##334###334#","//--- END",Staging!L22)</f>
        <v>* imagingforneckPerformed.cTPerformed ^comment = ##334#A boolean value 1 if it was performed 0 if not empty if unknown##334#</v>
      </c>
    </row>
    <row r="120" spans="3:3" ht="29.5">
      <c r="C120" s="12" t="str">
        <f>IF(Staging!L23="*  ..  ##34###34# ##334###334#","//--- END",Staging!L23)</f>
        <v>* imagingforneckPerformed.mRIPerformed ^comment = ##334#A boolean value 1 if it was performed 0 if not empty if unknown##334#</v>
      </c>
    </row>
    <row r="121" spans="3:3" ht="29.5">
      <c r="C121" s="12" t="str">
        <f>IF(Staging!L24="*  ..  ##34###34# ##334###334#","//--- END",Staging!L24)</f>
        <v>* imagingforneckPerformed.uSPerformed ^comment = ##334#A boolean value 1 if it was performed 0 if not empty if unknown##334#</v>
      </c>
    </row>
    <row r="122" spans="3:3" ht="29.5">
      <c r="C122" s="12" t="str">
        <f>IF(Staging!L25="*  ..  ##34###34# ##334###334#","//--- END",Staging!L25)</f>
        <v>* imagingforneckPerformed.fDGPETPerformed ^comment = ##334#A boolean value 1 if it was performed 0 if not empty if unknown##334#</v>
      </c>
    </row>
    <row r="123" spans="3:3" ht="29.5">
      <c r="C123" s="12" t="str">
        <f>IF(Staging!L26="*  ..  ##34###34# ##334###334#","//--- END",Staging!L26)</f>
        <v>* imagingforneckPerformed.pETwithothertracersPerformed ^comment = ##334#A boolean value 1 if it was performed 0 if not empty if unknown##334#</v>
      </c>
    </row>
    <row r="124" spans="3:3" ht="29.5">
      <c r="C124" s="12" t="str">
        <f>IF(Staging!L27="*  ..  ##34###34# ##334###334#","//--- END",Staging!L27)</f>
        <v>* imagingforneckPerformed.cTPETPerformed ^comment = ##334#A boolean value 1 if it was performed 0 if not empty if unknown##334#</v>
      </c>
    </row>
    <row r="125" spans="3:3" ht="29.5">
      <c r="C125" s="12" t="str">
        <f>IF(Staging!L28="*  ..  ##34###34# ##334###334#","//--- END",Staging!L28)</f>
        <v>* imagingforneckPerformed.unknownPerformed ^comment = ##334#A boolean value 1 if it was performed 0 if not empty if unknown##334#</v>
      </c>
    </row>
    <row r="126" spans="3:3">
      <c r="C126" s="12" t="str">
        <f>IF(Staging!L29="*  ..  ##34###34# ##334###334#","//--- END",Staging!L29)</f>
        <v/>
      </c>
    </row>
    <row r="127" spans="3:3">
      <c r="C127" s="12" t="str">
        <f>IF(Staging!L30="*  ..  ##34###34# ##334###334#","//--- END",Staging!L30)</f>
        <v/>
      </c>
    </row>
    <row r="128" spans="3:3" ht="29.5">
      <c r="C128" s="12" t="str">
        <f>IF(Staging!L31="*  ..  ##34###34# ##334###334#","//--- END",Staging!L31)</f>
        <v>* imagingformetastasisPerformed.imagingformetastasisPerformed ^comment = ##334#A boolean value 1 if it was performed 0 if not empty if unknown##334#</v>
      </c>
    </row>
    <row r="129" spans="3:3" ht="29.5">
      <c r="C129" s="12" t="str">
        <f>IF(Staging!L32="*  ..  ##34###34# ##334###334#","//--- END",Staging!L32)</f>
        <v>* imagingformetastasisPerformed.cTPerformed ^comment = ##334#A boolean value 1 if it was performed 0 if not empty if unknown##334#</v>
      </c>
    </row>
    <row r="130" spans="3:3" ht="29.5">
      <c r="C130" s="12" t="str">
        <f>IF(Staging!L33="*  ..  ##34###34# ##334###334#","//--- END",Staging!L33)</f>
        <v>* imagingformetastasisPerformed.mRIPerformed ^comment = ##334#A boolean value 1 if it was performed 0 if not empty if unknown##334#</v>
      </c>
    </row>
    <row r="131" spans="3:3" ht="29.5">
      <c r="C131" s="12" t="str">
        <f>IF(Staging!L34="*  ..  ##34###34# ##334###334#","//--- END",Staging!L34)</f>
        <v>* imagingformetastasisPerformed.uSPerformed ^comment = ##334#A boolean value 1 if it was performed 0 if not empty if unknown##334#</v>
      </c>
    </row>
    <row r="132" spans="3:3" ht="29.5">
      <c r="C132" s="12" t="str">
        <f>IF(Staging!L35="*  ..  ##34###34# ##334###334#","//--- END",Staging!L35)</f>
        <v>* imagingformetastasisPerformed.fDGPETPerformed ^comment = ##334#A boolean value 1 if it was performed 0 if not empty if unknown##334#</v>
      </c>
    </row>
    <row r="133" spans="3:3" ht="29.5">
      <c r="C133" s="12" t="str">
        <f>IF(Staging!L36="*  ..  ##34###34# ##334###334#","//--- END",Staging!L36)</f>
        <v>* imagingformetastasisPerformed.pETwithothertracersPerformed ^comment = ##334#A boolean value 1 if it was performed 0 if not empty if unknown##334#</v>
      </c>
    </row>
    <row r="134" spans="3:3" ht="29.5">
      <c r="C134" s="12" t="str">
        <f>IF(Staging!L37="*  ..  ##34###34# ##334###334#","//--- END",Staging!L37)</f>
        <v>* imagingformetastasisPerformed.cTPETPerformed ^comment = ##334#A boolean value 1 if it was performed 0 if not empty if unknown##334#</v>
      </c>
    </row>
    <row r="135" spans="3:3" ht="29.5">
      <c r="C135" s="12" t="str">
        <f>IF(Staging!L38="*  ..  ##34###34# ##334###334#","//--- END",Staging!L38)</f>
        <v>* imagingformetastasisPerformed.unknownPerformed ^comment = ##334#A boolean value 1 if it was performed 0 if not empty if unknown##334#</v>
      </c>
    </row>
    <row r="136" spans="3:3">
      <c r="C136" s="12" t="str">
        <f>IF(Staging!L39="*  ..  ##34###34# ##334###334#","//--- END",Staging!L39)</f>
        <v/>
      </c>
    </row>
    <row r="137" spans="3:3">
      <c r="C137" s="12" t="str">
        <f>IF(Staging!L40="*  ..  ##34###34# ##334###334#","//--- END",Staging!L40)</f>
        <v/>
      </c>
    </row>
    <row r="138" spans="3:3">
      <c r="C138" s="12" t="str">
        <f>IF(Staging!L41="*  ..  ##34###34# ##334###334#","//--- END",Staging!L41)</f>
        <v>* clinicalStage.ct ^comment = ##334#A string value for the clinical T Unknown if empty##334#</v>
      </c>
    </row>
    <row r="139" spans="3:3">
      <c r="C139" s="12" t="str">
        <f>IF(Staging!L42="*  ..  ##34###34# ##334###334#","//--- END",Staging!L42)</f>
        <v>* clinicalStage.cn ^comment = ##334#A string value for the clinical N Unknown if empty##334#</v>
      </c>
    </row>
    <row r="140" spans="3:3">
      <c r="C140" s="12" t="str">
        <f>IF(Staging!L43="*  ..  ##34###34# ##334###334#","//--- END",Staging!L43)</f>
        <v>* clinicalStage.radiologicalExtraNodalExtensionRene ^comment = ##334#A string value for the rENE Unknown if empty##334#</v>
      </c>
    </row>
    <row r="141" spans="3:3">
      <c r="C141" s="12" t="str">
        <f>IF(Staging!L44="*  ..  ##34###34# ##334###334#","//--- END",Staging!L44)</f>
        <v>* clinicalStage.cm ^comment = ##334#A string value for the clinical M Unknown if empty##334#</v>
      </c>
    </row>
    <row r="142" spans="3:3">
      <c r="C142" s="12" t="str">
        <f>IF(Staging!L45="*  ..  ##34###34# ##334###334#","//--- END",Staging!L45)</f>
        <v>* clinicalStage.clinicalStaging ^comment = ##334#A string value for the clinical TNM Unknown if empty##334#</v>
      </c>
    </row>
    <row r="143" spans="3:3">
      <c r="C143" s="12" t="str">
        <f>IF(Staging!L46="*  ..  ##34###34# ##334###334#","//--- END",Staging!L46)</f>
        <v>* clinicalStage.ajccEdition ^comment = ##334#A string value for the used AJCC edition manual##334#</v>
      </c>
    </row>
    <row r="144" spans="3:3">
      <c r="C144" s="12" t="str">
        <f>IF(Staging!L47="*  ..  ##34###34# ##334###334#","//--- END",Staging!L47)</f>
        <v/>
      </c>
    </row>
    <row r="145" spans="3:3">
      <c r="C145" s="12" t="str">
        <f>IF(Staging!L48="*  ..  ##34###34# ##334###334#","//--- END",Staging!L48)</f>
        <v/>
      </c>
    </row>
    <row r="146" spans="3:3">
      <c r="C146" s="12" t="str">
        <f>IF(Staging!L49="*  ..  ##34###34# ##334###334#","//--- END",Staging!L49)</f>
        <v/>
      </c>
    </row>
    <row r="147" spans="3:3">
      <c r="C147" s="12" t="str">
        <f>IF(Staging!L50="*  ..  ##34###34# ##334###334#","//--- END",Staging!L50)</f>
        <v/>
      </c>
    </row>
    <row r="148" spans="3:3">
      <c r="C148" s="12" t="str">
        <f>IF(Staging!L51="*  ..  ##34###34# ##334###334#","//--- END",Staging!L51)</f>
        <v/>
      </c>
    </row>
    <row r="149" spans="3:3">
      <c r="C149" s="12" t="str">
        <f>IF(Staging!L52="*  ..  ##34###34# ##334###334#","//--- END",Staging!L52)</f>
        <v/>
      </c>
    </row>
    <row r="150" spans="3:3">
      <c r="C150" s="12" t="str">
        <f>IF(Staging!L53="*  ..  ##34###34# ##334###334#","//--- END",Staging!L53)</f>
        <v/>
      </c>
    </row>
    <row r="151" spans="3:3">
      <c r="C151" s="12" t="str">
        <f>IF(Staging!L54="*  ..  ##34###34# ##334###334#","//--- END",Staging!L54)</f>
        <v/>
      </c>
    </row>
    <row r="152" spans="3:3">
      <c r="C152" s="12" t="str">
        <f>IF(Staging!L55="*  ..  ##34###34# ##334###334#","//--- END",Staging!L55)</f>
        <v/>
      </c>
    </row>
    <row r="153" spans="3:3">
      <c r="C153" s="12" t="str">
        <f>IF(Staging!L56="*  ..  ##34###34# ##334###334#","//--- END",Staging!L56)</f>
        <v/>
      </c>
    </row>
    <row r="154" spans="3:3">
      <c r="C154" s="12" t="str">
        <f>IF(Staging!L57="*  ..  ##34###34# ##334###334#","//--- END",Staging!L57)</f>
        <v/>
      </c>
    </row>
    <row r="155" spans="3:3">
      <c r="C155" s="12" t="str">
        <f>IF(Staging!L58="*  ..  ##34###34# ##334###334#","//--- END",Staging!L58)</f>
        <v/>
      </c>
    </row>
    <row r="156" spans="3:3">
      <c r="C156" s="12" t="str">
        <f>IF(Staging!L59="*  ..  ##34###34# ##334###334#","//--- END",Staging!L59)</f>
        <v/>
      </c>
    </row>
    <row r="157" spans="3:3">
      <c r="C157" s="12" t="str">
        <f>IF(Staging!L60="*  ..  ##34###34# ##334###334#","//--- END",Staging!L60)</f>
        <v/>
      </c>
    </row>
    <row r="158" spans="3:3">
      <c r="C158" s="12" t="str">
        <f>IF(Staging!L61="*  ..  ##34###34# ##334###334#","//--- END",Staging!L61)</f>
        <v>* pathologicalStage.pt ^comment = ##334#A string value from pathological T##334#</v>
      </c>
    </row>
    <row r="159" spans="3:3">
      <c r="C159" s="12" t="str">
        <f>IF(Staging!L62="*  ..  ##34###34# ##334###334#","//--- END",Staging!L62)</f>
        <v>* pathologicalStage.pn ^comment = ##334#A string value from pathological N##334#</v>
      </c>
    </row>
    <row r="160" spans="3:3">
      <c r="C160" s="12" t="str">
        <f>IF(Staging!L63="*  ..  ##34###34# ##334###334#","//--- END",Staging!L63)</f>
        <v>* extranodalExtensionEne ^comment = ##334#A string value for the extranodal extension##334#</v>
      </c>
    </row>
    <row r="161" spans="3:3">
      <c r="C161" s="12" t="str">
        <f>IF(Staging!L64="*  ..  ##34###34# ##334###334#","//--- END",Staging!L64)</f>
        <v>* extranodalExtent ^comment = ##334#A number describing the extent of the extranodal extension##334#</v>
      </c>
    </row>
    <row r="162" spans="3:3">
      <c r="C162" s="12" t="str">
        <f>IF(Staging!L65="*  ..  ##34###34# ##334###334#","//--- END",Staging!L65)</f>
        <v>* marginsAfterSurgery ^comment = ##334#A string describing the category applied to the margin after surgery##334#</v>
      </c>
    </row>
    <row r="163" spans="3:3">
      <c r="C163" s="12" t="str">
        <f>IF(Staging!L66="*  ..  ##34###34# ##334###334#","//--- END",Staging!L66)</f>
        <v>* marginsAfterSurgeryIf5Mm ^comment = ##334#A number describing the margin closest to the resection##334#</v>
      </c>
    </row>
    <row r="164" spans="3:3">
      <c r="C164" s="12" t="str">
        <f>IF(Staging!L67="*  ..  ##34###34# ##334###334#","//--- END",Staging!L67)</f>
        <v>* sentinelNode ^comment = ##334#A string describing whether a sentinel node procedure was performed##334#</v>
      </c>
    </row>
    <row r="165" spans="3:3" ht="29.5">
      <c r="C165" s="12" t="str">
        <f>IF(Staging!L68="*  ..  ##34###34# ##334###334#","//--- END",Staging!L68)</f>
        <v>* neckDissection ^comment = ##334#A string describing whether a protocoled and standardized en block resection of lymphatic tissue was performed##334#</v>
      </c>
    </row>
    <row r="166" spans="3:3">
      <c r="C166" s="12" t="str">
        <f>IF(Staging!L69="*  ..  ##34###34# ##334###334#","//--- END",Staging!L69)</f>
        <v>* numberOfLymphNodesRemovedRightSide ^comment = ##334#Number of right side lymph nodes removed##334#</v>
      </c>
    </row>
    <row r="167" spans="3:3">
      <c r="C167" s="12" t="str">
        <f>IF(Staging!L70="*  ..  ##34###34# ##334###334#","//--- END",Staging!L70)</f>
        <v>* numberOfPositiveLymphNodesRightSide ^comment = ##334#Number of positive right side lymph nodes removed##334#</v>
      </c>
    </row>
    <row r="168" spans="3:3">
      <c r="C168" s="12" t="str">
        <f>IF(Staging!L71="*  ..  ##34###34# ##334###334#","//--- END",Staging!L71)</f>
        <v>* lnrRightLymphNodeRatio ^comment = ##334#Ratio of right side removed lymph nodes##334#</v>
      </c>
    </row>
    <row r="169" spans="3:3">
      <c r="C169" s="12" t="str">
        <f>IF(Staging!L72="*  ..  ##34###34# ##334###334#","//--- END",Staging!L72)</f>
        <v>* numberOfLymphNodesRemovedLeftSide ^comment = ##334#Number of left side lymph nodes removed##334#</v>
      </c>
    </row>
    <row r="170" spans="3:3">
      <c r="C170" s="12" t="str">
        <f>IF(Staging!L73="*  ..  ##34###34# ##334###334#","//--- END",Staging!L73)</f>
        <v>* numberOfPositiveLymphNodesLeftSide ^comment = ##334#Number of positive left side lymph nodes removed##334#</v>
      </c>
    </row>
    <row r="171" spans="3:3">
      <c r="C171" s="12" t="str">
        <f>IF(Staging!L74="*  ..  ##34###34# ##334###334#","//--- END",Staging!L74)</f>
        <v>* lnrLeftLymphNodeRatio ^comment = ##334#Ratio of left side removed lymph nodes##334#</v>
      </c>
    </row>
    <row r="172" spans="3:3" ht="29.5">
      <c r="C172" s="12" t="str">
        <f>IF(Staging!L75="*  ..  ##34###34# ##334###334#","//--- END",Staging!L75)</f>
        <v>* lymphovascularSpaceInvasionLvsi ^comment = ##334#A string describing whether a Lymphovascular space invasion LVSI happened##334#</v>
      </c>
    </row>
    <row r="173" spans="3:3">
      <c r="C173" s="12" t="str">
        <f>IF(Staging!L76="*  ..  ##34###34# ##334###334#","//--- END",Staging!L76)</f>
        <v>* perineuralInvasionPni ^comment = ##334#A string describing whether a perineural invasion happened##334#</v>
      </c>
    </row>
    <row r="174" spans="3:3">
      <c r="C174" s="12" t="str">
        <f>IF(Staging!L77="*  ..  ##34###34# ##334###334#","//--- END",Staging!L77)</f>
        <v>* pm ^comment = ##334#A string describing the pathological M##334#</v>
      </c>
    </row>
    <row r="175" spans="3:3">
      <c r="C175" s="12" t="str">
        <f>IF(Staging!L78="*  ..  ##34###34# ##334###334#","//--- END",Staging!L78)</f>
        <v>* pathologicalStaging ^comment = ##334#A string describing the pathological staging##334#</v>
      </c>
    </row>
    <row r="176" spans="3:3">
      <c r="C176" s="12" t="str">
        <f>IF(Staging!L79="*  ..  ##34###34# ##334###334#","//--- END",Staging!L79)</f>
        <v/>
      </c>
    </row>
    <row r="177" spans="3:3">
      <c r="C177" s="12" t="str">
        <f>IF(Staging!L80="*  ..  ##34###34# ##334###334#","//--- END",Staging!L80)</f>
        <v/>
      </c>
    </row>
    <row r="178" spans="3:3">
      <c r="C178" s="12" t="str">
        <f>IF(Staging!L81="*  ..  ##34###34# ##334###334#","//--- END",Staging!L81)</f>
        <v/>
      </c>
    </row>
    <row r="179" spans="3:3">
      <c r="C179" s="12" t="str">
        <f>IF(Staging!L82="*  ..  ##34###34# ##334###334#","//--- END",Staging!L82)</f>
        <v/>
      </c>
    </row>
    <row r="180" spans="3:3">
      <c r="C180" s="12" t="str">
        <f>IF(Staging!L83="*  ..  ##34###34# ##334###334#","//--- END",Staging!L83)</f>
        <v/>
      </c>
    </row>
    <row r="181" spans="3:3">
      <c r="C181" s="12" t="str">
        <f>IF(Staging!L84="*  ..  ##34###34# ##334###334#","//--- END",Staging!L84)</f>
        <v/>
      </c>
    </row>
    <row r="182" spans="3:3">
      <c r="C182" s="12" t="str">
        <f>IF(Staging!L85="*  ..  ##34###34# ##334###334#","//--- END",Staging!L85)</f>
        <v/>
      </c>
    </row>
    <row r="183" spans="3:3">
      <c r="C183" s="12" t="str">
        <f>IF(Staging!L86="*  ..  ##34###34# ##334###334#","//--- END",Staging!L86)</f>
        <v/>
      </c>
    </row>
    <row r="184" spans="3:3">
      <c r="C184" s="12" t="str">
        <f>IF(Staging!L87="*  ..  ##34###34# ##334###334#","//--- END",Staging!L87)</f>
        <v/>
      </c>
    </row>
    <row r="185" spans="3:3">
      <c r="C185" s="12" t="str">
        <f>IF(Staging!L88="*  ..  ##34###34# ##334###334#","//--- END",Staging!L88)</f>
        <v/>
      </c>
    </row>
    <row r="186" spans="3:3">
      <c r="C186" s="12" t="str">
        <f>IF(Staging!L89="*  ..  ##34###34# ##334###334#","//--- END",Staging!L89)</f>
        <v/>
      </c>
    </row>
    <row r="187" spans="3:3">
      <c r="C187" s="12" t="str">
        <f>IF(Staging!L90="*  ..  ##34###34# ##334###334#","//--- END",Staging!L90)</f>
        <v>* msite ^comment = ##334#A string or list of string describing where is the metastatic disease##334#</v>
      </c>
    </row>
    <row r="188" spans="3:3">
      <c r="C188" s="12" t="str">
        <f>IF(Staging!L91="*  ..  ##34###34# ##334###334#","//--- END",Staging!L91)</f>
        <v/>
      </c>
    </row>
    <row r="189" spans="3:3">
      <c r="C189" s="12" t="str">
        <f>IF(Staging!L92="*  ..  ##34###34# ##334###334#","//--- END",Staging!L92)</f>
        <v/>
      </c>
    </row>
    <row r="190" spans="3:3">
      <c r="C190" s="12" t="str">
        <f>IF(Staging!L93="*  ..  ##34###34# ##334###334#","//--- END",Staging!L93)</f>
        <v/>
      </c>
    </row>
    <row r="191" spans="3:3">
      <c r="C191" s="12" t="str">
        <f>IF(Staging!L94="*  ..  ##34###34# ##334###334#","//--- END",Staging!L94)</f>
        <v>//--- END</v>
      </c>
    </row>
    <row r="192" spans="3:3">
      <c r="C192" s="12" t="str">
        <f>IF(Staging!L95="*  ..  ##34###34# ##334###334#","//--- END",Staging!L95)</f>
        <v>//--- END</v>
      </c>
    </row>
    <row r="193" spans="3:3">
      <c r="C193" s="12" t="str">
        <f>IF(Staging!L96="*  ..  ##34###34# ##334###334#","//--- END",Staging!L96)</f>
        <v>//--- END</v>
      </c>
    </row>
    <row r="194" spans="3:3">
      <c r="C194" s="2"/>
    </row>
    <row r="195" spans="3:3">
      <c r="C195"/>
    </row>
    <row r="197" spans="3:3">
      <c r="C197" s="24" t="str">
        <f>'Staging-Map-1'!E1</f>
        <v>// -------------------------------------------------------------------------------</v>
      </c>
    </row>
    <row r="198" spans="3:3">
      <c r="C198" s="25" t="str">
        <f>'Staging-Map-1'!E2</f>
        <v>//  Map to FHIR R4</v>
      </c>
    </row>
    <row r="199" spans="3:3">
      <c r="C199" s="25" t="str">
        <f>'Staging-Map-1'!E3</f>
        <v>// -------------------------------------------------------------------------------</v>
      </c>
    </row>
    <row r="200" spans="3:3">
      <c r="C200" s="12" t="str">
        <f>'Staging-Map-1'!E4</f>
        <v>Mapping: I4RCStaging2Fhir</v>
      </c>
    </row>
    <row r="201" spans="3:3">
      <c r="C201" s="12" t="str">
        <f>'Staging-Map-1'!E5</f>
        <v>Id: fhir</v>
      </c>
    </row>
    <row r="202" spans="3:3">
      <c r="C202" s="12" t="str">
        <f>'Staging-Map-1'!E6</f>
        <v>Title: ##34#Idea4RC Staging model to FHIR R4 Map##34#</v>
      </c>
    </row>
    <row r="203" spans="3:3">
      <c r="C203" s="12" t="str">
        <f>'Staging-Map-1'!E7</f>
        <v>Source: Staging</v>
      </c>
    </row>
    <row r="204" spans="3:3">
      <c r="C204" s="12" t="str">
        <f>'Staging-Map-1'!E8</f>
        <v>Target: ##34#hl7.org/fhir/r4##34#</v>
      </c>
    </row>
    <row r="206" spans="3:3">
      <c r="C206" s="4" t="str">
        <f>'Staging-Map-1'!E9</f>
        <v>* -&gt; ##34#TBD##34#</v>
      </c>
    </row>
    <row r="207" spans="3:3">
      <c r="C207" s="12" t="str">
        <f>IF('Staging-Map-1'!E10="*  -&gt; ##34###34#","// --END",'Staging-Map-1'!E10)</f>
        <v>* stagingProceduresDoneBy -&gt; ##34#TBD##34#</v>
      </c>
    </row>
    <row r="208" spans="3:3">
      <c r="C208" s="12" t="str">
        <f>IF('Staging-Map-1'!E11="*  -&gt; ##34###34#","// --END",'Staging-Map-1'!E11)</f>
        <v>* imagingPerformed -&gt; ##34#TBD##34#</v>
      </c>
    </row>
    <row r="209" spans="3:3">
      <c r="C209" s="12" t="str">
        <f>IF('Staging-Map-1'!E12="*  -&gt; ##34###34#","// --END",'Staging-Map-1'!E12)</f>
        <v>* imagingPerformed.flag -&gt; ##34#TBD##34#</v>
      </c>
    </row>
    <row r="210" spans="3:3">
      <c r="C210" s="12" t="str">
        <f>IF('Staging-Map-1'!E13="*  -&gt; ##34###34#","// --END",'Staging-Map-1'!E13)</f>
        <v>* imagingPerformed.cTPerformed -&gt; ##34#TBD##34#</v>
      </c>
    </row>
    <row r="211" spans="3:3">
      <c r="C211" s="12" t="str">
        <f>IF('Staging-Map-1'!E14="*  -&gt; ##34###34#","// --END",'Staging-Map-1'!E14)</f>
        <v>* imagingPerformed.mRIPerformed -&gt; ##34#TBD##34#</v>
      </c>
    </row>
    <row r="212" spans="3:3">
      <c r="C212" s="12" t="str">
        <f>IF('Staging-Map-1'!E15="*  -&gt; ##34###34#","// --END",'Staging-Map-1'!E15)</f>
        <v>* imagingPerformed.uSPerformed -&gt; ##34#TBD##34#</v>
      </c>
    </row>
    <row r="213" spans="3:3">
      <c r="C213" s="12" t="str">
        <f>IF('Staging-Map-1'!E16="*  -&gt; ##34###34#","// --END",'Staging-Map-1'!E16)</f>
        <v>* imagingPerformed.fDGPETPerformed -&gt; ##34#TBD##34#</v>
      </c>
    </row>
    <row r="214" spans="3:3">
      <c r="C214" s="12" t="str">
        <f>IF('Staging-Map-1'!E17="*  -&gt; ##34###34#","// --END",'Staging-Map-1'!E17)</f>
        <v>* imagingPerformed.pETwithothertracersPerformed -&gt; ##34#TBD##34#</v>
      </c>
    </row>
    <row r="215" spans="3:3">
      <c r="C215" s="12" t="str">
        <f>IF('Staging-Map-1'!E18="*  -&gt; ##34###34#","// --END",'Staging-Map-1'!E18)</f>
        <v>* imagingPerformed.opticaldigitalmethodsegnarrowbandimagingPerformed -&gt; ##34#TBD##34#</v>
      </c>
    </row>
    <row r="216" spans="3:3">
      <c r="C216" s="12" t="str">
        <f>IF('Staging-Map-1'!E19="*  -&gt; ##34###34#","// --END",'Staging-Map-1'!E19)</f>
        <v>* imagingPerformed.cTPETPerformed -&gt; ##34#TBD##34#</v>
      </c>
    </row>
    <row r="217" spans="3:3">
      <c r="C217" s="12" t="str">
        <f>IF('Staging-Map-1'!E20="*  -&gt; ##34###34#","// --END",'Staging-Map-1'!E20)</f>
        <v>* imagingPerformed.unknownPerformed -&gt; ##34#TBD##34#</v>
      </c>
    </row>
    <row r="218" spans="3:3">
      <c r="C218" s="12" t="str">
        <f>IF('Staging-Map-1'!E21="*  -&gt; ##34###34#","// --END",'Staging-Map-1'!E21)</f>
        <v>* imagingPerformed.otherimagingforprimarysitePerformed -&gt; ##34#TBD##34#</v>
      </c>
    </row>
    <row r="219" spans="3:3">
      <c r="C219" s="12" t="str">
        <f>IF('Staging-Map-1'!E22="*  -&gt; ##34###34#","// --END",'Staging-Map-1'!E22)</f>
        <v>* imagingforneckPerformed -&gt; ##34#TBD##34#</v>
      </c>
    </row>
    <row r="220" spans="3:3">
      <c r="C220" s="12" t="str">
        <f>IF('Staging-Map-1'!E23="*  -&gt; ##34###34#","// --END",'Staging-Map-1'!E23)</f>
        <v>* imagingforneckPerformed.flag -&gt; ##34#TBD##34#</v>
      </c>
    </row>
    <row r="221" spans="3:3">
      <c r="C221" s="12" t="str">
        <f>IF('Staging-Map-1'!E24="*  -&gt; ##34###34#","// --END",'Staging-Map-1'!E24)</f>
        <v>* imagingforneckPerformed.cTPerformed -&gt; ##34#TBD##34#</v>
      </c>
    </row>
    <row r="222" spans="3:3">
      <c r="C222" s="12" t="str">
        <f>IF('Staging-Map-1'!E25="*  -&gt; ##34###34#","// --END",'Staging-Map-1'!E25)</f>
        <v>* imagingforneckPerformed.mRIPerformed -&gt; ##34#TBD##34#</v>
      </c>
    </row>
    <row r="223" spans="3:3">
      <c r="C223" s="12" t="str">
        <f>IF('Staging-Map-1'!E26="*  -&gt; ##34###34#","// --END",'Staging-Map-1'!E26)</f>
        <v>* imagingforneckPerformed.uSPerformed -&gt; ##34#TBD##34#</v>
      </c>
    </row>
    <row r="224" spans="3:3">
      <c r="C224" s="12" t="str">
        <f>IF('Staging-Map-1'!E27="*  -&gt; ##34###34#","// --END",'Staging-Map-1'!E27)</f>
        <v>* imagingforneckPerformed.fDGPETPerformed -&gt; ##34#TBD##34#</v>
      </c>
    </row>
    <row r="225" spans="3:3">
      <c r="C225" s="12" t="str">
        <f>IF('Staging-Map-1'!E28="*  -&gt; ##34###34#","// --END",'Staging-Map-1'!E28)</f>
        <v>* imagingforneckPerformed.pETwithothertracersPerformed -&gt; ##34#TBD##34#</v>
      </c>
    </row>
    <row r="226" spans="3:3">
      <c r="C226" s="12" t="str">
        <f>IF('Staging-Map-1'!E29="*  -&gt; ##34###34#","// --END",'Staging-Map-1'!E29)</f>
        <v>* imagingforneckPerformed.cTPETPerformed -&gt; ##34#TBD##34#</v>
      </c>
    </row>
    <row r="227" spans="3:3">
      <c r="C227" s="12" t="str">
        <f>IF('Staging-Map-1'!E30="*  -&gt; ##34###34#","// --END",'Staging-Map-1'!E30)</f>
        <v>* imagingforneckPerformed.unknownPerformed -&gt; ##34#TBD##34#</v>
      </c>
    </row>
    <row r="228" spans="3:3">
      <c r="C228" s="12" t="str">
        <f>IF('Staging-Map-1'!E31="*  -&gt; ##34###34#","// --END",'Staging-Map-1'!E31)</f>
        <v>* imagingforneckPerformed.otherimagingforneckPerformed -&gt; ##34#TBD##34#</v>
      </c>
    </row>
    <row r="229" spans="3:3">
      <c r="C229" s="12" t="str">
        <f>IF('Staging-Map-1'!E32="*  -&gt; ##34###34#","// --END",'Staging-Map-1'!E32)</f>
        <v>* imagingformetastasisPerformed -&gt; ##34#TBD##34#</v>
      </c>
    </row>
    <row r="230" spans="3:3">
      <c r="C230" s="12" t="str">
        <f>IF('Staging-Map-1'!E33="*  -&gt; ##34###34#","// --END",'Staging-Map-1'!E33)</f>
        <v>* imagingformetastasisPerformed.imagingformetastasisPerformed -&gt; ##34#TBD##34#</v>
      </c>
    </row>
    <row r="231" spans="3:3">
      <c r="C231" s="12" t="str">
        <f>IF('Staging-Map-1'!E34="*  -&gt; ##34###34#","// --END",'Staging-Map-1'!E34)</f>
        <v>* imagingformetastasisPerformed.cTPerformed -&gt; ##34#TBD##34#</v>
      </c>
    </row>
    <row r="232" spans="3:3">
      <c r="C232" s="12" t="str">
        <f>IF('Staging-Map-1'!E35="*  -&gt; ##34###34#","// --END",'Staging-Map-1'!E35)</f>
        <v>* imagingformetastasisPerformed.mRIPerformed -&gt; ##34#TBD##34#</v>
      </c>
    </row>
    <row r="233" spans="3:3">
      <c r="C233" s="12" t="str">
        <f>IF('Staging-Map-1'!E36="*  -&gt; ##34###34#","// --END",'Staging-Map-1'!E36)</f>
        <v>* imagingformetastasisPerformed.uSPerformed -&gt; ##34#TBD##34#</v>
      </c>
    </row>
    <row r="234" spans="3:3">
      <c r="C234" s="12" t="str">
        <f>IF('Staging-Map-1'!E37="*  -&gt; ##34###34#","// --END",'Staging-Map-1'!E37)</f>
        <v>* imagingformetastasisPerformed.fDGPETPerformed -&gt; ##34#TBD##34#</v>
      </c>
    </row>
    <row r="235" spans="3:3">
      <c r="C235" s="12" t="str">
        <f>IF('Staging-Map-1'!E38="*  -&gt; ##34###34#","// --END",'Staging-Map-1'!E38)</f>
        <v>* imagingformetastasisPerformed.pETwithothertracersPerformed -&gt; ##34#TBD##34#</v>
      </c>
    </row>
    <row r="236" spans="3:3">
      <c r="C236" s="12" t="str">
        <f>IF('Staging-Map-1'!E39="*  -&gt; ##34###34#","// --END",'Staging-Map-1'!E39)</f>
        <v>* imagingformetastasisPerformed.cTPETPerformed -&gt; ##34#TBD##34#</v>
      </c>
    </row>
    <row r="237" spans="3:3">
      <c r="C237" s="12" t="str">
        <f>IF('Staging-Map-1'!E40="*  -&gt; ##34###34#","// --END",'Staging-Map-1'!E40)</f>
        <v>* imagingformetastasisPerformed.unknownPerformed -&gt; ##34#TBD##34#</v>
      </c>
    </row>
    <row r="238" spans="3:3">
      <c r="C238" s="12" t="str">
        <f>IF('Staging-Map-1'!E41="*  -&gt; ##34###34#","// --END",'Staging-Map-1'!E41)</f>
        <v>* imagingformetastasisPerformed.otherimagingformetastaticdiseasePerformed -&gt; ##34#TBD##34#</v>
      </c>
    </row>
    <row r="239" spans="3:3">
      <c r="C239" s="12" t="str">
        <f>IF('Staging-Map-1'!E42="*  -&gt; ##34###34#","// --END",'Staging-Map-1'!E42)</f>
        <v>* clinicalStage -&gt; ##34#TBD##34#</v>
      </c>
    </row>
    <row r="240" spans="3:3">
      <c r="C240" s="12" t="str">
        <f>IF('Staging-Map-1'!E43="*  -&gt; ##34###34#","// --END",'Staging-Map-1'!E43)</f>
        <v>* clinicalStage.ct -&gt; ##34#TBD##34#</v>
      </c>
    </row>
    <row r="241" spans="3:3">
      <c r="C241" s="12" t="str">
        <f>IF('Staging-Map-1'!E44="*  -&gt; ##34###34#","// --END",'Staging-Map-1'!E44)</f>
        <v>* clinicalStage.cn -&gt; ##34#TBD##34#</v>
      </c>
    </row>
    <row r="242" spans="3:3">
      <c r="C242" s="12" t="str">
        <f>IF('Staging-Map-1'!E45="*  -&gt; ##34###34#","// --END",'Staging-Map-1'!E45)</f>
        <v>* clinicalStage.radiologicalExtraNodalExtensionRene -&gt; ##34#TBD##34#</v>
      </c>
    </row>
    <row r="243" spans="3:3">
      <c r="C243" s="12" t="str">
        <f>IF('Staging-Map-1'!E46="*  -&gt; ##34###34#","// --END",'Staging-Map-1'!E46)</f>
        <v>* clinicalStage.cm -&gt; ##34#TBD##34#</v>
      </c>
    </row>
    <row r="244" spans="3:3">
      <c r="C244" s="12" t="str">
        <f>IF('Staging-Map-1'!E47="*  -&gt; ##34###34#","// --END",'Staging-Map-1'!E47)</f>
        <v>* clinicalStage.clinicalStaging -&gt; ##34#TBD##34#</v>
      </c>
    </row>
    <row r="245" spans="3:3">
      <c r="C245" s="12" t="str">
        <f>IF('Staging-Map-1'!E48="*  -&gt; ##34###34#","// --END",'Staging-Map-1'!E48)</f>
        <v>* clinicalStage.ajccEdition -&gt; ##34#TBD##34#</v>
      </c>
    </row>
    <row r="246" spans="3:3">
      <c r="C246" s="12" t="str">
        <f>IF('Staging-Map-1'!E49="*  -&gt; ##34###34#","// --END",'Staging-Map-1'!E49)</f>
        <v>* clinicalStage.nan -&gt; ##34#TBD##34#</v>
      </c>
    </row>
    <row r="247" spans="3:3">
      <c r="C247" s="12" t="str">
        <f>IF('Staging-Map-1'!E50="*  -&gt; ##34###34#","// --END",'Staging-Map-1'!E50)</f>
        <v>* metastasisSite -&gt; ##34#TBD##34#</v>
      </c>
    </row>
    <row r="248" spans="3:3">
      <c r="C248" s="12" t="str">
        <f>IF('Staging-Map-1'!E51="*  -&gt; ##34###34#","// --END",'Staging-Map-1'!E51)</f>
        <v>* metastasisSite.softTissue -&gt; ##34#TBD##34#</v>
      </c>
    </row>
    <row r="249" spans="3:3">
      <c r="C249" s="12" t="str">
        <f>IF('Staging-Map-1'!E52="*  -&gt; ##34###34#","// --END",'Staging-Map-1'!E52)</f>
        <v>* metastasisSite.distantLymphNode -&gt; ##34#TBD##34#</v>
      </c>
    </row>
    <row r="250" spans="3:3">
      <c r="C250" s="12" t="str">
        <f>IF('Staging-Map-1'!E53="*  -&gt; ##34###34#","// --END",'Staging-Map-1'!E53)</f>
        <v>* metastasisSite.lung -&gt; ##34#TBD##34#</v>
      </c>
    </row>
    <row r="251" spans="3:3">
      <c r="C251" s="12" t="str">
        <f>IF('Staging-Map-1'!E54="*  -&gt; ##34###34#","// --END",'Staging-Map-1'!E54)</f>
        <v>* metastasisSite.bone -&gt; ##34#TBD##34#</v>
      </c>
    </row>
    <row r="252" spans="3:3">
      <c r="C252" s="12" t="str">
        <f>IF('Staging-Map-1'!E55="*  -&gt; ##34###34#","// --END",'Staging-Map-1'!E55)</f>
        <v>* metastasisSite.liver -&gt; ##34#TBD##34#</v>
      </c>
    </row>
    <row r="253" spans="3:3">
      <c r="C253" s="12" t="str">
        <f>IF('Staging-Map-1'!E56="*  -&gt; ##34###34#","// --END",'Staging-Map-1'!E56)</f>
        <v>* metastasisSite.pleura -&gt; ##34#TBD##34#</v>
      </c>
    </row>
    <row r="254" spans="3:3">
      <c r="C254" s="12" t="str">
        <f>IF('Staging-Map-1'!E57="*  -&gt; ##34###34#","// --END",'Staging-Map-1'!E57)</f>
        <v>* metastasisSite.peritoneum -&gt; ##34#TBD##34#</v>
      </c>
    </row>
    <row r="255" spans="3:3">
      <c r="C255" s="12" t="str">
        <f>IF('Staging-Map-1'!E58="*  -&gt; ##34###34#","// --END",'Staging-Map-1'!E58)</f>
        <v>* metastasisSite.brain -&gt; ##34#TBD##34#</v>
      </c>
    </row>
    <row r="256" spans="3:3">
      <c r="C256" s="12" t="str">
        <f>IF('Staging-Map-1'!E59="*  -&gt; ##34###34#","// --END",'Staging-Map-1'!E59)</f>
        <v>* metastasisSite.otherViscera -&gt; ##34#TBD##34#</v>
      </c>
    </row>
    <row r="257" spans="3:3">
      <c r="C257" s="12" t="str">
        <f>IF('Staging-Map-1'!E60="*  -&gt; ##34###34#","// --END",'Staging-Map-1'!E60)</f>
        <v>* metastasisSite.unknown -&gt; ##34#TBD##34#</v>
      </c>
    </row>
    <row r="258" spans="3:3">
      <c r="C258" s="12" t="str">
        <f>IF('Staging-Map-1'!E61="*  -&gt; ##34###34#","// --END",'Staging-Map-1'!E61)</f>
        <v>* clinicalStagingDefinedBy -&gt; ##34#TBD##34#</v>
      </c>
    </row>
    <row r="259" spans="3:3">
      <c r="C259" s="12" t="str">
        <f>IF('Staging-Map-1'!E62="*  -&gt; ##34###34#","// --END",'Staging-Map-1'!E62)</f>
        <v>* pathologicalStage -&gt; ##34#TBD##34#</v>
      </c>
    </row>
    <row r="260" spans="3:3">
      <c r="C260" s="12" t="str">
        <f>IF('Staging-Map-1'!E63="*  -&gt; ##34###34#","// --END",'Staging-Map-1'!E63)</f>
        <v>* pathologicalStage.pt -&gt; ##34#TBD##34#</v>
      </c>
    </row>
    <row r="261" spans="3:3">
      <c r="C261" s="12" t="str">
        <f>IF('Staging-Map-1'!E64="*  -&gt; ##34###34#","// --END",'Staging-Map-1'!E64)</f>
        <v>* pathologicalStage.pn -&gt; ##34#TBD##34#</v>
      </c>
    </row>
    <row r="262" spans="3:3">
      <c r="C262" s="12" t="str">
        <f>IF('Staging-Map-1'!E65="*  -&gt; ##34###34#","// --END",'Staging-Map-1'!E65)</f>
        <v>* extranodalExtensionEne -&gt; ##34#TBD##34#</v>
      </c>
    </row>
    <row r="263" spans="3:3">
      <c r="C263" s="12" t="str">
        <f>IF('Staging-Map-1'!E66="*  -&gt; ##34###34#","// --END",'Staging-Map-1'!E66)</f>
        <v>* extranodalExtent -&gt; ##34#TBD##34#</v>
      </c>
    </row>
    <row r="264" spans="3:3">
      <c r="C264" s="12" t="str">
        <f>IF('Staging-Map-1'!E67="*  -&gt; ##34###34#","// --END",'Staging-Map-1'!E67)</f>
        <v>* marginsAfterSurgery -&gt; ##34#TBD##34#</v>
      </c>
    </row>
    <row r="265" spans="3:3">
      <c r="C265" s="12" t="str">
        <f>IF('Staging-Map-1'!E68="*  -&gt; ##34###34#","// --END",'Staging-Map-1'!E68)</f>
        <v>* marginsAfterSurgeryIf5Mm -&gt; ##34#TBD##34#</v>
      </c>
    </row>
    <row r="266" spans="3:3">
      <c r="C266" s="12" t="str">
        <f>IF('Staging-Map-1'!E69="*  -&gt; ##34###34#","// --END",'Staging-Map-1'!E69)</f>
        <v>* sentinelNode -&gt; ##34#TBD##34#</v>
      </c>
    </row>
    <row r="267" spans="3:3">
      <c r="C267" s="12" t="str">
        <f>IF('Staging-Map-1'!E70="*  -&gt; ##34###34#","// --END",'Staging-Map-1'!E70)</f>
        <v>* neckDissection -&gt; ##34#TBD##34#</v>
      </c>
    </row>
    <row r="268" spans="3:3">
      <c r="C268" s="12" t="str">
        <f>IF('Staging-Map-1'!E71="*  -&gt; ##34###34#","// --END",'Staging-Map-1'!E71)</f>
        <v>* numberOfLymphNodesRemovedRightSide -&gt; ##34#TBD##34#</v>
      </c>
    </row>
    <row r="269" spans="3:3">
      <c r="C269" s="12" t="str">
        <f>IF('Staging-Map-1'!E72="*  -&gt; ##34###34#","// --END",'Staging-Map-1'!E72)</f>
        <v>* numberOfPositiveLymphNodesRightSide -&gt; ##34#TBD##34#</v>
      </c>
    </row>
    <row r="270" spans="3:3">
      <c r="C270" s="12" t="str">
        <f>IF('Staging-Map-1'!E73="*  -&gt; ##34###34#","// --END",'Staging-Map-1'!E73)</f>
        <v>* lnrRightLymphNodeRatio -&gt; ##34#TBD##34#</v>
      </c>
    </row>
    <row r="271" spans="3:3">
      <c r="C271" s="12" t="str">
        <f>IF('Staging-Map-1'!E74="*  -&gt; ##34###34#","// --END",'Staging-Map-1'!E74)</f>
        <v>* numberOfLymphNodesRemovedLeftSide -&gt; ##34#TBD##34#</v>
      </c>
    </row>
    <row r="272" spans="3:3">
      <c r="C272" s="12" t="str">
        <f>IF('Staging-Map-1'!E75="*  -&gt; ##34###34#","// --END",'Staging-Map-1'!E75)</f>
        <v>* numberOfPositiveLymphNodesLeftSide -&gt; ##34#TBD##34#</v>
      </c>
    </row>
    <row r="273" spans="3:3">
      <c r="C273" s="12" t="str">
        <f>IF('Staging-Map-1'!E76="*  -&gt; ##34###34#","// --END",'Staging-Map-1'!E76)</f>
        <v>* lnrLeftLymphNodeRatio -&gt; ##34#TBD##34#</v>
      </c>
    </row>
    <row r="274" spans="3:3">
      <c r="C274" s="12" t="str">
        <f>IF('Staging-Map-1'!E77="*  -&gt; ##34###34#","// --END",'Staging-Map-1'!E77)</f>
        <v>* lymphovascularSpaceInvasionLvsi -&gt; ##34#TBD##34#</v>
      </c>
    </row>
    <row r="275" spans="3:3">
      <c r="C275" s="12" t="str">
        <f>IF('Staging-Map-1'!E78="*  -&gt; ##34###34#","// --END",'Staging-Map-1'!E78)</f>
        <v>* perineuralInvasionPni -&gt; ##34#TBD##34#</v>
      </c>
    </row>
    <row r="276" spans="3:3">
      <c r="C276" s="12" t="str">
        <f>IF('Staging-Map-1'!E79="*  -&gt; ##34###34#","// --END",'Staging-Map-1'!E79)</f>
        <v>* pm -&gt; ##34#TBD##34#</v>
      </c>
    </row>
    <row r="277" spans="3:3">
      <c r="C277" s="12" t="str">
        <f>IF('Staging-Map-1'!E80="*  -&gt; ##34###34#","// --END",'Staging-Map-1'!E80)</f>
        <v>* pathologicalStaging -&gt; ##34#TBD##34#</v>
      </c>
    </row>
    <row r="278" spans="3:3">
      <c r="C278" s="12" t="str">
        <f>IF('Staging-Map-1'!E81="*  -&gt; ##34###34#","// --END",'Staging-Map-1'!E81)</f>
        <v>* ajccEdition -&gt; ##34#TBD##34#</v>
      </c>
    </row>
    <row r="279" spans="3:3">
      <c r="C279" s="12" t="str">
        <f>IF('Staging-Map-1'!E82="*  -&gt; ##34###34#","// --END",'Staging-Map-1'!E82)</f>
        <v>* mSite -&gt; ##34#TBD##34#</v>
      </c>
    </row>
    <row r="280" spans="3:3">
      <c r="C280" s="12" t="str">
        <f>IF('Staging-Map-1'!E83="*  -&gt; ##34###34#","// --END",'Staging-Map-1'!E83)</f>
        <v>* softTissue -&gt; ##34#TBD##34#</v>
      </c>
    </row>
    <row r="281" spans="3:3">
      <c r="C281" s="12" t="str">
        <f>IF('Staging-Map-1'!E84="*  -&gt; ##34###34#","// --END",'Staging-Map-1'!E84)</f>
        <v>* distantLymphNode -&gt; ##34#TBD##34#</v>
      </c>
    </row>
    <row r="282" spans="3:3">
      <c r="C282" s="12" t="str">
        <f>IF('Staging-Map-1'!E85="*  -&gt; ##34###34#","// --END",'Staging-Map-1'!E85)</f>
        <v>* lung -&gt; ##34#TBD##34#</v>
      </c>
    </row>
    <row r="283" spans="3:3">
      <c r="C283" s="12" t="str">
        <f>IF('Staging-Map-1'!E86="*  -&gt; ##34###34#","// --END",'Staging-Map-1'!E86)</f>
        <v>* bone -&gt; ##34#TBD##34#</v>
      </c>
    </row>
    <row r="284" spans="3:3">
      <c r="C284" s="12" t="str">
        <f>IF('Staging-Map-1'!E87="*  -&gt; ##34###34#","// --END",'Staging-Map-1'!E87)</f>
        <v>* liver -&gt; ##34#TBD##34#</v>
      </c>
    </row>
    <row r="285" spans="3:3">
      <c r="C285" s="12" t="str">
        <f>IF('Staging-Map-1'!E88="*  -&gt; ##34###34#","// --END",'Staging-Map-1'!E88)</f>
        <v>* pleura -&gt; ##34#TBD##34#</v>
      </c>
    </row>
    <row r="286" spans="3:3">
      <c r="C286" s="12" t="str">
        <f>IF('Staging-Map-1'!E89="*  -&gt; ##34###34#","// --END",'Staging-Map-1'!E89)</f>
        <v>* peritoneum -&gt; ##34#TBD##34#</v>
      </c>
    </row>
    <row r="287" spans="3:3">
      <c r="C287" s="12" t="str">
        <f>IF('Staging-Map-1'!E90="*  -&gt; ##34###34#","// --END",'Staging-Map-1'!E90)</f>
        <v>* brain -&gt; ##34#TBD##34#</v>
      </c>
    </row>
    <row r="288" spans="3:3">
      <c r="C288" s="12" t="str">
        <f>IF('Staging-Map-1'!E91="*  -&gt; ##34###34#","// --END",'Staging-Map-1'!E91)</f>
        <v>* otherViscera -&gt; ##34#TBD##34#</v>
      </c>
    </row>
    <row r="289" spans="3:3">
      <c r="C289" s="12" t="str">
        <f>IF('Staging-Map-1'!E92="*  -&gt; ##34###34#","// --END",'Staging-Map-1'!E92)</f>
        <v>* msite -&gt; ##34#TBD##34#</v>
      </c>
    </row>
    <row r="290" spans="3:3">
      <c r="C290" s="12" t="str">
        <f>IF('Staging-Map-1'!E93="*  -&gt; ##34###34#","// --END",'Staging-Map-1'!E93)</f>
        <v>* unknown -&gt; ##34#TBD##34#</v>
      </c>
    </row>
    <row r="291" spans="3:3">
      <c r="C291" s="12" t="str">
        <f>IF('Staging-Map-1'!E94="*  -&gt; ##34###34#","// --END",'Staging-Map-1'!E94)</f>
        <v>* pathologicalStagingDefinedBy -&gt; ##34#TBD##34#</v>
      </c>
    </row>
    <row r="292" spans="3:3">
      <c r="C292" s="12" t="str">
        <f>IF('Staging-Map-1'!E95="*  -&gt; ##34###34#","// --END",'Staging-Map-1'!E95)</f>
        <v>* instrumentStatus -&gt; ##34#TBD##34#</v>
      </c>
    </row>
    <row r="293" spans="3:3">
      <c r="C293" s="12" t="str">
        <f>IF('Staging-Map-1'!E96="*  -&gt; ##34###34#","// --END",'Staging-Map-1'!E96)</f>
        <v>// --END</v>
      </c>
    </row>
    <row r="294" spans="3:3">
      <c r="C294" s="12" t="str">
        <f>IF('Staging-Map-1'!E97="*  -&gt; ##34###34#","// --END",'Staging-Map-1'!E97)</f>
        <v>// --END</v>
      </c>
    </row>
    <row r="295" spans="3:3">
      <c r="C295" s="12" t="str">
        <f>IF('Staging-Map-1'!E98="*  -&gt; ##34###34#","// --END",'Staging-Map-1'!E98)</f>
        <v>// --END</v>
      </c>
    </row>
    <row r="296" spans="3:3">
      <c r="C296" s="116"/>
    </row>
    <row r="297" spans="3:3">
      <c r="C297" s="116"/>
    </row>
    <row r="298" spans="3:3">
      <c r="C298" s="116"/>
    </row>
    <row r="299" spans="3:3">
      <c r="C299" s="116"/>
    </row>
    <row r="300" spans="3:3">
      <c r="C300" s="116"/>
    </row>
    <row r="301" spans="3:3">
      <c r="C301" s="116"/>
    </row>
    <row r="302" spans="3:3">
      <c r="C302" s="116"/>
    </row>
    <row r="303" spans="3:3">
      <c r="C303" s="116"/>
    </row>
    <row r="304" spans="3:3">
      <c r="C304" s="116"/>
    </row>
    <row r="305" spans="3:3">
      <c r="C305" s="116"/>
    </row>
    <row r="306" spans="3:3">
      <c r="C306" s="116"/>
    </row>
    <row r="307" spans="3:3">
      <c r="C307" s="116"/>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29C29-88B0-4A4C-BB6C-56B39FA540CF}">
  <sheetPr codeName="Foglio48">
    <tabColor theme="0" tint="-0.499984740745262"/>
  </sheetPr>
  <dimension ref="A3:Q184"/>
  <sheetViews>
    <sheetView workbookViewId="0">
      <selection activeCell="B11" sqref="B11"/>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1412</v>
      </c>
      <c r="I3" s="12" t="s">
        <v>1413</v>
      </c>
      <c r="J3" s="12" t="s">
        <v>1414</v>
      </c>
      <c r="K3" s="12" t="s">
        <v>1415</v>
      </c>
      <c r="L3" s="11" t="s">
        <v>1416</v>
      </c>
      <c r="N3" s="53" t="s">
        <v>1451</v>
      </c>
      <c r="O3" s="53">
        <v>5</v>
      </c>
    </row>
    <row r="4" spans="1:17" ht="15.5" thickBot="1">
      <c r="B4" s="10" t="s">
        <v>18</v>
      </c>
      <c r="C4" s="29"/>
      <c r="E4" s="58"/>
      <c r="H4" s="12"/>
      <c r="I4" s="11"/>
      <c r="J4" s="11"/>
      <c r="K4" s="11"/>
      <c r="L4" s="11"/>
    </row>
    <row r="5" spans="1:17" ht="15.5" thickBot="1">
      <c r="B5" s="10" t="s">
        <v>17</v>
      </c>
      <c r="C5" s="13"/>
      <c r="E5" s="59"/>
      <c r="H5" s="12"/>
      <c r="I5" s="11"/>
      <c r="J5" s="11"/>
      <c r="K5" s="11"/>
      <c r="L5" s="11"/>
    </row>
    <row r="6" spans="1:17" ht="15.5" thickBot="1">
      <c r="B6" s="10" t="s">
        <v>11</v>
      </c>
      <c r="C6" s="7"/>
      <c r="E6" s="7"/>
      <c r="H6" s="17" t="s">
        <v>1454</v>
      </c>
      <c r="I6" s="71" t="s">
        <v>1455</v>
      </c>
      <c r="J6" s="17" t="s">
        <v>1452</v>
      </c>
      <c r="K6" s="71" t="s">
        <v>1453</v>
      </c>
      <c r="L6" s="67" t="s">
        <v>1447</v>
      </c>
    </row>
    <row r="7" spans="1:17">
      <c r="B7" s="64" t="s">
        <v>19</v>
      </c>
      <c r="C7" s="60"/>
      <c r="E7" s="60"/>
      <c r="H7" s="12"/>
      <c r="I7" s="11"/>
      <c r="J7" s="11"/>
      <c r="K7" s="11"/>
      <c r="L7" s="11"/>
    </row>
    <row r="8" spans="1:17">
      <c r="B8" s="66" t="s">
        <v>16</v>
      </c>
      <c r="C8" s="11"/>
      <c r="D8" s="12"/>
      <c r="E8" s="11"/>
      <c r="F8" s="67" t="s">
        <v>1447</v>
      </c>
      <c r="G8" s="70"/>
      <c r="H8" s="12"/>
      <c r="I8" s="11"/>
      <c r="J8" s="67"/>
      <c r="K8" s="67"/>
      <c r="L8" s="67"/>
    </row>
    <row r="9" spans="1:17">
      <c r="A9" s="63"/>
      <c r="B9" s="6"/>
      <c r="C9" s="11"/>
      <c r="D9" s="6" t="s">
        <v>1406</v>
      </c>
      <c r="E9" s="6"/>
      <c r="F9" s="11"/>
      <c r="H9" s="12"/>
      <c r="I9" s="11"/>
      <c r="J9" s="11"/>
      <c r="K9" s="11"/>
      <c r="L9" s="67"/>
    </row>
    <row r="10" spans="1:17" ht="44.25">
      <c r="A10" s="63"/>
      <c r="B10" s="6" t="str">
        <f>Staging!B5</f>
        <v>Staging</v>
      </c>
      <c r="C10" s="6" t="str">
        <f>Staging!B6</f>
        <v>Staging</v>
      </c>
      <c r="D10" s="61" t="str">
        <f>ConvertOsiris!I2</f>
        <v>Patient</v>
      </c>
      <c r="E10" s="61" t="str">
        <f>ConvertOsiris!J2</f>
        <v>Patient</v>
      </c>
      <c r="F10" s="68" t="s">
        <v>1439</v>
      </c>
      <c r="G10" s="62"/>
      <c r="H10" s="12" t="str">
        <f>"* group[=].element[+].code = #"&amp;B10</f>
        <v>* group[=].element[+].code = #Staging</v>
      </c>
      <c r="I10" s="12" t="str">
        <f>"* group[=].element[=].display = ##34#"&amp;C10&amp;"##34#"</f>
        <v>* group[=].element[=].display = ##34#Staging##34#</v>
      </c>
      <c r="J10" s="12" t="str">
        <f>IF(F10="unmatched","//-- unmatched","* group[=].element[=].target.code = #"&amp;$D$9&amp;"."&amp;D10)</f>
        <v>* group[=].element[=].target.code = #Osiris.Patient</v>
      </c>
      <c r="K10" s="12" t="str">
        <f>IF(F10="unmatched","//-- unmatched","* group[=].element[=].target.display = ##34#"&amp;E10&amp;"##34#")</f>
        <v>* group[=].element[=].target.display = ##34#Patient##34#</v>
      </c>
      <c r="L10" s="12" t="str">
        <f>"* group[=].element[=].target.equivalence = #"&amp;F10</f>
        <v>* group[=].element[=].target.equivalence = #equivalent</v>
      </c>
      <c r="N10" s="11">
        <v>1</v>
      </c>
      <c r="O10" s="11">
        <f>IF(MOD(N10,$O$3)=0,N10/$O$3-1,INT(N10/$O$3))</f>
        <v>0</v>
      </c>
      <c r="P10" s="11">
        <f>IF(MOD(N10,$O$3)=0,$O$3,MOD(N10,$O$3))</f>
        <v>1</v>
      </c>
      <c r="Q10" s="12" t="str" cm="1">
        <f t="array" ref="Q10">INDEX('Staging-ConceptMap'!$H$10:$L$264,O10+1,P10)</f>
        <v>* group[=].element[+].code = #Staging</v>
      </c>
    </row>
    <row r="11" spans="1:17" ht="44.25">
      <c r="A11" s="63"/>
      <c r="B11" s="11" t="str">
        <f>$B$10&amp;"."&amp;Staging!B8</f>
        <v>Staging.stagingProceduresDoneBy</v>
      </c>
      <c r="C11" s="11" t="str">
        <f>Staging!C8</f>
        <v>Staging procedures done by</v>
      </c>
      <c r="D11" s="11" t="str">
        <f>ConvertOsiris!I6</f>
        <v>Patient.BirthDate</v>
      </c>
      <c r="E11" s="11" t="str">
        <f>ConvertOsiris!J6</f>
        <v>Birth Date [C4]</v>
      </c>
      <c r="F11" s="68" t="s">
        <v>1417</v>
      </c>
      <c r="G11" s="62"/>
      <c r="H11" s="12" t="str">
        <f t="shared" ref="H11:H17" si="0">"* group[=].element[+].code = #"&amp;B11</f>
        <v>* group[=].element[+].code = #Staging.stagingProceduresDoneBy</v>
      </c>
      <c r="I11" s="12" t="str">
        <f t="shared" ref="I11:I17" si="1">"* group[=].element[=].display = ##34#"&amp;C11&amp;"##34#"</f>
        <v>* group[=].element[=].display = ##34#Staging procedures done by##34#</v>
      </c>
      <c r="J11" s="12" t="str">
        <f t="shared" ref="J11:J17" si="2">IF(F11="unmatched","//-- unmatched","* group[=].element[=].target.code = #"&amp;$D$9&amp;"."&amp;D11)</f>
        <v>* group[=].element[=].target.code = #Osiris.Patient.BirthDate</v>
      </c>
      <c r="K11" s="12" t="str">
        <f t="shared" ref="K11:K17" si="3">IF(F11="unmatched","//-- unmatched","* group[=].element[=].target.display = ##34#"&amp;E11&amp;"##34#")</f>
        <v>* group[=].element[=].target.display = ##34#Birth Date [C4]##34#</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INDEX('Staging-ConceptMap'!$H$10:$L$264,O11+1,P11)</f>
        <v>* group[=].element[=].display = ##34#Staging##34#</v>
      </c>
    </row>
    <row r="12" spans="1:17" ht="44.25">
      <c r="A12" s="63"/>
      <c r="B12" s="11" t="str">
        <f>$B$10&amp;"."&amp;Staging!B9</f>
        <v>Staging.imagingPerformed</v>
      </c>
      <c r="C12" s="11" t="str">
        <f>Staging!C9</f>
        <v>Imaging for primary site</v>
      </c>
      <c r="D12" s="11" t="str">
        <f>ConvertOsiris!I6</f>
        <v>Patient.BirthDate</v>
      </c>
      <c r="E12" s="11" t="str">
        <f>ConvertOsiris!J6</f>
        <v>Birth Date [C4]</v>
      </c>
      <c r="F12" s="68" t="s">
        <v>1439</v>
      </c>
      <c r="G12" s="62"/>
      <c r="H12" s="12" t="str">
        <f t="shared" si="0"/>
        <v>* group[=].element[+].code = #Staging.imagingPerformed</v>
      </c>
      <c r="I12" s="12" t="str">
        <f t="shared" si="1"/>
        <v>* group[=].element[=].display = ##34#Imaging for primary site##34#</v>
      </c>
      <c r="J12" s="12" t="str">
        <f t="shared" si="2"/>
        <v>* group[=].element[=].target.code = #Osiris.Patient.BirthDate</v>
      </c>
      <c r="K12" s="12" t="str">
        <f t="shared" si="3"/>
        <v>* group[=].element[=].target.display = ##34#Birth Date [C4]##34#</v>
      </c>
      <c r="L12" s="12" t="str">
        <f t="shared" si="4"/>
        <v>* group[=].element[=].target.equivalence = #equivalent</v>
      </c>
      <c r="N12" s="11">
        <v>3</v>
      </c>
      <c r="O12" s="11">
        <f t="shared" si="5"/>
        <v>0</v>
      </c>
      <c r="P12" s="11">
        <f t="shared" si="6"/>
        <v>3</v>
      </c>
      <c r="Q12" s="12" t="str" cm="1">
        <f t="array" ref="Q12">INDEX('Staging-ConceptMap'!$H$10:$L$264,O12+1,P12)</f>
        <v>* group[=].element[=].target.code = #Osiris.Patient</v>
      </c>
    </row>
    <row r="13" spans="1:17" ht="44.25">
      <c r="A13" s="63"/>
      <c r="B13" s="11" t="str">
        <f>$B$10&amp;"."&amp;Staging!B11</f>
        <v>Staging.imagingPerformed.cTPerformed</v>
      </c>
      <c r="C13" s="11" t="str">
        <f>Staging!C11</f>
        <v>CT</v>
      </c>
      <c r="D13" s="11"/>
      <c r="E13" s="11"/>
      <c r="F13" s="68" t="s">
        <v>1434</v>
      </c>
      <c r="G13" s="62"/>
      <c r="H13" s="12" t="str">
        <f t="shared" si="0"/>
        <v>* group[=].element[+].code = #Staging.imagingPerformed.cTPerformed</v>
      </c>
      <c r="I13" s="12" t="str">
        <f t="shared" si="1"/>
        <v>* group[=].element[=].display = ##34#CT##34#</v>
      </c>
      <c r="J13" s="12" t="str">
        <f t="shared" si="2"/>
        <v>//-- unmatched</v>
      </c>
      <c r="K13" s="12" t="str">
        <f t="shared" si="3"/>
        <v>//-- unmatched</v>
      </c>
      <c r="L13" s="12" t="str">
        <f t="shared" si="4"/>
        <v>* group[=].element[=].target.equivalence = #unmatched</v>
      </c>
      <c r="N13" s="11">
        <v>4</v>
      </c>
      <c r="O13" s="11">
        <f t="shared" si="5"/>
        <v>0</v>
      </c>
      <c r="P13" s="11">
        <f t="shared" si="6"/>
        <v>4</v>
      </c>
      <c r="Q13" s="12" t="str" cm="1">
        <f t="array" ref="Q13">INDEX('Staging-ConceptMap'!$H$10:$L$264,O13+1,P13)</f>
        <v>* group[=].element[=].target.display = ##34#Patient##34#</v>
      </c>
    </row>
    <row r="14" spans="1:17" ht="44.25">
      <c r="A14" s="63"/>
      <c r="B14" s="11" t="str">
        <f>$B$10&amp;"."&amp;Staging!B12</f>
        <v>Staging.imagingPerformed.mRIPerformed</v>
      </c>
      <c r="C14" s="11" t="str">
        <f>Staging!C12</f>
        <v>MRI</v>
      </c>
      <c r="D14" s="11"/>
      <c r="E14" s="11"/>
      <c r="F14" s="68" t="s">
        <v>1434</v>
      </c>
      <c r="G14" s="62"/>
      <c r="H14" s="12" t="str">
        <f t="shared" si="0"/>
        <v>* group[=].element[+].code = #Staging.imagingPerformed.mRIPerformed</v>
      </c>
      <c r="I14" s="12" t="str">
        <f t="shared" si="1"/>
        <v>* group[=].element[=].display = ##34#MRI##34#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INDEX('Staging-ConceptMap'!$H$10:$L$264,O14+1,P14)</f>
        <v>* group[=].element[=].target.equivalence = #equivalent</v>
      </c>
    </row>
    <row r="15" spans="1:17" ht="44.25">
      <c r="A15" s="63"/>
      <c r="B15" s="11" t="str">
        <f>$B$10&amp;"."&amp;Staging!B13</f>
        <v>Staging.imagingPerformed.uSPerformed</v>
      </c>
      <c r="C15" s="11" t="str">
        <f>Staging!C13</f>
        <v>US</v>
      </c>
      <c r="D15" s="11" t="str">
        <f>ConvertOsiris!I4</f>
        <v>Patient.Gender</v>
      </c>
      <c r="E15" s="11" t="str">
        <f>ConvertOsiris!J4</f>
        <v>Gender [C2]</v>
      </c>
      <c r="F15" s="68" t="s">
        <v>1443</v>
      </c>
      <c r="G15" s="62"/>
      <c r="H15" s="12" t="str">
        <f t="shared" si="0"/>
        <v>* group[=].element[+].code = #Staging.imagingPerformed.uSPerformed</v>
      </c>
      <c r="I15" s="12" t="str">
        <f t="shared" si="1"/>
        <v>* group[=].element[=].display = ##34#US##34#</v>
      </c>
      <c r="J15" s="12" t="str">
        <f t="shared" si="2"/>
        <v>* group[=].element[=].target.code = #Osiris.Patient.Gender</v>
      </c>
      <c r="K15" s="12" t="str">
        <f t="shared" si="3"/>
        <v>* group[=].element[=].target.display = ##34#Gender [C2]##34#</v>
      </c>
      <c r="L15" s="12" t="str">
        <f t="shared" si="4"/>
        <v>* group[=].element[=].target.equivalence = #narrower</v>
      </c>
      <c r="N15" s="11">
        <v>6</v>
      </c>
      <c r="O15" s="11">
        <f t="shared" si="5"/>
        <v>1</v>
      </c>
      <c r="P15" s="11">
        <f t="shared" si="6"/>
        <v>1</v>
      </c>
      <c r="Q15" s="12" t="str" cm="1">
        <f t="array" ref="Q15">INDEX('Staging-ConceptMap'!$H$10:$L$264,O15+1,P15)</f>
        <v>* group[=].element[+].code = #Staging.stagingProceduresDoneBy</v>
      </c>
    </row>
    <row r="16" spans="1:17" ht="44.25">
      <c r="A16" s="63"/>
      <c r="B16" s="11" t="str">
        <f>$B$10&amp;"."&amp;Staging!B14</f>
        <v>Staging.imagingPerformed.fDGPETPerformed</v>
      </c>
      <c r="C16" s="11" t="str">
        <f>Staging!C14</f>
        <v>FDG PET</v>
      </c>
      <c r="D16" s="11" t="str">
        <f>ConvertOsiris!I5</f>
        <v>Patient.Ethnicity</v>
      </c>
      <c r="E16" s="11" t="str">
        <f>ConvertOsiris!J5</f>
        <v>Ethnicity [C3]</v>
      </c>
      <c r="F16" s="68" t="s">
        <v>1441</v>
      </c>
      <c r="G16" s="62"/>
      <c r="H16" s="12" t="str">
        <f t="shared" si="0"/>
        <v>* group[=].element[+].code = #Staging.imagingPerformed.fDGPETPerformed</v>
      </c>
      <c r="I16" s="12" t="str">
        <f t="shared" si="1"/>
        <v>* group[=].element[=].display = ##34#FDG PET##34#</v>
      </c>
      <c r="J16" s="12" t="str">
        <f t="shared" si="2"/>
        <v>* group[=].element[=].target.code = #Osiris.Patient.Ethnicity</v>
      </c>
      <c r="K16" s="12" t="str">
        <f t="shared" si="3"/>
        <v>* group[=].element[=].target.display = ##34#Ethnicity [C3]##34#</v>
      </c>
      <c r="L16" s="12" t="str">
        <f t="shared" si="4"/>
        <v>* group[=].element[=].target.equivalence = #wider</v>
      </c>
      <c r="N16" s="11">
        <v>7</v>
      </c>
      <c r="O16" s="11">
        <f t="shared" si="5"/>
        <v>1</v>
      </c>
      <c r="P16" s="11">
        <f t="shared" si="6"/>
        <v>2</v>
      </c>
      <c r="Q16" s="12" t="str" cm="1">
        <f t="array" ref="Q16">INDEX('Staging-ConceptMap'!$H$10:$L$264,O16+1,P16)</f>
        <v>* group[=].element[=].display = ##34#Staging procedures done by##34#</v>
      </c>
    </row>
    <row r="17" spans="1:17" ht="44.25">
      <c r="A17" s="63"/>
      <c r="B17" s="11" t="str">
        <f>$B$10&amp;"."&amp;Staging!B15</f>
        <v>Staging.imagingPerformed.pETwithothertracersPerformed</v>
      </c>
      <c r="C17" s="11" t="str">
        <f>Staging!C15</f>
        <v>PET with other tracers</v>
      </c>
      <c r="D17" s="11"/>
      <c r="E17" s="12"/>
      <c r="F17" s="68" t="s">
        <v>1434</v>
      </c>
      <c r="G17" s="62"/>
      <c r="H17" s="12" t="str">
        <f t="shared" si="0"/>
        <v>* group[=].element[+].code = #Staging.imagingPerformed.pETwithothertracersPerformed</v>
      </c>
      <c r="I17" s="12" t="str">
        <f t="shared" si="1"/>
        <v>* group[=].element[=].display = ##34#PET with other tracers##34#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INDEX('Staging-ConceptMap'!$H$10:$L$264,O17+1,P17)</f>
        <v>* group[=].element[=].target.code = #Osiris.Patient.BirthDate</v>
      </c>
    </row>
    <row r="18" spans="1:17">
      <c r="A18" s="63"/>
      <c r="B18" s="11"/>
      <c r="C18" s="11"/>
      <c r="D18" s="11"/>
      <c r="E18" s="12"/>
      <c r="F18" s="68"/>
      <c r="G18" s="62"/>
      <c r="H18" s="12"/>
      <c r="I18" s="12"/>
      <c r="J18" s="12"/>
      <c r="K18" s="12"/>
      <c r="L18" s="12"/>
      <c r="N18" s="11">
        <v>9</v>
      </c>
      <c r="O18" s="11">
        <f t="shared" si="5"/>
        <v>1</v>
      </c>
      <c r="P18" s="11">
        <f t="shared" si="6"/>
        <v>4</v>
      </c>
      <c r="Q18" s="12" t="str" cm="1">
        <f t="array" ref="Q18">INDEX('Staging-ConceptMap'!$H$10:$L$264,O18+1,P18)</f>
        <v>* group[=].element[=].target.display = ##34#Birth Date [C4]##34#</v>
      </c>
    </row>
    <row r="19" spans="1:17">
      <c r="B19" s="11"/>
      <c r="C19" s="11"/>
      <c r="D19" s="11"/>
      <c r="E19" s="12"/>
      <c r="F19" s="68"/>
      <c r="G19" s="62"/>
      <c r="H19" s="12"/>
      <c r="I19" s="12"/>
      <c r="J19" s="12"/>
      <c r="K19" s="12"/>
      <c r="L19" s="12"/>
      <c r="N19" s="11">
        <v>10</v>
      </c>
      <c r="O19" s="11">
        <f t="shared" si="5"/>
        <v>1</v>
      </c>
      <c r="P19" s="11">
        <f t="shared" si="6"/>
        <v>5</v>
      </c>
      <c r="Q19" s="12" t="str" cm="1">
        <f t="array" ref="Q19">INDEX('Staging-ConceptMap'!$H$10:$L$264,O19+1,P19)</f>
        <v>* group[=].element[=].target.equivalence = #relatedto</v>
      </c>
    </row>
    <row r="20" spans="1:17">
      <c r="B20" s="11"/>
      <c r="C20" s="11"/>
      <c r="D20" s="11"/>
      <c r="E20" s="12"/>
      <c r="F20" s="68"/>
      <c r="G20" s="62"/>
      <c r="H20" s="12"/>
      <c r="I20" s="12"/>
      <c r="J20" s="12"/>
      <c r="K20" s="12"/>
      <c r="L20" s="12"/>
      <c r="N20" s="11">
        <v>11</v>
      </c>
      <c r="O20" s="11">
        <f t="shared" si="5"/>
        <v>2</v>
      </c>
      <c r="P20" s="11">
        <f t="shared" si="6"/>
        <v>1</v>
      </c>
      <c r="Q20" s="12" t="str" cm="1">
        <f t="array" ref="Q20">INDEX('Staging-ConceptMap'!$H$10:$L$264,O20+1,P20)</f>
        <v>* group[=].element[+].code = #Staging.imagingPerformed</v>
      </c>
    </row>
    <row r="21" spans="1:17">
      <c r="B21" s="11"/>
      <c r="C21" s="11"/>
      <c r="D21" s="11"/>
      <c r="E21" s="12"/>
      <c r="F21" s="68"/>
      <c r="G21" s="62"/>
      <c r="J21" s="62"/>
      <c r="K21" s="62"/>
      <c r="L21" s="70"/>
      <c r="N21" s="11">
        <v>12</v>
      </c>
      <c r="O21" s="11">
        <f t="shared" si="5"/>
        <v>2</v>
      </c>
      <c r="P21" s="11">
        <f t="shared" si="6"/>
        <v>2</v>
      </c>
      <c r="Q21" s="12" t="str" cm="1">
        <f t="array" ref="Q21">INDEX('Staging-ConceptMap'!$H$10:$L$264,O21+1,P21)</f>
        <v>* group[=].element[=].display = ##34#Imaging for primary site##34#</v>
      </c>
    </row>
    <row r="22" spans="1:17">
      <c r="B22" s="11"/>
      <c r="C22" s="11"/>
      <c r="D22" s="11"/>
      <c r="E22" s="12"/>
      <c r="F22" s="68"/>
      <c r="G22" s="62"/>
      <c r="J22" s="62"/>
      <c r="K22" s="62"/>
      <c r="L22" s="70"/>
      <c r="N22" s="11">
        <v>13</v>
      </c>
      <c r="O22" s="11">
        <f t="shared" si="5"/>
        <v>2</v>
      </c>
      <c r="P22" s="11">
        <f t="shared" si="6"/>
        <v>3</v>
      </c>
      <c r="Q22" s="12" t="str" cm="1">
        <f t="array" ref="Q22">INDEX('Staging-ConceptMap'!$H$10:$L$264,O22+1,P22)</f>
        <v>* group[=].element[=].target.code = #Osiris.Patient.BirthDate</v>
      </c>
    </row>
    <row r="23" spans="1:17">
      <c r="B23" s="11"/>
      <c r="C23" s="11"/>
      <c r="D23" s="11"/>
      <c r="E23" s="12"/>
      <c r="F23" s="68"/>
      <c r="G23" s="62"/>
      <c r="J23" s="62"/>
      <c r="K23" s="62"/>
      <c r="L23" s="70"/>
      <c r="N23" s="11">
        <v>14</v>
      </c>
      <c r="O23" s="11">
        <f t="shared" si="5"/>
        <v>2</v>
      </c>
      <c r="P23" s="11">
        <f t="shared" si="6"/>
        <v>4</v>
      </c>
      <c r="Q23" s="12" t="str" cm="1">
        <f t="array" ref="Q23">INDEX('Staging-ConceptMap'!$H$10:$L$264,O23+1,P23)</f>
        <v>* group[=].element[=].target.display = ##34#Birth Date [C4]##34#</v>
      </c>
    </row>
    <row r="24" spans="1:17">
      <c r="B24" s="11"/>
      <c r="C24" s="11"/>
      <c r="D24" s="11"/>
      <c r="E24" s="12"/>
      <c r="F24" s="68"/>
      <c r="G24" s="62"/>
      <c r="J24" s="62"/>
      <c r="K24" s="62"/>
      <c r="L24" s="70"/>
      <c r="N24" s="11">
        <v>15</v>
      </c>
      <c r="O24" s="11">
        <f t="shared" si="5"/>
        <v>2</v>
      </c>
      <c r="P24" s="11">
        <f t="shared" si="6"/>
        <v>5</v>
      </c>
      <c r="Q24" s="12" t="str" cm="1">
        <f t="array" ref="Q24">INDEX('Staging-ConceptMap'!$H$10:$L$264,O24+1,P24)</f>
        <v>* group[=].element[=].target.equivalence = #equivalent</v>
      </c>
    </row>
    <row r="25" spans="1:17">
      <c r="B25" s="11"/>
      <c r="C25" s="11"/>
      <c r="D25" s="11"/>
      <c r="E25" s="12"/>
      <c r="F25" s="68"/>
      <c r="G25" s="62"/>
      <c r="J25" s="62"/>
      <c r="K25" s="62"/>
      <c r="L25" s="70"/>
      <c r="N25" s="11">
        <v>16</v>
      </c>
      <c r="O25" s="11">
        <f t="shared" si="5"/>
        <v>3</v>
      </c>
      <c r="P25" s="11">
        <f t="shared" si="6"/>
        <v>1</v>
      </c>
      <c r="Q25" s="12" t="str" cm="1">
        <f t="array" ref="Q25">INDEX('Staging-ConceptMap'!$H$10:$L$264,O25+1,P25)</f>
        <v>* group[=].element[+].code = #Staging.imagingPerformed.cTPerformed</v>
      </c>
    </row>
    <row r="26" spans="1:17">
      <c r="B26" s="11"/>
      <c r="C26" s="11"/>
      <c r="D26" s="11"/>
      <c r="E26" s="12"/>
      <c r="F26" s="68"/>
      <c r="G26" s="62"/>
      <c r="J26" s="62"/>
      <c r="K26" s="62"/>
      <c r="L26" s="70"/>
      <c r="N26" s="11">
        <v>17</v>
      </c>
      <c r="O26" s="11">
        <f t="shared" si="5"/>
        <v>3</v>
      </c>
      <c r="P26" s="11">
        <f t="shared" si="6"/>
        <v>2</v>
      </c>
      <c r="Q26" s="12" t="str" cm="1">
        <f t="array" ref="Q26">INDEX('Staging-ConceptMap'!$H$10:$L$264,O26+1,P26)</f>
        <v>* group[=].element[=].display = ##34#CT##34#</v>
      </c>
    </row>
    <row r="27" spans="1:17">
      <c r="B27" s="11"/>
      <c r="C27" s="11"/>
      <c r="D27" s="11"/>
      <c r="E27" s="12"/>
      <c r="F27" s="68"/>
      <c r="G27" s="62"/>
      <c r="J27" s="62"/>
      <c r="K27" s="62"/>
      <c r="L27" s="70"/>
      <c r="N27" s="11">
        <v>18</v>
      </c>
      <c r="O27" s="11">
        <f t="shared" si="5"/>
        <v>3</v>
      </c>
      <c r="P27" s="11">
        <f t="shared" si="6"/>
        <v>3</v>
      </c>
      <c r="Q27" s="12" t="str" cm="1">
        <f t="array" ref="Q27">INDEX('Staging-ConceptMap'!$H$10:$L$264,O27+1,P27)</f>
        <v>//-- unmatched</v>
      </c>
    </row>
    <row r="28" spans="1:17">
      <c r="B28" s="11"/>
      <c r="C28" s="11"/>
      <c r="D28" s="11"/>
      <c r="E28" s="12"/>
      <c r="F28" s="68"/>
      <c r="G28" s="62"/>
      <c r="J28" s="62"/>
      <c r="K28" s="62"/>
      <c r="L28" s="70"/>
      <c r="N28" s="11">
        <v>19</v>
      </c>
      <c r="O28" s="11">
        <f t="shared" si="5"/>
        <v>3</v>
      </c>
      <c r="P28" s="11">
        <f t="shared" si="6"/>
        <v>4</v>
      </c>
      <c r="Q28" s="12" t="str" cm="1">
        <f t="array" ref="Q28">INDEX('Staging-ConceptMap'!$H$10:$L$264,O28+1,P28)</f>
        <v>//-- unmatched</v>
      </c>
    </row>
    <row r="29" spans="1:17">
      <c r="B29" s="11"/>
      <c r="C29" s="11"/>
      <c r="D29" s="11"/>
      <c r="E29" s="12"/>
      <c r="F29" s="68"/>
      <c r="G29" s="62"/>
      <c r="J29" s="62"/>
      <c r="K29" s="62"/>
      <c r="L29" s="70"/>
      <c r="N29" s="11">
        <v>20</v>
      </c>
      <c r="O29" s="11">
        <f t="shared" si="5"/>
        <v>3</v>
      </c>
      <c r="P29" s="11">
        <f t="shared" si="6"/>
        <v>5</v>
      </c>
      <c r="Q29" s="12" t="str" cm="1">
        <f t="array" ref="Q29">INDEX('Staging-ConceptMap'!$H$10:$L$264,O29+1,P29)</f>
        <v>* group[=].element[=].target.equivalence = #unmatched</v>
      </c>
    </row>
    <row r="30" spans="1:17">
      <c r="B30" s="11"/>
      <c r="C30" s="11"/>
      <c r="D30" s="11"/>
      <c r="E30" s="12"/>
      <c r="F30" s="68"/>
      <c r="G30" s="62"/>
      <c r="J30" s="62"/>
      <c r="K30" s="62"/>
      <c r="L30" s="70"/>
      <c r="N30" s="11">
        <v>21</v>
      </c>
      <c r="O30" s="11">
        <f t="shared" si="5"/>
        <v>4</v>
      </c>
      <c r="P30" s="11">
        <f t="shared" si="6"/>
        <v>1</v>
      </c>
      <c r="Q30" s="12" t="str" cm="1">
        <f t="array" ref="Q30">INDEX('Staging-ConceptMap'!$H$10:$L$264,O30+1,P30)</f>
        <v>* group[=].element[+].code = #Staging.imagingPerformed.mRIPerformed</v>
      </c>
    </row>
    <row r="31" spans="1:17" s="2" customFormat="1">
      <c r="A31"/>
      <c r="B31" s="11"/>
      <c r="C31" s="11"/>
      <c r="D31" s="11"/>
      <c r="E31" s="12"/>
      <c r="F31" s="68"/>
      <c r="G31" s="62"/>
      <c r="I31"/>
      <c r="J31" s="62"/>
      <c r="K31" s="62"/>
      <c r="L31" s="70"/>
      <c r="N31" s="11">
        <v>22</v>
      </c>
      <c r="O31" s="11">
        <f t="shared" si="5"/>
        <v>4</v>
      </c>
      <c r="P31" s="11">
        <f t="shared" si="6"/>
        <v>2</v>
      </c>
      <c r="Q31" s="12" t="str" cm="1">
        <f t="array" ref="Q31">INDEX('Staging-ConceptMap'!$H$10:$L$264,O31+1,P31)</f>
        <v>* group[=].element[=].display = ##34#MRI##34#</v>
      </c>
    </row>
    <row r="32" spans="1:17" s="2" customFormat="1">
      <c r="A32"/>
      <c r="B32" s="65"/>
      <c r="C32" s="65"/>
      <c r="D32" s="65"/>
      <c r="F32" s="62"/>
      <c r="G32" s="62"/>
      <c r="I32"/>
      <c r="J32" s="62"/>
      <c r="K32" s="62"/>
      <c r="L32" s="70"/>
      <c r="N32" s="11">
        <v>23</v>
      </c>
      <c r="O32" s="11">
        <f t="shared" si="5"/>
        <v>4</v>
      </c>
      <c r="P32" s="11">
        <f t="shared" si="6"/>
        <v>3</v>
      </c>
      <c r="Q32" s="12" t="str" cm="1">
        <f t="array" ref="Q32">INDEX('Staging-ConceptMap'!$H$10:$L$264,O32+1,P32)</f>
        <v>//-- unmatched</v>
      </c>
    </row>
    <row r="33" spans="1:17" s="2" customFormat="1">
      <c r="A33"/>
      <c r="B33" s="11"/>
      <c r="C33" s="11"/>
      <c r="F33" s="62"/>
      <c r="G33" s="62"/>
      <c r="I33"/>
      <c r="J33" s="62"/>
      <c r="K33" s="62"/>
      <c r="L33" s="70"/>
      <c r="N33" s="11">
        <v>24</v>
      </c>
      <c r="O33" s="11">
        <f t="shared" si="5"/>
        <v>4</v>
      </c>
      <c r="P33" s="11">
        <f t="shared" si="6"/>
        <v>4</v>
      </c>
      <c r="Q33" s="12" t="str" cm="1">
        <f t="array" ref="Q33">INDEX('Staging-ConceptMap'!$H$10:$L$264,O33+1,P33)</f>
        <v>//-- unmatched</v>
      </c>
    </row>
    <row r="34" spans="1:17" s="2" customFormat="1">
      <c r="A34"/>
      <c r="B34" s="11"/>
      <c r="C34"/>
      <c r="F34" s="62"/>
      <c r="G34" s="62"/>
      <c r="I34" s="62"/>
      <c r="J34" s="62"/>
      <c r="K34" s="62"/>
      <c r="L34" s="70"/>
      <c r="N34" s="11">
        <v>25</v>
      </c>
      <c r="O34" s="11">
        <f t="shared" si="5"/>
        <v>4</v>
      </c>
      <c r="P34" s="11">
        <f t="shared" si="6"/>
        <v>5</v>
      </c>
      <c r="Q34" s="12" t="str" cm="1">
        <f t="array" ref="Q34">INDEX('Staging-ConceptMap'!$H$10:$L$264,O34+1,P34)</f>
        <v>* group[=].element[=].target.equivalence = #unmatched</v>
      </c>
    </row>
    <row r="35" spans="1:17" s="2" customFormat="1">
      <c r="A35"/>
      <c r="B35" s="11"/>
      <c r="C35"/>
      <c r="F35" s="62"/>
      <c r="G35" s="62"/>
      <c r="I35" s="62"/>
      <c r="J35" s="62"/>
      <c r="K35" s="62"/>
      <c r="L35" s="70"/>
      <c r="N35" s="11">
        <v>26</v>
      </c>
      <c r="O35" s="11">
        <f t="shared" si="5"/>
        <v>5</v>
      </c>
      <c r="P35" s="11">
        <f t="shared" si="6"/>
        <v>1</v>
      </c>
      <c r="Q35" s="12" t="str" cm="1">
        <f t="array" ref="Q35">INDEX('Staging-ConceptMap'!$H$10:$L$264,O35+1,P35)</f>
        <v>* group[=].element[+].code = #Staging.imagingPerformed.uSPerformed</v>
      </c>
    </row>
    <row r="36" spans="1:17" s="2" customFormat="1">
      <c r="A36"/>
      <c r="B36" s="11"/>
      <c r="C36"/>
      <c r="F36" s="62"/>
      <c r="G36" s="62"/>
      <c r="I36" s="62"/>
      <c r="J36" s="62"/>
      <c r="K36" s="62"/>
      <c r="L36" s="70"/>
      <c r="N36" s="11">
        <v>27</v>
      </c>
      <c r="O36" s="11">
        <f t="shared" si="5"/>
        <v>5</v>
      </c>
      <c r="P36" s="11">
        <f t="shared" si="6"/>
        <v>2</v>
      </c>
      <c r="Q36" s="12" t="str" cm="1">
        <f t="array" ref="Q36">INDEX('Staging-ConceptMap'!$H$10:$L$264,O36+1,P36)</f>
        <v>* group[=].element[=].display = ##34#US##34#</v>
      </c>
    </row>
    <row r="37" spans="1:17" s="2" customFormat="1">
      <c r="A37"/>
      <c r="B37" s="11"/>
      <c r="C37"/>
      <c r="F37" s="62"/>
      <c r="G37" s="62"/>
      <c r="I37" s="62"/>
      <c r="J37" s="62"/>
      <c r="K37" s="62"/>
      <c r="L37" s="62"/>
      <c r="N37" s="11">
        <v>28</v>
      </c>
      <c r="O37" s="11">
        <f t="shared" si="5"/>
        <v>5</v>
      </c>
      <c r="P37" s="11">
        <f t="shared" si="6"/>
        <v>3</v>
      </c>
      <c r="Q37" s="12" t="str" cm="1">
        <f t="array" ref="Q37">INDEX('Staging-ConceptMap'!$H$10:$L$264,O37+1,P37)</f>
        <v>* group[=].element[=].target.code = #Osiris.Patient.Gender</v>
      </c>
    </row>
    <row r="38" spans="1:17" s="2" customFormat="1">
      <c r="A38"/>
      <c r="B38" s="11"/>
      <c r="C38"/>
      <c r="F38" s="62"/>
      <c r="G38" s="62"/>
      <c r="I38" s="62"/>
      <c r="J38" s="62"/>
      <c r="K38" s="62"/>
      <c r="L38" s="62"/>
      <c r="N38" s="11">
        <v>29</v>
      </c>
      <c r="O38" s="11">
        <f t="shared" si="5"/>
        <v>5</v>
      </c>
      <c r="P38" s="11">
        <f t="shared" si="6"/>
        <v>4</v>
      </c>
      <c r="Q38" s="12" t="str" cm="1">
        <f t="array" ref="Q38">INDEX('Staging-ConceptMap'!$H$10:$L$264,O38+1,P38)</f>
        <v>* group[=].element[=].target.display = ##34#Gender [C2]##34#</v>
      </c>
    </row>
    <row r="39" spans="1:17" s="2" customFormat="1">
      <c r="A39"/>
      <c r="B39" s="11"/>
      <c r="C39"/>
      <c r="F39" s="62"/>
      <c r="G39" s="62"/>
      <c r="I39" s="62"/>
      <c r="J39" s="62"/>
      <c r="K39" s="62"/>
      <c r="L39" s="62"/>
      <c r="N39" s="11">
        <v>30</v>
      </c>
      <c r="O39" s="11">
        <f t="shared" si="5"/>
        <v>5</v>
      </c>
      <c r="P39" s="11">
        <f t="shared" si="6"/>
        <v>5</v>
      </c>
      <c r="Q39" s="12" t="str" cm="1">
        <f t="array" ref="Q39">INDEX('Staging-ConceptMap'!$H$10:$L$264,O39+1,P39)</f>
        <v>* group[=].element[=].target.equivalence = #narrower</v>
      </c>
    </row>
    <row r="40" spans="1:17" s="2" customFormat="1">
      <c r="A40"/>
      <c r="B40" s="11"/>
      <c r="C40"/>
      <c r="F40" s="62"/>
      <c r="G40" s="62"/>
      <c r="I40" s="62"/>
      <c r="J40" s="62"/>
      <c r="K40" s="62"/>
      <c r="L40" s="62"/>
      <c r="N40" s="11">
        <v>31</v>
      </c>
      <c r="O40" s="11">
        <f t="shared" si="5"/>
        <v>6</v>
      </c>
      <c r="P40" s="11">
        <f t="shared" si="6"/>
        <v>1</v>
      </c>
      <c r="Q40" s="12" t="str" cm="1">
        <f t="array" ref="Q40">INDEX('Staging-ConceptMap'!$H$10:$L$264,O40+1,P40)</f>
        <v>* group[=].element[+].code = #Staging.imagingPerformed.fDGPETPerformed</v>
      </c>
    </row>
    <row r="41" spans="1:17" s="2" customFormat="1">
      <c r="A41"/>
      <c r="B41" s="11"/>
      <c r="C41"/>
      <c r="F41" s="62"/>
      <c r="G41" s="62"/>
      <c r="I41" s="62"/>
      <c r="J41" s="62"/>
      <c r="K41" s="62"/>
      <c r="L41" s="62"/>
      <c r="N41" s="11">
        <v>32</v>
      </c>
      <c r="O41" s="11">
        <f t="shared" si="5"/>
        <v>6</v>
      </c>
      <c r="P41" s="11">
        <f t="shared" si="6"/>
        <v>2</v>
      </c>
      <c r="Q41" s="12" t="str" cm="1">
        <f t="array" ref="Q41">INDEX('Staging-ConceptMap'!$H$10:$L$264,O41+1,P41)</f>
        <v>* group[=].element[=].display = ##34#FDG PET##34#</v>
      </c>
    </row>
    <row r="42" spans="1:17" s="2" customFormat="1">
      <c r="A42"/>
      <c r="B42" s="11"/>
      <c r="C42"/>
      <c r="F42" s="62"/>
      <c r="G42" s="62"/>
      <c r="I42" s="62"/>
      <c r="J42" s="62"/>
      <c r="K42" s="62"/>
      <c r="L42" s="62"/>
      <c r="N42" s="11">
        <v>33</v>
      </c>
      <c r="O42" s="11">
        <f t="shared" si="5"/>
        <v>6</v>
      </c>
      <c r="P42" s="11">
        <f t="shared" si="6"/>
        <v>3</v>
      </c>
      <c r="Q42" s="12" t="str" cm="1">
        <f t="array" ref="Q42">INDEX('Staging-ConceptMap'!$H$10:$L$264,O42+1,P42)</f>
        <v>* group[=].element[=].target.code = #Osiris.Patient.Ethnicity</v>
      </c>
    </row>
    <row r="43" spans="1:17">
      <c r="F43" s="62"/>
      <c r="G43" s="62"/>
      <c r="I43" s="62"/>
      <c r="J43" s="62"/>
      <c r="K43" s="62"/>
      <c r="L43" s="62"/>
      <c r="N43" s="11">
        <v>34</v>
      </c>
      <c r="O43" s="11">
        <f t="shared" si="5"/>
        <v>6</v>
      </c>
      <c r="P43" s="11">
        <f t="shared" si="6"/>
        <v>4</v>
      </c>
      <c r="Q43" s="12" t="str" cm="1">
        <f t="array" ref="Q43">INDEX('Staging-ConceptMap'!$H$10:$L$264,O43+1,P43)</f>
        <v>* group[=].element[=].target.display = ##34#Ethnicity [C3]##34#</v>
      </c>
    </row>
    <row r="44" spans="1:17">
      <c r="F44" s="62"/>
      <c r="G44" s="62"/>
      <c r="I44" s="62"/>
      <c r="J44" s="62"/>
      <c r="K44" s="62"/>
      <c r="L44" s="62"/>
      <c r="N44" s="11">
        <v>35</v>
      </c>
      <c r="O44" s="11">
        <f t="shared" si="5"/>
        <v>6</v>
      </c>
      <c r="P44" s="11">
        <f t="shared" si="6"/>
        <v>5</v>
      </c>
      <c r="Q44" s="12" t="str" cm="1">
        <f t="array" ref="Q44">INDEX('Staging-ConceptMap'!$H$10:$L$264,O44+1,P44)</f>
        <v>* group[=].element[=].target.equivalence = #wider</v>
      </c>
    </row>
    <row r="45" spans="1:17" ht="29.5">
      <c r="F45" s="62"/>
      <c r="G45" s="62"/>
      <c r="I45" s="62"/>
      <c r="J45" s="62"/>
      <c r="K45" s="62"/>
      <c r="L45" s="62"/>
      <c r="N45" s="11">
        <v>36</v>
      </c>
      <c r="O45" s="11">
        <f t="shared" si="5"/>
        <v>7</v>
      </c>
      <c r="P45" s="11">
        <f t="shared" si="6"/>
        <v>1</v>
      </c>
      <c r="Q45" s="12" t="str" cm="1">
        <f t="array" ref="Q45">INDEX('Staging-ConceptMap'!$H$10:$L$264,O45+1,P45)</f>
        <v>* group[=].element[+].code = #Staging.imagingPerformed.pETwithothertracersPerformed</v>
      </c>
    </row>
    <row r="46" spans="1:17">
      <c r="F46" s="62"/>
      <c r="G46" s="62"/>
      <c r="I46" s="62"/>
      <c r="J46" s="62"/>
      <c r="K46" s="62"/>
      <c r="L46" s="62"/>
      <c r="N46" s="11">
        <v>37</v>
      </c>
      <c r="O46" s="11">
        <f t="shared" si="5"/>
        <v>7</v>
      </c>
      <c r="P46" s="11">
        <f t="shared" si="6"/>
        <v>2</v>
      </c>
      <c r="Q46" s="12" t="str" cm="1">
        <f t="array" ref="Q46">INDEX('Staging-ConceptMap'!$H$10:$L$264,O46+1,P46)</f>
        <v>* group[=].element[=].display = ##34#PET with other tracers##34#</v>
      </c>
    </row>
    <row r="47" spans="1:17">
      <c r="B47" t="s">
        <v>1412</v>
      </c>
      <c r="C47" t="s">
        <v>1413</v>
      </c>
      <c r="D47" t="s">
        <v>1414</v>
      </c>
      <c r="E47" t="s">
        <v>1415</v>
      </c>
      <c r="N47" s="11">
        <v>38</v>
      </c>
      <c r="O47" s="11">
        <f t="shared" si="5"/>
        <v>7</v>
      </c>
      <c r="P47" s="11">
        <f t="shared" si="6"/>
        <v>3</v>
      </c>
      <c r="Q47" s="12" t="str" cm="1">
        <f t="array" ref="Q47">INDEX('Staging-ConceptMap'!$H$10:$L$264,O47+1,P47)</f>
        <v>//-- unmatched</v>
      </c>
    </row>
    <row r="48" spans="1:17">
      <c r="N48" s="11">
        <v>39</v>
      </c>
      <c r="O48" s="11">
        <f t="shared" si="5"/>
        <v>7</v>
      </c>
      <c r="P48" s="11">
        <f t="shared" si="6"/>
        <v>4</v>
      </c>
      <c r="Q48" s="12" t="str" cm="1">
        <f t="array" ref="Q48">INDEX('Staging-ConceptMap'!$H$10:$L$264,O48+1,P48)</f>
        <v>//-- unmatched</v>
      </c>
    </row>
    <row r="49" spans="14:17">
      <c r="N49" s="11">
        <v>40</v>
      </c>
      <c r="O49" s="11">
        <f t="shared" si="5"/>
        <v>7</v>
      </c>
      <c r="P49" s="11">
        <f t="shared" si="6"/>
        <v>5</v>
      </c>
      <c r="Q49" s="12" t="str" cm="1">
        <f t="array" ref="Q49">INDEX('Staging-ConceptMap'!$H$10:$L$264,O49+1,P49)</f>
        <v>* group[=].element[=].target.equivalence = #unmatched</v>
      </c>
    </row>
    <row r="50" spans="14:17">
      <c r="N50" s="11">
        <v>41</v>
      </c>
      <c r="O50" s="11">
        <f t="shared" si="5"/>
        <v>8</v>
      </c>
      <c r="P50" s="11">
        <f t="shared" si="6"/>
        <v>1</v>
      </c>
      <c r="Q50" s="12" cm="1">
        <f t="array" ref="Q50">INDEX('Staging-ConceptMap'!$H$10:$L$264,O50+1,P50)</f>
        <v>0</v>
      </c>
    </row>
    <row r="51" spans="14:17">
      <c r="N51" s="11">
        <v>42</v>
      </c>
      <c r="O51" s="11">
        <f t="shared" si="5"/>
        <v>8</v>
      </c>
      <c r="P51" s="11">
        <f t="shared" si="6"/>
        <v>2</v>
      </c>
      <c r="Q51" s="12" cm="1">
        <f t="array" ref="Q51">INDEX('Staging-ConceptMap'!$H$10:$L$264,O51+1,P51)</f>
        <v>0</v>
      </c>
    </row>
    <row r="52" spans="14:17">
      <c r="N52" s="11">
        <v>43</v>
      </c>
      <c r="O52" s="11">
        <f t="shared" si="5"/>
        <v>8</v>
      </c>
      <c r="P52" s="11">
        <f t="shared" si="6"/>
        <v>3</v>
      </c>
      <c r="Q52" s="12" cm="1">
        <f t="array" ref="Q52">INDEX('Staging-ConceptMap'!$H$10:$L$264,O52+1,P52)</f>
        <v>0</v>
      </c>
    </row>
    <row r="53" spans="14:17">
      <c r="N53" s="11">
        <v>44</v>
      </c>
      <c r="O53" s="11">
        <f t="shared" si="5"/>
        <v>8</v>
      </c>
      <c r="P53" s="11">
        <f t="shared" si="6"/>
        <v>4</v>
      </c>
      <c r="Q53" s="12" cm="1">
        <f t="array" ref="Q53">INDEX('Staging-ConceptMap'!$H$10:$L$264,O53+1,P53)</f>
        <v>0</v>
      </c>
    </row>
    <row r="54" spans="14:17">
      <c r="N54" s="11">
        <v>45</v>
      </c>
      <c r="O54" s="11">
        <f t="shared" si="5"/>
        <v>8</v>
      </c>
      <c r="P54" s="11">
        <f t="shared" si="6"/>
        <v>5</v>
      </c>
      <c r="Q54" s="12" cm="1">
        <f t="array" ref="Q54">INDEX('Staging-ConceptMap'!$H$10:$L$264,O54+1,P54)</f>
        <v>0</v>
      </c>
    </row>
    <row r="55" spans="14:17">
      <c r="N55" s="11">
        <v>46</v>
      </c>
      <c r="O55" s="11">
        <f t="shared" si="5"/>
        <v>9</v>
      </c>
      <c r="P55" s="11">
        <f t="shared" si="6"/>
        <v>1</v>
      </c>
      <c r="Q55" s="12" cm="1">
        <f t="array" ref="Q55">INDEX('Staging-ConceptMap'!$H$10:$L$264,O55+1,P55)</f>
        <v>0</v>
      </c>
    </row>
    <row r="56" spans="14:17">
      <c r="N56" s="11">
        <v>47</v>
      </c>
      <c r="O56" s="11">
        <f t="shared" si="5"/>
        <v>9</v>
      </c>
      <c r="P56" s="11">
        <f t="shared" si="6"/>
        <v>2</v>
      </c>
      <c r="Q56" s="12" cm="1">
        <f t="array" ref="Q56">INDEX('Staging-ConceptMap'!$H$10:$L$264,O56+1,P56)</f>
        <v>0</v>
      </c>
    </row>
    <row r="57" spans="14:17">
      <c r="N57" s="11">
        <v>48</v>
      </c>
      <c r="O57" s="11">
        <f t="shared" si="5"/>
        <v>9</v>
      </c>
      <c r="P57" s="11">
        <f t="shared" si="6"/>
        <v>3</v>
      </c>
      <c r="Q57" s="12" cm="1">
        <f t="array" ref="Q57">INDEX('Staging-ConceptMap'!$H$10:$L$264,O57+1,P57)</f>
        <v>0</v>
      </c>
    </row>
    <row r="58" spans="14:17">
      <c r="N58" s="11">
        <v>49</v>
      </c>
      <c r="O58" s="11">
        <f t="shared" si="5"/>
        <v>9</v>
      </c>
      <c r="P58" s="11">
        <f t="shared" si="6"/>
        <v>4</v>
      </c>
      <c r="Q58" s="12" cm="1">
        <f t="array" ref="Q58">INDEX('Staging-ConceptMap'!$H$10:$L$264,O58+1,P58)</f>
        <v>0</v>
      </c>
    </row>
    <row r="59" spans="14:17">
      <c r="N59" s="11">
        <v>50</v>
      </c>
      <c r="O59" s="11">
        <f t="shared" si="5"/>
        <v>9</v>
      </c>
      <c r="P59" s="11">
        <f t="shared" si="6"/>
        <v>5</v>
      </c>
      <c r="Q59" s="12" cm="1">
        <f t="array" ref="Q59">INDEX('Staging-ConceptMap'!$H$10:$L$264,O59+1,P59)</f>
        <v>0</v>
      </c>
    </row>
    <row r="60" spans="14:17">
      <c r="N60" s="11">
        <v>51</v>
      </c>
      <c r="O60" s="11">
        <f t="shared" si="5"/>
        <v>10</v>
      </c>
      <c r="P60" s="11">
        <f t="shared" si="6"/>
        <v>1</v>
      </c>
      <c r="Q60" s="12" cm="1">
        <f t="array" ref="Q60">INDEX('Staging-ConceptMap'!$H$10:$L$264,O60+1,P60)</f>
        <v>0</v>
      </c>
    </row>
    <row r="61" spans="14:17">
      <c r="N61" s="11">
        <v>52</v>
      </c>
      <c r="O61" s="11">
        <f t="shared" si="5"/>
        <v>10</v>
      </c>
      <c r="P61" s="11">
        <f t="shared" si="6"/>
        <v>2</v>
      </c>
      <c r="Q61" s="12" cm="1">
        <f t="array" ref="Q61">INDEX('Staging-ConceptMap'!$H$10:$L$264,O61+1,P61)</f>
        <v>0</v>
      </c>
    </row>
    <row r="62" spans="14:17">
      <c r="N62" s="11">
        <v>53</v>
      </c>
      <c r="O62" s="11">
        <f t="shared" si="5"/>
        <v>10</v>
      </c>
      <c r="P62" s="11">
        <f t="shared" si="6"/>
        <v>3</v>
      </c>
      <c r="Q62" s="12" cm="1">
        <f t="array" ref="Q62">INDEX('Staging-ConceptMap'!$H$10:$L$264,O62+1,P62)</f>
        <v>0</v>
      </c>
    </row>
    <row r="63" spans="14:17">
      <c r="N63" s="11">
        <v>54</v>
      </c>
      <c r="O63" s="11">
        <f t="shared" si="5"/>
        <v>10</v>
      </c>
      <c r="P63" s="11">
        <f t="shared" si="6"/>
        <v>4</v>
      </c>
      <c r="Q63" s="12" cm="1">
        <f t="array" ref="Q63">INDEX('Staging-ConceptMap'!$H$10:$L$264,O63+1,P63)</f>
        <v>0</v>
      </c>
    </row>
    <row r="64" spans="14:17">
      <c r="N64" s="11">
        <v>55</v>
      </c>
      <c r="O64" s="11">
        <f t="shared" si="5"/>
        <v>10</v>
      </c>
      <c r="P64" s="11">
        <f t="shared" si="6"/>
        <v>5</v>
      </c>
      <c r="Q64" s="12" cm="1">
        <f t="array" ref="Q64">INDEX('Staging-ConceptMap'!$H$10:$L$264,O64+1,P64)</f>
        <v>0</v>
      </c>
    </row>
    <row r="65" spans="14:17">
      <c r="N65" s="11">
        <v>56</v>
      </c>
      <c r="O65" s="11">
        <f t="shared" si="5"/>
        <v>11</v>
      </c>
      <c r="P65" s="11">
        <f t="shared" si="6"/>
        <v>1</v>
      </c>
      <c r="Q65" s="12" cm="1">
        <f t="array" ref="Q65">INDEX('Staging-ConceptMap'!$H$10:$L$264,O65+1,P65)</f>
        <v>0</v>
      </c>
    </row>
    <row r="66" spans="14:17">
      <c r="N66" s="11">
        <v>57</v>
      </c>
      <c r="O66" s="11">
        <f t="shared" si="5"/>
        <v>11</v>
      </c>
      <c r="P66" s="11">
        <f t="shared" si="6"/>
        <v>2</v>
      </c>
      <c r="Q66" s="12" cm="1">
        <f t="array" ref="Q66">INDEX('Staging-ConceptMap'!$H$10:$L$264,O66+1,P66)</f>
        <v>0</v>
      </c>
    </row>
    <row r="67" spans="14:17">
      <c r="N67" s="11">
        <v>58</v>
      </c>
      <c r="O67" s="11">
        <f t="shared" si="5"/>
        <v>11</v>
      </c>
      <c r="P67" s="11">
        <f t="shared" si="6"/>
        <v>3</v>
      </c>
      <c r="Q67" s="12" cm="1">
        <f t="array" ref="Q67">INDEX('Staging-ConceptMap'!$H$10:$L$264,O67+1,P67)</f>
        <v>0</v>
      </c>
    </row>
    <row r="68" spans="14:17">
      <c r="N68" s="11">
        <v>59</v>
      </c>
      <c r="O68" s="11">
        <f t="shared" si="5"/>
        <v>11</v>
      </c>
      <c r="P68" s="11">
        <f t="shared" si="6"/>
        <v>4</v>
      </c>
      <c r="Q68" s="12" cm="1">
        <f t="array" ref="Q68">INDEX('Staging-ConceptMap'!$H$10:$L$264,O68+1,P68)</f>
        <v>0</v>
      </c>
    </row>
    <row r="69" spans="14:17">
      <c r="N69" s="11">
        <v>60</v>
      </c>
      <c r="O69" s="11">
        <f t="shared" si="5"/>
        <v>11</v>
      </c>
      <c r="P69" s="11">
        <f t="shared" si="6"/>
        <v>5</v>
      </c>
      <c r="Q69" s="12" cm="1">
        <f t="array" ref="Q69">INDEX('Staging-ConceptMap'!$H$10:$L$264,O69+1,P69)</f>
        <v>0</v>
      </c>
    </row>
    <row r="70" spans="14:17">
      <c r="N70" s="11">
        <v>61</v>
      </c>
      <c r="O70" s="11">
        <f t="shared" si="5"/>
        <v>12</v>
      </c>
      <c r="P70" s="11">
        <f t="shared" si="6"/>
        <v>1</v>
      </c>
      <c r="Q70" s="12" cm="1">
        <f t="array" ref="Q70">INDEX('Staging-ConceptMap'!$H$10:$L$264,O70+1,P70)</f>
        <v>0</v>
      </c>
    </row>
    <row r="71" spans="14:17">
      <c r="N71" s="11">
        <v>62</v>
      </c>
      <c r="O71" s="11">
        <f t="shared" si="5"/>
        <v>12</v>
      </c>
      <c r="P71" s="11">
        <f t="shared" si="6"/>
        <v>2</v>
      </c>
      <c r="Q71" s="12" cm="1">
        <f t="array" ref="Q71">INDEX('Staging-ConceptMap'!$H$10:$L$264,O71+1,P71)</f>
        <v>0</v>
      </c>
    </row>
    <row r="72" spans="14:17">
      <c r="N72" s="11">
        <v>63</v>
      </c>
      <c r="O72" s="11">
        <f t="shared" si="5"/>
        <v>12</v>
      </c>
      <c r="P72" s="11">
        <f t="shared" si="6"/>
        <v>3</v>
      </c>
      <c r="Q72" s="12" cm="1">
        <f t="array" ref="Q72">INDEX('Staging-ConceptMap'!$H$10:$L$264,O72+1,P72)</f>
        <v>0</v>
      </c>
    </row>
    <row r="73" spans="14:17">
      <c r="N73" s="11">
        <v>64</v>
      </c>
      <c r="O73" s="11">
        <f t="shared" si="5"/>
        <v>12</v>
      </c>
      <c r="P73" s="11">
        <f t="shared" si="6"/>
        <v>4</v>
      </c>
      <c r="Q73" s="12" cm="1">
        <f t="array" ref="Q73">INDEX('Staging-ConceptMap'!$H$10:$L$264,O73+1,P73)</f>
        <v>0</v>
      </c>
    </row>
    <row r="74" spans="14:17">
      <c r="N74" s="11">
        <v>65</v>
      </c>
      <c r="O74" s="11">
        <f t="shared" si="5"/>
        <v>12</v>
      </c>
      <c r="P74" s="11">
        <f t="shared" si="6"/>
        <v>5</v>
      </c>
      <c r="Q74" s="12" cm="1">
        <f t="array" ref="Q74">INDEX('Staging-ConceptMap'!$H$10:$L$264,O74+1,P74)</f>
        <v>0</v>
      </c>
    </row>
    <row r="75" spans="14:17">
      <c r="N75" s="11">
        <v>66</v>
      </c>
      <c r="O75" s="11">
        <f t="shared" ref="O75:O138" si="7">IF(MOD(N75,$O$3)=0,N75/$O$3-1,INT(N75/$O$3))</f>
        <v>13</v>
      </c>
      <c r="P75" s="11">
        <f t="shared" ref="P75:P138" si="8">IF(MOD(N75,$O$3)=0,$O$3,MOD(N75,$O$3))</f>
        <v>1</v>
      </c>
      <c r="Q75" s="12" cm="1">
        <f t="array" ref="Q75">INDEX('Staging-ConceptMap'!$H$10:$L$264,O75+1,P75)</f>
        <v>0</v>
      </c>
    </row>
    <row r="76" spans="14:17">
      <c r="N76" s="11">
        <v>67</v>
      </c>
      <c r="O76" s="11">
        <f t="shared" si="7"/>
        <v>13</v>
      </c>
      <c r="P76" s="11">
        <f t="shared" si="8"/>
        <v>2</v>
      </c>
      <c r="Q76" s="12" cm="1">
        <f t="array" ref="Q76">INDEX('Staging-ConceptMap'!$H$10:$L$264,O76+1,P76)</f>
        <v>0</v>
      </c>
    </row>
    <row r="77" spans="14:17">
      <c r="N77" s="11">
        <v>68</v>
      </c>
      <c r="O77" s="11">
        <f t="shared" si="7"/>
        <v>13</v>
      </c>
      <c r="P77" s="11">
        <f t="shared" si="8"/>
        <v>3</v>
      </c>
      <c r="Q77" s="12" cm="1">
        <f t="array" ref="Q77">INDEX('Staging-ConceptMap'!$H$10:$L$264,O77+1,P77)</f>
        <v>0</v>
      </c>
    </row>
    <row r="78" spans="14:17">
      <c r="N78" s="11">
        <v>69</v>
      </c>
      <c r="O78" s="11">
        <f t="shared" si="7"/>
        <v>13</v>
      </c>
      <c r="P78" s="11">
        <f t="shared" si="8"/>
        <v>4</v>
      </c>
      <c r="Q78" s="12" cm="1">
        <f t="array" ref="Q78">INDEX('Staging-ConceptMap'!$H$10:$L$264,O78+1,P78)</f>
        <v>0</v>
      </c>
    </row>
    <row r="79" spans="14:17">
      <c r="N79" s="11">
        <v>70</v>
      </c>
      <c r="O79" s="11">
        <f t="shared" si="7"/>
        <v>13</v>
      </c>
      <c r="P79" s="11">
        <f t="shared" si="8"/>
        <v>5</v>
      </c>
      <c r="Q79" s="12" cm="1">
        <f t="array" ref="Q79">INDEX('Staging-ConceptMap'!$H$10:$L$264,O79+1,P79)</f>
        <v>0</v>
      </c>
    </row>
    <row r="80" spans="14:17">
      <c r="N80" s="11">
        <v>71</v>
      </c>
      <c r="O80" s="11">
        <f t="shared" si="7"/>
        <v>14</v>
      </c>
      <c r="P80" s="11">
        <f t="shared" si="8"/>
        <v>1</v>
      </c>
      <c r="Q80" s="12" cm="1">
        <f t="array" ref="Q80">INDEX('Staging-ConceptMap'!$H$10:$L$264,O80+1,P80)</f>
        <v>0</v>
      </c>
    </row>
    <row r="81" spans="14:17">
      <c r="N81" s="11">
        <v>72</v>
      </c>
      <c r="O81" s="11">
        <f t="shared" si="7"/>
        <v>14</v>
      </c>
      <c r="P81" s="11">
        <f t="shared" si="8"/>
        <v>2</v>
      </c>
      <c r="Q81" s="12" cm="1">
        <f t="array" ref="Q81">INDEX('Staging-ConceptMap'!$H$10:$L$264,O81+1,P81)</f>
        <v>0</v>
      </c>
    </row>
    <row r="82" spans="14:17">
      <c r="N82" s="11">
        <v>73</v>
      </c>
      <c r="O82" s="11">
        <f t="shared" si="7"/>
        <v>14</v>
      </c>
      <c r="P82" s="11">
        <f t="shared" si="8"/>
        <v>3</v>
      </c>
      <c r="Q82" s="12" cm="1">
        <f t="array" ref="Q82">INDEX('Staging-ConceptMap'!$H$10:$L$264,O82+1,P82)</f>
        <v>0</v>
      </c>
    </row>
    <row r="83" spans="14:17">
      <c r="N83" s="11">
        <v>74</v>
      </c>
      <c r="O83" s="11">
        <f t="shared" si="7"/>
        <v>14</v>
      </c>
      <c r="P83" s="11">
        <f t="shared" si="8"/>
        <v>4</v>
      </c>
      <c r="Q83" s="12" cm="1">
        <f t="array" ref="Q83">INDEX('Staging-ConceptMap'!$H$10:$L$264,O83+1,P83)</f>
        <v>0</v>
      </c>
    </row>
    <row r="84" spans="14:17">
      <c r="N84" s="11">
        <v>75</v>
      </c>
      <c r="O84" s="11">
        <f t="shared" si="7"/>
        <v>14</v>
      </c>
      <c r="P84" s="11">
        <f t="shared" si="8"/>
        <v>5</v>
      </c>
      <c r="Q84" s="12" cm="1">
        <f t="array" ref="Q84">INDEX('Staging-ConceptMap'!$H$10:$L$264,O84+1,P84)</f>
        <v>0</v>
      </c>
    </row>
    <row r="85" spans="14:17">
      <c r="N85" s="11">
        <v>76</v>
      </c>
      <c r="O85" s="11">
        <f t="shared" si="7"/>
        <v>15</v>
      </c>
      <c r="P85" s="11">
        <f t="shared" si="8"/>
        <v>1</v>
      </c>
      <c r="Q85" s="12" cm="1">
        <f t="array" ref="Q85">INDEX('Staging-ConceptMap'!$H$10:$L$264,O85+1,P85)</f>
        <v>0</v>
      </c>
    </row>
    <row r="86" spans="14:17">
      <c r="N86" s="11">
        <v>77</v>
      </c>
      <c r="O86" s="11">
        <f t="shared" si="7"/>
        <v>15</v>
      </c>
      <c r="P86" s="11">
        <f t="shared" si="8"/>
        <v>2</v>
      </c>
      <c r="Q86" s="12" cm="1">
        <f t="array" ref="Q86">INDEX('Staging-ConceptMap'!$H$10:$L$264,O86+1,P86)</f>
        <v>0</v>
      </c>
    </row>
    <row r="87" spans="14:17">
      <c r="N87" s="11">
        <v>78</v>
      </c>
      <c r="O87" s="11">
        <f t="shared" si="7"/>
        <v>15</v>
      </c>
      <c r="P87" s="11">
        <f t="shared" si="8"/>
        <v>3</v>
      </c>
      <c r="Q87" s="12" cm="1">
        <f t="array" ref="Q87">INDEX('Staging-ConceptMap'!$H$10:$L$264,O87+1,P87)</f>
        <v>0</v>
      </c>
    </row>
    <row r="88" spans="14:17">
      <c r="N88" s="11">
        <v>79</v>
      </c>
      <c r="O88" s="11">
        <f t="shared" si="7"/>
        <v>15</v>
      </c>
      <c r="P88" s="11">
        <f t="shared" si="8"/>
        <v>4</v>
      </c>
      <c r="Q88" s="12" cm="1">
        <f t="array" ref="Q88">INDEX('Staging-ConceptMap'!$H$10:$L$264,O88+1,P88)</f>
        <v>0</v>
      </c>
    </row>
    <row r="89" spans="14:17">
      <c r="N89" s="11">
        <v>80</v>
      </c>
      <c r="O89" s="11">
        <f t="shared" si="7"/>
        <v>15</v>
      </c>
      <c r="P89" s="11">
        <f t="shared" si="8"/>
        <v>5</v>
      </c>
      <c r="Q89" s="12" cm="1">
        <f t="array" ref="Q89">INDEX('Staging-ConceptMap'!$H$10:$L$264,O89+1,P89)</f>
        <v>0</v>
      </c>
    </row>
    <row r="90" spans="14:17">
      <c r="N90" s="11">
        <v>81</v>
      </c>
      <c r="O90" s="11">
        <f t="shared" si="7"/>
        <v>16</v>
      </c>
      <c r="P90" s="11">
        <f t="shared" si="8"/>
        <v>1</v>
      </c>
      <c r="Q90" s="12" cm="1">
        <f t="array" ref="Q90">INDEX('Staging-ConceptMap'!$H$10:$L$264,O90+1,P90)</f>
        <v>0</v>
      </c>
    </row>
    <row r="91" spans="14:17">
      <c r="N91" s="11">
        <v>82</v>
      </c>
      <c r="O91" s="11">
        <f t="shared" si="7"/>
        <v>16</v>
      </c>
      <c r="P91" s="11">
        <f t="shared" si="8"/>
        <v>2</v>
      </c>
      <c r="Q91" s="12" cm="1">
        <f t="array" ref="Q91">INDEX('Staging-ConceptMap'!$H$10:$L$264,O91+1,P91)</f>
        <v>0</v>
      </c>
    </row>
    <row r="92" spans="14:17">
      <c r="N92" s="11">
        <v>83</v>
      </c>
      <c r="O92" s="11">
        <f t="shared" si="7"/>
        <v>16</v>
      </c>
      <c r="P92" s="11">
        <f t="shared" si="8"/>
        <v>3</v>
      </c>
      <c r="Q92" s="12" cm="1">
        <f t="array" ref="Q92">INDEX('Staging-ConceptMap'!$H$10:$L$264,O92+1,P92)</f>
        <v>0</v>
      </c>
    </row>
    <row r="93" spans="14:17">
      <c r="N93" s="11">
        <v>84</v>
      </c>
      <c r="O93" s="11">
        <f t="shared" si="7"/>
        <v>16</v>
      </c>
      <c r="P93" s="11">
        <f t="shared" si="8"/>
        <v>4</v>
      </c>
      <c r="Q93" s="12" cm="1">
        <f t="array" ref="Q93">INDEX('Staging-ConceptMap'!$H$10:$L$264,O93+1,P93)</f>
        <v>0</v>
      </c>
    </row>
    <row r="94" spans="14:17">
      <c r="N94" s="11">
        <v>85</v>
      </c>
      <c r="O94" s="11">
        <f t="shared" si="7"/>
        <v>16</v>
      </c>
      <c r="P94" s="11">
        <f t="shared" si="8"/>
        <v>5</v>
      </c>
      <c r="Q94" s="12" cm="1">
        <f t="array" ref="Q94">INDEX('Staging-ConceptMap'!$H$10:$L$264,O94+1,P94)</f>
        <v>0</v>
      </c>
    </row>
    <row r="95" spans="14:17">
      <c r="N95" s="11">
        <v>86</v>
      </c>
      <c r="O95" s="11">
        <f t="shared" si="7"/>
        <v>17</v>
      </c>
      <c r="P95" s="11">
        <f t="shared" si="8"/>
        <v>1</v>
      </c>
      <c r="Q95" s="12" cm="1">
        <f t="array" ref="Q95">INDEX('Staging-ConceptMap'!$H$10:$L$264,O95+1,P95)</f>
        <v>0</v>
      </c>
    </row>
    <row r="96" spans="14:17">
      <c r="N96" s="11">
        <v>87</v>
      </c>
      <c r="O96" s="11">
        <f t="shared" si="7"/>
        <v>17</v>
      </c>
      <c r="P96" s="11">
        <f t="shared" si="8"/>
        <v>2</v>
      </c>
      <c r="Q96" s="12" cm="1">
        <f t="array" ref="Q96">INDEX('Staging-ConceptMap'!$H$10:$L$264,O96+1,P96)</f>
        <v>0</v>
      </c>
    </row>
    <row r="97" spans="14:17">
      <c r="N97" s="11">
        <v>88</v>
      </c>
      <c r="O97" s="11">
        <f t="shared" si="7"/>
        <v>17</v>
      </c>
      <c r="P97" s="11">
        <f t="shared" si="8"/>
        <v>3</v>
      </c>
      <c r="Q97" s="12" cm="1">
        <f t="array" ref="Q97">INDEX('Staging-ConceptMap'!$H$10:$L$264,O97+1,P97)</f>
        <v>0</v>
      </c>
    </row>
    <row r="98" spans="14:17">
      <c r="N98" s="11">
        <v>89</v>
      </c>
      <c r="O98" s="11">
        <f t="shared" si="7"/>
        <v>17</v>
      </c>
      <c r="P98" s="11">
        <f t="shared" si="8"/>
        <v>4</v>
      </c>
      <c r="Q98" s="12" cm="1">
        <f t="array" ref="Q98">INDEX('Staging-ConceptMap'!$H$10:$L$264,O98+1,P98)</f>
        <v>0</v>
      </c>
    </row>
    <row r="99" spans="14:17">
      <c r="N99" s="11">
        <v>90</v>
      </c>
      <c r="O99" s="11">
        <f t="shared" si="7"/>
        <v>17</v>
      </c>
      <c r="P99" s="11">
        <f t="shared" si="8"/>
        <v>5</v>
      </c>
      <c r="Q99" s="12" cm="1">
        <f t="array" ref="Q99">INDEX('Staging-ConceptMap'!$H$10:$L$264,O99+1,P99)</f>
        <v>0</v>
      </c>
    </row>
    <row r="100" spans="14:17">
      <c r="N100" s="11">
        <v>91</v>
      </c>
      <c r="O100" s="11">
        <f t="shared" si="7"/>
        <v>18</v>
      </c>
      <c r="P100" s="11">
        <f t="shared" si="8"/>
        <v>1</v>
      </c>
      <c r="Q100" s="12" cm="1">
        <f t="array" ref="Q100">INDEX('Staging-ConceptMap'!$H$10:$L$264,O100+1,P100)</f>
        <v>0</v>
      </c>
    </row>
    <row r="101" spans="14:17">
      <c r="N101" s="11">
        <v>92</v>
      </c>
      <c r="O101" s="11">
        <f t="shared" si="7"/>
        <v>18</v>
      </c>
      <c r="P101" s="11">
        <f t="shared" si="8"/>
        <v>2</v>
      </c>
      <c r="Q101" s="12" cm="1">
        <f t="array" ref="Q101">INDEX('Staging-ConceptMap'!U85:Y339,1+O101,P101)</f>
        <v>0</v>
      </c>
    </row>
    <row r="102" spans="14:17">
      <c r="N102" s="11">
        <v>93</v>
      </c>
      <c r="O102" s="11">
        <f t="shared" si="7"/>
        <v>18</v>
      </c>
      <c r="P102" s="11">
        <f t="shared" si="8"/>
        <v>3</v>
      </c>
      <c r="Q102" s="12" cm="1">
        <f t="array" ref="Q102">INDEX('Staging-ConceptMap'!U86:Y340,1+O102,P102)</f>
        <v>0</v>
      </c>
    </row>
    <row r="103" spans="14:17">
      <c r="N103" s="11">
        <v>94</v>
      </c>
      <c r="O103" s="11">
        <f t="shared" si="7"/>
        <v>18</v>
      </c>
      <c r="P103" s="11">
        <f t="shared" si="8"/>
        <v>4</v>
      </c>
      <c r="Q103" s="12" cm="1">
        <f t="array" ref="Q103">INDEX('Staging-ConceptMap'!U87:Y341,1+O103,P103)</f>
        <v>0</v>
      </c>
    </row>
    <row r="104" spans="14:17">
      <c r="N104" s="11">
        <v>95</v>
      </c>
      <c r="O104" s="11">
        <f t="shared" si="7"/>
        <v>18</v>
      </c>
      <c r="P104" s="11">
        <f t="shared" si="8"/>
        <v>5</v>
      </c>
      <c r="Q104" s="12" cm="1">
        <f t="array" ref="Q104">INDEX('Staging-ConceptMap'!U88:Y342,1+O104,P104)</f>
        <v>0</v>
      </c>
    </row>
    <row r="105" spans="14:17">
      <c r="N105" s="11">
        <v>96</v>
      </c>
      <c r="O105" s="11">
        <f t="shared" si="7"/>
        <v>19</v>
      </c>
      <c r="P105" s="11">
        <f t="shared" si="8"/>
        <v>1</v>
      </c>
      <c r="Q105" s="12" cm="1">
        <f t="array" ref="Q105">INDEX('Staging-ConceptMap'!U89:Y343,1+O105,P105)</f>
        <v>0</v>
      </c>
    </row>
    <row r="106" spans="14:17">
      <c r="N106" s="11">
        <v>97</v>
      </c>
      <c r="O106" s="11">
        <f t="shared" si="7"/>
        <v>19</v>
      </c>
      <c r="P106" s="11">
        <f t="shared" si="8"/>
        <v>2</v>
      </c>
      <c r="Q106" s="12" cm="1">
        <f t="array" ref="Q106">INDEX('Staging-ConceptMap'!U90:Y344,1+O106,P106)</f>
        <v>0</v>
      </c>
    </row>
    <row r="107" spans="14:17">
      <c r="N107" s="11">
        <v>98</v>
      </c>
      <c r="O107" s="11">
        <f t="shared" si="7"/>
        <v>19</v>
      </c>
      <c r="P107" s="11">
        <f t="shared" si="8"/>
        <v>3</v>
      </c>
      <c r="Q107" s="12" cm="1">
        <f t="array" ref="Q107">INDEX('Staging-ConceptMap'!U91:Y345,1+O107,P107)</f>
        <v>0</v>
      </c>
    </row>
    <row r="108" spans="14:17">
      <c r="N108" s="11">
        <v>99</v>
      </c>
      <c r="O108" s="11">
        <f t="shared" si="7"/>
        <v>19</v>
      </c>
      <c r="P108" s="11">
        <f t="shared" si="8"/>
        <v>4</v>
      </c>
      <c r="Q108" s="12" cm="1">
        <f t="array" ref="Q108">INDEX('Staging-ConceptMap'!U92:Y346,1+O108,P108)</f>
        <v>0</v>
      </c>
    </row>
    <row r="109" spans="14:17">
      <c r="N109" s="11">
        <v>100</v>
      </c>
      <c r="O109" s="11">
        <f t="shared" si="7"/>
        <v>19</v>
      </c>
      <c r="P109" s="11">
        <f t="shared" si="8"/>
        <v>5</v>
      </c>
      <c r="Q109" s="12" cm="1">
        <f t="array" ref="Q109">INDEX('Staging-ConceptMap'!U93:Y347,1+O109,P109)</f>
        <v>0</v>
      </c>
    </row>
    <row r="110" spans="14:17">
      <c r="N110" s="11">
        <v>101</v>
      </c>
      <c r="O110" s="11">
        <f t="shared" si="7"/>
        <v>20</v>
      </c>
      <c r="P110" s="11">
        <f t="shared" si="8"/>
        <v>1</v>
      </c>
      <c r="Q110" s="12" cm="1">
        <f t="array" ref="Q110">INDEX('Staging-ConceptMap'!U94:Y348,1+O110,P110)</f>
        <v>0</v>
      </c>
    </row>
    <row r="111" spans="14:17">
      <c r="N111" s="11">
        <v>102</v>
      </c>
      <c r="O111" s="11">
        <f t="shared" si="7"/>
        <v>20</v>
      </c>
      <c r="P111" s="11">
        <f t="shared" si="8"/>
        <v>2</v>
      </c>
      <c r="Q111" s="12" cm="1">
        <f t="array" ref="Q111">INDEX('Staging-ConceptMap'!U95:Y349,1+O111,P111)</f>
        <v>0</v>
      </c>
    </row>
    <row r="112" spans="14:17">
      <c r="N112" s="11">
        <v>103</v>
      </c>
      <c r="O112" s="11">
        <f t="shared" si="7"/>
        <v>20</v>
      </c>
      <c r="P112" s="11">
        <f t="shared" si="8"/>
        <v>3</v>
      </c>
      <c r="Q112" s="12" cm="1">
        <f t="array" ref="Q112">INDEX('Staging-ConceptMap'!U96:Y350,1+O112,P112)</f>
        <v>0</v>
      </c>
    </row>
    <row r="113" spans="14:17">
      <c r="N113" s="11">
        <v>104</v>
      </c>
      <c r="O113" s="11">
        <f t="shared" si="7"/>
        <v>20</v>
      </c>
      <c r="P113" s="11">
        <f t="shared" si="8"/>
        <v>4</v>
      </c>
      <c r="Q113" s="12" cm="1">
        <f t="array" ref="Q113">INDEX('Staging-ConceptMap'!U97:Y351,1+O113,P113)</f>
        <v>0</v>
      </c>
    </row>
    <row r="114" spans="14:17">
      <c r="N114" s="11">
        <v>105</v>
      </c>
      <c r="O114" s="11">
        <f t="shared" si="7"/>
        <v>20</v>
      </c>
      <c r="P114" s="11">
        <f t="shared" si="8"/>
        <v>5</v>
      </c>
      <c r="Q114" s="12" cm="1">
        <f t="array" ref="Q114">INDEX('Staging-ConceptMap'!U98:Y352,1+O114,P114)</f>
        <v>0</v>
      </c>
    </row>
    <row r="115" spans="14:17">
      <c r="N115" s="11">
        <v>106</v>
      </c>
      <c r="O115" s="11">
        <f t="shared" si="7"/>
        <v>21</v>
      </c>
      <c r="P115" s="11">
        <f t="shared" si="8"/>
        <v>1</v>
      </c>
      <c r="Q115" s="12" cm="1">
        <f t="array" ref="Q115">INDEX('Staging-ConceptMap'!U99:Y353,1+O115,P115)</f>
        <v>0</v>
      </c>
    </row>
    <row r="116" spans="14:17">
      <c r="N116" s="11">
        <v>107</v>
      </c>
      <c r="O116" s="11">
        <f t="shared" si="7"/>
        <v>21</v>
      </c>
      <c r="P116" s="11">
        <f t="shared" si="8"/>
        <v>2</v>
      </c>
      <c r="Q116" s="12" cm="1">
        <f t="array" ref="Q116">INDEX('Staging-ConceptMap'!U100:Y354,1+O116,P116)</f>
        <v>0</v>
      </c>
    </row>
    <row r="117" spans="14:17">
      <c r="N117" s="11">
        <v>108</v>
      </c>
      <c r="O117" s="11">
        <f t="shared" si="7"/>
        <v>21</v>
      </c>
      <c r="P117" s="11">
        <f t="shared" si="8"/>
        <v>3</v>
      </c>
      <c r="Q117" s="12" cm="1">
        <f t="array" ref="Q117">INDEX('Staging-ConceptMap'!U101:Y355,1+O117,P117)</f>
        <v>0</v>
      </c>
    </row>
    <row r="118" spans="14:17">
      <c r="N118" s="11">
        <v>109</v>
      </c>
      <c r="O118" s="11">
        <f t="shared" si="7"/>
        <v>21</v>
      </c>
      <c r="P118" s="11">
        <f t="shared" si="8"/>
        <v>4</v>
      </c>
      <c r="Q118" s="12" cm="1">
        <f t="array" ref="Q118">INDEX('Staging-ConceptMap'!U102:Y356,1+O118,P118)</f>
        <v>0</v>
      </c>
    </row>
    <row r="119" spans="14:17">
      <c r="N119" s="11">
        <v>110</v>
      </c>
      <c r="O119" s="11">
        <f t="shared" si="7"/>
        <v>21</v>
      </c>
      <c r="P119" s="11">
        <f t="shared" si="8"/>
        <v>5</v>
      </c>
      <c r="Q119" s="12" cm="1">
        <f t="array" ref="Q119">INDEX('Staging-ConceptMap'!U103:Y357,1+O119,P119)</f>
        <v>0</v>
      </c>
    </row>
    <row r="120" spans="14:17">
      <c r="N120" s="11">
        <v>111</v>
      </c>
      <c r="O120" s="11">
        <f t="shared" si="7"/>
        <v>22</v>
      </c>
      <c r="P120" s="11">
        <f t="shared" si="8"/>
        <v>1</v>
      </c>
      <c r="Q120" s="12" cm="1">
        <f t="array" ref="Q120">INDEX('Staging-ConceptMap'!U104:Y358,1+O120,P120)</f>
        <v>0</v>
      </c>
    </row>
    <row r="121" spans="14:17">
      <c r="N121" s="11">
        <v>112</v>
      </c>
      <c r="O121" s="11">
        <f t="shared" si="7"/>
        <v>22</v>
      </c>
      <c r="P121" s="11">
        <f t="shared" si="8"/>
        <v>2</v>
      </c>
      <c r="Q121" s="12" cm="1">
        <f t="array" ref="Q121">INDEX('Staging-ConceptMap'!U105:Y359,1+O121,P121)</f>
        <v>0</v>
      </c>
    </row>
    <row r="122" spans="14:17">
      <c r="N122" s="11">
        <v>113</v>
      </c>
      <c r="O122" s="11">
        <f t="shared" si="7"/>
        <v>22</v>
      </c>
      <c r="P122" s="11">
        <f t="shared" si="8"/>
        <v>3</v>
      </c>
      <c r="Q122" s="12" cm="1">
        <f t="array" ref="Q122">INDEX('Staging-ConceptMap'!U106:Y360,1+O122,P122)</f>
        <v>0</v>
      </c>
    </row>
    <row r="123" spans="14:17">
      <c r="N123" s="11">
        <v>114</v>
      </c>
      <c r="O123" s="11">
        <f t="shared" si="7"/>
        <v>22</v>
      </c>
      <c r="P123" s="11">
        <f t="shared" si="8"/>
        <v>4</v>
      </c>
      <c r="Q123" s="12" cm="1">
        <f t="array" ref="Q123">INDEX('Staging-ConceptMap'!U107:Y361,1+O123,P123)</f>
        <v>0</v>
      </c>
    </row>
    <row r="124" spans="14:17">
      <c r="N124" s="11">
        <v>115</v>
      </c>
      <c r="O124" s="11">
        <f t="shared" si="7"/>
        <v>22</v>
      </c>
      <c r="P124" s="11">
        <f t="shared" si="8"/>
        <v>5</v>
      </c>
      <c r="Q124" s="12" cm="1">
        <f t="array" ref="Q124">INDEX('Staging-ConceptMap'!U108:Y362,1+O124,P124)</f>
        <v>0</v>
      </c>
    </row>
    <row r="125" spans="14:17">
      <c r="N125" s="11">
        <v>116</v>
      </c>
      <c r="O125" s="11">
        <f t="shared" si="7"/>
        <v>23</v>
      </c>
      <c r="P125" s="11">
        <f t="shared" si="8"/>
        <v>1</v>
      </c>
      <c r="Q125" s="12" cm="1">
        <f t="array" ref="Q125">INDEX('Staging-ConceptMap'!U109:Y363,1+O125,P125)</f>
        <v>0</v>
      </c>
    </row>
    <row r="126" spans="14:17">
      <c r="N126" s="11">
        <v>117</v>
      </c>
      <c r="O126" s="11">
        <f t="shared" si="7"/>
        <v>23</v>
      </c>
      <c r="P126" s="11">
        <f t="shared" si="8"/>
        <v>2</v>
      </c>
      <c r="Q126" s="12" cm="1">
        <f t="array" ref="Q126">INDEX('Staging-ConceptMap'!U110:Y364,1+O126,P126)</f>
        <v>0</v>
      </c>
    </row>
    <row r="127" spans="14:17">
      <c r="N127" s="11">
        <v>118</v>
      </c>
      <c r="O127" s="11">
        <f t="shared" si="7"/>
        <v>23</v>
      </c>
      <c r="P127" s="11">
        <f t="shared" si="8"/>
        <v>3</v>
      </c>
      <c r="Q127" s="12" cm="1">
        <f t="array" ref="Q127">INDEX('Staging-ConceptMap'!U111:Y365,1+O127,P127)</f>
        <v>0</v>
      </c>
    </row>
    <row r="128" spans="14:17">
      <c r="N128" s="11">
        <v>119</v>
      </c>
      <c r="O128" s="11">
        <f t="shared" si="7"/>
        <v>23</v>
      </c>
      <c r="P128" s="11">
        <f t="shared" si="8"/>
        <v>4</v>
      </c>
      <c r="Q128" s="12" cm="1">
        <f t="array" ref="Q128">INDEX('Staging-ConceptMap'!U112:Y366,1+O128,P128)</f>
        <v>0</v>
      </c>
    </row>
    <row r="129" spans="14:17">
      <c r="N129" s="11">
        <v>120</v>
      </c>
      <c r="O129" s="11">
        <f t="shared" si="7"/>
        <v>23</v>
      </c>
      <c r="P129" s="11">
        <f t="shared" si="8"/>
        <v>5</v>
      </c>
      <c r="Q129" s="12" cm="1">
        <f t="array" ref="Q129">INDEX('Staging-ConceptMap'!U113:Y367,1+O129,P129)</f>
        <v>0</v>
      </c>
    </row>
    <row r="130" spans="14:17">
      <c r="N130" s="11">
        <v>121</v>
      </c>
      <c r="O130" s="11">
        <f t="shared" si="7"/>
        <v>24</v>
      </c>
      <c r="P130" s="11">
        <f t="shared" si="8"/>
        <v>1</v>
      </c>
      <c r="Q130" s="12" cm="1">
        <f t="array" ref="Q130">INDEX('Staging-ConceptMap'!U114:Y368,1+O130,P130)</f>
        <v>0</v>
      </c>
    </row>
    <row r="131" spans="14:17">
      <c r="N131" s="11">
        <v>122</v>
      </c>
      <c r="O131" s="11">
        <f t="shared" si="7"/>
        <v>24</v>
      </c>
      <c r="P131" s="11">
        <f t="shared" si="8"/>
        <v>2</v>
      </c>
      <c r="Q131" s="12" cm="1">
        <f t="array" ref="Q131">INDEX('Staging-ConceptMap'!U115:Y369,1+O131,P131)</f>
        <v>0</v>
      </c>
    </row>
    <row r="132" spans="14:17">
      <c r="N132" s="11">
        <v>123</v>
      </c>
      <c r="O132" s="11">
        <f t="shared" si="7"/>
        <v>24</v>
      </c>
      <c r="P132" s="11">
        <f t="shared" si="8"/>
        <v>3</v>
      </c>
      <c r="Q132" s="12" cm="1">
        <f t="array" ref="Q132">INDEX('Staging-ConceptMap'!U116:Y370,1+O132,P132)</f>
        <v>0</v>
      </c>
    </row>
    <row r="133" spans="14:17">
      <c r="N133" s="11">
        <v>124</v>
      </c>
      <c r="O133" s="11">
        <f t="shared" si="7"/>
        <v>24</v>
      </c>
      <c r="P133" s="11">
        <f t="shared" si="8"/>
        <v>4</v>
      </c>
      <c r="Q133" s="12" cm="1">
        <f t="array" ref="Q133">INDEX('Staging-ConceptMap'!U117:Y371,1+O133,P133)</f>
        <v>0</v>
      </c>
    </row>
    <row r="134" spans="14:17">
      <c r="N134" s="11">
        <v>125</v>
      </c>
      <c r="O134" s="11">
        <f t="shared" si="7"/>
        <v>24</v>
      </c>
      <c r="P134" s="11">
        <f t="shared" si="8"/>
        <v>5</v>
      </c>
      <c r="Q134" s="12" cm="1">
        <f t="array" ref="Q134">INDEX('Staging-ConceptMap'!U118:Y372,1+O134,P134)</f>
        <v>0</v>
      </c>
    </row>
    <row r="135" spans="14:17">
      <c r="N135" s="11">
        <v>126</v>
      </c>
      <c r="O135" s="11">
        <f t="shared" si="7"/>
        <v>25</v>
      </c>
      <c r="P135" s="11">
        <f t="shared" si="8"/>
        <v>1</v>
      </c>
      <c r="Q135" s="12" cm="1">
        <f t="array" ref="Q135">INDEX('Staging-ConceptMap'!U119:Y373,1+O135,P135)</f>
        <v>0</v>
      </c>
    </row>
    <row r="136" spans="14:17">
      <c r="N136" s="11">
        <v>127</v>
      </c>
      <c r="O136" s="11">
        <f t="shared" si="7"/>
        <v>25</v>
      </c>
      <c r="P136" s="11">
        <f t="shared" si="8"/>
        <v>2</v>
      </c>
      <c r="Q136" s="12" cm="1">
        <f t="array" ref="Q136">INDEX('Staging-ConceptMap'!U120:Y374,1+O136,P136)</f>
        <v>0</v>
      </c>
    </row>
    <row r="137" spans="14:17">
      <c r="N137" s="11">
        <v>128</v>
      </c>
      <c r="O137" s="11">
        <f t="shared" si="7"/>
        <v>25</v>
      </c>
      <c r="P137" s="11">
        <f t="shared" si="8"/>
        <v>3</v>
      </c>
      <c r="Q137" s="12" cm="1">
        <f t="array" ref="Q137">INDEX('Staging-ConceptMap'!U121:Y375,1+O137,P137)</f>
        <v>0</v>
      </c>
    </row>
    <row r="138" spans="14:17">
      <c r="N138" s="11">
        <v>129</v>
      </c>
      <c r="O138" s="11">
        <f t="shared" si="7"/>
        <v>25</v>
      </c>
      <c r="P138" s="11">
        <f t="shared" si="8"/>
        <v>4</v>
      </c>
      <c r="Q138" s="12" cm="1">
        <f t="array" ref="Q138">INDEX('Staging-ConceptMap'!U122:Y376,1+O138,P138)</f>
        <v>0</v>
      </c>
    </row>
    <row r="139" spans="14:17">
      <c r="N139" s="11">
        <v>130</v>
      </c>
      <c r="O139" s="11">
        <f t="shared" ref="O139:O184" si="9">IF(MOD(N139,$O$3)=0,N139/$O$3-1,INT(N139/$O$3))</f>
        <v>25</v>
      </c>
      <c r="P139" s="11">
        <f t="shared" ref="P139:P184" si="10">IF(MOD(N139,$O$3)=0,$O$3,MOD(N139,$O$3))</f>
        <v>5</v>
      </c>
      <c r="Q139" s="12" cm="1">
        <f t="array" ref="Q139">INDEX('Staging-ConceptMap'!U123:Y377,1+O139,P139)</f>
        <v>0</v>
      </c>
    </row>
    <row r="140" spans="14:17">
      <c r="N140" s="11">
        <v>131</v>
      </c>
      <c r="O140" s="11">
        <f t="shared" si="9"/>
        <v>26</v>
      </c>
      <c r="P140" s="11">
        <f t="shared" si="10"/>
        <v>1</v>
      </c>
      <c r="Q140" s="12" cm="1">
        <f t="array" ref="Q140">INDEX('Staging-ConceptMap'!U124:Y378,1+O140,P140)</f>
        <v>0</v>
      </c>
    </row>
    <row r="141" spans="14:17">
      <c r="N141" s="11">
        <v>132</v>
      </c>
      <c r="O141" s="11">
        <f t="shared" si="9"/>
        <v>26</v>
      </c>
      <c r="P141" s="11">
        <f t="shared" si="10"/>
        <v>2</v>
      </c>
      <c r="Q141" s="12" cm="1">
        <f t="array" ref="Q141">INDEX('Staging-ConceptMap'!U125:Y379,1+O141,P141)</f>
        <v>0</v>
      </c>
    </row>
    <row r="142" spans="14:17">
      <c r="N142" s="11">
        <v>133</v>
      </c>
      <c r="O142" s="11">
        <f t="shared" si="9"/>
        <v>26</v>
      </c>
      <c r="P142" s="11">
        <f t="shared" si="10"/>
        <v>3</v>
      </c>
      <c r="Q142" s="12" cm="1">
        <f t="array" ref="Q142">INDEX('Staging-ConceptMap'!U126:Y380,1+O142,P142)</f>
        <v>0</v>
      </c>
    </row>
    <row r="143" spans="14:17">
      <c r="N143" s="11">
        <v>134</v>
      </c>
      <c r="O143" s="11">
        <f t="shared" si="9"/>
        <v>26</v>
      </c>
      <c r="P143" s="11">
        <f t="shared" si="10"/>
        <v>4</v>
      </c>
      <c r="Q143" s="12" cm="1">
        <f t="array" ref="Q143">INDEX('Staging-ConceptMap'!U127:Y381,1+O143,P143)</f>
        <v>0</v>
      </c>
    </row>
    <row r="144" spans="14:17">
      <c r="N144" s="11">
        <v>135</v>
      </c>
      <c r="O144" s="11">
        <f t="shared" si="9"/>
        <v>26</v>
      </c>
      <c r="P144" s="11">
        <f t="shared" si="10"/>
        <v>5</v>
      </c>
      <c r="Q144" s="12" cm="1">
        <f t="array" ref="Q144">INDEX('Staging-ConceptMap'!U128:Y382,1+O144,P144)</f>
        <v>0</v>
      </c>
    </row>
    <row r="145" spans="14:17">
      <c r="N145" s="11">
        <v>136</v>
      </c>
      <c r="O145" s="11">
        <f t="shared" si="9"/>
        <v>27</v>
      </c>
      <c r="P145" s="11">
        <f t="shared" si="10"/>
        <v>1</v>
      </c>
      <c r="Q145" s="12" cm="1">
        <f t="array" ref="Q145">INDEX('Staging-ConceptMap'!U129:Y383,1+O145,P145)</f>
        <v>0</v>
      </c>
    </row>
    <row r="146" spans="14:17">
      <c r="N146" s="11">
        <v>137</v>
      </c>
      <c r="O146" s="11">
        <f t="shared" si="9"/>
        <v>27</v>
      </c>
      <c r="P146" s="11">
        <f t="shared" si="10"/>
        <v>2</v>
      </c>
      <c r="Q146" s="12" cm="1">
        <f t="array" ref="Q146">INDEX('Staging-ConceptMap'!U130:Y384,1+O146,P146)</f>
        <v>0</v>
      </c>
    </row>
    <row r="147" spans="14:17">
      <c r="N147" s="11">
        <v>138</v>
      </c>
      <c r="O147" s="11">
        <f t="shared" si="9"/>
        <v>27</v>
      </c>
      <c r="P147" s="11">
        <f t="shared" si="10"/>
        <v>3</v>
      </c>
      <c r="Q147" s="12" cm="1">
        <f t="array" ref="Q147">INDEX('Staging-ConceptMap'!U131:Y385,1+O147,P147)</f>
        <v>0</v>
      </c>
    </row>
    <row r="148" spans="14:17">
      <c r="N148" s="11">
        <v>139</v>
      </c>
      <c r="O148" s="11">
        <f t="shared" si="9"/>
        <v>27</v>
      </c>
      <c r="P148" s="11">
        <f t="shared" si="10"/>
        <v>4</v>
      </c>
      <c r="Q148" s="12" cm="1">
        <f t="array" ref="Q148">INDEX('Staging-ConceptMap'!U132:Y386,1+O148,P148)</f>
        <v>0</v>
      </c>
    </row>
    <row r="149" spans="14:17">
      <c r="N149" s="11">
        <v>140</v>
      </c>
      <c r="O149" s="11">
        <f t="shared" si="9"/>
        <v>27</v>
      </c>
      <c r="P149" s="11">
        <f t="shared" si="10"/>
        <v>5</v>
      </c>
      <c r="Q149" s="12" cm="1">
        <f t="array" ref="Q149">INDEX('Staging-ConceptMap'!U133:Y387,1+O149,P149)</f>
        <v>0</v>
      </c>
    </row>
    <row r="150" spans="14:17">
      <c r="N150" s="11">
        <v>141</v>
      </c>
      <c r="O150" s="11">
        <f t="shared" si="9"/>
        <v>28</v>
      </c>
      <c r="P150" s="11">
        <f t="shared" si="10"/>
        <v>1</v>
      </c>
      <c r="Q150" s="12" cm="1">
        <f t="array" ref="Q150">INDEX('Staging-ConceptMap'!U134:Y388,1+O150,P150)</f>
        <v>0</v>
      </c>
    </row>
    <row r="151" spans="14:17">
      <c r="N151" s="11">
        <v>142</v>
      </c>
      <c r="O151" s="11">
        <f t="shared" si="9"/>
        <v>28</v>
      </c>
      <c r="P151" s="11">
        <f t="shared" si="10"/>
        <v>2</v>
      </c>
      <c r="Q151" s="12" cm="1">
        <f t="array" ref="Q151">INDEX('Staging-ConceptMap'!U135:Y389,1+O151,P151)</f>
        <v>0</v>
      </c>
    </row>
    <row r="152" spans="14:17">
      <c r="N152" s="11">
        <v>143</v>
      </c>
      <c r="O152" s="11">
        <f t="shared" si="9"/>
        <v>28</v>
      </c>
      <c r="P152" s="11">
        <f t="shared" si="10"/>
        <v>3</v>
      </c>
      <c r="Q152" s="12" cm="1">
        <f t="array" ref="Q152">INDEX('Staging-ConceptMap'!U136:Y390,1+O152,P152)</f>
        <v>0</v>
      </c>
    </row>
    <row r="153" spans="14:17">
      <c r="N153" s="11">
        <v>144</v>
      </c>
      <c r="O153" s="11">
        <f t="shared" si="9"/>
        <v>28</v>
      </c>
      <c r="P153" s="11">
        <f t="shared" si="10"/>
        <v>4</v>
      </c>
      <c r="Q153" s="12" cm="1">
        <f t="array" ref="Q153">INDEX('Staging-ConceptMap'!U137:Y391,1+O153,P153)</f>
        <v>0</v>
      </c>
    </row>
    <row r="154" spans="14:17">
      <c r="N154" s="11">
        <v>145</v>
      </c>
      <c r="O154" s="11">
        <f t="shared" si="9"/>
        <v>28</v>
      </c>
      <c r="P154" s="11">
        <f t="shared" si="10"/>
        <v>5</v>
      </c>
      <c r="Q154" s="12" cm="1">
        <f t="array" ref="Q154">INDEX('Staging-ConceptMap'!U138:Y392,1+O154,P154)</f>
        <v>0</v>
      </c>
    </row>
    <row r="155" spans="14:17">
      <c r="N155" s="11">
        <v>146</v>
      </c>
      <c r="O155" s="11">
        <f t="shared" si="9"/>
        <v>29</v>
      </c>
      <c r="P155" s="11">
        <f t="shared" si="10"/>
        <v>1</v>
      </c>
      <c r="Q155" s="12" cm="1">
        <f t="array" ref="Q155">INDEX('Staging-ConceptMap'!U139:Y393,1+O155,P155)</f>
        <v>0</v>
      </c>
    </row>
    <row r="156" spans="14:17">
      <c r="N156" s="11">
        <v>147</v>
      </c>
      <c r="O156" s="11">
        <f t="shared" si="9"/>
        <v>29</v>
      </c>
      <c r="P156" s="11">
        <f t="shared" si="10"/>
        <v>2</v>
      </c>
      <c r="Q156" s="12" cm="1">
        <f t="array" ref="Q156">INDEX('Staging-ConceptMap'!U140:Y394,1+O156,P156)</f>
        <v>0</v>
      </c>
    </row>
    <row r="157" spans="14:17">
      <c r="N157" s="11">
        <v>148</v>
      </c>
      <c r="O157" s="11">
        <f t="shared" si="9"/>
        <v>29</v>
      </c>
      <c r="P157" s="11">
        <f t="shared" si="10"/>
        <v>3</v>
      </c>
      <c r="Q157" s="12" cm="1">
        <f t="array" ref="Q157">INDEX('Staging-ConceptMap'!U141:Y395,1+O157,P157)</f>
        <v>0</v>
      </c>
    </row>
    <row r="158" spans="14:17">
      <c r="N158" s="11">
        <v>149</v>
      </c>
      <c r="O158" s="11">
        <f t="shared" si="9"/>
        <v>29</v>
      </c>
      <c r="P158" s="11">
        <f t="shared" si="10"/>
        <v>4</v>
      </c>
      <c r="Q158" s="12" cm="1">
        <f t="array" ref="Q158">INDEX('Staging-ConceptMap'!U142:Y396,1+O158,P158)</f>
        <v>0</v>
      </c>
    </row>
    <row r="159" spans="14:17">
      <c r="N159" s="11">
        <v>150</v>
      </c>
      <c r="O159" s="11">
        <f t="shared" si="9"/>
        <v>29</v>
      </c>
      <c r="P159" s="11">
        <f t="shared" si="10"/>
        <v>5</v>
      </c>
      <c r="Q159" s="12" cm="1">
        <f t="array" ref="Q159">INDEX('Staging-ConceptMap'!U143:Y397,1+O159,P159)</f>
        <v>0</v>
      </c>
    </row>
    <row r="160" spans="14:17">
      <c r="N160" s="11">
        <v>151</v>
      </c>
      <c r="O160" s="11">
        <f t="shared" si="9"/>
        <v>30</v>
      </c>
      <c r="P160" s="11">
        <f t="shared" si="10"/>
        <v>1</v>
      </c>
      <c r="Q160" s="12" cm="1">
        <f t="array" ref="Q160">INDEX('Staging-ConceptMap'!U144:Y398,1+O160,P160)</f>
        <v>0</v>
      </c>
    </row>
    <row r="161" spans="14:17">
      <c r="N161" s="11">
        <v>152</v>
      </c>
      <c r="O161" s="11">
        <f t="shared" si="9"/>
        <v>30</v>
      </c>
      <c r="P161" s="11">
        <f t="shared" si="10"/>
        <v>2</v>
      </c>
      <c r="Q161" s="12" cm="1">
        <f t="array" ref="Q161">INDEX('Staging-ConceptMap'!U145:Y399,1+O161,P161)</f>
        <v>0</v>
      </c>
    </row>
    <row r="162" spans="14:17">
      <c r="N162" s="11">
        <v>153</v>
      </c>
      <c r="O162" s="11">
        <f t="shared" si="9"/>
        <v>30</v>
      </c>
      <c r="P162" s="11">
        <f t="shared" si="10"/>
        <v>3</v>
      </c>
      <c r="Q162" s="12" cm="1">
        <f t="array" ref="Q162">INDEX('Staging-ConceptMap'!U146:Y400,1+O162,P162)</f>
        <v>0</v>
      </c>
    </row>
    <row r="163" spans="14:17">
      <c r="N163" s="11">
        <v>154</v>
      </c>
      <c r="O163" s="11">
        <f t="shared" si="9"/>
        <v>30</v>
      </c>
      <c r="P163" s="11">
        <f t="shared" si="10"/>
        <v>4</v>
      </c>
      <c r="Q163" s="12" cm="1">
        <f t="array" ref="Q163">INDEX('Staging-ConceptMap'!U147:Y401,1+O163,P163)</f>
        <v>0</v>
      </c>
    </row>
    <row r="164" spans="14:17">
      <c r="N164" s="11">
        <v>155</v>
      </c>
      <c r="O164" s="11">
        <f t="shared" si="9"/>
        <v>30</v>
      </c>
      <c r="P164" s="11">
        <f t="shared" si="10"/>
        <v>5</v>
      </c>
      <c r="Q164" s="12" cm="1">
        <f t="array" ref="Q164">INDEX('Staging-ConceptMap'!U148:Y402,1+O164,P164)</f>
        <v>0</v>
      </c>
    </row>
    <row r="165" spans="14:17">
      <c r="N165" s="11">
        <v>156</v>
      </c>
      <c r="O165" s="11">
        <f t="shared" si="9"/>
        <v>31</v>
      </c>
      <c r="P165" s="11">
        <f t="shared" si="10"/>
        <v>1</v>
      </c>
      <c r="Q165" s="12" cm="1">
        <f t="array" ref="Q165">INDEX('Staging-ConceptMap'!U149:Y403,1+O165,P165)</f>
        <v>0</v>
      </c>
    </row>
    <row r="166" spans="14:17">
      <c r="N166" s="11">
        <v>157</v>
      </c>
      <c r="O166" s="11">
        <f t="shared" si="9"/>
        <v>31</v>
      </c>
      <c r="P166" s="11">
        <f t="shared" si="10"/>
        <v>2</v>
      </c>
      <c r="Q166" s="12" cm="1">
        <f t="array" ref="Q166">INDEX('Staging-ConceptMap'!U150:Y404,1+O166,P166)</f>
        <v>0</v>
      </c>
    </row>
    <row r="167" spans="14:17">
      <c r="N167" s="11">
        <v>158</v>
      </c>
      <c r="O167" s="11">
        <f t="shared" si="9"/>
        <v>31</v>
      </c>
      <c r="P167" s="11">
        <f t="shared" si="10"/>
        <v>3</v>
      </c>
      <c r="Q167" s="12" cm="1">
        <f t="array" ref="Q167">INDEX('Staging-ConceptMap'!U151:Y405,1+O167,P167)</f>
        <v>0</v>
      </c>
    </row>
    <row r="168" spans="14:17">
      <c r="N168" s="11">
        <v>159</v>
      </c>
      <c r="O168" s="11">
        <f t="shared" si="9"/>
        <v>31</v>
      </c>
      <c r="P168" s="11">
        <f t="shared" si="10"/>
        <v>4</v>
      </c>
      <c r="Q168" s="12" cm="1">
        <f t="array" ref="Q168">INDEX('Staging-ConceptMap'!U152:Y406,1+O168,P168)</f>
        <v>0</v>
      </c>
    </row>
    <row r="169" spans="14:17">
      <c r="N169" s="11">
        <v>160</v>
      </c>
      <c r="O169" s="11">
        <f t="shared" si="9"/>
        <v>31</v>
      </c>
      <c r="P169" s="11">
        <f t="shared" si="10"/>
        <v>5</v>
      </c>
      <c r="Q169" s="12" cm="1">
        <f t="array" ref="Q169">INDEX('Staging-ConceptMap'!U153:Y407,1+O169,P169)</f>
        <v>0</v>
      </c>
    </row>
    <row r="170" spans="14:17">
      <c r="N170" s="11">
        <v>161</v>
      </c>
      <c r="O170" s="11">
        <f t="shared" si="9"/>
        <v>32</v>
      </c>
      <c r="P170" s="11">
        <f t="shared" si="10"/>
        <v>1</v>
      </c>
      <c r="Q170" s="12" cm="1">
        <f t="array" ref="Q170">INDEX('Staging-ConceptMap'!U154:Y408,1+O170,P170)</f>
        <v>0</v>
      </c>
    </row>
    <row r="171" spans="14:17">
      <c r="N171" s="11">
        <v>162</v>
      </c>
      <c r="O171" s="11">
        <f t="shared" si="9"/>
        <v>32</v>
      </c>
      <c r="P171" s="11">
        <f t="shared" si="10"/>
        <v>2</v>
      </c>
      <c r="Q171" s="12" cm="1">
        <f t="array" ref="Q171">INDEX('Staging-ConceptMap'!U155:Y409,1+O171,P171)</f>
        <v>0</v>
      </c>
    </row>
    <row r="172" spans="14:17">
      <c r="N172" s="11">
        <v>163</v>
      </c>
      <c r="O172" s="11">
        <f t="shared" si="9"/>
        <v>32</v>
      </c>
      <c r="P172" s="11">
        <f t="shared" si="10"/>
        <v>3</v>
      </c>
      <c r="Q172" s="12" cm="1">
        <f t="array" ref="Q172">INDEX('Staging-ConceptMap'!U156:Y410,1+O172,P172)</f>
        <v>0</v>
      </c>
    </row>
    <row r="173" spans="14:17">
      <c r="N173" s="11">
        <v>164</v>
      </c>
      <c r="O173" s="11">
        <f t="shared" si="9"/>
        <v>32</v>
      </c>
      <c r="P173" s="11">
        <f t="shared" si="10"/>
        <v>4</v>
      </c>
      <c r="Q173" s="12" cm="1">
        <f t="array" ref="Q173">INDEX('Staging-ConceptMap'!U157:Y411,1+O173,P173)</f>
        <v>0</v>
      </c>
    </row>
    <row r="174" spans="14:17">
      <c r="N174" s="11">
        <v>165</v>
      </c>
      <c r="O174" s="11">
        <f t="shared" si="9"/>
        <v>32</v>
      </c>
      <c r="P174" s="11">
        <f t="shared" si="10"/>
        <v>5</v>
      </c>
      <c r="Q174" s="12" cm="1">
        <f t="array" ref="Q174">INDEX('Staging-ConceptMap'!U158:Y412,1+O174,P174)</f>
        <v>0</v>
      </c>
    </row>
    <row r="175" spans="14:17">
      <c r="N175" s="11">
        <v>166</v>
      </c>
      <c r="O175" s="11">
        <f t="shared" si="9"/>
        <v>33</v>
      </c>
      <c r="P175" s="11">
        <f t="shared" si="10"/>
        <v>1</v>
      </c>
      <c r="Q175" s="12" cm="1">
        <f t="array" ref="Q175">INDEX('Staging-ConceptMap'!U159:Y413,1+O175,P175)</f>
        <v>0</v>
      </c>
    </row>
    <row r="176" spans="14:17">
      <c r="N176" s="11">
        <v>167</v>
      </c>
      <c r="O176" s="11">
        <f t="shared" si="9"/>
        <v>33</v>
      </c>
      <c r="P176" s="11">
        <f t="shared" si="10"/>
        <v>2</v>
      </c>
      <c r="Q176" s="12" cm="1">
        <f t="array" ref="Q176">INDEX('Staging-ConceptMap'!U160:Y414,1+O176,P176)</f>
        <v>0</v>
      </c>
    </row>
    <row r="177" spans="14:17">
      <c r="N177" s="11">
        <v>168</v>
      </c>
      <c r="O177" s="11">
        <f t="shared" si="9"/>
        <v>33</v>
      </c>
      <c r="P177" s="11">
        <f t="shared" si="10"/>
        <v>3</v>
      </c>
      <c r="Q177" s="12" cm="1">
        <f t="array" ref="Q177">INDEX('Staging-ConceptMap'!U161:Y415,1+O177,P177)</f>
        <v>0</v>
      </c>
    </row>
    <row r="178" spans="14:17">
      <c r="N178" s="11">
        <v>169</v>
      </c>
      <c r="O178" s="11">
        <f t="shared" si="9"/>
        <v>33</v>
      </c>
      <c r="P178" s="11">
        <f t="shared" si="10"/>
        <v>4</v>
      </c>
      <c r="Q178" s="12" cm="1">
        <f t="array" ref="Q178">INDEX('Staging-ConceptMap'!U162:Y416,1+O178,P178)</f>
        <v>0</v>
      </c>
    </row>
    <row r="179" spans="14:17">
      <c r="N179" s="11">
        <v>170</v>
      </c>
      <c r="O179" s="11">
        <f t="shared" si="9"/>
        <v>33</v>
      </c>
      <c r="P179" s="11">
        <f t="shared" si="10"/>
        <v>5</v>
      </c>
      <c r="Q179" s="12" cm="1">
        <f t="array" ref="Q179">INDEX('Staging-ConceptMap'!U163:Y417,1+O179,P179)</f>
        <v>0</v>
      </c>
    </row>
    <row r="180" spans="14:17">
      <c r="N180" s="11">
        <v>171</v>
      </c>
      <c r="O180" s="11">
        <f t="shared" si="9"/>
        <v>34</v>
      </c>
      <c r="P180" s="11">
        <f t="shared" si="10"/>
        <v>1</v>
      </c>
      <c r="Q180" s="12" cm="1">
        <f t="array" ref="Q180">INDEX('Staging-ConceptMap'!U164:Y418,1+O180,P180)</f>
        <v>0</v>
      </c>
    </row>
    <row r="181" spans="14:17">
      <c r="N181" s="11">
        <v>172</v>
      </c>
      <c r="O181" s="11">
        <f t="shared" si="9"/>
        <v>34</v>
      </c>
      <c r="P181" s="11">
        <f t="shared" si="10"/>
        <v>2</v>
      </c>
      <c r="Q181" s="12" cm="1">
        <f t="array" ref="Q181">INDEX('Staging-ConceptMap'!U165:Y419,1+O181,P181)</f>
        <v>0</v>
      </c>
    </row>
    <row r="182" spans="14:17">
      <c r="N182" s="11">
        <v>173</v>
      </c>
      <c r="O182" s="11">
        <f t="shared" si="9"/>
        <v>34</v>
      </c>
      <c r="P182" s="11">
        <f t="shared" si="10"/>
        <v>3</v>
      </c>
      <c r="Q182" s="12" cm="1">
        <f t="array" ref="Q182">INDEX('Staging-ConceptMap'!U166:Y420,1+O182,P182)</f>
        <v>0</v>
      </c>
    </row>
    <row r="183" spans="14:17">
      <c r="N183" s="11">
        <v>174</v>
      </c>
      <c r="O183" s="11">
        <f t="shared" si="9"/>
        <v>34</v>
      </c>
      <c r="P183" s="11">
        <f t="shared" si="10"/>
        <v>4</v>
      </c>
      <c r="Q183" s="12" cm="1">
        <f t="array" ref="Q183">INDEX('Staging-ConceptMap'!U167:Y421,1+O183,P183)</f>
        <v>0</v>
      </c>
    </row>
    <row r="184" spans="14:17">
      <c r="N184" s="11">
        <v>175</v>
      </c>
      <c r="O184" s="11">
        <f t="shared" si="9"/>
        <v>34</v>
      </c>
      <c r="P184" s="11">
        <f t="shared" si="10"/>
        <v>5</v>
      </c>
      <c r="Q184" s="12" cm="1">
        <f t="array" ref="Q184">INDEX('Staging-ConceptMap'!U168:Y422,1+O184,P184)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A24418C-9093-40FD-BA24-60ADAC9F22EE}">
          <x14:formula1>
            <xm:f>Foglio2!$D$6:$D$15</xm:f>
          </x14:formula1>
          <xm:sqref>L37:L46 I34:I46 J21:K46 F10:G46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8257B-3EF1-4F1B-91F9-A562CCE9D79D}">
  <sheetPr codeName="Foglio14">
    <tabColor theme="0" tint="-0.34998626667073579"/>
  </sheetPr>
  <dimension ref="B1:G77"/>
  <sheetViews>
    <sheetView workbookViewId="0">
      <selection activeCell="B11" sqref="B11"/>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4" t="s">
        <v>21</v>
      </c>
    </row>
    <row r="2" spans="2:7" ht="16.75" thickBot="1">
      <c r="B2" s="25" t="s">
        <v>1459</v>
      </c>
      <c r="G2" s="30" t="s">
        <v>1476</v>
      </c>
    </row>
    <row r="3" spans="2:7">
      <c r="B3" s="25" t="s">
        <v>21</v>
      </c>
    </row>
    <row r="4" spans="2:7">
      <c r="B4" s="69" t="s">
        <v>1477</v>
      </c>
    </row>
    <row r="5" spans="2:7">
      <c r="B5" s="69" t="s">
        <v>1457</v>
      </c>
    </row>
    <row r="6" spans="2:7">
      <c r="B6" s="69" t="s">
        <v>1448</v>
      </c>
    </row>
    <row r="7" spans="2:7">
      <c r="B7" s="69" t="s">
        <v>1478</v>
      </c>
    </row>
    <row r="8" spans="2:7">
      <c r="B8" s="69" t="s">
        <v>1479</v>
      </c>
    </row>
    <row r="9" spans="2:7">
      <c r="B9" s="69" t="s">
        <v>1480</v>
      </c>
    </row>
    <row r="10" spans="2:7">
      <c r="B10" s="69" t="s">
        <v>1449</v>
      </c>
    </row>
    <row r="11" spans="2:7">
      <c r="B11" s="69" t="s">
        <v>1450</v>
      </c>
    </row>
    <row r="12" spans="2:7">
      <c r="B12" s="69" t="s">
        <v>1481</v>
      </c>
    </row>
    <row r="13" spans="2:7">
      <c r="B13" s="69" t="s">
        <v>1482</v>
      </c>
    </row>
    <row r="14" spans="2:7">
      <c r="B14" s="73" t="s">
        <v>1472</v>
      </c>
    </row>
    <row r="15" spans="2:7">
      <c r="B15" s="73" t="s">
        <v>1473</v>
      </c>
    </row>
    <row r="16" spans="2:7">
      <c r="B16" s="69"/>
    </row>
    <row r="17" spans="2:7">
      <c r="B17" s="72" t="s">
        <v>1474</v>
      </c>
    </row>
    <row r="18" spans="2:7">
      <c r="B18" s="72" t="s">
        <v>1475</v>
      </c>
    </row>
    <row r="19" spans="2:7">
      <c r="B19" s="74"/>
    </row>
    <row r="20" spans="2:7">
      <c r="B20" s="12" t="str">
        <f>IF('Staging-ConceptMap'!Q10=0,"//---END",'Staging-ConceptMap'!Q10)</f>
        <v>* group[=].element[+].code = #Staging</v>
      </c>
    </row>
    <row r="21" spans="2:7">
      <c r="B21" s="12" t="str">
        <f>IF('Staging-ConceptMap'!Q11=0,"//---END",'Staging-ConceptMap'!Q11)</f>
        <v>* group[=].element[=].display = ##34#Staging##34#</v>
      </c>
    </row>
    <row r="22" spans="2:7">
      <c r="B22" s="12" t="str">
        <f>IF('Staging-ConceptMap'!Q12=0,"//---END",'Staging-ConceptMap'!Q12)</f>
        <v>* group[=].element[=].target.code = #Osiris.Patient</v>
      </c>
    </row>
    <row r="23" spans="2:7">
      <c r="B23" s="12" t="str">
        <f>IF('Staging-ConceptMap'!Q13=0,"//---END",'Staging-ConceptMap'!Q13)</f>
        <v>* group[=].element[=].target.display = ##34#Patient##34#</v>
      </c>
    </row>
    <row r="24" spans="2:7">
      <c r="B24" s="12" t="str">
        <f>IF('Staging-ConceptMap'!Q14=0,"//---END",'Staging-ConceptMap'!Q14)</f>
        <v>* group[=].element[=].target.equivalence = #equivalent</v>
      </c>
    </row>
    <row r="25" spans="2:7">
      <c r="B25" s="12" t="str">
        <f>IF('Staging-ConceptMap'!Q15=0,"//---END",'Staging-ConceptMap'!Q15)</f>
        <v>* group[=].element[+].code = #Staging.stagingProceduresDoneBy</v>
      </c>
      <c r="G25" s="7"/>
    </row>
    <row r="26" spans="2:7">
      <c r="B26" s="12" t="str">
        <f>IF('Staging-ConceptMap'!Q16=0,"//---END",'Staging-ConceptMap'!Q16)</f>
        <v>* group[=].element[=].display = ##34#Staging procedures done by##34#</v>
      </c>
    </row>
    <row r="27" spans="2:7">
      <c r="B27" s="12" t="str">
        <f>IF('Staging-ConceptMap'!Q17=0,"//---END",'Staging-ConceptMap'!Q17)</f>
        <v>* group[=].element[=].target.code = #Osiris.Patient.BirthDate</v>
      </c>
    </row>
    <row r="28" spans="2:7">
      <c r="B28" s="12" t="str">
        <f>IF('Staging-ConceptMap'!Q18=0,"//---END",'Staging-ConceptMap'!Q18)</f>
        <v>* group[=].element[=].target.display = ##34#Birth Date [C4]##34#</v>
      </c>
    </row>
    <row r="29" spans="2:7">
      <c r="B29" s="12" t="str">
        <f>IF('Staging-ConceptMap'!Q19=0,"//---END",'Staging-ConceptMap'!Q19)</f>
        <v>* group[=].element[=].target.equivalence = #relatedto</v>
      </c>
    </row>
    <row r="30" spans="2:7">
      <c r="B30" s="12" t="str">
        <f>IF('Staging-ConceptMap'!Q20=0,"//---END",'Staging-ConceptMap'!Q20)</f>
        <v>* group[=].element[+].code = #Staging.imagingPerformed</v>
      </c>
    </row>
    <row r="31" spans="2:7">
      <c r="B31" s="12" t="str">
        <f>IF('Staging-ConceptMap'!Q21=0,"//---END",'Staging-ConceptMap'!Q21)</f>
        <v>* group[=].element[=].display = ##34#Imaging for primary site##34#</v>
      </c>
    </row>
    <row r="32" spans="2:7">
      <c r="B32" s="12" t="str">
        <f>IF('Staging-ConceptMap'!Q22=0,"//---END",'Staging-ConceptMap'!Q22)</f>
        <v>* group[=].element[=].target.code = #Osiris.Patient.BirthDate</v>
      </c>
    </row>
    <row r="33" spans="2:2">
      <c r="B33" s="12" t="str">
        <f>IF('Staging-ConceptMap'!Q23=0,"//---END",'Staging-ConceptMap'!Q23)</f>
        <v>* group[=].element[=].target.display = ##34#Birth Date [C4]##34#</v>
      </c>
    </row>
    <row r="34" spans="2:2">
      <c r="B34" s="12" t="str">
        <f>IF('Staging-ConceptMap'!Q24=0,"//---END",'Staging-ConceptMap'!Q24)</f>
        <v>* group[=].element[=].target.equivalence = #equivalent</v>
      </c>
    </row>
    <row r="35" spans="2:2">
      <c r="B35" s="12" t="str">
        <f>IF('Staging-ConceptMap'!Q25=0,"//---END",'Staging-ConceptMap'!Q25)</f>
        <v>* group[=].element[+].code = #Staging.imagingPerformed.cTPerformed</v>
      </c>
    </row>
    <row r="36" spans="2:2">
      <c r="B36" s="12" t="str">
        <f>IF('Staging-ConceptMap'!Q26=0,"//---END",'Staging-ConceptMap'!Q26)</f>
        <v>* group[=].element[=].display = ##34#CT##34#</v>
      </c>
    </row>
    <row r="37" spans="2:2">
      <c r="B37" s="12" t="str">
        <f>IF('Staging-ConceptMap'!Q27=0,"//---END",'Staging-ConceptMap'!Q27)</f>
        <v>//-- unmatched</v>
      </c>
    </row>
    <row r="38" spans="2:2">
      <c r="B38" s="12" t="str">
        <f>IF('Staging-ConceptMap'!Q28=0,"//---END",'Staging-ConceptMap'!Q28)</f>
        <v>//-- unmatched</v>
      </c>
    </row>
    <row r="39" spans="2:2">
      <c r="B39" s="12" t="str">
        <f>IF('Staging-ConceptMap'!Q29=0,"//---END",'Staging-ConceptMap'!Q29)</f>
        <v>* group[=].element[=].target.equivalence = #unmatched</v>
      </c>
    </row>
    <row r="40" spans="2:2">
      <c r="B40" s="12" t="str">
        <f>IF('Staging-ConceptMap'!Q30=0,"//---END",'Staging-ConceptMap'!Q30)</f>
        <v>* group[=].element[+].code = #Staging.imagingPerformed.mRIPerformed</v>
      </c>
    </row>
    <row r="41" spans="2:2">
      <c r="B41" s="12" t="str">
        <f>IF('Staging-ConceptMap'!Q31=0,"//---END",'Staging-ConceptMap'!Q31)</f>
        <v>* group[=].element[=].display = ##34#MRI##34#</v>
      </c>
    </row>
    <row r="42" spans="2:2">
      <c r="B42" s="12" t="str">
        <f>IF('Staging-ConceptMap'!Q32=0,"//---END",'Staging-ConceptMap'!Q32)</f>
        <v>//-- unmatched</v>
      </c>
    </row>
    <row r="43" spans="2:2">
      <c r="B43" s="12" t="str">
        <f>IF('Staging-ConceptMap'!Q33=0,"//---END",'Staging-ConceptMap'!Q33)</f>
        <v>//-- unmatched</v>
      </c>
    </row>
    <row r="44" spans="2:2">
      <c r="B44" s="12" t="str">
        <f>IF('Staging-ConceptMap'!Q34=0,"//---END",'Staging-ConceptMap'!Q34)</f>
        <v>* group[=].element[=].target.equivalence = #unmatched</v>
      </c>
    </row>
    <row r="45" spans="2:2">
      <c r="B45" s="12" t="str">
        <f>IF('Staging-ConceptMap'!Q35=0,"//---END",'Staging-ConceptMap'!Q35)</f>
        <v>* group[=].element[+].code = #Staging.imagingPerformed.uSPerformed</v>
      </c>
    </row>
    <row r="46" spans="2:2">
      <c r="B46" s="12" t="str">
        <f>IF('Staging-ConceptMap'!Q36=0,"//---END",'Staging-ConceptMap'!Q36)</f>
        <v>* group[=].element[=].display = ##34#US##34#</v>
      </c>
    </row>
    <row r="47" spans="2:2">
      <c r="B47" s="12" t="str">
        <f>IF('Staging-ConceptMap'!Q37=0,"//---END",'Staging-ConceptMap'!Q37)</f>
        <v>* group[=].element[=].target.code = #Osiris.Patient.Gender</v>
      </c>
    </row>
    <row r="48" spans="2:2">
      <c r="B48" s="12" t="str">
        <f>IF('Staging-ConceptMap'!Q38=0,"//---END",'Staging-ConceptMap'!Q38)</f>
        <v>* group[=].element[=].target.display = ##34#Gender [C2]##34#</v>
      </c>
    </row>
    <row r="49" spans="2:2">
      <c r="B49" s="12" t="str">
        <f>IF('Staging-ConceptMap'!Q39=0,"//---END",'Staging-ConceptMap'!Q39)</f>
        <v>* group[=].element[=].target.equivalence = #narrower</v>
      </c>
    </row>
    <row r="50" spans="2:2">
      <c r="B50" s="12" t="str">
        <f>IF('Staging-ConceptMap'!Q40=0,"//---END",'Staging-ConceptMap'!Q40)</f>
        <v>* group[=].element[+].code = #Staging.imagingPerformed.fDGPETPerformed</v>
      </c>
    </row>
    <row r="51" spans="2:2">
      <c r="B51" s="12" t="str">
        <f>IF('Staging-ConceptMap'!Q41=0,"//---END",'Staging-ConceptMap'!Q41)</f>
        <v>* group[=].element[=].display = ##34#FDG PET##34#</v>
      </c>
    </row>
    <row r="52" spans="2:2">
      <c r="B52" s="12" t="str">
        <f>IF('Staging-ConceptMap'!Q42=0,"//---END",'Staging-ConceptMap'!Q42)</f>
        <v>* group[=].element[=].target.code = #Osiris.Patient.Ethnicity</v>
      </c>
    </row>
    <row r="53" spans="2:2">
      <c r="B53" s="12" t="str">
        <f>IF('Staging-ConceptMap'!Q43=0,"//---END",'Staging-ConceptMap'!Q43)</f>
        <v>* group[=].element[=].target.display = ##34#Ethnicity [C3]##34#</v>
      </c>
    </row>
    <row r="54" spans="2:2">
      <c r="B54" s="12" t="str">
        <f>IF('Staging-ConceptMap'!Q44=0,"//---END",'Staging-ConceptMap'!Q44)</f>
        <v>* group[=].element[=].target.equivalence = #wider</v>
      </c>
    </row>
    <row r="55" spans="2:2">
      <c r="B55" s="12" t="str">
        <f>IF('Staging-ConceptMap'!Q45=0,"//---END",'Staging-ConceptMap'!Q45)</f>
        <v>* group[=].element[+].code = #Staging.imagingPerformed.pETwithothertracersPerformed</v>
      </c>
    </row>
    <row r="56" spans="2:2">
      <c r="B56" s="12" t="str">
        <f>IF('Staging-ConceptMap'!Q46=0,"//---END",'Staging-ConceptMap'!Q46)</f>
        <v>* group[=].element[=].display = ##34#PET with other tracers##34#</v>
      </c>
    </row>
    <row r="57" spans="2:2">
      <c r="B57" s="12" t="str">
        <f>IF('Staging-ConceptMap'!Q47=0,"//---END",'Staging-ConceptMap'!Q47)</f>
        <v>//-- unmatched</v>
      </c>
    </row>
    <row r="58" spans="2:2">
      <c r="B58" s="12" t="str">
        <f>IF('Staging-ConceptMap'!Q48=0,"//---END",'Staging-ConceptMap'!Q48)</f>
        <v>//-- unmatched</v>
      </c>
    </row>
    <row r="59" spans="2:2">
      <c r="B59" s="12" t="str">
        <f>IF('Staging-ConceptMap'!Q49=0,"//---END",'Staging-ConceptMap'!Q49)</f>
        <v>* group[=].element[=].target.equivalence = #unmatched</v>
      </c>
    </row>
    <row r="60" spans="2:2">
      <c r="B60" s="12" t="str">
        <f>IF('Staging-ConceptMap'!Q50=0,"//---END",'Staging-ConceptMap'!Q50)</f>
        <v>//---END</v>
      </c>
    </row>
    <row r="61" spans="2:2">
      <c r="B61" s="12" t="str">
        <f>IF('Staging-ConceptMap'!Q51=0,"//---END",'Staging-ConceptMap'!Q51)</f>
        <v>//---END</v>
      </c>
    </row>
    <row r="62" spans="2:2">
      <c r="B62" s="12" t="str">
        <f>IF('Staging-ConceptMap'!Q52=0,"//---END",'Staging-ConceptMap'!Q52)</f>
        <v>//---END</v>
      </c>
    </row>
    <row r="63" spans="2:2">
      <c r="B63" s="12"/>
    </row>
    <row r="64" spans="2:2">
      <c r="B64" s="12"/>
    </row>
    <row r="65" spans="2:4">
      <c r="B65" s="12"/>
    </row>
    <row r="66" spans="2:4">
      <c r="B66" s="12"/>
    </row>
    <row r="67" spans="2:4">
      <c r="B67" s="12"/>
    </row>
    <row r="68" spans="2:4">
      <c r="B68" s="12"/>
    </row>
    <row r="69" spans="2:4">
      <c r="B69" s="12"/>
    </row>
    <row r="70" spans="2:4">
      <c r="B70" s="12"/>
      <c r="D70" s="62"/>
    </row>
    <row r="71" spans="2:4">
      <c r="B71" s="12"/>
    </row>
    <row r="72" spans="2:4">
      <c r="B72" s="12"/>
    </row>
    <row r="73" spans="2:4">
      <c r="B73" s="12"/>
    </row>
    <row r="74" spans="2:4">
      <c r="B74" s="12"/>
    </row>
    <row r="75" spans="2:4">
      <c r="B75" s="12"/>
    </row>
    <row r="76" spans="2:4">
      <c r="B76" s="12"/>
    </row>
    <row r="77" spans="2:4">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M177"/>
  <sheetViews>
    <sheetView topLeftCell="A46" zoomScale="115" zoomScaleNormal="115" workbookViewId="0">
      <selection activeCell="B53" sqref="B53:B54"/>
    </sheetView>
  </sheetViews>
  <sheetFormatPr defaultRowHeight="14.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4" t="s">
        <v>1643</v>
      </c>
      <c r="L1" s="24" t="s">
        <v>21</v>
      </c>
    </row>
    <row r="2" spans="1:12">
      <c r="J2" s="25" t="s">
        <v>20</v>
      </c>
      <c r="L2" s="25" t="s">
        <v>1642</v>
      </c>
    </row>
    <row r="3" spans="1:12" ht="17.75" customHeight="1" thickBot="1">
      <c r="J3" s="25" t="str">
        <f>J1</f>
        <v>//===================================================</v>
      </c>
      <c r="L3" s="25" t="str">
        <f>L1</f>
        <v>// -------------------------------------------------------------------------------</v>
      </c>
    </row>
    <row r="4" spans="1:12">
      <c r="A4" s="5" t="s">
        <v>12</v>
      </c>
      <c r="B4" s="46" t="s">
        <v>1948</v>
      </c>
      <c r="J4" s="17" t="str">
        <f>CONCATENATE("Logical: ",B4)</f>
        <v>Logical: TreatmentI4rc</v>
      </c>
    </row>
    <row r="5" spans="1:12">
      <c r="A5" s="15" t="s">
        <v>17</v>
      </c>
      <c r="B5" s="47" t="s">
        <v>498</v>
      </c>
      <c r="J5" s="17" t="str">
        <f>CONCATENATE("Id: ",B5)</f>
        <v>Id: Treatment</v>
      </c>
    </row>
    <row r="6" spans="1:12">
      <c r="A6" s="15" t="s">
        <v>11</v>
      </c>
      <c r="B6" s="48" t="s">
        <v>498</v>
      </c>
      <c r="J6" s="18" t="str">
        <f>CONCATENATE("Title: ##34#",B6,"##34#")</f>
        <v>Title: ##34#Treatment##34#</v>
      </c>
    </row>
    <row r="7" spans="1:12" ht="29.5">
      <c r="A7" s="27" t="s">
        <v>3</v>
      </c>
      <c r="B7" s="117" t="s">
        <v>1949</v>
      </c>
      <c r="C7" s="9" t="s">
        <v>4</v>
      </c>
      <c r="D7" s="1" t="s">
        <v>5</v>
      </c>
      <c r="E7" s="3" t="s">
        <v>6</v>
      </c>
      <c r="F7" s="3" t="s">
        <v>7</v>
      </c>
      <c r="G7" s="3" t="s">
        <v>8</v>
      </c>
      <c r="H7" s="118" t="s">
        <v>1641</v>
      </c>
      <c r="J7" s="18" t="str">
        <f>CONCATENATE("Description: "," ##334#",B7,"##334#",)</f>
        <v>Description:  ##334#Treatment
Maturity Level: 0 Draft##334#</v>
      </c>
    </row>
    <row r="8" spans="1:12">
      <c r="A8" s="108">
        <v>0</v>
      </c>
      <c r="B8" s="2" t="s">
        <v>2248</v>
      </c>
      <c r="C8" s="2" t="s">
        <v>1950</v>
      </c>
      <c r="D8" s="119" t="s">
        <v>1950</v>
      </c>
      <c r="E8">
        <v>0</v>
      </c>
      <c r="F8">
        <v>1</v>
      </c>
      <c r="G8" t="s">
        <v>2</v>
      </c>
      <c r="I8" s="26"/>
      <c r="J8" s="12" t="str">
        <f t="shared" ref="J8:J71" si="0">CONCATENATE("* ",B8, " ",E8,"..",F8," ",G8," ##34#",C8,"##34# ##334#",D8,"##334#")</f>
        <v>* surgery 0..1 BackboneElement ##34#Surgery ##34# ##334#Surgery ##334#</v>
      </c>
      <c r="L8" s="12" t="str">
        <f>IF(H8="",IF(J8="*  ..  ##34###34# ##334###334#",J8,""),IF(J8="*  ..  ##34###34# ##334###334#",J8,CONCATENATE("* ",B8," ^comment = ##334#",H8,"##334#")))</f>
        <v/>
      </c>
    </row>
    <row r="9" spans="1:12" ht="59">
      <c r="A9" s="108">
        <v>1</v>
      </c>
      <c r="B9" s="2" t="s">
        <v>2249</v>
      </c>
      <c r="C9" s="2" t="s">
        <v>1951</v>
      </c>
      <c r="D9" s="2" t="s">
        <v>1952</v>
      </c>
      <c r="E9">
        <v>0</v>
      </c>
      <c r="F9">
        <v>1</v>
      </c>
      <c r="G9" t="s">
        <v>1</v>
      </c>
      <c r="H9" s="2" t="s">
        <v>1953</v>
      </c>
      <c r="I9" s="26"/>
      <c r="J9" s="12" t="str">
        <f t="shared" si="0"/>
        <v>* surgeryPerformed 0..1 string ##34#Surgery performed##34# ##334#Whether or not a surgical procedure was performed and whether it was performed at the registering hospital or another hospital Diagnostic procedures biopsy are not included##334#</v>
      </c>
      <c r="L9" s="12" t="str">
        <f t="shared" ref="L9:L72" si="1">IF(H9="",IF(J9="*  ..  ##34###34# ##334###334#",J9,""),IF(J9="*  ..  ##34###34# ##334###334#",J9,CONCATENATE("* ",B9," ^comment = ##334#",H9,"##334#")))</f>
        <v>* surgeryPerformed ^comment = ##334#A string value representing if and where was the surgery performed##334#</v>
      </c>
    </row>
    <row r="10" spans="1:12" ht="73.75">
      <c r="A10" s="108">
        <v>2</v>
      </c>
      <c r="B10" s="2" t="s">
        <v>2250</v>
      </c>
      <c r="C10" s="2" t="s">
        <v>1954</v>
      </c>
      <c r="D10" s="2" t="s">
        <v>1955</v>
      </c>
      <c r="E10">
        <v>0</v>
      </c>
      <c r="F10">
        <v>1</v>
      </c>
      <c r="G10" s="112" t="s">
        <v>164</v>
      </c>
      <c r="H10" s="2" t="s">
        <v>1668</v>
      </c>
      <c r="I10" s="26"/>
      <c r="J10" s="12" t="str">
        <f t="shared" si="0"/>
        <v>* dateOfTumourSurgery 0..1 date ##34#Date of tumour surgery##34# ##334#Date of the surgery for primary tumor with or without neck surgery##334#</v>
      </c>
      <c r="L10" s="12" t="str">
        <f t="shared" si="1"/>
        <v>* dateOfTumourSurgery ^comment = ##334#Must be formatted as YYYYMMDD Leave empty if not known Optional rule  Possible date anonymisation by
setting the 15th of every month ie YYYYMM15 If the month is not known we set it to June 06##334#</v>
      </c>
    </row>
    <row r="11" spans="1:12" ht="73.75">
      <c r="A11" s="108">
        <v>3</v>
      </c>
      <c r="B11" s="2" t="s">
        <v>2251</v>
      </c>
      <c r="C11" s="2" t="s">
        <v>1956</v>
      </c>
      <c r="D11" s="2" t="s">
        <v>1957</v>
      </c>
      <c r="E11">
        <v>0</v>
      </c>
      <c r="F11">
        <v>1</v>
      </c>
      <c r="G11" s="112" t="s">
        <v>1</v>
      </c>
      <c r="H11" s="2" t="s">
        <v>1958</v>
      </c>
      <c r="I11" s="26"/>
      <c r="J11" s="12" t="str">
        <f t="shared" si="0"/>
        <v>* surgeryIntention 0..1 string ##34#Surgery intention##34# ##334#The intention of the perfromed surgery Palliative surgery performed with the intent of improving quality of life or relieving symptoms caused by advanced disease
Curative surgery performed with the intend of oncologic cure regardless of its result R0  R1R2##334#</v>
      </c>
      <c r="L11" s="12" t="str">
        <f t="shared" si="1"/>
        <v>* surgeryIntention ^comment = ##334#A string value whether the surgery was performed with palliative or curative intentions of it was unknown##334#</v>
      </c>
    </row>
    <row r="12" spans="1:12" ht="73.75">
      <c r="A12" s="108">
        <v>4</v>
      </c>
      <c r="B12" s="2" t="s">
        <v>2252</v>
      </c>
      <c r="C12" s="2" t="s">
        <v>1959</v>
      </c>
      <c r="D12" s="2" t="s">
        <v>1960</v>
      </c>
      <c r="E12">
        <v>0</v>
      </c>
      <c r="F12">
        <v>1</v>
      </c>
      <c r="G12" t="s">
        <v>1</v>
      </c>
      <c r="H12" s="2" t="s">
        <v>1961</v>
      </c>
      <c r="I12" s="26"/>
      <c r="J12" s="12" t="str">
        <f t="shared" si="0"/>
        <v>* tumorSurgeryApproach 0..1 string ##34#Tumor surgery approach##34# ##334#Describes the approach to tumor resection whether it includes skin incision extenal or open   or it s aproached through a natural orifice Transnasaltransorbitaltransoral or if the approach combines two or more of the previous ones##334#</v>
      </c>
      <c r="L12" s="12" t="str">
        <f t="shared" si="1"/>
        <v>* tumorSurgeryApproach ^comment = ##334#A string value to describe the used approach##334#</v>
      </c>
    </row>
    <row r="13" spans="1:12" ht="29.5">
      <c r="A13" s="108">
        <v>5</v>
      </c>
      <c r="B13" s="2" t="s">
        <v>2253</v>
      </c>
      <c r="C13" s="2" t="s">
        <v>1962</v>
      </c>
      <c r="D13" s="2" t="s">
        <v>1963</v>
      </c>
      <c r="E13">
        <v>0</v>
      </c>
      <c r="F13">
        <v>1</v>
      </c>
      <c r="G13" t="s">
        <v>1</v>
      </c>
      <c r="H13" s="2" t="s">
        <v>1964</v>
      </c>
      <c r="I13" s="26"/>
      <c r="J13" s="12" t="str">
        <f t="shared" si="0"/>
        <v>* tumorSurgeryDevice 0..1 string ##34#Tumor surgery device##34# ##334#Describes  the device used LASER  Robot##334#</v>
      </c>
      <c r="L13" s="12" t="str">
        <f t="shared" si="1"/>
        <v>* tumorSurgeryDevice ^comment = ##334#A string value to specify the used device##334#</v>
      </c>
    </row>
    <row r="14" spans="1:12" ht="29.5">
      <c r="A14" s="111"/>
      <c r="B14" s="112" t="s">
        <v>2254</v>
      </c>
      <c r="C14" s="112" t="s">
        <v>1965</v>
      </c>
      <c r="D14" s="112" t="s">
        <v>1966</v>
      </c>
      <c r="E14" s="77">
        <v>0</v>
      </c>
      <c r="F14" s="112" t="s">
        <v>9</v>
      </c>
      <c r="G14" s="112" t="s">
        <v>2</v>
      </c>
      <c r="I14" s="26"/>
      <c r="J14" s="12" t="str">
        <f t="shared" si="0"/>
        <v>* surgicalProcedure 0..* BackboneElement ##34#Surgical procedure##34# ##334#Describes the procedure performed##334#</v>
      </c>
      <c r="L14" s="12" t="str">
        <f t="shared" si="1"/>
        <v/>
      </c>
    </row>
    <row r="15" spans="1:12" ht="59">
      <c r="A15" s="108">
        <v>6</v>
      </c>
      <c r="B15" s="112" t="s">
        <v>2255</v>
      </c>
      <c r="C15" s="2" t="s">
        <v>1967</v>
      </c>
      <c r="D15" s="2" t="s">
        <v>1968</v>
      </c>
      <c r="E15">
        <v>0</v>
      </c>
      <c r="F15">
        <v>1</v>
      </c>
      <c r="G15" t="s">
        <v>1</v>
      </c>
      <c r="H15" s="2" t="s">
        <v>1969</v>
      </c>
      <c r="I15" s="26"/>
      <c r="J15" s="12" t="str">
        <f t="shared" si="0"/>
        <v>* surgicalProcedure.surgicalProcedureNasopharynx 0..1 string ##34#Surgical procedure Nasopharynx##34# ##334#Describes the procedure performed to resect tumor from nasopharynx any kind of tumor removal either open or endoscopic Diagnostic biopsy is not included##334#</v>
      </c>
      <c r="L15" s="12" t="str">
        <f t="shared" si="1"/>
        <v>* surgicalProcedure.surgicalProcedureNasopharynx ^comment = ##334#A string value to specify the used procedure for the nasopharynx tumour##334#</v>
      </c>
    </row>
    <row r="16" spans="1:12" ht="59">
      <c r="A16" s="108">
        <v>7</v>
      </c>
      <c r="B16" s="112" t="s">
        <v>2256</v>
      </c>
      <c r="C16" s="2" t="s">
        <v>1970</v>
      </c>
      <c r="D16" s="2" t="s">
        <v>1971</v>
      </c>
      <c r="E16">
        <v>0</v>
      </c>
      <c r="F16">
        <v>1</v>
      </c>
      <c r="G16" t="s">
        <v>1</v>
      </c>
      <c r="H16" s="2" t="s">
        <v>1972</v>
      </c>
      <c r="I16" s="26"/>
      <c r="J16" s="12" t="str">
        <f t="shared" si="0"/>
        <v>* surgicalProcedure.surgicalProcedureNasalCavityAndParanasalSinus 0..1 string ##34#Surgical Procedure Nasal Cavity And Paranasal Sinus##34# ##334#Describes the procedure performed to resect tumor from  nasal cavity and paranasal sinus##334#</v>
      </c>
      <c r="L16" s="12" t="str">
        <f t="shared" si="1"/>
        <v>* surgicalProcedure.surgicalProcedureNasalCavityAndParanasalSinus ^comment = ##334#A string value to specify the procedure for the nasal cavity and paranasal sinus tumour##334#</v>
      </c>
    </row>
    <row r="17" spans="1:13" ht="44.25">
      <c r="A17" s="108">
        <v>8</v>
      </c>
      <c r="B17" s="112" t="s">
        <v>2257</v>
      </c>
      <c r="C17" s="2" t="s">
        <v>1973</v>
      </c>
      <c r="D17" s="2" t="s">
        <v>1974</v>
      </c>
      <c r="E17">
        <v>0</v>
      </c>
      <c r="F17">
        <v>1</v>
      </c>
      <c r="G17" t="s">
        <v>1</v>
      </c>
      <c r="H17" s="2" t="s">
        <v>1975</v>
      </c>
      <c r="I17" s="26"/>
      <c r="J17" s="12" t="str">
        <f t="shared" si="0"/>
        <v>* surgicalProcedure.surgicalProcedureSalivaryGland 0..1 string ##34#Surgical Procedure Salivary Gland##34# ##334#Describes the procedure performed on salivary glands ##334#</v>
      </c>
      <c r="L17" s="12" t="str">
        <f t="shared" si="1"/>
        <v>* surgicalProcedure.surgicalProcedureSalivaryGland ^comment = ##334#A string value to specify the procedure for the salivary glands tumour##334#</v>
      </c>
    </row>
    <row r="18" spans="1:13" ht="44.25">
      <c r="A18" s="108">
        <v>9</v>
      </c>
      <c r="B18" s="112" t="s">
        <v>2258</v>
      </c>
      <c r="C18" s="2" t="s">
        <v>1976</v>
      </c>
      <c r="D18" s="2" t="s">
        <v>1977</v>
      </c>
      <c r="E18">
        <v>0</v>
      </c>
      <c r="F18">
        <v>1</v>
      </c>
      <c r="G18" t="s">
        <v>1</v>
      </c>
      <c r="H18" s="2" t="s">
        <v>1978</v>
      </c>
      <c r="J18" s="12" t="str">
        <f t="shared" si="0"/>
        <v>* surgicalProcedure.surgicalProcedureEar 0..1 string ##34#Surgical procedure Ear##34# ##334#Describes the procedure performed onear and temporal bone##334#</v>
      </c>
      <c r="L18" s="12" t="str">
        <f t="shared" si="1"/>
        <v>* surgicalProcedure.surgicalProcedureEar ^comment = ##334#A string value to specify the procedure for the ear##334#</v>
      </c>
    </row>
    <row r="19" spans="1:13" ht="29.5">
      <c r="A19" s="108">
        <v>10</v>
      </c>
      <c r="B19" s="112" t="s">
        <v>2259</v>
      </c>
      <c r="C19" s="2" t="s">
        <v>1979</v>
      </c>
      <c r="D19" s="2" t="s">
        <v>1980</v>
      </c>
      <c r="E19">
        <v>0</v>
      </c>
      <c r="F19">
        <v>1</v>
      </c>
      <c r="G19" t="s">
        <v>1</v>
      </c>
      <c r="H19" s="2" t="s">
        <v>1981</v>
      </c>
      <c r="J19" s="12" t="str">
        <f t="shared" si="0"/>
        <v>* surgicalProcedure.surgicalProcedureLip 0..1 string ##34#Surgical procedure  Lip##34# ##334#Describes the procedure performed on the lip##334#</v>
      </c>
      <c r="L19" s="12" t="str">
        <f t="shared" si="1"/>
        <v>* surgicalProcedure.surgicalProcedureLip ^comment = ##334#A string value to specify the procedure for the lip tumour##334#</v>
      </c>
    </row>
    <row r="20" spans="1:13" ht="44.25">
      <c r="A20" s="108">
        <v>11</v>
      </c>
      <c r="B20" s="112" t="s">
        <v>2260</v>
      </c>
      <c r="C20" s="2" t="s">
        <v>1982</v>
      </c>
      <c r="D20" s="2" t="s">
        <v>1983</v>
      </c>
      <c r="E20">
        <v>0</v>
      </c>
      <c r="F20">
        <v>1</v>
      </c>
      <c r="G20" t="s">
        <v>1</v>
      </c>
      <c r="H20" s="2" t="s">
        <v>1984</v>
      </c>
      <c r="J20" s="12" t="str">
        <f t="shared" si="0"/>
        <v>* surgicalProcedure.surgicalProcedureOralCavity 0..1 string ##34#Surgical procedure Oral cavity##34# ##334#Describes the procedure performed on the oral cavity##334#</v>
      </c>
      <c r="L20" s="12" t="str">
        <f t="shared" si="1"/>
        <v>* surgicalProcedure.surgicalProcedureOralCavity ^comment = ##334#A string value to specify the procedure for the oral cavity tumour##334#</v>
      </c>
    </row>
    <row r="21" spans="1:13" ht="44.25">
      <c r="A21" s="108">
        <v>12</v>
      </c>
      <c r="B21" s="112" t="s">
        <v>2261</v>
      </c>
      <c r="C21" s="2" t="s">
        <v>1985</v>
      </c>
      <c r="D21" s="2" t="s">
        <v>1986</v>
      </c>
      <c r="E21">
        <v>0</v>
      </c>
      <c r="F21">
        <v>1</v>
      </c>
      <c r="G21" t="s">
        <v>1</v>
      </c>
      <c r="H21" s="2" t="s">
        <v>1987</v>
      </c>
      <c r="J21" s="12" t="str">
        <f t="shared" si="0"/>
        <v>* surgicalProcedure.surgicalProcedureMandibulectomy 0..1 string ##34#Surgical procedure mandibulectomy##34# ##334#Describes the procedure performed on the mandible##334#</v>
      </c>
      <c r="L21" s="12" t="str">
        <f t="shared" si="1"/>
        <v>* surgicalProcedure.surgicalProcedureMandibulectomy ^comment = ##334#A string value to specify the procedure for the mandibule tumour##334#</v>
      </c>
      <c r="M21"/>
    </row>
    <row r="22" spans="1:13" ht="103.25">
      <c r="A22" s="108">
        <v>13</v>
      </c>
      <c r="B22" s="112" t="s">
        <v>2262</v>
      </c>
      <c r="C22" s="2" t="s">
        <v>1988</v>
      </c>
      <c r="D22" s="2" t="s">
        <v>1989</v>
      </c>
      <c r="E22">
        <v>0</v>
      </c>
      <c r="F22">
        <v>1</v>
      </c>
      <c r="G22" t="s">
        <v>1</v>
      </c>
      <c r="H22" s="2" t="s">
        <v>1990</v>
      </c>
      <c r="J22" s="12" t="str">
        <f t="shared" si="0"/>
        <v>* surgicalProcedure.surgicalProcedureOropharynx 0..1 string ##34#Surgical procedure Oropharynx##34# ##334#Describes the procedure performed on the oropharynx cavity 
Lateral Oropharyngectomy LO Types were described by De Virgilio in 2019 See references
Transoral Base Of Tongue TOBOT Resection Types were described by De Virgilio in 2021 See references##334#</v>
      </c>
      <c r="L22" s="12" t="str">
        <f t="shared" si="1"/>
        <v>* surgicalProcedure.surgicalProcedureOropharynx ^comment = ##334#A string value to specify the procedure for the oropharynx tumour##334#</v>
      </c>
      <c r="M22"/>
    </row>
    <row r="23" spans="1:13" ht="44.25">
      <c r="A23" s="108">
        <v>14</v>
      </c>
      <c r="B23" s="112" t="s">
        <v>2263</v>
      </c>
      <c r="C23" s="2" t="s">
        <v>1991</v>
      </c>
      <c r="D23" s="2" t="s">
        <v>1992</v>
      </c>
      <c r="E23">
        <v>0</v>
      </c>
      <c r="F23">
        <v>1</v>
      </c>
      <c r="G23" t="s">
        <v>1</v>
      </c>
      <c r="H23" s="2" t="s">
        <v>1993</v>
      </c>
      <c r="J23" s="12" t="str">
        <f t="shared" si="0"/>
        <v>* surgicalProcedure.surgicalProcedureHypopharynx 0..1 string ##34#Surgical procedure Hypopharynx##34# ##334#Describes the procedure performed on the hypopharynx##334#</v>
      </c>
      <c r="L23" s="12" t="str">
        <f t="shared" si="1"/>
        <v>* surgicalProcedure.surgicalProcedureHypopharynx ^comment = ##334#A string value to specify the procedure for the hypopharynx tumour##334#</v>
      </c>
      <c r="M23"/>
    </row>
    <row r="24" spans="1:13" ht="206.5">
      <c r="A24" s="108">
        <v>15</v>
      </c>
      <c r="B24" s="112" t="s">
        <v>2264</v>
      </c>
      <c r="C24" s="2" t="s">
        <v>1994</v>
      </c>
      <c r="D24" s="2" t="s">
        <v>1995</v>
      </c>
      <c r="E24">
        <v>0</v>
      </c>
      <c r="F24">
        <v>1</v>
      </c>
      <c r="G24" t="s">
        <v>1</v>
      </c>
      <c r="H24" s="2" t="s">
        <v>1996</v>
      </c>
      <c r="J24" s="12" t="str">
        <f t="shared" si="0"/>
        <v>* surgicalProcedure.surgicalProcedureLarynx 0..1 string ##34#Surgical procedure Larynx##34# ##334#Laryngo fissure and cordectomy is a procololized procedure to remove tumors from the vocal cords through an incision in the skin and a vertical section of the thyroid cartilage
Vertical hemilaryngectomy is a protocoled procedure Please see references
TLM cordectomies were defined by Remacle et al in  2007 please see references
TSL were defined by Remacle et al in 2009 please see references
OPHL were defined by Succo et al in 2014 please see references
Neartotal laryngectomy refers to procolized procedures that remove the entire larynx except for some elements arytenoids  to improve speech production but the patient requires a permanent stoma to breathe
Total laryngectomy is a protocoled procedure to remove all laryngeal tissue and results in a permanent stoma##334#</v>
      </c>
      <c r="L24" s="12" t="str">
        <f t="shared" si="1"/>
        <v>* surgicalProcedure.surgicalProcedureLarynx ^comment = ##334#A string value to specify the procedure for the larynx tumour##334#</v>
      </c>
      <c r="M24"/>
    </row>
    <row r="25" spans="1:13" ht="44.25">
      <c r="A25" s="108"/>
      <c r="B25" s="112" t="s">
        <v>2265</v>
      </c>
      <c r="C25" s="112" t="s">
        <v>1997</v>
      </c>
      <c r="D25" s="112" t="s">
        <v>1998</v>
      </c>
      <c r="E25" s="77">
        <v>0</v>
      </c>
      <c r="F25" s="77">
        <v>1</v>
      </c>
      <c r="G25" s="77" t="s">
        <v>2</v>
      </c>
      <c r="J25" s="12" t="str">
        <f t="shared" si="0"/>
        <v>* reconstruction 0..1 BackboneElement ##34#Reconstruction##34# ##334#Reconstruction procedure that was performed after tomor removal to restore either shape or function##334#</v>
      </c>
      <c r="L25" s="12" t="str">
        <f t="shared" si="1"/>
        <v/>
      </c>
      <c r="M25"/>
    </row>
    <row r="26" spans="1:13" ht="44.25">
      <c r="A26" s="108">
        <v>16</v>
      </c>
      <c r="B26" s="112" t="s">
        <v>2266</v>
      </c>
      <c r="C26" s="2" t="s">
        <v>1997</v>
      </c>
      <c r="D26" s="2" t="s">
        <v>1999</v>
      </c>
      <c r="E26">
        <v>0</v>
      </c>
      <c r="F26">
        <v>1</v>
      </c>
      <c r="G26" t="s">
        <v>1</v>
      </c>
      <c r="H26" s="2" t="s">
        <v>2000</v>
      </c>
      <c r="J26" s="12" t="str">
        <f t="shared" si="0"/>
        <v>* reconstruction.flag 0..1 string ##34#Reconstruction##34# ##334#Describes whether a reconstruction procedure was performed after tomor removal to restore either shape or function##334#</v>
      </c>
      <c r="L26" s="12" t="str">
        <f t="shared" si="1"/>
        <v>* reconstruction.flag ^comment = ##334#A string value to specify whether a reconstruction procedure was performed##334#</v>
      </c>
      <c r="M26"/>
    </row>
    <row r="27" spans="1:13" ht="88.5">
      <c r="A27" s="108">
        <v>17</v>
      </c>
      <c r="B27" s="112" t="s">
        <v>2267</v>
      </c>
      <c r="C27" s="2" t="s">
        <v>2001</v>
      </c>
      <c r="D27" s="2" t="s">
        <v>2002</v>
      </c>
      <c r="E27">
        <v>0</v>
      </c>
      <c r="F27">
        <v>1</v>
      </c>
      <c r="G27" t="s">
        <v>1</v>
      </c>
      <c r="H27" s="2" t="s">
        <v>2003</v>
      </c>
      <c r="J27" s="12" t="str">
        <f t="shared" si="0"/>
        <v>* reconstruction.reconstructionType 0..1 string ##34#Reconstruction Type##34# ##334#Describes type of grft or flap used for the reconstruction Combined flaps is used when two or more pedicle andor microvascular flap is used for reconstruction simultaneously Otherwise the most complex flaps used must be choosen 
##334#</v>
      </c>
      <c r="L27" s="12" t="str">
        <f t="shared" si="1"/>
        <v>* reconstruction.reconstructionType ^comment = ##334#A string value to describe the type of graft or flap used for the reconstruction##334#</v>
      </c>
      <c r="M27"/>
    </row>
    <row r="28" spans="1:13" ht="88.5">
      <c r="A28" s="108">
        <v>18</v>
      </c>
      <c r="B28" s="112" t="s">
        <v>2268</v>
      </c>
      <c r="C28" s="2" t="s">
        <v>2004</v>
      </c>
      <c r="D28" s="2" t="s">
        <v>2005</v>
      </c>
      <c r="E28">
        <v>0</v>
      </c>
      <c r="F28">
        <v>1</v>
      </c>
      <c r="G28" t="s">
        <v>1</v>
      </c>
      <c r="H28" s="2" t="s">
        <v>2006</v>
      </c>
      <c r="J28" s="12" t="str">
        <f t="shared" si="0"/>
        <v>* reconstruction.firstFlapUsedForReconstruction 0..1 string ##34#First Flap used for reconstruction##34# ##334#Describes the flap used for reconstrucion when only one flap was used When two or more flaps has been used the most complex or advanced one must be choosen If the procedure performed is not defined and protocoled the most appropriate one will be chosen from the list of options##334#</v>
      </c>
      <c r="L28" s="12" t="str">
        <f t="shared" si="1"/>
        <v>* reconstruction.firstFlapUsedForReconstruction ^comment = ##334#A string value to describe the first and only if so flap used for reconstruction##334#</v>
      </c>
      <c r="M28"/>
    </row>
    <row r="29" spans="1:13" ht="59">
      <c r="A29" s="108">
        <v>19</v>
      </c>
      <c r="B29" s="112" t="s">
        <v>2269</v>
      </c>
      <c r="C29" s="2" t="s">
        <v>2007</v>
      </c>
      <c r="D29" s="2" t="s">
        <v>2008</v>
      </c>
      <c r="E29">
        <v>0</v>
      </c>
      <c r="F29">
        <v>1</v>
      </c>
      <c r="G29" t="s">
        <v>1</v>
      </c>
      <c r="H29" s="2" t="s">
        <v>2009</v>
      </c>
      <c r="I29" s="2"/>
      <c r="J29" s="12" t="str">
        <f t="shared" si="0"/>
        <v>* reconstruction.secondFlapUsedForReconstruction 0..1 string ##34#Second Flap used for reconstruction##34# ##334#Describes the secind flap used for reconstruction when more than one flap was used When more than two flaps has been used the most complex or advanced one must be choosen##334#</v>
      </c>
      <c r="L29" s="12" t="str">
        <f t="shared" si="1"/>
        <v>* reconstruction.secondFlapUsedForReconstruction ^comment = ##334#A string value to describe the second flap used for reconstruction##334#</v>
      </c>
      <c r="M29"/>
    </row>
    <row r="30" spans="1:13" ht="29.5">
      <c r="A30" s="108">
        <v>20</v>
      </c>
      <c r="B30" s="2" t="s">
        <v>2270</v>
      </c>
      <c r="C30" s="2" t="s">
        <v>2010</v>
      </c>
      <c r="D30" s="2" t="s">
        <v>2011</v>
      </c>
      <c r="E30">
        <v>0</v>
      </c>
      <c r="F30">
        <v>1</v>
      </c>
      <c r="G30" t="s">
        <v>1</v>
      </c>
      <c r="H30" s="2" t="s">
        <v>2012</v>
      </c>
      <c r="J30" s="12" t="str">
        <f t="shared" si="0"/>
        <v>* neckSurgery 0..1 string ##34#Neck surgery##34# ##334#Describes whether a surgical procedure to treat and address the neck was performed or not ##334#</v>
      </c>
      <c r="L30" s="12" t="str">
        <f t="shared" si="1"/>
        <v>* neckSurgery ^comment = ##334#A string value to describe whether a surgical procedure for the neck was performed##334#</v>
      </c>
    </row>
    <row r="31" spans="1:13" ht="59">
      <c r="A31" s="108">
        <v>21</v>
      </c>
      <c r="B31" s="2" t="s">
        <v>2271</v>
      </c>
      <c r="C31" s="2" t="s">
        <v>2013</v>
      </c>
      <c r="D31" s="2" t="s">
        <v>2014</v>
      </c>
      <c r="E31">
        <v>0</v>
      </c>
      <c r="F31">
        <v>1</v>
      </c>
      <c r="G31" s="112" t="s">
        <v>164</v>
      </c>
      <c r="H31" s="2" t="s">
        <v>2014</v>
      </c>
      <c r="J31" s="12" t="str">
        <f t="shared" si="0"/>
        <v>* dateOfNeckSurgeryIfDifferentFromDateOfTumorSiteSurgery 0..1 date ##34#Date of neck surgery  if different from date of tumor site surgery##34# ##334#Date of the surgery for the neck when it was performed after tumor resection ##334#</v>
      </c>
      <c r="L31" s="12" t="str">
        <f t="shared" si="1"/>
        <v>* dateOfNeckSurgeryIfDifferentFromDateOfTumorSiteSurgery ^comment = ##334#Date of the surgery for the neck when it was performed after tumor resection ##334#</v>
      </c>
    </row>
    <row r="32" spans="1:13" ht="29.5">
      <c r="A32" s="108">
        <v>22</v>
      </c>
      <c r="B32" s="2" t="s">
        <v>2272</v>
      </c>
      <c r="C32" s="2" t="s">
        <v>2015</v>
      </c>
      <c r="D32" s="2" t="s">
        <v>2016</v>
      </c>
      <c r="E32">
        <v>0</v>
      </c>
      <c r="F32">
        <v>1</v>
      </c>
      <c r="G32" s="112" t="s">
        <v>164</v>
      </c>
      <c r="J32" s="12" t="str">
        <f t="shared" si="0"/>
        <v>* dateOfNeckSurgeryDayUnknown 0..1 date ##34#Date of neck surgery day unknown##34# ##334#Describes if the day of neck surgery is unknwon##334#</v>
      </c>
      <c r="L32" s="12" t="str">
        <f t="shared" si="1"/>
        <v/>
      </c>
    </row>
    <row r="33" spans="1:12" ht="44.25">
      <c r="A33" s="108">
        <v>23</v>
      </c>
      <c r="B33" s="2" t="s">
        <v>2273</v>
      </c>
      <c r="C33" s="2" t="s">
        <v>2017</v>
      </c>
      <c r="D33" s="2" t="s">
        <v>2018</v>
      </c>
      <c r="E33">
        <v>0</v>
      </c>
      <c r="F33">
        <v>1</v>
      </c>
      <c r="G33" t="s">
        <v>1</v>
      </c>
      <c r="H33" s="2" t="s">
        <v>2019</v>
      </c>
      <c r="J33" s="12" t="str">
        <f t="shared" si="0"/>
        <v>* nodePicking 0..1 string ##34#Node picking##34# ##334#Describes whether a nonprotocoled and nonstandardized resection of more than one lymph node is performed or not##334#</v>
      </c>
      <c r="L33" s="12" t="str">
        <f t="shared" si="1"/>
        <v>* nodePicking ^comment = ##334#String describing whether a nonprotocoled and nonstandardized resection of more than one lymph node is performed or not##334#</v>
      </c>
    </row>
    <row r="34" spans="1:12" ht="44.25">
      <c r="A34" s="108">
        <v>24</v>
      </c>
      <c r="B34" s="2" t="s">
        <v>1887</v>
      </c>
      <c r="C34" s="2" t="s">
        <v>1888</v>
      </c>
      <c r="D34" s="2" t="s">
        <v>1889</v>
      </c>
      <c r="E34">
        <v>0</v>
      </c>
      <c r="F34">
        <v>1</v>
      </c>
      <c r="G34" t="s">
        <v>1</v>
      </c>
      <c r="H34" s="2" t="s">
        <v>2020</v>
      </c>
      <c r="J34" s="12" t="str">
        <f t="shared" si="0"/>
        <v>* neckDissection 0..1 string ##34#Neck dissection##34# ##334#Describes whether a protocoled and standardized en block resection of lymphatic tissue is performed or not##334#</v>
      </c>
      <c r="L34" s="12" t="str">
        <f t="shared" si="1"/>
        <v>* neckDissection ^comment = ##334#String describing whether a protocoled and standardized en block resection of lymphatic tissue is performed or not##334#</v>
      </c>
    </row>
    <row r="35" spans="1:12" ht="73.75">
      <c r="A35" s="108">
        <v>25</v>
      </c>
      <c r="B35" s="2" t="s">
        <v>2274</v>
      </c>
      <c r="C35" s="2" t="s">
        <v>2021</v>
      </c>
      <c r="D35" s="2" t="s">
        <v>2022</v>
      </c>
      <c r="E35">
        <v>0</v>
      </c>
      <c r="F35">
        <v>1</v>
      </c>
      <c r="G35" t="s">
        <v>1</v>
      </c>
      <c r="H35" s="2" t="s">
        <v>2023</v>
      </c>
      <c r="J35" s="12" t="str">
        <f t="shared" si="0"/>
        <v>* lateralityOfTheDissection 0..1 string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L35" s="12" t="str">
        <f t="shared" si="1"/>
        <v>* lateralityOfTheDissection ^comment = ##334#String describing the laterality of the neck surgical procedure##334#</v>
      </c>
    </row>
    <row r="36" spans="1:12" ht="118">
      <c r="A36" s="108">
        <v>26</v>
      </c>
      <c r="B36" s="2" t="s">
        <v>2275</v>
      </c>
      <c r="C36" s="2" t="s">
        <v>2024</v>
      </c>
      <c r="D36" s="2" t="s">
        <v>2025</v>
      </c>
      <c r="E36">
        <v>0</v>
      </c>
      <c r="F36">
        <v>1</v>
      </c>
      <c r="G36" t="s">
        <v>1</v>
      </c>
      <c r="H36" s="2" t="s">
        <v>2026</v>
      </c>
      <c r="J36" s="12" t="str">
        <f t="shared" si="0"/>
        <v>* surgicalProcedureRightNeck 0..1 string ##34#Surgical procedure right neck##34# ##334#Describes surgical procedure performed to treat the right neck if applies  
Neck Dissection clasification is described according to the Consensus published by Robbins et al in 2002 See references
Central Neck dissection includes all subtypes defined by Orloff in 2011 See reference
##334#</v>
      </c>
      <c r="L36" s="12" t="str">
        <f t="shared" si="1"/>
        <v>* surgicalProcedureRightNeck ^comment = ##334#String describing the surgical procedure performed right##334#</v>
      </c>
    </row>
    <row r="37" spans="1:12" ht="59">
      <c r="A37" s="108">
        <v>27</v>
      </c>
      <c r="B37" s="2" t="s">
        <v>2276</v>
      </c>
      <c r="C37" s="2" t="s">
        <v>2027</v>
      </c>
      <c r="D37" s="2" t="s">
        <v>2028</v>
      </c>
      <c r="E37">
        <v>0</v>
      </c>
      <c r="F37">
        <v>1</v>
      </c>
      <c r="G37" t="s">
        <v>1</v>
      </c>
      <c r="H37" s="2" t="s">
        <v>2029</v>
      </c>
      <c r="J37" s="12" t="str">
        <f t="shared" si="0"/>
        <v>* surgicalProcedureRightNeckLevelsDissected 0..1 string ##34#Surgical procedure right neck levels dissected##34# ##334#Multiple selection all lymphatic levels defined by the Consensus published by Robbins et al  in 2002 treated must be choosen##334#</v>
      </c>
      <c r="L37" s="12" t="str">
        <f t="shared" si="1"/>
        <v>* surgicalProcedureRightNeckLevelsDissected ^comment = ##334#String describing the lympathic levels##334#</v>
      </c>
    </row>
    <row r="38" spans="1:12" ht="103.25">
      <c r="A38" s="108">
        <v>28</v>
      </c>
      <c r="B38" s="2" t="s">
        <v>2277</v>
      </c>
      <c r="C38" s="2" t="s">
        <v>2030</v>
      </c>
      <c r="D38" s="2" t="s">
        <v>2031</v>
      </c>
      <c r="E38">
        <v>0</v>
      </c>
      <c r="F38">
        <v>1</v>
      </c>
      <c r="G38" t="s">
        <v>1</v>
      </c>
      <c r="H38" s="2" t="s">
        <v>2032</v>
      </c>
      <c r="J38" s="12" t="str">
        <f t="shared" si="0"/>
        <v>* surgicalProcedureLeftNeck 0..1 string ##34#Surgical procedure left neck##34# ##334#Describes surgical procedure performed to treat the left neck if applies  
Neck Dissection clasification is described according to the Consensus published by Robbins et al in 2002 See references
Central Neck dissection includes all subtypes defined by Orloff in 2011 See reference ##334#</v>
      </c>
      <c r="L38" s="12" t="str">
        <f t="shared" si="1"/>
        <v>* surgicalProcedureLeftNeck ^comment = ##334#String describing the surgical procedure performed left##334#</v>
      </c>
    </row>
    <row r="39" spans="1:12" ht="59">
      <c r="A39" s="108">
        <v>29</v>
      </c>
      <c r="B39" s="2" t="s">
        <v>2278</v>
      </c>
      <c r="C39" s="2" t="s">
        <v>2033</v>
      </c>
      <c r="D39" s="2" t="s">
        <v>2028</v>
      </c>
      <c r="E39">
        <v>0</v>
      </c>
      <c r="F39">
        <v>1</v>
      </c>
      <c r="G39" t="s">
        <v>1</v>
      </c>
      <c r="H39" s="2" t="s">
        <v>2029</v>
      </c>
      <c r="J39" s="12" t="str">
        <f t="shared" si="0"/>
        <v>* surgicalProcedureLeftNeckLevelsDissected 0..1 string ##34#Surgical procedure left neck levels dissected##34# ##334#Multiple selection all lymphatic levels defined by the Consensus published by Robbins et al  in 2002 treated must be choosen##334#</v>
      </c>
      <c r="L39" s="12" t="str">
        <f t="shared" si="1"/>
        <v>* surgicalProcedureLeftNeckLevelsDissected ^comment = ##334#String describing the lympathic levels##334#</v>
      </c>
    </row>
    <row r="40" spans="1:12" ht="29.5">
      <c r="A40" s="108">
        <v>30</v>
      </c>
      <c r="B40" s="2" t="s">
        <v>2279</v>
      </c>
      <c r="C40" s="2" t="s">
        <v>2034</v>
      </c>
      <c r="D40" s="2" t="s">
        <v>2035</v>
      </c>
      <c r="E40">
        <v>0</v>
      </c>
      <c r="F40">
        <v>1</v>
      </c>
      <c r="G40" t="s">
        <v>1</v>
      </c>
      <c r="H40" s="2" t="s">
        <v>2036</v>
      </c>
      <c r="J40" s="12" t="str">
        <f t="shared" si="0"/>
        <v>* surgeryOnM 0..1 string ##34#Surgery on M##34# ##334#Describes whether surgery is performed to treat the Metastasis##334#</v>
      </c>
      <c r="L40" s="12" t="str">
        <f t="shared" si="1"/>
        <v>* surgeryOnM ^comment = ##334#A string describing whether the surgery on metastasis was performed or not##334#</v>
      </c>
    </row>
    <row r="41" spans="1:12" ht="29.5">
      <c r="A41" s="108"/>
      <c r="B41" s="112" t="s">
        <v>2280</v>
      </c>
      <c r="C41" s="112" t="s">
        <v>2037</v>
      </c>
      <c r="D41" s="112" t="s">
        <v>2037</v>
      </c>
      <c r="E41" s="77">
        <v>0</v>
      </c>
      <c r="F41" s="77">
        <v>1</v>
      </c>
      <c r="G41" s="112" t="s">
        <v>2</v>
      </c>
      <c r="J41" s="12" t="str">
        <f t="shared" si="0"/>
        <v>* siteOfSurgeryOnMetastasis 0..1 BackboneElement ##34#Site of surgery on metastasis##34# ##334#Site of surgery on metastasis##334#</v>
      </c>
      <c r="L41" s="12" t="str">
        <f t="shared" si="1"/>
        <v/>
      </c>
    </row>
    <row r="42" spans="1:12" ht="44.25">
      <c r="A42" s="108">
        <v>31</v>
      </c>
      <c r="B42" s="2" t="s">
        <v>2281</v>
      </c>
      <c r="C42" s="112" t="s">
        <v>2038</v>
      </c>
      <c r="D42" s="2" t="s">
        <v>2039</v>
      </c>
      <c r="E42">
        <v>0</v>
      </c>
      <c r="F42">
        <v>1</v>
      </c>
      <c r="G42" s="77" t="s">
        <v>1</v>
      </c>
      <c r="J42" s="12" t="str">
        <f t="shared" si="0"/>
        <v>* siteOfSurgeryOnMetastasisSoftTissue 0..1 string ##34#Site of surgery on metastasis soft tissue##34# ##334#Describes if site of surgery on metastasis  is soft tissue##334#</v>
      </c>
      <c r="L42" s="12" t="str">
        <f t="shared" si="1"/>
        <v/>
      </c>
    </row>
    <row r="43" spans="1:12" ht="44.25">
      <c r="A43" s="108">
        <v>32</v>
      </c>
      <c r="B43" s="2" t="s">
        <v>2282</v>
      </c>
      <c r="C43" s="112" t="s">
        <v>2040</v>
      </c>
      <c r="D43" s="2" t="s">
        <v>2041</v>
      </c>
      <c r="E43">
        <v>0</v>
      </c>
      <c r="F43">
        <v>1</v>
      </c>
      <c r="G43" s="77" t="s">
        <v>1</v>
      </c>
      <c r="J43" s="12" t="str">
        <f t="shared" si="0"/>
        <v>* siteOfSurgeryOnMetastasisDistantLymphNodes 0..1 string ##34#Site of surgery on metastasis distant lymph nodes##34# ##334#Describes if site of surgery on metastasis  is dystan lymph node##334#</v>
      </c>
      <c r="L43" s="12" t="str">
        <f t="shared" si="1"/>
        <v/>
      </c>
    </row>
    <row r="44" spans="1:12" ht="44.25">
      <c r="A44" s="108">
        <v>33</v>
      </c>
      <c r="B44" s="2" t="s">
        <v>2283</v>
      </c>
      <c r="C44" s="112" t="s">
        <v>2042</v>
      </c>
      <c r="D44" s="2" t="s">
        <v>2043</v>
      </c>
      <c r="E44">
        <v>0</v>
      </c>
      <c r="F44">
        <v>1</v>
      </c>
      <c r="G44" s="77" t="s">
        <v>1</v>
      </c>
      <c r="J44" s="12" t="str">
        <f t="shared" si="0"/>
        <v>* siteOfSurgeryOnMetastasisLung 0..1 string ##34#Site of surgery on metastasis lung##34# ##334#Describes if site of surgery on metastasis  is lung##334#</v>
      </c>
      <c r="L44" s="12" t="str">
        <f t="shared" si="1"/>
        <v/>
      </c>
    </row>
    <row r="45" spans="1:12" ht="44.25">
      <c r="A45" s="108">
        <v>34</v>
      </c>
      <c r="B45" s="2" t="s">
        <v>2284</v>
      </c>
      <c r="C45" s="112" t="s">
        <v>2044</v>
      </c>
      <c r="D45" s="2" t="s">
        <v>2045</v>
      </c>
      <c r="E45">
        <v>0</v>
      </c>
      <c r="F45">
        <v>1</v>
      </c>
      <c r="G45" s="77" t="s">
        <v>1</v>
      </c>
      <c r="J45" s="12" t="str">
        <f t="shared" si="0"/>
        <v>* siteOfSurgeryOnMetastasisBone 0..1 string ##34#Site of surgery on metastasis bone##34# ##334#Describes if site of surgery on metastasis  is bone##334#</v>
      </c>
      <c r="L45" s="12" t="str">
        <f t="shared" si="1"/>
        <v/>
      </c>
    </row>
    <row r="46" spans="1:12" ht="44.25">
      <c r="A46" s="108">
        <v>35</v>
      </c>
      <c r="B46" s="2" t="s">
        <v>2285</v>
      </c>
      <c r="C46" s="112" t="s">
        <v>2046</v>
      </c>
      <c r="D46" s="2" t="s">
        <v>2047</v>
      </c>
      <c r="E46">
        <v>0</v>
      </c>
      <c r="F46">
        <v>1</v>
      </c>
      <c r="G46" s="77" t="s">
        <v>1</v>
      </c>
      <c r="J46" s="12" t="str">
        <f t="shared" si="0"/>
        <v>* siteOfSurgeryOnMetastasisLiver 0..1 string ##34#Site of surgery on metastasis liver##34# ##334#Describes if site of surgery on metastasis  is liver##334#</v>
      </c>
      <c r="L46" s="12" t="str">
        <f t="shared" si="1"/>
        <v/>
      </c>
    </row>
    <row r="47" spans="1:12" ht="44.25">
      <c r="A47" s="108">
        <v>36</v>
      </c>
      <c r="B47" s="2" t="s">
        <v>2286</v>
      </c>
      <c r="C47" s="112" t="s">
        <v>2048</v>
      </c>
      <c r="D47" s="2" t="s">
        <v>2049</v>
      </c>
      <c r="E47">
        <v>0</v>
      </c>
      <c r="F47">
        <v>1</v>
      </c>
      <c r="G47" s="77" t="s">
        <v>1</v>
      </c>
      <c r="J47" s="12" t="str">
        <f t="shared" si="0"/>
        <v>* siteOfSurgeryOnMetastasisPleura 0..1 string ##34#Site of surgery on metastasis pleura##34# ##334#Describes if site of surgery on metastasis  is pleura##334#</v>
      </c>
      <c r="L47" s="12" t="str">
        <f t="shared" si="1"/>
        <v/>
      </c>
    </row>
    <row r="48" spans="1:12" ht="44.25">
      <c r="A48" s="108">
        <v>37</v>
      </c>
      <c r="B48" s="2" t="s">
        <v>2287</v>
      </c>
      <c r="C48" s="112" t="s">
        <v>2050</v>
      </c>
      <c r="D48" s="2" t="s">
        <v>2051</v>
      </c>
      <c r="E48">
        <v>0</v>
      </c>
      <c r="F48">
        <v>1</v>
      </c>
      <c r="G48" s="77" t="s">
        <v>1</v>
      </c>
      <c r="J48" s="12" t="str">
        <f t="shared" si="0"/>
        <v>* siteOfSurgeryOnMetastasisPeritoneum 0..1 string ##34#Site of surgery on metastasis peritoneum##34# ##334#Describes if site of surgery on metastasis  is peritoneum##334#</v>
      </c>
      <c r="L48" s="12" t="str">
        <f t="shared" si="1"/>
        <v/>
      </c>
    </row>
    <row r="49" spans="1:12" ht="44.25">
      <c r="A49" s="108">
        <v>38</v>
      </c>
      <c r="B49" s="2" t="s">
        <v>2288</v>
      </c>
      <c r="C49" s="112" t="s">
        <v>2052</v>
      </c>
      <c r="D49" s="2" t="s">
        <v>2053</v>
      </c>
      <c r="E49">
        <v>0</v>
      </c>
      <c r="F49">
        <v>1</v>
      </c>
      <c r="G49" s="77" t="s">
        <v>1</v>
      </c>
      <c r="J49" s="12" t="str">
        <f t="shared" si="0"/>
        <v>* siteOfSurgeryOnMetastasisBrain 0..1 string ##34#Site of surgery on metastasis brain##34# ##334#Describes if site of surgery on metastasis  is brain##334#</v>
      </c>
      <c r="L49" s="12" t="str">
        <f t="shared" si="1"/>
        <v/>
      </c>
    </row>
    <row r="50" spans="1:12" ht="44.25">
      <c r="A50" s="108">
        <v>39</v>
      </c>
      <c r="B50" s="2" t="s">
        <v>2289</v>
      </c>
      <c r="C50" s="112" t="s">
        <v>2054</v>
      </c>
      <c r="D50" s="2" t="s">
        <v>2055</v>
      </c>
      <c r="E50">
        <v>0</v>
      </c>
      <c r="F50">
        <v>1</v>
      </c>
      <c r="G50" s="77" t="s">
        <v>1</v>
      </c>
      <c r="J50" s="12" t="str">
        <f t="shared" si="0"/>
        <v>* siteOfSurgeryOnMetastasisOtherViscera 0..1 string ##34#Site of surgery on metastasis other viscera##34# ##334#Describes if site of surgery on metastasis  is other viscera##334#</v>
      </c>
      <c r="L50" s="12" t="str">
        <f t="shared" si="1"/>
        <v/>
      </c>
    </row>
    <row r="51" spans="1:12" ht="44.25">
      <c r="A51" s="108">
        <v>40</v>
      </c>
      <c r="B51" s="2" t="s">
        <v>2290</v>
      </c>
      <c r="C51" s="112" t="s">
        <v>2056</v>
      </c>
      <c r="D51" s="2" t="s">
        <v>2057</v>
      </c>
      <c r="E51">
        <v>0</v>
      </c>
      <c r="F51">
        <v>1</v>
      </c>
      <c r="G51" s="77" t="s">
        <v>1</v>
      </c>
      <c r="J51" s="12" t="str">
        <f t="shared" si="0"/>
        <v>* siteOfSurgeryOnMetastasisUnknown 0..1 string ##34#Site of surgery on metastasis unknown##34# ##334#Describes if site of surgery on metastasis  is unknown##334#</v>
      </c>
      <c r="L51" s="12" t="str">
        <f t="shared" si="1"/>
        <v/>
      </c>
    </row>
    <row r="52" spans="1:12" ht="44.25">
      <c r="A52" s="108">
        <v>41</v>
      </c>
      <c r="B52" s="115" t="s">
        <v>2291</v>
      </c>
      <c r="C52" s="2" t="s">
        <v>2058</v>
      </c>
      <c r="D52" s="2" t="s">
        <v>2059</v>
      </c>
      <c r="E52">
        <v>0</v>
      </c>
      <c r="F52">
        <v>1</v>
      </c>
      <c r="G52" s="77" t="s">
        <v>164</v>
      </c>
      <c r="H52" s="2" t="s">
        <v>2060</v>
      </c>
      <c r="J52" s="12" t="str">
        <f t="shared" si="0"/>
        <v>* dateOfSurgeryOnMIfDifferentFromDateOfTumorSiteSurgery 0..1 date ##34#Date of surgery on M  if different from date of tumor site surgery##34# ##334#Date of the surgery on the metastasis##334#</v>
      </c>
      <c r="L52" s="12" t="str">
        <f t="shared" si="1"/>
        <v>* dateOfSurgeryOnMIfDifferentFromDateOfTumorSiteSurgery ^comment = ##334#A date##334#</v>
      </c>
    </row>
    <row r="53" spans="1:12" ht="44.25">
      <c r="A53" s="108">
        <v>42</v>
      </c>
      <c r="B53" s="113" t="s">
        <v>2407</v>
      </c>
      <c r="C53" s="2" t="s">
        <v>2061</v>
      </c>
      <c r="D53" s="2" t="s">
        <v>2062</v>
      </c>
      <c r="E53">
        <v>0</v>
      </c>
      <c r="F53">
        <v>1</v>
      </c>
      <c r="G53" t="s">
        <v>1</v>
      </c>
      <c r="H53" s="2" t="s">
        <v>2063</v>
      </c>
      <c r="J53" s="12" t="str">
        <f t="shared" si="0"/>
        <v>* surgicalWorstComplications 0..1 string ##34#Surgical complications ClavienDindo Classification please select the worst one##34# ##334#Describes presence and grade of complications after a surgical procedure ##334#</v>
      </c>
      <c r="L53" s="12" t="str">
        <f t="shared" si="1"/>
        <v>* surgicalWorstComplications ^comment = ##334#A string describing the presence and grade of complications after a surgical procedure Rank1##334#</v>
      </c>
    </row>
    <row r="54" spans="1:12" ht="59">
      <c r="A54" s="108">
        <v>43</v>
      </c>
      <c r="B54" s="113" t="s">
        <v>2408</v>
      </c>
      <c r="C54" s="2" t="s">
        <v>2064</v>
      </c>
      <c r="D54" s="2" t="s">
        <v>2062</v>
      </c>
      <c r="E54">
        <v>0</v>
      </c>
      <c r="F54">
        <v>1</v>
      </c>
      <c r="G54" t="s">
        <v>1</v>
      </c>
      <c r="H54" s="2" t="s">
        <v>2065</v>
      </c>
      <c r="J54" s="12" t="str">
        <f t="shared" si="0"/>
        <v>* surgical2ndWorstComplications 0..1 string ##34#Surgical complications ClavienDindo Classification 2 complications please select the 2 worst one##34# ##334#Describes presence and grade of complications after a surgical procedure ##334#</v>
      </c>
      <c r="L54" s="12" t="str">
        <f t="shared" si="1"/>
        <v>* surgical2ndWorstComplications ^comment = ##334#A string describing the presence and grade of complications after a surgical procedure Rank2##334#</v>
      </c>
    </row>
    <row r="55" spans="1:12" ht="73.75">
      <c r="A55" s="108">
        <v>44</v>
      </c>
      <c r="B55" s="115" t="s">
        <v>2292</v>
      </c>
      <c r="C55" s="2" t="s">
        <v>2066</v>
      </c>
      <c r="D55" s="2" t="s">
        <v>2067</v>
      </c>
      <c r="E55">
        <v>0</v>
      </c>
      <c r="F55">
        <v>1</v>
      </c>
      <c r="G55" t="s">
        <v>1</v>
      </c>
      <c r="H55" s="2" t="s">
        <v>2068</v>
      </c>
      <c r="J55" s="12" t="str">
        <f t="shared" si="0"/>
        <v>* unplannedSurgery 0..1 string ##34#Unplanned surgery##34# ##334#Describes whether an unplanned surgery was performed with radical intention after the first one that was not completed  inappropriate Please do not include here the surgery performed to treat a complication of the first intervention eg bleeding##334#</v>
      </c>
      <c r="L55" s="12" t="str">
        <f t="shared" si="1"/>
        <v>* unplannedSurgery ^comment = ##334#A  string describing whether an unplanned surgery was performed with radical intention after the first one that was not completed  inappropriate ##334#</v>
      </c>
    </row>
    <row r="56" spans="1:12" ht="29.5">
      <c r="A56" s="108">
        <v>45</v>
      </c>
      <c r="B56" s="115" t="s">
        <v>2293</v>
      </c>
      <c r="C56" s="2" t="s">
        <v>2069</v>
      </c>
      <c r="D56" s="2" t="s">
        <v>2070</v>
      </c>
      <c r="E56">
        <v>0</v>
      </c>
      <c r="F56">
        <v>1</v>
      </c>
      <c r="G56" s="77" t="s">
        <v>164</v>
      </c>
      <c r="H56" s="2" t="s">
        <v>2060</v>
      </c>
      <c r="J56" s="12" t="str">
        <f t="shared" si="0"/>
        <v>* dateOfUnplannedSurgery 0..1 date ##34#Date of unplanned surgery##34# ##334#Date of the unplanned surgery##334#</v>
      </c>
      <c r="L56" s="12" t="str">
        <f t="shared" si="1"/>
        <v>* dateOfUnplannedSurgery ^comment = ##334#A date##334#</v>
      </c>
    </row>
    <row r="57" spans="1:12" ht="177">
      <c r="A57" s="108">
        <v>46</v>
      </c>
      <c r="B57" s="115" t="s">
        <v>2294</v>
      </c>
      <c r="C57" s="2" t="s">
        <v>2071</v>
      </c>
      <c r="D57" s="2" t="s">
        <v>1877</v>
      </c>
      <c r="E57">
        <v>0</v>
      </c>
      <c r="F57">
        <v>1</v>
      </c>
      <c r="G57" t="s">
        <v>1</v>
      </c>
      <c r="H57" s="2" t="s">
        <v>2072</v>
      </c>
      <c r="J57" s="12" t="str">
        <f t="shared" si="0"/>
        <v>* marginsAfterUnplannedSurgery 0..1 string ##34#Margins after unplanned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57" s="12" t="str">
        <f t="shared" si="1"/>
        <v>* marginsAfterUnplannedSurgery ^comment = ##334#A  string describing the surgery margins after unplanned##334#</v>
      </c>
    </row>
    <row r="58" spans="1:12" ht="44.25">
      <c r="A58" s="108">
        <v>47</v>
      </c>
      <c r="B58" s="115" t="s">
        <v>2295</v>
      </c>
      <c r="C58" s="2" t="s">
        <v>2073</v>
      </c>
      <c r="D58" s="2" t="s">
        <v>2074</v>
      </c>
      <c r="E58">
        <v>0</v>
      </c>
      <c r="F58">
        <v>1</v>
      </c>
      <c r="G58" t="s">
        <v>1</v>
      </c>
      <c r="H58" s="2" t="s">
        <v>2075</v>
      </c>
      <c r="J58" s="12" t="str">
        <f t="shared" si="0"/>
        <v>* unplannedNeckSurgery 0..1 string ##34#Unplanned neck surgery##34# ##334#Describes whether an unplanned surgical procedure to treat and address the neck was performed or not ##334#</v>
      </c>
      <c r="L58" s="12" t="str">
        <f t="shared" si="1"/>
        <v>* unplannedNeckSurgery ^comment = ##334#A string describing whether an unplanned surgical procedure to treat and address the neck was performed or not ##334#</v>
      </c>
    </row>
    <row r="59" spans="1:12" ht="29.5">
      <c r="A59" s="108">
        <v>48</v>
      </c>
      <c r="B59" s="115" t="s">
        <v>2296</v>
      </c>
      <c r="C59" s="2" t="s">
        <v>2076</v>
      </c>
      <c r="D59" s="112" t="s">
        <v>2076</v>
      </c>
      <c r="E59">
        <v>0</v>
      </c>
      <c r="F59">
        <v>1</v>
      </c>
      <c r="G59" t="s">
        <v>2</v>
      </c>
      <c r="J59" s="12" t="str">
        <f t="shared" si="0"/>
        <v>* systemicTreament 0..1 BackboneElement ##34#Systemic Treament##34# ##334#Systemic Treament##334#</v>
      </c>
      <c r="L59" s="12" t="str">
        <f t="shared" si="1"/>
        <v/>
      </c>
    </row>
    <row r="60" spans="1:12" ht="59">
      <c r="A60" s="108">
        <v>49</v>
      </c>
      <c r="B60" s="115" t="s">
        <v>2297</v>
      </c>
      <c r="C60" s="2" t="s">
        <v>2077</v>
      </c>
      <c r="D60" s="2" t="s">
        <v>2078</v>
      </c>
      <c r="E60">
        <v>0</v>
      </c>
      <c r="F60">
        <v>1</v>
      </c>
      <c r="G60" t="s">
        <v>1</v>
      </c>
      <c r="J60" s="12" t="str">
        <f t="shared" si="0"/>
        <v>* systemicTreatmentPerformed 0..1 string ##34#Systemic treatment performed ##34# ##334#Describes whether or not a systemic treatment ie chemotherapy target therapy immuntherapy was performed and whether it was performed at the registering hospital or another hospital##334#</v>
      </c>
      <c r="L60" s="12" t="str">
        <f t="shared" si="1"/>
        <v/>
      </c>
    </row>
    <row r="61" spans="1:12" ht="44.25">
      <c r="A61" s="108">
        <v>50</v>
      </c>
      <c r="B61" s="115" t="s">
        <v>2298</v>
      </c>
      <c r="C61" s="2" t="s">
        <v>2079</v>
      </c>
      <c r="D61" s="2" t="s">
        <v>2080</v>
      </c>
      <c r="E61">
        <v>0</v>
      </c>
      <c r="F61">
        <v>1</v>
      </c>
      <c r="G61" t="s">
        <v>1</v>
      </c>
      <c r="J61" s="12" t="str">
        <f t="shared" si="0"/>
        <v>* chooseTheSingleTreatment 0..1 string ##34#Choose the single treatment##34# ##334#Select the type of systemic treatment administered It is possible to directly select the single treatment as appropriate##334#</v>
      </c>
      <c r="L61" s="12" t="str">
        <f t="shared" si="1"/>
        <v/>
      </c>
    </row>
    <row r="62" spans="1:12" ht="147.5">
      <c r="A62" s="108">
        <v>51</v>
      </c>
      <c r="B62" s="115" t="s">
        <v>2299</v>
      </c>
      <c r="C62" s="2" t="s">
        <v>2081</v>
      </c>
      <c r="D62" s="2" t="s">
        <v>2082</v>
      </c>
      <c r="E62">
        <v>0</v>
      </c>
      <c r="F62">
        <v>1</v>
      </c>
      <c r="G62" t="s">
        <v>1</v>
      </c>
      <c r="J62" s="12" t="str">
        <f t="shared" si="0"/>
        <v>* intent 0..1 string ##34#Intent##34# ##334#Clarifies the reasons why systemic therapy is administered
 Curative chemotherapy is chemotherapy administered with the goal of achieving a complete remission and preventing the recurrence of cancer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L62" s="12" t="str">
        <f t="shared" si="1"/>
        <v/>
      </c>
    </row>
    <row r="63" spans="1:12" ht="191.75">
      <c r="A63" s="108">
        <v>52</v>
      </c>
      <c r="B63" s="115" t="s">
        <v>2300</v>
      </c>
      <c r="C63" s="2" t="s">
        <v>2083</v>
      </c>
      <c r="D63" s="2" t="s">
        <v>2084</v>
      </c>
      <c r="E63">
        <v>0</v>
      </c>
      <c r="F63">
        <v>1</v>
      </c>
      <c r="G63" t="s">
        <v>1</v>
      </c>
      <c r="J63" s="12" t="str">
        <f t="shared" si="0"/>
        <v>* setting 0..1 string ##34#Setting ##34# ##334#clarifies the context  how the therapy was administered alone or in conjunction with other treatments
 Neoadjuvant treatment given as a first step to shrink a tumor before the main treatment which is usually surgery is given Examples of neoadjuvant therapy include chemotherapy radiation therapy and hormone therapy It is a type of induction therapy
 Adjuvant additional cancer treatment given after the primary treatment to lower the risk that the cancer will come back Adjuvant therapy may include chemotherapy radiation therapy hormone therapy targeted therapy or biological therapy
 Concomitantconcurrent A treatment that is given at the same time as another es Chemotherapy  radiotherapy
##334#</v>
      </c>
      <c r="L63" s="12" t="str">
        <f t="shared" si="1"/>
        <v/>
      </c>
    </row>
    <row r="64" spans="1:12" ht="29.5">
      <c r="A64" s="108">
        <v>53</v>
      </c>
      <c r="B64" s="115" t="s">
        <v>2301</v>
      </c>
      <c r="C64" s="2" t="s">
        <v>2085</v>
      </c>
      <c r="D64" s="2" t="s">
        <v>2086</v>
      </c>
      <c r="E64">
        <v>0</v>
      </c>
      <c r="F64">
        <v>1</v>
      </c>
      <c r="G64" s="112" t="s">
        <v>164</v>
      </c>
      <c r="J64" s="12" t="str">
        <f t="shared" si="0"/>
        <v>* startDateSystemicTreatment 0..1 date ##34#Start date systemic treatment##34# ##334#Specifies when systemic treatment begins##334#</v>
      </c>
      <c r="L64" s="12" t="str">
        <f t="shared" si="1"/>
        <v/>
      </c>
    </row>
    <row r="65" spans="1:12" ht="44.25">
      <c r="A65" s="108">
        <v>54</v>
      </c>
      <c r="B65" s="115" t="s">
        <v>2302</v>
      </c>
      <c r="C65" s="2" t="s">
        <v>2087</v>
      </c>
      <c r="D65" s="2" t="s">
        <v>2088</v>
      </c>
      <c r="E65">
        <v>0</v>
      </c>
      <c r="F65">
        <v>1</v>
      </c>
      <c r="G65" s="112" t="s">
        <v>164</v>
      </c>
      <c r="J65" s="12" t="str">
        <f t="shared" si="0"/>
        <v>* startDateSystemicTreatmentDayUnknown 0..1 date ##34#Start date systemic treatment  day unknown##34# ##334#Describes if the day of start systemic treatment is unknwon##334#</v>
      </c>
      <c r="L65" s="12" t="str">
        <f t="shared" si="1"/>
        <v/>
      </c>
    </row>
    <row r="66" spans="1:12" ht="29.5">
      <c r="A66" s="108">
        <v>55</v>
      </c>
      <c r="B66" s="115" t="s">
        <v>2303</v>
      </c>
      <c r="C66" s="2" t="s">
        <v>2089</v>
      </c>
      <c r="D66" s="2" t="s">
        <v>2090</v>
      </c>
      <c r="E66">
        <v>0</v>
      </c>
      <c r="F66">
        <v>1</v>
      </c>
      <c r="G66" s="112" t="s">
        <v>164</v>
      </c>
      <c r="J66" s="12" t="str">
        <f t="shared" si="0"/>
        <v>* endDateSystemicTreatment 0..1 date ##34#End date systemic treatment##34# ##334#Specifies when systemic treatment ends##334#</v>
      </c>
      <c r="L66" s="12" t="str">
        <f t="shared" si="1"/>
        <v/>
      </c>
    </row>
    <row r="67" spans="1:12" ht="44.25">
      <c r="A67" s="108">
        <v>56</v>
      </c>
      <c r="B67" s="115" t="s">
        <v>2304</v>
      </c>
      <c r="C67" s="2" t="s">
        <v>2091</v>
      </c>
      <c r="D67" s="2" t="s">
        <v>2092</v>
      </c>
      <c r="E67">
        <v>0</v>
      </c>
      <c r="F67">
        <v>1</v>
      </c>
      <c r="G67" s="112" t="s">
        <v>164</v>
      </c>
      <c r="J67" s="12" t="str">
        <f t="shared" si="0"/>
        <v>* endDateSystemicTreatmentDayUnknown 0..1 date ##34#End date systemic treatment  day unknown##34# ##334#Describes if the day of end of systemic treatment is unknwon##334#</v>
      </c>
      <c r="L67" s="12" t="str">
        <f t="shared" si="1"/>
        <v/>
      </c>
    </row>
    <row r="68" spans="1:12" ht="88.5">
      <c r="A68" s="108">
        <v>57</v>
      </c>
      <c r="B68" s="115" t="s">
        <v>2305</v>
      </c>
      <c r="C68" s="2" t="s">
        <v>2093</v>
      </c>
      <c r="D68" s="2" t="s">
        <v>2094</v>
      </c>
      <c r="E68">
        <v>0</v>
      </c>
      <c r="F68">
        <v>1</v>
      </c>
      <c r="G68" t="s">
        <v>1631</v>
      </c>
      <c r="J68" s="12" t="str">
        <f t="shared" si="0"/>
        <v>* numberOfCyclesAdministrations 0..1 integer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L68" s="12" t="str">
        <f t="shared" si="1"/>
        <v/>
      </c>
    </row>
    <row r="69" spans="1:12" ht="59">
      <c r="A69" s="108">
        <v>58</v>
      </c>
      <c r="B69" s="115" t="s">
        <v>2306</v>
      </c>
      <c r="C69" s="2" t="s">
        <v>2095</v>
      </c>
      <c r="D69" s="2" t="s">
        <v>2096</v>
      </c>
      <c r="E69">
        <v>0</v>
      </c>
      <c r="F69">
        <v>1</v>
      </c>
      <c r="G69" s="77" t="s">
        <v>2</v>
      </c>
      <c r="J69" s="12" t="str">
        <f t="shared" si="0"/>
        <v>* regimen 0..1 BackboneElement ##34#Regimen##34# ##334#specifies the systemic treatment drug from a predefined list If one or more drugs used are not present in the predefined list add them in the Drug 1 Drug 2 Drug 3 variables You can add up to 3 drugs not included in the predefined list##334#</v>
      </c>
      <c r="L69" s="12" t="str">
        <f t="shared" si="1"/>
        <v/>
      </c>
    </row>
    <row r="70" spans="1:12" ht="29.5">
      <c r="A70" s="108">
        <v>59</v>
      </c>
      <c r="B70" s="115" t="s">
        <v>2307</v>
      </c>
      <c r="C70" s="2" t="s">
        <v>2097</v>
      </c>
      <c r="D70" s="2" t="s">
        <v>2098</v>
      </c>
      <c r="E70">
        <v>0</v>
      </c>
      <c r="F70">
        <v>1</v>
      </c>
      <c r="G70" s="112" t="s">
        <v>1</v>
      </c>
      <c r="J70" s="12" t="str">
        <f t="shared" si="0"/>
        <v>* drugs1 0..1 string ##34#Drugs 1##34# ##334#autosuggested functionality for realtime searching within biomedical ontologies##334#</v>
      </c>
      <c r="L70" s="12" t="str">
        <f t="shared" si="1"/>
        <v/>
      </c>
    </row>
    <row r="71" spans="1:12" ht="29.5">
      <c r="A71" s="108">
        <v>60</v>
      </c>
      <c r="B71" s="115" t="s">
        <v>2308</v>
      </c>
      <c r="C71" s="2" t="s">
        <v>2099</v>
      </c>
      <c r="D71" s="2" t="s">
        <v>2098</v>
      </c>
      <c r="E71">
        <v>0</v>
      </c>
      <c r="F71">
        <v>1</v>
      </c>
      <c r="G71" s="112" t="s">
        <v>1</v>
      </c>
      <c r="J71" s="12" t="str">
        <f t="shared" si="0"/>
        <v>* drugs2 0..1 string ##34#Drugs 2##34# ##334#autosuggested functionality for realtime searching within biomedical ontologies##334#</v>
      </c>
      <c r="L71" s="12" t="str">
        <f t="shared" si="1"/>
        <v/>
      </c>
    </row>
    <row r="72" spans="1:12" ht="29.5">
      <c r="A72" s="108">
        <v>61</v>
      </c>
      <c r="B72" s="115" t="s">
        <v>2309</v>
      </c>
      <c r="C72" s="2" t="s">
        <v>2100</v>
      </c>
      <c r="D72" s="2" t="s">
        <v>2098</v>
      </c>
      <c r="E72">
        <v>0</v>
      </c>
      <c r="F72">
        <v>1</v>
      </c>
      <c r="G72" s="112" t="s">
        <v>1</v>
      </c>
      <c r="J72" s="12" t="str">
        <f t="shared" ref="J72:J135" si="2">CONCATENATE("* ",B72, " ",E72,"..",F72," ",G72," ##34#",C72,"##34# ##334#",D72,"##334#")</f>
        <v>* drugs3 0..1 string ##34#Drugs 3##34# ##334#autosuggested functionality for realtime searching within biomedical ontologies##334#</v>
      </c>
      <c r="L72" s="12" t="str">
        <f t="shared" si="1"/>
        <v/>
      </c>
    </row>
    <row r="73" spans="1:12" ht="44.25">
      <c r="A73" s="108">
        <v>62</v>
      </c>
      <c r="B73" s="115" t="s">
        <v>2310</v>
      </c>
      <c r="C73" s="2" t="s">
        <v>2101</v>
      </c>
      <c r="D73" s="2" t="s">
        <v>2102</v>
      </c>
      <c r="E73">
        <v>0</v>
      </c>
      <c r="F73">
        <v>1</v>
      </c>
      <c r="G73" s="112" t="s">
        <v>1</v>
      </c>
      <c r="J73" s="12" t="str">
        <f t="shared" si="2"/>
        <v>* plasmaticEbvDnaDuringSystemicTreatment 0..1 string ##34#Plasmatic EBV DNA during systemic treatment##34# ##334#Describes the result of EBV DNA plasma testing during treatment in NPC type II and III WHO##334#</v>
      </c>
      <c r="L73" s="12" t="str">
        <f t="shared" ref="L73:L136" si="3">IF(H73="",IF(J73="*  ..  ##34###34# ##334###334#",J73,""),IF(J73="*  ..  ##34###34# ##334###334#",J73,CONCATENATE("* ",B73," ^comment = ##334#",H73,"##334#")))</f>
        <v/>
      </c>
    </row>
    <row r="74" spans="1:12" ht="29.5">
      <c r="A74" s="108">
        <v>63</v>
      </c>
      <c r="B74" s="115" t="s">
        <v>1701</v>
      </c>
      <c r="C74" s="2" t="s">
        <v>1588</v>
      </c>
      <c r="D74" s="2" t="s">
        <v>2103</v>
      </c>
      <c r="E74">
        <v>0</v>
      </c>
      <c r="F74">
        <v>1</v>
      </c>
      <c r="G74" t="s">
        <v>1</v>
      </c>
      <c r="J74" s="12" t="str">
        <f t="shared" si="2"/>
        <v>* primerType 0..1 string ##34#Primer type##34# ##334#Describes the primer used for EBV DNA plasma testing duringin NPC type II and Type III WHO##334#</v>
      </c>
      <c r="L74" s="12" t="str">
        <f t="shared" si="3"/>
        <v/>
      </c>
    </row>
    <row r="75" spans="1:12" ht="29.5">
      <c r="A75" s="108">
        <v>64</v>
      </c>
      <c r="B75" s="115" t="s">
        <v>1702</v>
      </c>
      <c r="C75" s="2" t="s">
        <v>876</v>
      </c>
      <c r="D75" s="2" t="s">
        <v>2104</v>
      </c>
      <c r="E75">
        <v>0</v>
      </c>
      <c r="F75">
        <v>1</v>
      </c>
      <c r="G75" t="s">
        <v>1631</v>
      </c>
      <c r="J75" s="12" t="str">
        <f t="shared" si="2"/>
        <v>* copyNumber 0..1 integer ##34#Copy Number##34# ##334#Copy number of EBVDNA in NPC##334#</v>
      </c>
      <c r="L75" s="12" t="str">
        <f t="shared" si="3"/>
        <v/>
      </c>
    </row>
    <row r="76" spans="1:12" ht="44.25">
      <c r="A76" s="108">
        <v>65</v>
      </c>
      <c r="B76" s="115" t="s">
        <v>2311</v>
      </c>
      <c r="C76" s="2" t="s">
        <v>2105</v>
      </c>
      <c r="D76" s="2" t="s">
        <v>2106</v>
      </c>
      <c r="E76">
        <v>0</v>
      </c>
      <c r="F76">
        <v>1</v>
      </c>
      <c r="G76" s="112" t="s">
        <v>1</v>
      </c>
      <c r="J76" s="12" t="str">
        <f t="shared" si="2"/>
        <v>* plasmaticEbvDnaAfterSystemicTreatment 0..1 string ##34#Plasmatic EBV DNA after systemic treatment##34# ##334#Describes the result of EBV DNA plasma testing after treatment in NPC type II and III WHO##334#</v>
      </c>
      <c r="L76" s="12" t="str">
        <f t="shared" si="3"/>
        <v/>
      </c>
    </row>
    <row r="77" spans="1:12" ht="44.25">
      <c r="A77" s="108">
        <v>66</v>
      </c>
      <c r="B77" s="113" t="s">
        <v>2402</v>
      </c>
      <c r="C77" s="2" t="s">
        <v>1588</v>
      </c>
      <c r="D77" s="2" t="s">
        <v>2107</v>
      </c>
      <c r="E77">
        <v>0</v>
      </c>
      <c r="F77">
        <v>1</v>
      </c>
      <c r="G77" t="s">
        <v>1</v>
      </c>
      <c r="J77" s="12" t="str">
        <f t="shared" si="2"/>
        <v>* afterTreatment-primerType 0..1 string ##34#Primer type##34# ##334#Describes the primer used for EBV DNA plasma testing after treatment in NPC type II and Type III WHO##334#</v>
      </c>
      <c r="L77" s="12" t="str">
        <f t="shared" si="3"/>
        <v/>
      </c>
    </row>
    <row r="78" spans="1:12" ht="29.5">
      <c r="A78" s="108">
        <v>67</v>
      </c>
      <c r="B78" s="113" t="s">
        <v>2405</v>
      </c>
      <c r="C78" s="2" t="s">
        <v>876</v>
      </c>
      <c r="D78" s="2" t="s">
        <v>2104</v>
      </c>
      <c r="E78">
        <v>0</v>
      </c>
      <c r="F78">
        <v>1</v>
      </c>
      <c r="G78" t="s">
        <v>1631</v>
      </c>
      <c r="J78" s="12" t="str">
        <f t="shared" si="2"/>
        <v>* afterTreatment-copyNumber 0..1 integer ##34#Copy Number##34# ##334#Copy number of EBVDNA in NPC##334#</v>
      </c>
      <c r="L78" s="12" t="str">
        <f t="shared" si="3"/>
        <v/>
      </c>
    </row>
    <row r="79" spans="1:12" ht="44.25">
      <c r="A79" s="108">
        <v>68</v>
      </c>
      <c r="B79" s="115" t="s">
        <v>2312</v>
      </c>
      <c r="C79" s="2" t="s">
        <v>2108</v>
      </c>
      <c r="D79" s="2" t="s">
        <v>2109</v>
      </c>
      <c r="E79">
        <v>0</v>
      </c>
      <c r="F79">
        <v>1</v>
      </c>
      <c r="G79" t="s">
        <v>1</v>
      </c>
      <c r="J79" s="12" t="str">
        <f t="shared" si="2"/>
        <v>* reasonForEndOfTreatment 0..1 string ##34#Reason for end of treatment##34# ##334#Clarifies the reasons why the treatment ended or was interrupted##334#</v>
      </c>
      <c r="L79" s="12" t="str">
        <f t="shared" si="3"/>
        <v/>
      </c>
    </row>
    <row r="80" spans="1:12" ht="29.5">
      <c r="A80" s="108">
        <v>69</v>
      </c>
      <c r="B80" s="115" t="s">
        <v>2313</v>
      </c>
      <c r="C80" s="2" t="s">
        <v>2110</v>
      </c>
      <c r="D80" s="2" t="s">
        <v>2111</v>
      </c>
      <c r="E80">
        <v>0</v>
      </c>
      <c r="F80">
        <v>1</v>
      </c>
      <c r="G80" t="s">
        <v>1</v>
      </c>
      <c r="J80" s="12" t="str">
        <f t="shared" si="2"/>
        <v>* regimenChanged 0..1 string ##34#Regimen changed##34# ##334#Clarifies if the regimen drug changed after a toxicity or a patient intolerance##334#</v>
      </c>
      <c r="L80" s="12" t="str">
        <f t="shared" si="3"/>
        <v/>
      </c>
    </row>
    <row r="81" spans="1:12" ht="73.75">
      <c r="A81" s="108">
        <v>70</v>
      </c>
      <c r="B81" s="113" t="s">
        <v>2393</v>
      </c>
      <c r="C81" s="2" t="s">
        <v>2112</v>
      </c>
      <c r="D81" s="2" t="s">
        <v>2113</v>
      </c>
      <c r="E81">
        <v>0</v>
      </c>
      <c r="F81">
        <v>1</v>
      </c>
      <c r="G81" s="77" t="s">
        <v>2</v>
      </c>
      <c r="J81" s="12" t="str">
        <f t="shared" si="2"/>
        <v>* regimenChanged-regimen 0..1 BackboneElement ##34#Regimen ##34# ##334#Clarifies the drug that was administred after a toxicity or a patient intolerance that required to change the previous drug f one or more drugs used are not present in the predefined list add them in the Drug 1 Drug 2 Drug 3 variables You can add up to 3 drugs not included in the predefined list##334#</v>
      </c>
      <c r="L81" s="12" t="str">
        <f t="shared" si="3"/>
        <v/>
      </c>
    </row>
    <row r="82" spans="1:12" ht="44.25">
      <c r="A82" s="108">
        <v>71</v>
      </c>
      <c r="B82" s="113" t="s">
        <v>2394</v>
      </c>
      <c r="C82" s="2" t="s">
        <v>2114</v>
      </c>
      <c r="D82" s="2" t="s">
        <v>2115</v>
      </c>
      <c r="E82">
        <v>0</v>
      </c>
      <c r="F82">
        <v>1</v>
      </c>
      <c r="G82" s="112" t="s">
        <v>1</v>
      </c>
      <c r="J82" s="12" t="str">
        <f t="shared" si="2"/>
        <v>* regimenChanged-otherDrug1 0..1 string ##34#Other Drug1##34# ##334#Specifies the drug if not present in the regimen list up to 3 selection##334#</v>
      </c>
      <c r="L82" s="12" t="str">
        <f t="shared" si="3"/>
        <v/>
      </c>
    </row>
    <row r="83" spans="1:12" ht="29.5">
      <c r="A83" s="108">
        <v>72</v>
      </c>
      <c r="B83" s="113" t="s">
        <v>2395</v>
      </c>
      <c r="C83" s="2" t="s">
        <v>2116</v>
      </c>
      <c r="D83" s="112" t="s">
        <v>2116</v>
      </c>
      <c r="E83">
        <v>0</v>
      </c>
      <c r="F83">
        <v>1</v>
      </c>
      <c r="G83" t="s">
        <v>2</v>
      </c>
      <c r="J83" s="12" t="str">
        <f t="shared" si="2"/>
        <v>* regimenChanged-otherDrug2 0..1 BackboneElement ##34#Other Drug2##34# ##334#Other Drug2##334#</v>
      </c>
      <c r="L83" s="12" t="str">
        <f t="shared" si="3"/>
        <v/>
      </c>
    </row>
    <row r="84" spans="1:12" ht="29.5">
      <c r="A84" s="108">
        <v>73</v>
      </c>
      <c r="B84" s="113" t="s">
        <v>2396</v>
      </c>
      <c r="C84" s="2" t="s">
        <v>2117</v>
      </c>
      <c r="D84" s="112" t="s">
        <v>2117</v>
      </c>
      <c r="E84">
        <v>0</v>
      </c>
      <c r="F84">
        <v>1</v>
      </c>
      <c r="G84" t="s">
        <v>2</v>
      </c>
      <c r="J84" s="12" t="str">
        <f t="shared" si="2"/>
        <v>* regimenChanged-otherDrug3 0..1 BackboneElement ##34#Other Drug3##34# ##334#Other Drug3##334#</v>
      </c>
      <c r="L84" s="12" t="str">
        <f t="shared" si="3"/>
        <v/>
      </c>
    </row>
    <row r="85" spans="1:12" ht="44.25">
      <c r="A85" s="108">
        <v>74</v>
      </c>
      <c r="B85" s="115" t="s">
        <v>2314</v>
      </c>
      <c r="C85" s="2" t="s">
        <v>2118</v>
      </c>
      <c r="D85" s="2" t="s">
        <v>2119</v>
      </c>
      <c r="E85">
        <v>0</v>
      </c>
      <c r="F85">
        <v>1</v>
      </c>
      <c r="G85" s="77" t="s">
        <v>164</v>
      </c>
      <c r="J85" s="12" t="str">
        <f t="shared" si="2"/>
        <v>* startDateRegimenChanged 0..1 date ##34#Start date regimen changed##34# ##334#specifies when the new systemic treatment begins if a combination please specify the start of the first drug##334#</v>
      </c>
      <c r="L85" s="12" t="str">
        <f t="shared" si="3"/>
        <v/>
      </c>
    </row>
    <row r="86" spans="1:12" ht="44.25">
      <c r="A86" s="108">
        <v>75</v>
      </c>
      <c r="B86" s="115" t="s">
        <v>2315</v>
      </c>
      <c r="C86" s="2" t="s">
        <v>2120</v>
      </c>
      <c r="D86" s="2" t="s">
        <v>2121</v>
      </c>
      <c r="E86">
        <v>0</v>
      </c>
      <c r="F86">
        <v>1</v>
      </c>
      <c r="G86" s="77" t="s">
        <v>164</v>
      </c>
      <c r="J86" s="12" t="str">
        <f t="shared" si="2"/>
        <v>* startDateRegimenChangedDayUnknown 0..1 date ##34#Start date regimen changed  day unknown##34# ##334#Describes if the day of the begining of the  new systemic treatment  is unknwon##334#</v>
      </c>
      <c r="L86" s="12" t="str">
        <f t="shared" si="3"/>
        <v/>
      </c>
    </row>
    <row r="87" spans="1:12" ht="44.25">
      <c r="A87" s="108">
        <v>76</v>
      </c>
      <c r="B87" s="115" t="s">
        <v>2316</v>
      </c>
      <c r="C87" s="2" t="s">
        <v>2122</v>
      </c>
      <c r="D87" s="2" t="s">
        <v>2123</v>
      </c>
      <c r="E87">
        <v>0</v>
      </c>
      <c r="F87">
        <v>1</v>
      </c>
      <c r="G87" s="77" t="s">
        <v>164</v>
      </c>
      <c r="J87" s="12" t="str">
        <f t="shared" si="2"/>
        <v>* endDateRegimenChanged 0..1 date ##34#End date regimen changed##34# ##334#specifies when the new  systemic treatment endsif a combination please specify the end of the last drug##334#</v>
      </c>
      <c r="L87" s="12" t="str">
        <f t="shared" si="3"/>
        <v/>
      </c>
    </row>
    <row r="88" spans="1:12" ht="44.25">
      <c r="A88" s="108">
        <v>77</v>
      </c>
      <c r="B88" s="115" t="s">
        <v>2317</v>
      </c>
      <c r="C88" s="2" t="s">
        <v>2124</v>
      </c>
      <c r="D88" s="2" t="s">
        <v>2125</v>
      </c>
      <c r="E88">
        <v>0</v>
      </c>
      <c r="F88">
        <v>1</v>
      </c>
      <c r="G88" s="77" t="s">
        <v>164</v>
      </c>
      <c r="J88" s="12" t="str">
        <f t="shared" si="2"/>
        <v>* endDateRegimenChangedDayUnknown 0..1 date ##34#End  date regimen changed  day unknown##34# ##334#Describes if the day of the end of the systemic treatment is unknwon##334#</v>
      </c>
      <c r="L88" s="12" t="str">
        <f t="shared" si="3"/>
        <v/>
      </c>
    </row>
    <row r="89" spans="1:12" ht="44.25">
      <c r="A89" s="108">
        <v>78</v>
      </c>
      <c r="B89" s="113" t="s">
        <v>2397</v>
      </c>
      <c r="C89" s="2" t="s">
        <v>2108</v>
      </c>
      <c r="D89" s="2" t="s">
        <v>2109</v>
      </c>
      <c r="E89">
        <v>0</v>
      </c>
      <c r="F89">
        <v>1</v>
      </c>
      <c r="G89" t="s">
        <v>1</v>
      </c>
      <c r="J89" s="12" t="str">
        <f t="shared" si="2"/>
        <v>* regimenChanged-reasonForEndOfTreatment 0..1 string ##34#Reason for end of treatment##34# ##334#Clarifies the reasons why the treatment ended or was interrupted##334#</v>
      </c>
      <c r="L89" s="12" t="str">
        <f t="shared" si="3"/>
        <v/>
      </c>
    </row>
    <row r="90" spans="1:12" ht="103.25">
      <c r="A90" s="108">
        <v>79</v>
      </c>
      <c r="B90" s="115" t="s">
        <v>2318</v>
      </c>
      <c r="C90" s="2" t="s">
        <v>2126</v>
      </c>
      <c r="D90" s="2" t="s">
        <v>2127</v>
      </c>
      <c r="E90">
        <v>0</v>
      </c>
      <c r="F90">
        <v>1</v>
      </c>
      <c r="G90" t="s">
        <v>1</v>
      </c>
      <c r="J90" s="12" t="str">
        <f t="shared" si="2"/>
        <v>* treatmentResponseBasedOnImagingAloneNoRecistOrOtherCriteria 0..1 string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L90" s="12" t="str">
        <f t="shared" si="3"/>
        <v/>
      </c>
    </row>
    <row r="91" spans="1:12" ht="44.25">
      <c r="A91" s="108">
        <v>80</v>
      </c>
      <c r="B91" s="115" t="s">
        <v>2319</v>
      </c>
      <c r="C91" s="2" t="s">
        <v>2128</v>
      </c>
      <c r="D91" s="2" t="s">
        <v>2129</v>
      </c>
      <c r="E91">
        <v>0</v>
      </c>
      <c r="F91">
        <v>1</v>
      </c>
      <c r="G91" t="s">
        <v>1</v>
      </c>
      <c r="J91" s="12" t="str">
        <f t="shared" si="2"/>
        <v>* treatmentResponseDefinedDone 0..1 string ##34#Treatment response defineddone##34# ##334#Describes whether the treatment response was assessed at the registering hospital or another hospital##334#</v>
      </c>
      <c r="L91" s="12" t="str">
        <f t="shared" si="3"/>
        <v/>
      </c>
    </row>
    <row r="92" spans="1:12" ht="29.5">
      <c r="A92" s="108">
        <v>81</v>
      </c>
      <c r="B92" s="115" t="s">
        <v>2320</v>
      </c>
      <c r="C92" s="2" t="s">
        <v>2130</v>
      </c>
      <c r="D92" s="2" t="s">
        <v>2131</v>
      </c>
      <c r="E92">
        <v>0</v>
      </c>
      <c r="F92">
        <v>1</v>
      </c>
      <c r="G92" t="s">
        <v>1</v>
      </c>
      <c r="J92" s="12" t="str">
        <f t="shared" si="2"/>
        <v>* systemicTreatment2 0..1 string ##34#Systemic treatment 2##34# ##334#Specifies if another systemic treatment was performed##334#</v>
      </c>
      <c r="L92" s="12" t="str">
        <f t="shared" si="3"/>
        <v/>
      </c>
    </row>
    <row r="93" spans="1:12">
      <c r="A93" s="108">
        <v>82</v>
      </c>
      <c r="B93" s="115" t="s">
        <v>2321</v>
      </c>
      <c r="C93" s="2" t="s">
        <v>2132</v>
      </c>
      <c r="D93" s="2"/>
      <c r="E93">
        <v>0</v>
      </c>
      <c r="F93">
        <v>1</v>
      </c>
      <c r="G93" t="s">
        <v>2</v>
      </c>
      <c r="J93" s="12" t="str">
        <f t="shared" si="2"/>
        <v>* radiotherapy 0..1 BackboneElement ##34#Radiotherapy##34# ##334###334#</v>
      </c>
      <c r="L93" s="12" t="str">
        <f t="shared" si="3"/>
        <v/>
      </c>
    </row>
    <row r="94" spans="1:12" ht="59">
      <c r="A94" s="108">
        <v>83</v>
      </c>
      <c r="B94" s="115" t="s">
        <v>2322</v>
      </c>
      <c r="C94" s="2" t="s">
        <v>2133</v>
      </c>
      <c r="D94" s="2" t="s">
        <v>2134</v>
      </c>
      <c r="E94">
        <v>0</v>
      </c>
      <c r="F94">
        <v>1</v>
      </c>
      <c r="G94" t="s">
        <v>1</v>
      </c>
      <c r="J94" s="12" t="str">
        <f t="shared" si="2"/>
        <v>* radiotherapywhere 0..1 string ##34#RadiotherapyWhere##34# ##334#Whether radiotherapy was delivered to a patient either curatively or palliatively and whether it was performed at the registering hospital or another hospital##334#</v>
      </c>
      <c r="L94" s="12" t="str">
        <f t="shared" si="3"/>
        <v/>
      </c>
    </row>
    <row r="95" spans="1:12" ht="44.25">
      <c r="A95" s="108">
        <v>84</v>
      </c>
      <c r="B95" s="120" t="s">
        <v>2406</v>
      </c>
      <c r="C95" s="2" t="s">
        <v>2081</v>
      </c>
      <c r="D95" s="2" t="s">
        <v>2135</v>
      </c>
      <c r="E95">
        <v>0</v>
      </c>
      <c r="F95">
        <v>1</v>
      </c>
      <c r="G95" t="s">
        <v>1</v>
      </c>
      <c r="J95" s="12" t="str">
        <f t="shared" si="2"/>
        <v>* intent-2 0..1 string ##34#Intent##34# ##334#Radiotherapy intent refers to whether the intention of treatment is to cure the patient or to treat symptoms and palliate##334#</v>
      </c>
      <c r="L95" s="12" t="str">
        <f t="shared" si="3"/>
        <v/>
      </c>
    </row>
    <row r="96" spans="1:12" ht="44.25">
      <c r="A96" s="108">
        <v>85</v>
      </c>
      <c r="B96" s="113" t="s">
        <v>2403</v>
      </c>
      <c r="C96" s="2" t="s">
        <v>2083</v>
      </c>
      <c r="D96" s="2" t="s">
        <v>2136</v>
      </c>
      <c r="E96">
        <v>0</v>
      </c>
      <c r="F96">
        <v>1</v>
      </c>
      <c r="G96" t="s">
        <v>1</v>
      </c>
      <c r="J96" s="12" t="str">
        <f t="shared" si="2"/>
        <v>* setting-2 0..1 string ##34#Setting ##34# ##334#Whether radiotherapy is delivered as the main treatment modality definitive or if it is delivered before or after another treatment such as surgery##334#</v>
      </c>
      <c r="L96" s="12" t="str">
        <f t="shared" si="3"/>
        <v/>
      </c>
    </row>
    <row r="97" spans="1:12" ht="59">
      <c r="A97" s="108">
        <v>86</v>
      </c>
      <c r="B97" s="115" t="s">
        <v>2323</v>
      </c>
      <c r="C97" s="2" t="s">
        <v>2137</v>
      </c>
      <c r="D97" s="2" t="s">
        <v>2138</v>
      </c>
      <c r="E97">
        <v>0</v>
      </c>
      <c r="F97">
        <v>1</v>
      </c>
      <c r="G97" t="s">
        <v>1</v>
      </c>
      <c r="J97" s="12" t="str">
        <f t="shared" si="2"/>
        <v>* postoperativeRadiotherapyIndications 0..1 string ##34#Postoperative Radiotherapy Indications##34# ##334#Describes the reason for adjuvant or postoperative radiotherapy after surgical treatment Positive margins refer to margins positive at the inked surface##334#</v>
      </c>
      <c r="L97" s="12" t="str">
        <f t="shared" si="3"/>
        <v/>
      </c>
    </row>
    <row r="98" spans="1:12" ht="44.25">
      <c r="A98" s="108">
        <v>87</v>
      </c>
      <c r="B98" s="115" t="s">
        <v>2324</v>
      </c>
      <c r="C98" s="2" t="s">
        <v>2139</v>
      </c>
      <c r="D98" s="2" t="s">
        <v>2140</v>
      </c>
      <c r="E98">
        <v>0</v>
      </c>
      <c r="F98">
        <v>1</v>
      </c>
      <c r="G98" t="s">
        <v>1</v>
      </c>
      <c r="J98" s="12" t="str">
        <f t="shared" si="2"/>
        <v>* beamQuality 0..1 string ##34#Beam quality##34# ##334#Describes the type of radiation therapy given If external beam please specify if delivered with Photons most common electrons carbon or protons##334#</v>
      </c>
      <c r="L98" s="12" t="str">
        <f t="shared" si="3"/>
        <v/>
      </c>
    </row>
    <row r="99" spans="1:12" ht="29.5">
      <c r="A99" s="108">
        <v>88</v>
      </c>
      <c r="B99" s="113" t="s">
        <v>2398</v>
      </c>
      <c r="C99" s="2" t="s">
        <v>2141</v>
      </c>
      <c r="D99" s="2"/>
      <c r="E99">
        <v>0</v>
      </c>
      <c r="F99">
        <v>1</v>
      </c>
      <c r="G99" t="s">
        <v>2</v>
      </c>
      <c r="J99" s="12" t="str">
        <f t="shared" si="2"/>
        <v>* beamQuality-otherSpecify 0..1 BackboneElement ##34#Other specify ##34# ##334###334#</v>
      </c>
      <c r="L99" s="12" t="str">
        <f t="shared" si="3"/>
        <v/>
      </c>
    </row>
    <row r="100" spans="1:12" ht="29.5">
      <c r="A100" s="108">
        <v>89</v>
      </c>
      <c r="B100" s="115" t="s">
        <v>2326</v>
      </c>
      <c r="C100" s="2" t="s">
        <v>2142</v>
      </c>
      <c r="D100" s="2" t="s">
        <v>2143</v>
      </c>
      <c r="E100">
        <v>0</v>
      </c>
      <c r="F100">
        <v>1</v>
      </c>
      <c r="G100" t="s">
        <v>1</v>
      </c>
      <c r="J100" s="12" t="str">
        <f t="shared" si="2"/>
        <v>* treatmentTechnique 0..1 string ##34#Treatment technique##34# ##334#Refers to the type of radiotherapy treatment delivered##334#</v>
      </c>
      <c r="L100" s="12" t="str">
        <f t="shared" si="3"/>
        <v/>
      </c>
    </row>
    <row r="101" spans="1:12" ht="29.5">
      <c r="A101" s="108">
        <v>90</v>
      </c>
      <c r="B101" s="120" t="s">
        <v>2399</v>
      </c>
      <c r="C101" s="2" t="s">
        <v>2144</v>
      </c>
      <c r="D101" s="2"/>
      <c r="E101">
        <v>0</v>
      </c>
      <c r="F101">
        <v>1</v>
      </c>
      <c r="G101" t="s">
        <v>2</v>
      </c>
      <c r="J101" s="12" t="str">
        <f t="shared" si="2"/>
        <v>* treatmentTechnique-otherSpecify 0..1 BackboneElement ##34#Other specify##34# ##334###334#</v>
      </c>
      <c r="L101" s="12" t="str">
        <f t="shared" si="3"/>
        <v/>
      </c>
    </row>
    <row r="102" spans="1:12" ht="44.25">
      <c r="A102" s="108">
        <v>91</v>
      </c>
      <c r="B102" s="115" t="s">
        <v>2327</v>
      </c>
      <c r="C102" s="2" t="s">
        <v>2145</v>
      </c>
      <c r="D102" s="2" t="s">
        <v>2146</v>
      </c>
      <c r="E102">
        <v>0</v>
      </c>
      <c r="F102">
        <v>1</v>
      </c>
      <c r="G102" t="s">
        <v>1</v>
      </c>
      <c r="J102" s="12" t="str">
        <f t="shared" si="2"/>
        <v>* boostType 0..1 string ##34#Boost type##34# ##334#Refers to whether the boost dose given was done after the initial dose was delivered sequential or if the dose was delivered simultaneously with the initial dose##334#</v>
      </c>
      <c r="L102" s="12" t="str">
        <f t="shared" si="3"/>
        <v/>
      </c>
    </row>
    <row r="103" spans="1:12" ht="73.75">
      <c r="A103" s="108">
        <v>92</v>
      </c>
      <c r="B103" s="115" t="s">
        <v>2328</v>
      </c>
      <c r="C103" s="2" t="s">
        <v>2147</v>
      </c>
      <c r="D103" s="2" t="s">
        <v>2148</v>
      </c>
      <c r="E103">
        <v>0</v>
      </c>
      <c r="F103">
        <v>1</v>
      </c>
      <c r="G103" t="s">
        <v>1</v>
      </c>
      <c r="J103" s="12" t="str">
        <f t="shared" si="2"/>
        <v>* treatmentPlan 0..1 string ##34#Treatment Plan##34# ##334#Refers to whether the plan is a single plan with multiple doses delivered during the same plan or if there is a sequential boost plan Finally if the radiotherapy was adapted or changed due to change in the patients tumor or anatomy this is referred to as adaptive planning##334#</v>
      </c>
      <c r="L103" s="12" t="str">
        <f t="shared" si="3"/>
        <v/>
      </c>
    </row>
    <row r="104" spans="1:12" ht="29.5">
      <c r="A104" s="108">
        <v>93</v>
      </c>
      <c r="B104" s="115" t="s">
        <v>2329</v>
      </c>
      <c r="C104" s="2" t="s">
        <v>2149</v>
      </c>
      <c r="D104" s="2" t="s">
        <v>2150</v>
      </c>
      <c r="E104">
        <v>0</v>
      </c>
      <c r="F104">
        <v>1</v>
      </c>
      <c r="G104" s="77" t="s">
        <v>2151</v>
      </c>
      <c r="J104" s="12" t="str">
        <f t="shared" si="2"/>
        <v>* totalDoseTdGy 0..1 Quantity ##34#Total Dose TD Gy##34# ##334#Refers to the total dose delivered to the patient in Gy##334#</v>
      </c>
      <c r="L104" s="12" t="str">
        <f t="shared" si="3"/>
        <v/>
      </c>
    </row>
    <row r="105" spans="1:12" ht="29.5">
      <c r="A105" s="108">
        <v>94</v>
      </c>
      <c r="B105" s="115" t="s">
        <v>2330</v>
      </c>
      <c r="C105" s="2" t="s">
        <v>2152</v>
      </c>
      <c r="D105" s="2" t="s">
        <v>2153</v>
      </c>
      <c r="E105">
        <v>0</v>
      </c>
      <c r="F105">
        <v>1</v>
      </c>
      <c r="G105" s="77" t="s">
        <v>2151</v>
      </c>
      <c r="J105" s="12" t="str">
        <f t="shared" si="2"/>
        <v>* fractionSizeFs 0..1 Quantity ##34#Fraction Size FS##34# ##334#Refers to the Dose per fraction delivered to the patient##334#</v>
      </c>
      <c r="L105" s="12" t="str">
        <f t="shared" si="3"/>
        <v/>
      </c>
    </row>
    <row r="106" spans="1:12" ht="29.5">
      <c r="A106" s="108">
        <v>95</v>
      </c>
      <c r="B106" s="115" t="s">
        <v>2331</v>
      </c>
      <c r="C106" s="2" t="s">
        <v>2154</v>
      </c>
      <c r="D106" s="2" t="s">
        <v>2155</v>
      </c>
      <c r="E106">
        <v>0</v>
      </c>
      <c r="F106">
        <v>1</v>
      </c>
      <c r="G106" s="77" t="s">
        <v>1631</v>
      </c>
      <c r="J106" s="12" t="str">
        <f t="shared" si="2"/>
        <v>* numberOfFractions 0..1 integer ##34#Number of fractions##34# ##334#Refers to the total number of fractions delivered to the patient##334#</v>
      </c>
      <c r="L106" s="12" t="str">
        <f t="shared" si="3"/>
        <v/>
      </c>
    </row>
    <row r="107" spans="1:12" ht="29.5">
      <c r="A107" s="108">
        <v>96</v>
      </c>
      <c r="B107" s="115" t="s">
        <v>2332</v>
      </c>
      <c r="C107" s="2" t="s">
        <v>2156</v>
      </c>
      <c r="D107" s="2" t="s">
        <v>2157</v>
      </c>
      <c r="E107">
        <v>0</v>
      </c>
      <c r="F107">
        <v>1</v>
      </c>
      <c r="G107" s="77" t="s">
        <v>2151</v>
      </c>
      <c r="J107" s="12" t="str">
        <f t="shared" si="2"/>
        <v>* totalHighDoseGy 0..1 Quantity ##34#Total High Dose Gy##34# ##334#Refers to the highest dose delivered to the patient##334#</v>
      </c>
      <c r="L107" s="12" t="str">
        <f t="shared" si="3"/>
        <v/>
      </c>
    </row>
    <row r="108" spans="1:12" ht="59">
      <c r="A108" s="108">
        <v>97</v>
      </c>
      <c r="B108" s="115" t="s">
        <v>2333</v>
      </c>
      <c r="C108" s="2" t="s">
        <v>2158</v>
      </c>
      <c r="D108" s="2" t="s">
        <v>2159</v>
      </c>
      <c r="E108">
        <v>0</v>
      </c>
      <c r="F108">
        <v>1</v>
      </c>
      <c r="G108" s="77" t="s">
        <v>2151</v>
      </c>
      <c r="J108" s="12" t="str">
        <f t="shared" si="2"/>
        <v>* totalHighDoseFraction 0..1 Quantity ##34#Total High DoseFraction##34# ##334#Refers to the dose per fraction delivered to the patient in relation to the high dose  Calculated as the ratio of total high dose and numbers of fractions##334#</v>
      </c>
      <c r="L108" s="12" t="str">
        <f t="shared" si="3"/>
        <v/>
      </c>
    </row>
    <row r="109" spans="1:12" ht="59">
      <c r="A109" s="108">
        <v>98</v>
      </c>
      <c r="B109" s="115" t="s">
        <v>2334</v>
      </c>
      <c r="C109" s="2" t="s">
        <v>2160</v>
      </c>
      <c r="D109" s="2" t="s">
        <v>2161</v>
      </c>
      <c r="E109">
        <v>0</v>
      </c>
      <c r="F109">
        <v>1</v>
      </c>
      <c r="G109" s="77" t="s">
        <v>2151</v>
      </c>
      <c r="J109" s="12" t="str">
        <f t="shared" si="2"/>
        <v>* totalIntermediateDoseGy 0..1 Quantity ##34#Total Intermediate Dose Gy##34# ##334#Refers to the dose that was intermediate between the low and high dose and was delivered to the patients tumor This dose is typically referred to as the high risk microscopic disease dose##334#</v>
      </c>
      <c r="L109" s="12" t="str">
        <f t="shared" si="3"/>
        <v/>
      </c>
    </row>
    <row r="110" spans="1:12" ht="59">
      <c r="A110" s="108">
        <v>99</v>
      </c>
      <c r="B110" s="115" t="s">
        <v>2335</v>
      </c>
      <c r="C110" s="2" t="s">
        <v>2162</v>
      </c>
      <c r="D110" s="2" t="s">
        <v>2163</v>
      </c>
      <c r="E110">
        <v>0</v>
      </c>
      <c r="F110">
        <v>1</v>
      </c>
      <c r="G110" s="77" t="s">
        <v>2151</v>
      </c>
      <c r="J110" s="12" t="str">
        <f t="shared" si="2"/>
        <v>* totalIntermediateDoseFraction 0..1 Quantity ##34#Total Intermediate DoseFraction##34# ##334#Refers to the dose per fraction delivered to the patient in relation to the intermediate dose  Calculated as the ratio of total intermediate dose and numbers of fractions##334#</v>
      </c>
      <c r="L110" s="12" t="str">
        <f t="shared" si="3"/>
        <v/>
      </c>
    </row>
    <row r="111" spans="1:12" ht="29.5">
      <c r="A111" s="108">
        <v>100</v>
      </c>
      <c r="B111" s="115" t="s">
        <v>2336</v>
      </c>
      <c r="C111" s="2" t="s">
        <v>2164</v>
      </c>
      <c r="D111" s="2" t="s">
        <v>2165</v>
      </c>
      <c r="E111">
        <v>0</v>
      </c>
      <c r="F111">
        <v>1</v>
      </c>
      <c r="G111" s="77" t="s">
        <v>2151</v>
      </c>
      <c r="J111" s="12" t="str">
        <f t="shared" si="2"/>
        <v>* totalLowDoseGy 0..1 Quantity ##34#Total Low Dose Gy##34# ##334#The lowest dose prescribed to the patients tumor##334#</v>
      </c>
      <c r="L111" s="12" t="str">
        <f t="shared" si="3"/>
        <v/>
      </c>
    </row>
    <row r="112" spans="1:12" ht="59">
      <c r="A112" s="108">
        <v>101</v>
      </c>
      <c r="B112" s="115" t="s">
        <v>2337</v>
      </c>
      <c r="C112" s="2" t="s">
        <v>2166</v>
      </c>
      <c r="D112" s="2" t="s">
        <v>2167</v>
      </c>
      <c r="E112">
        <v>0</v>
      </c>
      <c r="F112">
        <v>1</v>
      </c>
      <c r="G112" s="77" t="s">
        <v>2151</v>
      </c>
      <c r="J112" s="12" t="str">
        <f t="shared" si="2"/>
        <v>* totalLowDoseFraction 0..1 Quantity ##34#Total Low DoseFraction##34# ##334#Refers to the dose per fraction delivered to the patient in relation to the low dose  Calculated as the ratio of total low dose and numbers of fractions##334#</v>
      </c>
      <c r="L112" s="12" t="str">
        <f t="shared" si="3"/>
        <v/>
      </c>
    </row>
    <row r="113" spans="1:12" ht="44.25">
      <c r="A113" s="108">
        <v>102</v>
      </c>
      <c r="B113" s="115" t="s">
        <v>2338</v>
      </c>
      <c r="C113" s="2" t="s">
        <v>2168</v>
      </c>
      <c r="D113" s="2" t="s">
        <v>2169</v>
      </c>
      <c r="E113">
        <v>0</v>
      </c>
      <c r="F113">
        <v>1</v>
      </c>
      <c r="G113" s="77" t="s">
        <v>2</v>
      </c>
      <c r="J113" s="12" t="str">
        <f t="shared" si="2"/>
        <v>* fractionationPattern 0..1 BackboneElement ##34#Fractionation Pattern##34# ##334#Refers to the pattern of how the radiation was delivered##334#</v>
      </c>
      <c r="L113" s="12" t="str">
        <f t="shared" si="3"/>
        <v/>
      </c>
    </row>
    <row r="114" spans="1:12" ht="73.75">
      <c r="A114" s="108">
        <v>103</v>
      </c>
      <c r="B114" s="115" t="s">
        <v>2339</v>
      </c>
      <c r="C114" s="2" t="s">
        <v>2170</v>
      </c>
      <c r="D114" s="2" t="s">
        <v>2171</v>
      </c>
      <c r="E114">
        <v>0</v>
      </c>
      <c r="F114">
        <v>1</v>
      </c>
      <c r="G114" s="77" t="s">
        <v>2</v>
      </c>
      <c r="J114" s="12" t="str">
        <f t="shared" si="2"/>
        <v>* alteredFractionationScheme 0..1 BackboneElement ##34#Altered Fractionation Scheme##34# ##334#BID refers to radiotherapy delivered twice daily This could be either daily BID Daily or once weekly BID once weekly Other options are also available included 6 fractions per week and hypofractionation##334#</v>
      </c>
      <c r="L114" s="12" t="str">
        <f t="shared" si="3"/>
        <v/>
      </c>
    </row>
    <row r="115" spans="1:12" ht="59">
      <c r="A115" s="108">
        <v>104</v>
      </c>
      <c r="B115" s="115" t="s">
        <v>2340</v>
      </c>
      <c r="C115" s="2" t="s">
        <v>2172</v>
      </c>
      <c r="D115" s="2" t="s">
        <v>2173</v>
      </c>
      <c r="E115">
        <v>0</v>
      </c>
      <c r="F115">
        <v>1</v>
      </c>
      <c r="G115" s="77" t="s">
        <v>1</v>
      </c>
      <c r="J115" s="12" t="str">
        <f t="shared" si="2"/>
        <v>* adaptiveRt 0..1 string ##34#Adaptive RT##34# ##334#Refers to whether treatment planning was changed or adapted after the initial radiation plan was developed This could be due to a change in the patients anatomy or if the tumor changed in size##334#</v>
      </c>
      <c r="L115" s="12" t="str">
        <f t="shared" si="3"/>
        <v/>
      </c>
    </row>
    <row r="116" spans="1:12" ht="59">
      <c r="A116" s="108">
        <v>105</v>
      </c>
      <c r="B116" s="115" t="s">
        <v>2341</v>
      </c>
      <c r="C116" s="2" t="s">
        <v>2174</v>
      </c>
      <c r="D116" s="2" t="s">
        <v>2175</v>
      </c>
      <c r="E116">
        <v>0</v>
      </c>
      <c r="F116">
        <v>1</v>
      </c>
      <c r="G116" s="77" t="s">
        <v>1</v>
      </c>
      <c r="J116" s="12" t="str">
        <f t="shared" si="2"/>
        <v>* igrtImageGuideRadiotherapy 0..1 string ##34#IGRT  image guide radiotherapy##34# ##334#Refers to whether image guided radiotherapy was used for delivery of radiotherapy and to check the patient set up This includes MV KV or Cone Beam CT imaging##334#</v>
      </c>
      <c r="L116" s="12" t="str">
        <f t="shared" si="3"/>
        <v/>
      </c>
    </row>
    <row r="117" spans="1:12" ht="59">
      <c r="A117" s="108">
        <v>106</v>
      </c>
      <c r="B117" s="115" t="s">
        <v>2342</v>
      </c>
      <c r="C117" s="2" t="s">
        <v>2176</v>
      </c>
      <c r="D117" s="2" t="s">
        <v>2177</v>
      </c>
      <c r="E117">
        <v>0</v>
      </c>
      <c r="F117">
        <v>1</v>
      </c>
      <c r="G117" s="77" t="s">
        <v>1</v>
      </c>
      <c r="J117" s="12" t="str">
        <f t="shared" si="2"/>
        <v>* secondBeamQuality 0..1 string ##34#Second beam quality##34# ##334#Describes the type of radiation therapy given as second beam If external beam please specify if delivered with Photons most common electrons carbon or protons##334#</v>
      </c>
      <c r="L117" s="12" t="str">
        <f t="shared" si="3"/>
        <v/>
      </c>
    </row>
    <row r="118" spans="1:12" ht="29.5">
      <c r="A118" s="108">
        <v>107</v>
      </c>
      <c r="B118" s="115" t="s">
        <v>2343</v>
      </c>
      <c r="C118" s="2" t="s">
        <v>2178</v>
      </c>
      <c r="D118" s="2" t="s">
        <v>2179</v>
      </c>
      <c r="E118">
        <v>0</v>
      </c>
      <c r="F118">
        <v>1</v>
      </c>
      <c r="G118" s="77" t="s">
        <v>1</v>
      </c>
      <c r="J118" s="12" t="str">
        <f t="shared" si="2"/>
        <v>* otherSpecify2 0..1 string ##34#Other specify 2##34# ##334#Specifies if the second beam quality is other##334#</v>
      </c>
      <c r="L118" s="12" t="str">
        <f t="shared" si="3"/>
        <v/>
      </c>
    </row>
    <row r="119" spans="1:12" ht="44.25">
      <c r="A119" s="108">
        <v>108</v>
      </c>
      <c r="B119" s="115" t="s">
        <v>2344</v>
      </c>
      <c r="C119" s="2" t="s">
        <v>2180</v>
      </c>
      <c r="D119" s="2" t="s">
        <v>2181</v>
      </c>
      <c r="E119">
        <v>0</v>
      </c>
      <c r="F119">
        <v>1</v>
      </c>
      <c r="G119" s="77" t="s">
        <v>1</v>
      </c>
      <c r="J119" s="12" t="str">
        <f t="shared" si="2"/>
        <v>* treatmentTechnique2 0..1 string ##34#Treatment technique2##34# ##334#Refers to the type of radiotherapy treatment delivered as second beam##334#</v>
      </c>
      <c r="L119" s="12" t="str">
        <f t="shared" si="3"/>
        <v/>
      </c>
    </row>
    <row r="120" spans="1:12" ht="88.5">
      <c r="A120" s="108">
        <v>109</v>
      </c>
      <c r="B120" s="115" t="s">
        <v>2345</v>
      </c>
      <c r="C120" s="2" t="s">
        <v>2182</v>
      </c>
      <c r="D120" s="2" t="s">
        <v>2183</v>
      </c>
      <c r="E120">
        <v>0</v>
      </c>
      <c r="F120">
        <v>1</v>
      </c>
      <c r="G120" s="77" t="s">
        <v>1</v>
      </c>
      <c r="J120" s="12" t="str">
        <f t="shared" si="2"/>
        <v>* treatmentTechnique2OtherSpecify 0..1 string ##34#Treatment technique2 other specify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120" s="12" t="str">
        <f t="shared" si="3"/>
        <v/>
      </c>
    </row>
    <row r="121" spans="1:12" ht="29.5">
      <c r="A121" s="108">
        <v>110</v>
      </c>
      <c r="B121" s="115" t="s">
        <v>2346</v>
      </c>
      <c r="C121" s="2" t="s">
        <v>2184</v>
      </c>
      <c r="D121" s="2" t="s">
        <v>2185</v>
      </c>
      <c r="E121">
        <v>0</v>
      </c>
      <c r="F121">
        <v>1</v>
      </c>
      <c r="G121" s="77" t="s">
        <v>164</v>
      </c>
      <c r="J121" s="12" t="str">
        <f t="shared" si="2"/>
        <v>* startDate 0..1 date ##34#Start date##34# ##334#Date when  the first radiation treatment was delivered##334#</v>
      </c>
      <c r="L121" s="12" t="str">
        <f t="shared" si="3"/>
        <v/>
      </c>
    </row>
    <row r="122" spans="1:12" ht="44.25">
      <c r="A122" s="108">
        <v>111</v>
      </c>
      <c r="B122" s="115" t="s">
        <v>2347</v>
      </c>
      <c r="C122" s="2" t="s">
        <v>2186</v>
      </c>
      <c r="D122" s="2" t="s">
        <v>2187</v>
      </c>
      <c r="E122">
        <v>0</v>
      </c>
      <c r="F122">
        <v>1</v>
      </c>
      <c r="G122" s="77" t="s">
        <v>164</v>
      </c>
      <c r="J122" s="12" t="str">
        <f t="shared" si="2"/>
        <v>* startDateRadiotherapyDayUnknown 0..1 date ##34#Start date radiotherapy day unknown##34# ##334#Describes if the day of start radiotherapy  is unknwon##334#</v>
      </c>
      <c r="L122" s="12" t="str">
        <f t="shared" si="3"/>
        <v/>
      </c>
    </row>
    <row r="123" spans="1:12" ht="29.5">
      <c r="A123" s="108">
        <v>112</v>
      </c>
      <c r="B123" s="115" t="s">
        <v>2348</v>
      </c>
      <c r="C123" s="2" t="s">
        <v>2188</v>
      </c>
      <c r="D123" s="2" t="s">
        <v>2189</v>
      </c>
      <c r="E123">
        <v>0</v>
      </c>
      <c r="F123">
        <v>1</v>
      </c>
      <c r="G123" s="77" t="s">
        <v>164</v>
      </c>
      <c r="J123" s="12" t="str">
        <f t="shared" si="2"/>
        <v>* endDate 0..1 date ##34#End  date##34# ##334#Date when the last radiation treatment ended##334#</v>
      </c>
      <c r="L123" s="12" t="str">
        <f t="shared" si="3"/>
        <v/>
      </c>
    </row>
    <row r="124" spans="1:12" ht="44.25">
      <c r="A124" s="108">
        <v>113</v>
      </c>
      <c r="B124" s="115" t="s">
        <v>2349</v>
      </c>
      <c r="C124" s="2" t="s">
        <v>2190</v>
      </c>
      <c r="D124" s="2" t="s">
        <v>2191</v>
      </c>
      <c r="E124">
        <v>0</v>
      </c>
      <c r="F124">
        <v>1</v>
      </c>
      <c r="G124" s="77" t="s">
        <v>164</v>
      </c>
      <c r="J124" s="12" t="str">
        <f t="shared" si="2"/>
        <v>* endDateRadiotherapyDayUnknown 0..1 date ##34#End date radiotherapy day unknown##34# ##334#Describes if the day of end of radiotherapy  is unknwon##334#</v>
      </c>
      <c r="L124" s="12" t="str">
        <f t="shared" si="3"/>
        <v/>
      </c>
    </row>
    <row r="125" spans="1:12" ht="73.75">
      <c r="A125" s="108">
        <v>114</v>
      </c>
      <c r="B125" s="115" t="s">
        <v>2350</v>
      </c>
      <c r="C125" s="2" t="s">
        <v>2192</v>
      </c>
      <c r="D125" s="2" t="s">
        <v>2193</v>
      </c>
      <c r="E125">
        <v>0</v>
      </c>
      <c r="F125">
        <v>1</v>
      </c>
      <c r="G125" s="77" t="s">
        <v>1</v>
      </c>
      <c r="J125" s="12" t="str">
        <f t="shared" si="2"/>
        <v>* treatmentInterruption2DaysNotIncludingIntendedBreaks 0..1 string ##34#Treatment Interruption 2 days not including intended breaks##34# ##334#referred to an interruption in the prescribed radiation schedule of 2 days but which does not include intended days such as on days in which the department is not treating Holidays##334#</v>
      </c>
      <c r="L125" s="12" t="str">
        <f t="shared" si="3"/>
        <v/>
      </c>
    </row>
    <row r="126" spans="1:12" ht="29.5">
      <c r="A126" s="108">
        <v>115</v>
      </c>
      <c r="B126" s="115" t="s">
        <v>2351</v>
      </c>
      <c r="C126" s="2" t="s">
        <v>2194</v>
      </c>
      <c r="D126" s="2" t="s">
        <v>2195</v>
      </c>
      <c r="E126">
        <v>0</v>
      </c>
      <c r="F126">
        <v>1</v>
      </c>
      <c r="G126" s="77" t="s">
        <v>2151</v>
      </c>
      <c r="J126" s="12" t="str">
        <f t="shared" si="2"/>
        <v>* treatmentDaysMissed 0..1 Quantity ##34#Treatment days missed##34# ##334#Refers to the number of days missed during treatment##334#</v>
      </c>
      <c r="L126" s="12" t="str">
        <f t="shared" si="3"/>
        <v/>
      </c>
    </row>
    <row r="127" spans="1:12" ht="44.25">
      <c r="A127" s="108">
        <v>116</v>
      </c>
      <c r="B127" s="115" t="s">
        <v>2352</v>
      </c>
      <c r="C127" s="2" t="s">
        <v>2196</v>
      </c>
      <c r="D127" s="2" t="s">
        <v>2197</v>
      </c>
      <c r="E127">
        <v>0</v>
      </c>
      <c r="F127">
        <v>1</v>
      </c>
      <c r="G127" s="77" t="s">
        <v>2151</v>
      </c>
      <c r="J127" s="12" t="str">
        <f t="shared" si="2"/>
        <v>* overallTreatmentTimeOtt 0..1 Quantity ##34#Overall Treatment TimeOTT##34# ##334#Number of days that the radiation treatment took inclusive of  the first and last day Automatic calculated##334#</v>
      </c>
      <c r="L127" s="12" t="str">
        <f t="shared" si="3"/>
        <v/>
      </c>
    </row>
    <row r="128" spans="1:12" ht="44.25">
      <c r="A128" s="108">
        <v>117</v>
      </c>
      <c r="B128" s="115" t="s">
        <v>2353</v>
      </c>
      <c r="C128" s="2" t="s">
        <v>2198</v>
      </c>
      <c r="D128" s="2" t="s">
        <v>2199</v>
      </c>
      <c r="E128">
        <v>0</v>
      </c>
      <c r="F128">
        <v>1</v>
      </c>
      <c r="G128" s="77" t="s">
        <v>2151</v>
      </c>
      <c r="J128" s="12" t="str">
        <f t="shared" si="2"/>
        <v>* overallTreatmentTimeOttManualInDays 0..1 Quantity ##34#Overall Treatment TimeOTT  manual in days ##34# ##334#Number of days that the radiation treatment took inclusive of  the first and last day##334#</v>
      </c>
      <c r="L128" s="12" t="str">
        <f t="shared" si="3"/>
        <v/>
      </c>
    </row>
    <row r="129" spans="1:12" ht="59">
      <c r="A129" s="108">
        <v>118</v>
      </c>
      <c r="B129" s="115" t="s">
        <v>2354</v>
      </c>
      <c r="C129" s="2" t="s">
        <v>2200</v>
      </c>
      <c r="D129" s="2" t="s">
        <v>2201</v>
      </c>
      <c r="E129">
        <v>0</v>
      </c>
      <c r="F129">
        <v>1</v>
      </c>
      <c r="G129" s="77" t="s">
        <v>2</v>
      </c>
      <c r="J129" s="12" t="str">
        <f t="shared" si="2"/>
        <v>* treatmentSites 0..1 BackboneElement ##34#Treatment Sites##34# ##334#Refers to the areas that the radiation is targeting This could include the primary tumor  the neck lymph nodes the ipsilateral neck and the primary the bilateral neck and the primary or a distant metastatic lesion##334#</v>
      </c>
      <c r="L129" s="12" t="str">
        <f t="shared" si="3"/>
        <v/>
      </c>
    </row>
    <row r="130" spans="1:12">
      <c r="A130" s="108">
        <v>119</v>
      </c>
      <c r="B130" s="115" t="s">
        <v>2355</v>
      </c>
      <c r="C130" s="2" t="s">
        <v>2202</v>
      </c>
      <c r="D130" s="112" t="s">
        <v>2202</v>
      </c>
      <c r="E130">
        <v>0</v>
      </c>
      <c r="F130">
        <v>1</v>
      </c>
      <c r="G130" t="s">
        <v>2</v>
      </c>
      <c r="J130" s="12" t="str">
        <f t="shared" si="2"/>
        <v>* primary 0..1 BackboneElement ##34#Primary ##34# ##334#Primary ##334#</v>
      </c>
      <c r="L130" s="12" t="str">
        <f t="shared" si="3"/>
        <v/>
      </c>
    </row>
    <row r="131" spans="1:12">
      <c r="A131" s="108">
        <v>120</v>
      </c>
      <c r="B131" s="115" t="s">
        <v>2356</v>
      </c>
      <c r="C131" s="2" t="s">
        <v>2203</v>
      </c>
      <c r="D131" s="112" t="s">
        <v>2203</v>
      </c>
      <c r="E131">
        <v>0</v>
      </c>
      <c r="F131">
        <v>1</v>
      </c>
      <c r="G131" t="s">
        <v>2</v>
      </c>
      <c r="J131" s="12" t="str">
        <f t="shared" si="2"/>
        <v>* neck 0..1 BackboneElement ##34#Neck ##34# ##334#Neck ##334#</v>
      </c>
      <c r="L131" s="12" t="str">
        <f t="shared" si="3"/>
        <v/>
      </c>
    </row>
    <row r="132" spans="1:12" ht="29.5">
      <c r="A132" s="108">
        <v>121</v>
      </c>
      <c r="B132" s="115" t="s">
        <v>2357</v>
      </c>
      <c r="C132" s="2" t="s">
        <v>2204</v>
      </c>
      <c r="D132" s="112" t="s">
        <v>2204</v>
      </c>
      <c r="E132">
        <v>0</v>
      </c>
      <c r="F132">
        <v>1</v>
      </c>
      <c r="G132" t="s">
        <v>2</v>
      </c>
      <c r="J132" s="12" t="str">
        <f t="shared" si="2"/>
        <v>* primaryAndIpsilateralNeck 0..1 BackboneElement ##34#Primary and Ipsilateral Neck##34# ##334#Primary and Ipsilateral Neck##334#</v>
      </c>
      <c r="L132" s="12" t="str">
        <f t="shared" si="3"/>
        <v/>
      </c>
    </row>
    <row r="133" spans="1:12" ht="29.5">
      <c r="A133" s="108">
        <v>122</v>
      </c>
      <c r="B133" s="115" t="s">
        <v>2358</v>
      </c>
      <c r="C133" s="2" t="s">
        <v>2205</v>
      </c>
      <c r="D133" s="112" t="s">
        <v>2205</v>
      </c>
      <c r="E133">
        <v>0</v>
      </c>
      <c r="F133">
        <v>1</v>
      </c>
      <c r="G133" t="s">
        <v>2</v>
      </c>
      <c r="J133" s="12" t="str">
        <f t="shared" si="2"/>
        <v>* primaryAndBilateralNeck 0..1 BackboneElement ##34#Primary and Bilateral Neck##34# ##334#Primary and Bilateral Neck##334#</v>
      </c>
      <c r="L133" s="12" t="str">
        <f t="shared" si="3"/>
        <v/>
      </c>
    </row>
    <row r="134" spans="1:12" ht="29.5">
      <c r="A134" s="108">
        <v>123</v>
      </c>
      <c r="B134" s="115" t="s">
        <v>2359</v>
      </c>
      <c r="C134" s="2" t="s">
        <v>2206</v>
      </c>
      <c r="D134" s="112" t="s">
        <v>2206</v>
      </c>
      <c r="E134">
        <v>0</v>
      </c>
      <c r="F134">
        <v>1</v>
      </c>
      <c r="G134" t="s">
        <v>2</v>
      </c>
      <c r="J134" s="12" t="str">
        <f t="shared" si="2"/>
        <v>* distantMetastasis 0..1 BackboneElement ##34#Distant Metastasis##34# ##334#Distant Metastasis##334#</v>
      </c>
      <c r="L134" s="12" t="str">
        <f t="shared" si="3"/>
        <v/>
      </c>
    </row>
    <row r="135" spans="1:12" ht="44.25">
      <c r="A135" s="108">
        <v>124</v>
      </c>
      <c r="B135" s="115" t="s">
        <v>2360</v>
      </c>
      <c r="C135" s="2" t="s">
        <v>2207</v>
      </c>
      <c r="D135" s="2" t="s">
        <v>2208</v>
      </c>
      <c r="E135">
        <v>0</v>
      </c>
      <c r="F135">
        <v>1</v>
      </c>
      <c r="G135" s="77" t="s">
        <v>2</v>
      </c>
      <c r="J135" s="12" t="str">
        <f t="shared" si="2"/>
        <v>* metastaticTreatmentSites 0..1 BackboneElement ##34#Metastatic Treatment Sites##34# ##334#Designates which treatment sites were irradiated Lung Vs Mediastinum Vs Bone Vs soft tissue vs liver Vs other##334#</v>
      </c>
      <c r="L135" s="12" t="str">
        <f t="shared" si="3"/>
        <v/>
      </c>
    </row>
    <row r="136" spans="1:12" ht="59">
      <c r="A136" s="108">
        <v>125</v>
      </c>
      <c r="B136" s="59" t="s">
        <v>2361</v>
      </c>
      <c r="C136" s="2" t="s">
        <v>2209</v>
      </c>
      <c r="D136" s="112" t="s">
        <v>2209</v>
      </c>
      <c r="E136">
        <v>0</v>
      </c>
      <c r="F136">
        <v>1</v>
      </c>
      <c r="G136" t="s">
        <v>2</v>
      </c>
      <c r="J136" s="12" t="str">
        <f t="shared" ref="J136:J177" si="4">CONCATENATE("* ",B136, " ",E136,"..",F136," ",G136," ##34#",C136,"##34# ##334#",D136,"##334#")</f>
        <v>* lung
 0..1 BackboneElement ##34#Lung
##34# ##334#Lung
##334#</v>
      </c>
      <c r="L136" s="12" t="str">
        <f t="shared" si="3"/>
        <v/>
      </c>
    </row>
    <row r="137" spans="1:12" ht="59">
      <c r="A137" s="108">
        <v>126</v>
      </c>
      <c r="B137" s="59" t="s">
        <v>2362</v>
      </c>
      <c r="C137" s="2" t="s">
        <v>2210</v>
      </c>
      <c r="D137" s="112" t="s">
        <v>2210</v>
      </c>
      <c r="E137">
        <v>0</v>
      </c>
      <c r="F137">
        <v>1</v>
      </c>
      <c r="G137" t="s">
        <v>2</v>
      </c>
      <c r="J137" s="12" t="str">
        <f t="shared" si="4"/>
        <v>* mediastinum
 0..1 BackboneElement ##34#Mediastinum
##34# ##334#Mediastinum
##334#</v>
      </c>
      <c r="L137" s="12" t="str">
        <f t="shared" ref="L137:L177" si="5">IF(H137="",IF(J137="*  ..  ##34###34# ##334###334#",J137,""),IF(J137="*  ..  ##34###34# ##334###334#",J137,CONCATENATE("* ",B137," ^comment = ##334#",H137,"##334#")))</f>
        <v/>
      </c>
    </row>
    <row r="138" spans="1:12" ht="59">
      <c r="A138" s="108">
        <v>127</v>
      </c>
      <c r="B138" s="59" t="s">
        <v>2363</v>
      </c>
      <c r="C138" s="2" t="s">
        <v>2211</v>
      </c>
      <c r="D138" s="112" t="s">
        <v>2211</v>
      </c>
      <c r="E138">
        <v>0</v>
      </c>
      <c r="F138">
        <v>1</v>
      </c>
      <c r="G138" t="s">
        <v>2</v>
      </c>
      <c r="J138" s="12" t="str">
        <f t="shared" si="4"/>
        <v>* bone
 0..1 BackboneElement ##34#Bone
##34# ##334#Bone
##334#</v>
      </c>
      <c r="L138" s="12" t="str">
        <f t="shared" si="5"/>
        <v/>
      </c>
    </row>
    <row r="139" spans="1:12" ht="59">
      <c r="A139" s="108">
        <v>128</v>
      </c>
      <c r="B139" s="59" t="s">
        <v>2364</v>
      </c>
      <c r="C139" s="2" t="s">
        <v>2212</v>
      </c>
      <c r="D139" s="112" t="s">
        <v>2212</v>
      </c>
      <c r="E139">
        <v>0</v>
      </c>
      <c r="F139">
        <v>1</v>
      </c>
      <c r="G139" t="s">
        <v>2</v>
      </c>
      <c r="J139" s="12" t="str">
        <f t="shared" si="4"/>
        <v>* softTissue
 0..1 BackboneElement ##34#Soft Tissue
##34# ##334#Soft Tissue
##334#</v>
      </c>
      <c r="L139" s="12" t="str">
        <f t="shared" si="5"/>
        <v/>
      </c>
    </row>
    <row r="140" spans="1:12" ht="59">
      <c r="A140" s="108">
        <v>129</v>
      </c>
      <c r="B140" s="59" t="s">
        <v>2365</v>
      </c>
      <c r="C140" s="2" t="s">
        <v>2213</v>
      </c>
      <c r="D140" s="112" t="s">
        <v>2213</v>
      </c>
      <c r="E140">
        <v>0</v>
      </c>
      <c r="F140">
        <v>1</v>
      </c>
      <c r="G140" t="s">
        <v>2</v>
      </c>
      <c r="J140" s="12" t="str">
        <f t="shared" si="4"/>
        <v>* liver
 0..1 BackboneElement ##34#Liver
##34# ##334#Liver
##334#</v>
      </c>
      <c r="L140" s="12" t="str">
        <f t="shared" si="5"/>
        <v/>
      </c>
    </row>
    <row r="141" spans="1:12" ht="29.5">
      <c r="A141" s="108">
        <v>130</v>
      </c>
      <c r="B141" s="115" t="s">
        <v>1852</v>
      </c>
      <c r="C141" s="2" t="s">
        <v>1745</v>
      </c>
      <c r="D141" s="112" t="s">
        <v>1745</v>
      </c>
      <c r="E141">
        <v>0</v>
      </c>
      <c r="F141">
        <v>1</v>
      </c>
      <c r="G141" t="s">
        <v>2</v>
      </c>
      <c r="J141" s="12" t="str">
        <f t="shared" si="4"/>
        <v>* unknown 0..1 BackboneElement ##34#Unknown##34# ##334#Unknown##334#</v>
      </c>
      <c r="L141" s="12" t="str">
        <f t="shared" si="5"/>
        <v/>
      </c>
    </row>
    <row r="142" spans="1:12">
      <c r="A142" s="108">
        <v>131</v>
      </c>
      <c r="B142" s="115" t="s">
        <v>2366</v>
      </c>
      <c r="C142" s="2" t="s">
        <v>2214</v>
      </c>
      <c r="D142" s="112" t="s">
        <v>2214</v>
      </c>
      <c r="E142">
        <v>0</v>
      </c>
      <c r="F142">
        <v>1</v>
      </c>
      <c r="G142" t="s">
        <v>2</v>
      </c>
      <c r="J142" s="12" t="str">
        <f t="shared" si="4"/>
        <v>* other 0..1 BackboneElement ##34#Other ##34# ##334#Other ##334#</v>
      </c>
      <c r="L142" s="12" t="str">
        <f t="shared" si="5"/>
        <v/>
      </c>
    </row>
    <row r="143" spans="1:12" ht="29.5">
      <c r="A143" s="108">
        <v>132</v>
      </c>
      <c r="B143" s="115" t="s">
        <v>2325</v>
      </c>
      <c r="C143" s="2" t="s">
        <v>2144</v>
      </c>
      <c r="D143" s="112" t="s">
        <v>2144</v>
      </c>
      <c r="E143">
        <v>0</v>
      </c>
      <c r="F143">
        <v>1</v>
      </c>
      <c r="G143" t="s">
        <v>2</v>
      </c>
      <c r="J143" s="12" t="str">
        <f t="shared" si="4"/>
        <v>* otherSpecify 0..1 BackboneElement ##34#Other specify##34# ##334#Other specify##334#</v>
      </c>
      <c r="L143" s="12" t="str">
        <f t="shared" si="5"/>
        <v/>
      </c>
    </row>
    <row r="144" spans="1:12" ht="59">
      <c r="A144" s="108">
        <v>133</v>
      </c>
      <c r="B144" s="115" t="s">
        <v>2367</v>
      </c>
      <c r="C144" s="2" t="s">
        <v>2215</v>
      </c>
      <c r="D144" s="2" t="s">
        <v>2216</v>
      </c>
      <c r="E144">
        <v>0</v>
      </c>
      <c r="F144">
        <v>1</v>
      </c>
      <c r="G144" s="77" t="s">
        <v>1</v>
      </c>
      <c r="J144" s="12" t="str">
        <f t="shared" si="4"/>
        <v>* neckLevelsIrradiatedRight 0..1 string ##34#Neck Levels Irradiated Right##34# ##334#Refers to which neck levels were irradiated during treatment Please use the consensus guideline for nodal level delineation in the N0 neck 2013 update to specify neck levels##334#</v>
      </c>
      <c r="L144" s="12" t="str">
        <f t="shared" si="5"/>
        <v/>
      </c>
    </row>
    <row r="145" spans="1:12" ht="29.5">
      <c r="A145" s="108">
        <v>134</v>
      </c>
      <c r="B145" s="115" t="s">
        <v>2368</v>
      </c>
      <c r="C145" s="2" t="s">
        <v>2217</v>
      </c>
      <c r="D145" s="2" t="s">
        <v>2218</v>
      </c>
      <c r="E145">
        <v>0</v>
      </c>
      <c r="F145">
        <v>1</v>
      </c>
      <c r="G145" s="77" t="s">
        <v>1</v>
      </c>
      <c r="J145" s="12" t="str">
        <f t="shared" si="4"/>
        <v>* neckLevelsIrradiatedLeft 0..1 string ##34#Neck Levels Irradiated Left##34# ##334#Same as above but for the left neck##334#</v>
      </c>
      <c r="L145" s="12" t="str">
        <f t="shared" si="5"/>
        <v/>
      </c>
    </row>
    <row r="146" spans="1:12" ht="44.25">
      <c r="A146" s="108">
        <v>135</v>
      </c>
      <c r="B146" s="115" t="s">
        <v>2369</v>
      </c>
      <c r="C146" s="2" t="s">
        <v>2219</v>
      </c>
      <c r="D146" s="2" t="s">
        <v>2220</v>
      </c>
      <c r="E146">
        <v>0</v>
      </c>
      <c r="F146">
        <v>1</v>
      </c>
      <c r="G146" s="77" t="s">
        <v>1</v>
      </c>
      <c r="J146" s="12" t="str">
        <f t="shared" si="4"/>
        <v>* ctvHighExpansion 0..1 string ##34#CTV High Expansion##34# ##334#Refers to the margin that was used from GTV to CTV for the highest prescription dose##334#</v>
      </c>
      <c r="L146" s="12" t="str">
        <f t="shared" si="5"/>
        <v/>
      </c>
    </row>
    <row r="147" spans="1:12" ht="29.5">
      <c r="A147" s="108">
        <v>136</v>
      </c>
      <c r="B147" s="115" t="s">
        <v>2370</v>
      </c>
      <c r="C147" s="2" t="s">
        <v>2221</v>
      </c>
      <c r="D147" s="2" t="s">
        <v>2222</v>
      </c>
      <c r="E147">
        <v>0</v>
      </c>
      <c r="F147">
        <v>1</v>
      </c>
      <c r="G147" s="77" t="s">
        <v>1</v>
      </c>
      <c r="J147" s="12" t="str">
        <f t="shared" si="4"/>
        <v>* ptvHighExpansion 0..1 string ##34#PTV High expansion##34# ##334#Refers to the margin that was used from CTV to PTV##334#</v>
      </c>
      <c r="L147" s="12" t="str">
        <f t="shared" si="5"/>
        <v/>
      </c>
    </row>
    <row r="148" spans="1:12" ht="29.5">
      <c r="A148" s="108">
        <v>137</v>
      </c>
      <c r="B148" s="115" t="s">
        <v>2371</v>
      </c>
      <c r="C148" s="2" t="s">
        <v>2223</v>
      </c>
      <c r="D148" s="2" t="s">
        <v>2224</v>
      </c>
      <c r="E148">
        <v>0</v>
      </c>
      <c r="F148">
        <v>1</v>
      </c>
      <c r="G148" s="77" t="s">
        <v>1</v>
      </c>
      <c r="J148" s="12" t="str">
        <f t="shared" si="4"/>
        <v>* v60OfSkin 0..1 string ##34#V60 of Skin##34# ##334#Refers to the volume of skin receiving at least 60 Gy##334#</v>
      </c>
      <c r="L148" s="12" t="str">
        <f t="shared" si="5"/>
        <v/>
      </c>
    </row>
    <row r="149" spans="1:12" ht="88.5">
      <c r="A149" s="108">
        <v>138</v>
      </c>
      <c r="B149" s="115" t="s">
        <v>2372</v>
      </c>
      <c r="C149" s="2" t="s">
        <v>2225</v>
      </c>
      <c r="D149" s="2" t="s">
        <v>2183</v>
      </c>
      <c r="E149">
        <v>0</v>
      </c>
      <c r="F149">
        <v>1</v>
      </c>
      <c r="G149" s="77" t="s">
        <v>1</v>
      </c>
      <c r="J149" s="12" t="str">
        <f t="shared" si="4"/>
        <v>* treatmentCompletedAsPlanned 0..1 string ##34#Treatment Completed as Planned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149" s="12" t="str">
        <f t="shared" si="5"/>
        <v/>
      </c>
    </row>
    <row r="150" spans="1:12" ht="29.5">
      <c r="A150" s="108">
        <v>139</v>
      </c>
      <c r="B150" s="115" t="s">
        <v>2373</v>
      </c>
      <c r="C150" s="2" t="s">
        <v>2226</v>
      </c>
      <c r="D150" s="2" t="s">
        <v>2227</v>
      </c>
      <c r="E150">
        <v>0</v>
      </c>
      <c r="F150">
        <v>1</v>
      </c>
      <c r="G150" s="77" t="s">
        <v>1</v>
      </c>
      <c r="J150" s="12" t="str">
        <f t="shared" si="4"/>
        <v>* hospitalizedDuringRt 0..1 string ##34#Hospitalized during RT##34# ##334#Did the patient has been hospitalized during RT##334#</v>
      </c>
      <c r="L150" s="12" t="str">
        <f t="shared" si="5"/>
        <v/>
      </c>
    </row>
    <row r="151" spans="1:12" ht="29.5">
      <c r="A151" s="108">
        <v>140</v>
      </c>
      <c r="B151" s="115" t="s">
        <v>2374</v>
      </c>
      <c r="C151" s="2" t="s">
        <v>2228</v>
      </c>
      <c r="D151" s="2" t="s">
        <v>2229</v>
      </c>
      <c r="E151">
        <v>0</v>
      </c>
      <c r="F151">
        <v>1</v>
      </c>
      <c r="G151" s="77" t="s">
        <v>1</v>
      </c>
      <c r="J151" s="12" t="str">
        <f t="shared" si="4"/>
        <v>* carotidBlowout 0..1 string ##34#Carotid Blowout ##34# ##334#Did the patient develop a carotid blow out during or after radiation##334#</v>
      </c>
      <c r="L151" s="12" t="str">
        <f t="shared" si="5"/>
        <v/>
      </c>
    </row>
    <row r="152" spans="1:12" ht="29.5">
      <c r="A152" s="108">
        <v>141</v>
      </c>
      <c r="B152" s="115" t="s">
        <v>2375</v>
      </c>
      <c r="C152" s="2" t="s">
        <v>2230</v>
      </c>
      <c r="D152" s="2" t="s">
        <v>2231</v>
      </c>
      <c r="E152">
        <v>0</v>
      </c>
      <c r="F152">
        <v>1</v>
      </c>
      <c r="G152" s="77" t="s">
        <v>1</v>
      </c>
      <c r="J152" s="12" t="str">
        <f t="shared" si="4"/>
        <v>* feedingTubeDuringRt 0..1 string ##34#Feeding Tube during RT##34# ##334#Was a feeding tube required after RT##334#</v>
      </c>
      <c r="L152" s="12" t="str">
        <f t="shared" si="5"/>
        <v/>
      </c>
    </row>
    <row r="153" spans="1:12" ht="44.25">
      <c r="A153" s="108">
        <v>142</v>
      </c>
      <c r="B153" s="115" t="s">
        <v>2376</v>
      </c>
      <c r="C153" s="2" t="s">
        <v>2232</v>
      </c>
      <c r="D153" s="2" t="s">
        <v>2233</v>
      </c>
      <c r="E153">
        <v>0</v>
      </c>
      <c r="F153">
        <v>1</v>
      </c>
      <c r="G153" s="77" t="s">
        <v>1</v>
      </c>
      <c r="J153" s="12" t="str">
        <f t="shared" si="4"/>
        <v>* feedingTubeReason 0..1 string ##34#Feeding Tube reason##34# ##334#Was the feeding tube placed only prophylactically or reactively due to significant weight loss during treatment##334#</v>
      </c>
      <c r="L153" s="12" t="str">
        <f t="shared" si="5"/>
        <v/>
      </c>
    </row>
    <row r="154" spans="1:12" ht="29.5">
      <c r="A154" s="108">
        <v>143</v>
      </c>
      <c r="B154" s="115" t="s">
        <v>2377</v>
      </c>
      <c r="C154" s="2" t="s">
        <v>2234</v>
      </c>
      <c r="D154" s="2" t="s">
        <v>2235</v>
      </c>
      <c r="E154">
        <v>0</v>
      </c>
      <c r="F154">
        <v>1</v>
      </c>
      <c r="G154" s="77" t="s">
        <v>1</v>
      </c>
      <c r="J154" s="12" t="str">
        <f t="shared" si="4"/>
        <v>* smokingDuringRt 0..1 string ##34#Smoking during RT##34# ##334#Did the patient smoke cigarettes during radiation##334#</v>
      </c>
      <c r="L154" s="12" t="str">
        <f t="shared" si="5"/>
        <v/>
      </c>
    </row>
    <row r="155" spans="1:12" ht="29.5">
      <c r="A155" s="108">
        <v>144</v>
      </c>
      <c r="B155" s="115" t="s">
        <v>2378</v>
      </c>
      <c r="C155" s="2" t="s">
        <v>2236</v>
      </c>
      <c r="D155" s="2" t="s">
        <v>2237</v>
      </c>
      <c r="E155">
        <v>0</v>
      </c>
      <c r="F155">
        <v>1</v>
      </c>
      <c r="G155" s="77" t="s">
        <v>1</v>
      </c>
      <c r="J155" s="12" t="str">
        <f t="shared" si="4"/>
        <v>* alcoholDuringRt 0..1 string ##34#Alcohol during RT##34# ##334#Did the patient drink alcohol during radiation##334#</v>
      </c>
      <c r="L155" s="12" t="str">
        <f t="shared" si="5"/>
        <v/>
      </c>
    </row>
    <row r="156" spans="1:12" ht="29.5">
      <c r="A156" s="108">
        <v>145</v>
      </c>
      <c r="B156" s="115" t="s">
        <v>2379</v>
      </c>
      <c r="C156" s="2" t="s">
        <v>2238</v>
      </c>
      <c r="D156" s="112" t="s">
        <v>2238</v>
      </c>
      <c r="E156">
        <v>0</v>
      </c>
      <c r="F156">
        <v>1</v>
      </c>
      <c r="G156" t="s">
        <v>2</v>
      </c>
      <c r="J156" s="12" t="str">
        <f t="shared" si="4"/>
        <v>* otherTypeOfTreatment 0..1 BackboneElement ##34#Other type of treatment##34# ##334#Other type of treatment##334#</v>
      </c>
      <c r="L156" s="12" t="str">
        <f t="shared" si="5"/>
        <v/>
      </c>
    </row>
    <row r="157" spans="1:12" ht="29.5">
      <c r="A157" s="108">
        <v>146</v>
      </c>
      <c r="B157" s="115" t="s">
        <v>2380</v>
      </c>
      <c r="C157" s="2" t="s">
        <v>2239</v>
      </c>
      <c r="D157" s="112" t="s">
        <v>2239</v>
      </c>
      <c r="E157">
        <v>0</v>
      </c>
      <c r="F157">
        <v>1</v>
      </c>
      <c r="G157" t="s">
        <v>2</v>
      </c>
      <c r="J157" s="12" t="str">
        <f t="shared" si="4"/>
        <v>* otherTreatmentPerformed 0..1 BackboneElement ##34#Other treatment performed##34# ##334#Other treatment performed##334#</v>
      </c>
      <c r="L157" s="12" t="str">
        <f t="shared" si="5"/>
        <v/>
      </c>
    </row>
    <row r="158" spans="1:12" ht="29.5">
      <c r="A158" s="108">
        <v>147</v>
      </c>
      <c r="B158" s="115" t="s">
        <v>2381</v>
      </c>
      <c r="C158" s="2" t="s">
        <v>2240</v>
      </c>
      <c r="D158" s="112" t="s">
        <v>2240</v>
      </c>
      <c r="E158">
        <v>0</v>
      </c>
      <c r="F158">
        <v>1</v>
      </c>
      <c r="G158" t="s">
        <v>2</v>
      </c>
      <c r="J158" s="12" t="str">
        <f t="shared" si="4"/>
        <v>* dateOfStart 0..1 BackboneElement ##34#Date of start other treatment ##34# ##334#Date of start other treatment ##334#</v>
      </c>
      <c r="L158" s="12" t="str">
        <f t="shared" si="5"/>
        <v/>
      </c>
    </row>
    <row r="159" spans="1:12" ht="44.25">
      <c r="A159" s="108">
        <v>148</v>
      </c>
      <c r="B159" s="115" t="s">
        <v>2382</v>
      </c>
      <c r="C159" s="2" t="s">
        <v>2241</v>
      </c>
      <c r="D159" s="112" t="s">
        <v>2241</v>
      </c>
      <c r="E159">
        <v>0</v>
      </c>
      <c r="F159">
        <v>1</v>
      </c>
      <c r="G159" t="s">
        <v>2</v>
      </c>
      <c r="J159" s="12" t="str">
        <f t="shared" si="4"/>
        <v>* dateOfOtherTreatmentDayUnknown 0..1 BackboneElement ##34#Date of other treatment day unknown##34# ##334#Date of other treatment day unknown##334#</v>
      </c>
      <c r="L159" s="12" t="str">
        <f t="shared" si="5"/>
        <v/>
      </c>
    </row>
    <row r="160" spans="1:12" ht="29.5">
      <c r="A160" s="108">
        <v>149</v>
      </c>
      <c r="B160" s="115" t="s">
        <v>2383</v>
      </c>
      <c r="C160" s="2" t="s">
        <v>2242</v>
      </c>
      <c r="D160" s="112" t="s">
        <v>2242</v>
      </c>
      <c r="E160">
        <v>0</v>
      </c>
      <c r="F160">
        <v>1</v>
      </c>
      <c r="G160" t="s">
        <v>2</v>
      </c>
      <c r="J160" s="12" t="str">
        <f t="shared" si="4"/>
        <v>* dateOfEnd 0..1 BackboneElement ##34#Date of end other treatment ##34# ##334#Date of end other treatment ##334#</v>
      </c>
      <c r="L160" s="12" t="str">
        <f t="shared" si="5"/>
        <v/>
      </c>
    </row>
    <row r="161" spans="1:12" ht="44.25">
      <c r="A161" s="108">
        <v>150</v>
      </c>
      <c r="B161" s="115" t="s">
        <v>2384</v>
      </c>
      <c r="C161" s="2" t="s">
        <v>2243</v>
      </c>
      <c r="D161" s="112" t="s">
        <v>2243</v>
      </c>
      <c r="E161">
        <v>0</v>
      </c>
      <c r="F161">
        <v>1</v>
      </c>
      <c r="G161" t="s">
        <v>2</v>
      </c>
      <c r="J161" s="12" t="str">
        <f t="shared" si="4"/>
        <v>* dateOfEndOtherTreatmentDayUnknown 0..1 BackboneElement ##34#Date of end other treatment day unknown##34# ##334#Date of end other treatment day unknown##334#</v>
      </c>
      <c r="L161" s="12" t="str">
        <f t="shared" si="5"/>
        <v/>
      </c>
    </row>
    <row r="162" spans="1:12">
      <c r="A162" s="108">
        <v>151</v>
      </c>
      <c r="B162" s="115" t="s">
        <v>2385</v>
      </c>
      <c r="C162" s="2" t="s">
        <v>321</v>
      </c>
      <c r="D162" s="112" t="s">
        <v>321</v>
      </c>
      <c r="E162">
        <v>0</v>
      </c>
      <c r="F162">
        <v>1</v>
      </c>
      <c r="G162" t="s">
        <v>2</v>
      </c>
      <c r="J162" s="12" t="str">
        <f t="shared" si="4"/>
        <v>* type 0..1 BackboneElement ##34#Type##34# ##334#Type##334#</v>
      </c>
      <c r="L162" s="12" t="str">
        <f t="shared" si="5"/>
        <v/>
      </c>
    </row>
    <row r="163" spans="1:12" ht="29.5">
      <c r="A163" s="108">
        <v>152</v>
      </c>
      <c r="B163" s="115" t="s">
        <v>2386</v>
      </c>
      <c r="C163" s="2" t="s">
        <v>2225</v>
      </c>
      <c r="D163" s="112" t="s">
        <v>2225</v>
      </c>
      <c r="E163">
        <v>0</v>
      </c>
      <c r="F163">
        <v>1</v>
      </c>
      <c r="G163" t="s">
        <v>2</v>
      </c>
      <c r="J163" s="12" t="str">
        <f t="shared" si="4"/>
        <v>* treatmentCompleted 0..1 BackboneElement ##34#Treatment Completed as Planned ##34# ##334#Treatment Completed as Planned ##334#</v>
      </c>
      <c r="L163" s="12" t="str">
        <f t="shared" si="5"/>
        <v/>
      </c>
    </row>
    <row r="164" spans="1:12" ht="29.5">
      <c r="A164" s="108">
        <v>153</v>
      </c>
      <c r="B164" s="115" t="s">
        <v>2387</v>
      </c>
      <c r="C164" s="2" t="s">
        <v>2244</v>
      </c>
      <c r="D164" s="112" t="s">
        <v>2244</v>
      </c>
      <c r="E164">
        <v>0</v>
      </c>
      <c r="F164">
        <v>1</v>
      </c>
      <c r="G164" t="s">
        <v>2</v>
      </c>
      <c r="J164" s="12" t="str">
        <f t="shared" si="4"/>
        <v>* overallTreatmentResponse 0..1 BackboneElement ##34#Overall treatment response##34# ##334#Overall treatment response##334#</v>
      </c>
      <c r="L164" s="12" t="str">
        <f t="shared" si="5"/>
        <v/>
      </c>
    </row>
    <row r="165" spans="1:12" ht="59">
      <c r="A165" s="108">
        <v>154</v>
      </c>
      <c r="B165" s="113" t="s">
        <v>2404</v>
      </c>
      <c r="C165" s="2" t="s">
        <v>2126</v>
      </c>
      <c r="D165" s="112" t="s">
        <v>2126</v>
      </c>
      <c r="E165">
        <v>0</v>
      </c>
      <c r="F165">
        <v>1</v>
      </c>
      <c r="G165" t="s">
        <v>2</v>
      </c>
      <c r="J165" s="12" t="str">
        <f t="shared" si="4"/>
        <v>* treatmentResponseBasedOnImagingAloneNoRecistOrOtherCriteria-2 0..1 BackboneElement ##34#Treatment response based on imaging alone no recist or other criteria##34# ##334#Treatment response based on imaging alone no recist or other criteria##334#</v>
      </c>
      <c r="L165" s="12" t="str">
        <f t="shared" si="5"/>
        <v/>
      </c>
    </row>
    <row r="166" spans="1:12" ht="29.5">
      <c r="A166" s="108">
        <v>155</v>
      </c>
      <c r="B166" s="115" t="s">
        <v>2388</v>
      </c>
      <c r="C166" s="2" t="s">
        <v>2128</v>
      </c>
      <c r="D166" s="112" t="s">
        <v>2128</v>
      </c>
      <c r="E166">
        <v>0</v>
      </c>
      <c r="F166">
        <v>1</v>
      </c>
      <c r="G166" t="s">
        <v>2</v>
      </c>
      <c r="J166" s="12" t="str">
        <f t="shared" si="4"/>
        <v>* treatmentResponseDefineddone 0..1 BackboneElement ##34#Treatment response defineddone##34# ##334#Treatment response defineddone##334#</v>
      </c>
      <c r="L166" s="12" t="str">
        <f t="shared" si="5"/>
        <v/>
      </c>
    </row>
    <row r="167" spans="1:12" ht="44.25">
      <c r="A167" s="108">
        <v>156</v>
      </c>
      <c r="B167" s="115" t="s">
        <v>2389</v>
      </c>
      <c r="C167" s="2" t="s">
        <v>2245</v>
      </c>
      <c r="D167" s="112" t="s">
        <v>2245</v>
      </c>
      <c r="E167">
        <v>0</v>
      </c>
      <c r="F167">
        <v>1</v>
      </c>
      <c r="G167" t="s">
        <v>2</v>
      </c>
      <c r="J167" s="12" t="str">
        <f t="shared" si="4"/>
        <v>* patientIncludedInClinicalTrial 0..1 BackboneElement ##34#PATIENT INCLUDED IN CLINICAL TRIAL ##34# ##334#PATIENT INCLUDED IN CLINICAL TRIAL ##334#</v>
      </c>
      <c r="L167" s="12" t="str">
        <f t="shared" si="5"/>
        <v/>
      </c>
    </row>
    <row r="168" spans="1:12" ht="29.5">
      <c r="A168" s="108">
        <v>157</v>
      </c>
      <c r="B168" s="115" t="s">
        <v>2390</v>
      </c>
      <c r="C168" s="2" t="s">
        <v>2246</v>
      </c>
      <c r="D168" s="112" t="s">
        <v>2246</v>
      </c>
      <c r="E168">
        <v>0</v>
      </c>
      <c r="F168">
        <v>1</v>
      </c>
      <c r="G168" t="s">
        <v>2</v>
      </c>
      <c r="J168" s="12" t="str">
        <f t="shared" si="4"/>
        <v>* patientIncludedInAClinicalTrial 0..1 BackboneElement ##34#Patient included in a clinical trial##34# ##334#Patient included in a clinical trial##334#</v>
      </c>
      <c r="L168" s="12" t="str">
        <f t="shared" si="5"/>
        <v/>
      </c>
    </row>
    <row r="169" spans="1:12" ht="29.5">
      <c r="A169" s="108">
        <v>158</v>
      </c>
      <c r="B169" s="115" t="s">
        <v>2391</v>
      </c>
      <c r="C169" s="2" t="s">
        <v>2247</v>
      </c>
      <c r="D169" s="112" t="s">
        <v>2247</v>
      </c>
      <c r="E169">
        <v>0</v>
      </c>
      <c r="F169">
        <v>1</v>
      </c>
      <c r="G169" t="s">
        <v>2</v>
      </c>
      <c r="J169" s="12" t="str">
        <f t="shared" si="4"/>
        <v>* clinicalTrialCode 0..1 BackboneElement ##34#Clinical trial code##34# ##334#Clinical trial code##334#</v>
      </c>
      <c r="L169" s="12" t="str">
        <f t="shared" si="5"/>
        <v/>
      </c>
    </row>
    <row r="170" spans="1:12" ht="29.5">
      <c r="A170" s="108">
        <v>159</v>
      </c>
      <c r="B170" s="121" t="s">
        <v>1711</v>
      </c>
      <c r="C170" s="2" t="s">
        <v>1626</v>
      </c>
      <c r="D170" s="112" t="s">
        <v>1626</v>
      </c>
      <c r="E170">
        <v>0</v>
      </c>
      <c r="F170">
        <v>1</v>
      </c>
      <c r="G170" t="s">
        <v>2</v>
      </c>
      <c r="J170" s="12" t="str">
        <f t="shared" si="4"/>
        <v>* instrumentStatus 0..1 BackboneElement ##34#Instrument status##34# ##334#Instrument status##334#</v>
      </c>
      <c r="L170" s="12" t="str">
        <f t="shared" si="5"/>
        <v/>
      </c>
    </row>
    <row r="171" spans="1:12">
      <c r="J171" s="12" t="str">
        <f t="shared" si="4"/>
        <v>*  ..  ##34###34# ##334###334#</v>
      </c>
      <c r="L171" s="12" t="str">
        <f t="shared" si="5"/>
        <v>*  ..  ##34###34# ##334###334#</v>
      </c>
    </row>
    <row r="172" spans="1:12">
      <c r="J172" s="12" t="str">
        <f t="shared" si="4"/>
        <v>*  ..  ##34###34# ##334###334#</v>
      </c>
      <c r="L172" s="12" t="str">
        <f t="shared" si="5"/>
        <v>*  ..  ##34###34# ##334###334#</v>
      </c>
    </row>
    <row r="173" spans="1:12">
      <c r="J173" s="12" t="str">
        <f t="shared" si="4"/>
        <v>*  ..  ##34###34# ##334###334#</v>
      </c>
      <c r="L173" s="12" t="str">
        <f t="shared" si="5"/>
        <v>*  ..  ##34###34# ##334###334#</v>
      </c>
    </row>
    <row r="174" spans="1:12">
      <c r="J174" s="12" t="str">
        <f t="shared" si="4"/>
        <v>*  ..  ##34###34# ##334###334#</v>
      </c>
      <c r="L174" s="12" t="str">
        <f t="shared" si="5"/>
        <v>*  ..  ##34###34# ##334###334#</v>
      </c>
    </row>
    <row r="175" spans="1:12">
      <c r="J175" s="12" t="str">
        <f t="shared" si="4"/>
        <v>*  ..  ##34###34# ##334###334#</v>
      </c>
      <c r="L175" s="12" t="str">
        <f t="shared" si="5"/>
        <v>*  ..  ##34###34# ##334###334#</v>
      </c>
    </row>
    <row r="176" spans="1:12">
      <c r="J176" s="12" t="str">
        <f t="shared" si="4"/>
        <v>*  ..  ##34###34# ##334###334#</v>
      </c>
      <c r="L176" s="12" t="str">
        <f t="shared" si="5"/>
        <v>*  ..  ##34###34# ##334###334#</v>
      </c>
    </row>
    <row r="177" spans="10:12">
      <c r="J177" s="12" t="str">
        <f t="shared" si="4"/>
        <v>*  ..  ##34###34# ##334###334#</v>
      </c>
      <c r="L177" s="12" t="str">
        <f t="shared" si="5"/>
        <v>*  ..  ##34###34# ##334###334#</v>
      </c>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94D7A-284A-4777-9833-464789A5A65A}">
  <sheetPr codeName="Foglio49"/>
  <dimension ref="A1:O180"/>
  <sheetViews>
    <sheetView workbookViewId="0">
      <selection activeCell="C13" sqref="C13"/>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6" t="s">
        <v>21</v>
      </c>
      <c r="H1" s="7"/>
      <c r="I1" s="7"/>
      <c r="J1" s="7"/>
      <c r="K1" s="7"/>
      <c r="L1" s="7"/>
      <c r="M1" s="7"/>
      <c r="N1" s="7"/>
      <c r="O1" s="7"/>
    </row>
    <row r="2" spans="1:15">
      <c r="E2" s="23" t="s">
        <v>22</v>
      </c>
      <c r="H2" s="7"/>
      <c r="I2" s="7"/>
      <c r="J2" s="7"/>
      <c r="K2" s="7"/>
      <c r="L2" s="7"/>
      <c r="M2" s="7"/>
      <c r="N2" s="7"/>
      <c r="O2" s="7"/>
    </row>
    <row r="3" spans="1:15" ht="15.5" thickBot="1">
      <c r="E3" s="23" t="str">
        <f>E1</f>
        <v>// -------------------------------------------------------------------------------</v>
      </c>
      <c r="H3" s="7"/>
      <c r="I3" s="7"/>
      <c r="J3" s="7"/>
      <c r="K3" s="7"/>
      <c r="L3" s="7"/>
      <c r="M3" s="7"/>
      <c r="N3" s="7"/>
      <c r="O3" s="7"/>
    </row>
    <row r="4" spans="1:15" ht="15.5" thickBot="1">
      <c r="B4" s="10" t="s">
        <v>18</v>
      </c>
      <c r="C4" s="29" t="s">
        <v>2400</v>
      </c>
      <c r="E4" s="20" t="str">
        <f>CONCATENATE("Mapping: ",C4)</f>
        <v>Mapping: I4RCTreatment2Fhir</v>
      </c>
      <c r="H4" s="7"/>
      <c r="I4" s="7"/>
      <c r="J4" s="7"/>
      <c r="K4" s="7"/>
      <c r="L4" s="7"/>
      <c r="M4" s="7"/>
      <c r="N4" s="7"/>
      <c r="O4" s="7"/>
    </row>
    <row r="5" spans="1:15" ht="15.5" thickBot="1">
      <c r="B5" s="10" t="s">
        <v>17</v>
      </c>
      <c r="C5" s="13" t="s">
        <v>14</v>
      </c>
      <c r="E5" s="21" t="str">
        <f>CONCATENATE("Id: ",C5)</f>
        <v>Id: fhir</v>
      </c>
      <c r="H5" s="7"/>
      <c r="I5" s="7"/>
      <c r="J5" s="7"/>
      <c r="K5" s="7"/>
      <c r="L5" s="7"/>
      <c r="M5" s="7"/>
      <c r="N5" s="7"/>
      <c r="O5" s="7"/>
    </row>
    <row r="6" spans="1:15" ht="15.5" thickBot="1">
      <c r="B6" s="10" t="s">
        <v>11</v>
      </c>
      <c r="C6" s="7" t="s">
        <v>2401</v>
      </c>
      <c r="E6" s="21" t="str">
        <f>CONCATENATE("Title: ##34#",C6,"##34#")</f>
        <v>Title: ##34#Idea4RC Treatment model to FHIR R4 Map##34#</v>
      </c>
      <c r="H6" s="7"/>
      <c r="I6" s="7"/>
      <c r="J6" s="7"/>
      <c r="K6" s="7"/>
      <c r="L6" s="7"/>
      <c r="M6" s="7"/>
      <c r="N6" s="7"/>
      <c r="O6" s="7"/>
    </row>
    <row r="7" spans="1:15" ht="15.5" thickBot="1">
      <c r="B7" s="10" t="s">
        <v>19</v>
      </c>
      <c r="C7" s="8" t="str">
        <f>B9</f>
        <v>Treatment</v>
      </c>
      <c r="E7" s="21" t="str">
        <f>CONCATENATE("Source: ",C7)</f>
        <v>Source: Treatment</v>
      </c>
      <c r="H7" s="7"/>
      <c r="I7" s="7"/>
      <c r="J7" s="7"/>
      <c r="K7" s="7"/>
      <c r="L7" s="7"/>
      <c r="M7" s="7"/>
      <c r="N7" s="7"/>
      <c r="O7" s="7"/>
    </row>
    <row r="8" spans="1:15" ht="15.5" thickBot="1">
      <c r="B8" s="19" t="s">
        <v>16</v>
      </c>
      <c r="C8" t="s">
        <v>13</v>
      </c>
      <c r="E8" s="22" t="str">
        <f>CONCATENATE("Target: ##34#",C8,"##34#")</f>
        <v>Target: ##34#hl7.org/fhir/r4##34#</v>
      </c>
      <c r="H8" s="7"/>
      <c r="I8" s="7"/>
      <c r="J8" s="7"/>
      <c r="K8" s="7"/>
      <c r="L8" s="7"/>
      <c r="M8" s="7"/>
      <c r="N8" s="7"/>
      <c r="O8" s="7"/>
    </row>
    <row r="9" spans="1:15">
      <c r="A9" s="11"/>
      <c r="B9" s="6" t="str">
        <f>Treatment!B5</f>
        <v>Treatment</v>
      </c>
      <c r="C9" s="6" t="s">
        <v>1637</v>
      </c>
      <c r="E9" s="28" t="str">
        <f>CONCATENATE("* -&gt; ##34#",C9,"##34#")</f>
        <v>* -&gt; ##34#TBD##34#</v>
      </c>
      <c r="H9" s="7"/>
      <c r="I9" s="7"/>
      <c r="J9" s="7"/>
      <c r="K9" s="7"/>
      <c r="L9" s="7"/>
      <c r="M9" s="7"/>
      <c r="N9" s="7"/>
      <c r="O9" s="7"/>
    </row>
    <row r="10" spans="1:15">
      <c r="A10" s="11"/>
      <c r="B10" s="11" t="str">
        <f>Treatment!B8</f>
        <v>surgery</v>
      </c>
      <c r="C10" s="11" t="s">
        <v>1637</v>
      </c>
      <c r="E10" s="12" t="str">
        <f t="shared" ref="E10:E73" si="0">IF(B10=0,"*  -&gt; ##34###34#",CONCATENATE("* ",B10," -&gt; ##34#",C10,"##34#"))</f>
        <v>* surgery -&gt; ##34#TBD##34#</v>
      </c>
      <c r="H10" s="7"/>
      <c r="I10" s="7"/>
      <c r="J10" s="7"/>
      <c r="K10" s="7"/>
      <c r="L10" s="7"/>
      <c r="M10" s="7"/>
      <c r="N10" s="7"/>
      <c r="O10" s="7"/>
    </row>
    <row r="11" spans="1:15">
      <c r="A11" s="11"/>
      <c r="B11" s="11" t="str">
        <f>Treatment!B9</f>
        <v>surgeryPerformed</v>
      </c>
      <c r="C11" s="11" t="s">
        <v>1637</v>
      </c>
      <c r="E11" s="12" t="str">
        <f t="shared" si="0"/>
        <v>* surgeryPerformed -&gt; ##34#TBD##34#</v>
      </c>
      <c r="H11" s="7"/>
      <c r="I11" s="7"/>
      <c r="J11" s="7"/>
      <c r="K11" s="7"/>
      <c r="L11" s="7"/>
      <c r="M11" s="7"/>
      <c r="N11" s="7"/>
      <c r="O11" s="7"/>
    </row>
    <row r="12" spans="1:15">
      <c r="A12" s="11"/>
      <c r="B12" s="11" t="str">
        <f>Treatment!B10</f>
        <v>dateOfTumourSurgery</v>
      </c>
      <c r="C12" s="11" t="s">
        <v>1637</v>
      </c>
      <c r="E12" s="12" t="str">
        <f t="shared" si="0"/>
        <v>* dateOfTumourSurgery -&gt; ##34#TBD##34#</v>
      </c>
      <c r="H12" s="7"/>
      <c r="I12" s="7"/>
      <c r="J12" s="7"/>
      <c r="K12" s="7"/>
      <c r="L12" s="7"/>
      <c r="M12" s="7"/>
      <c r="N12" s="7"/>
      <c r="O12" s="7"/>
    </row>
    <row r="13" spans="1:15">
      <c r="A13" s="11"/>
      <c r="B13" s="11" t="str">
        <f>Treatment!B11</f>
        <v>surgeryIntention</v>
      </c>
      <c r="C13" s="11" t="s">
        <v>1637</v>
      </c>
      <c r="E13" s="12" t="str">
        <f t="shared" si="0"/>
        <v>* surgeryIntention -&gt; ##34#TBD##34#</v>
      </c>
      <c r="H13" s="7"/>
      <c r="I13" s="7"/>
      <c r="J13" s="7"/>
      <c r="K13" s="7"/>
      <c r="L13" s="7"/>
      <c r="M13" s="7"/>
      <c r="N13" s="7"/>
      <c r="O13" s="7"/>
    </row>
    <row r="14" spans="1:15">
      <c r="A14" s="11"/>
      <c r="B14" s="11" t="str">
        <f>Treatment!B12</f>
        <v>tumorSurgeryApproach</v>
      </c>
      <c r="C14" s="11" t="s">
        <v>1637</v>
      </c>
      <c r="E14" s="12" t="str">
        <f t="shared" si="0"/>
        <v>* tumorSurgeryApproach -&gt; ##34#TBD##34#</v>
      </c>
      <c r="H14" s="7"/>
      <c r="I14" s="7"/>
      <c r="J14" s="7"/>
      <c r="K14" s="7"/>
      <c r="L14" s="7"/>
      <c r="M14" s="7"/>
      <c r="N14" s="7"/>
      <c r="O14" s="7"/>
    </row>
    <row r="15" spans="1:15">
      <c r="A15" s="11"/>
      <c r="B15" s="11" t="str">
        <f>Treatment!B13</f>
        <v>tumorSurgeryDevice</v>
      </c>
      <c r="C15" s="11" t="s">
        <v>1637</v>
      </c>
      <c r="E15" s="12" t="str">
        <f t="shared" si="0"/>
        <v>* tumorSurgeryDevice -&gt; ##34#TBD##34#</v>
      </c>
      <c r="H15" s="7"/>
      <c r="I15" s="7"/>
      <c r="J15" s="7"/>
      <c r="K15" s="7"/>
      <c r="L15" s="7"/>
      <c r="M15" s="7"/>
      <c r="N15" s="7"/>
      <c r="O15" s="7"/>
    </row>
    <row r="16" spans="1:15">
      <c r="A16" s="11"/>
      <c r="B16" s="11" t="str">
        <f>Treatment!B14</f>
        <v>surgicalProcedure</v>
      </c>
      <c r="C16" s="11" t="s">
        <v>1637</v>
      </c>
      <c r="E16" s="12" t="str">
        <f t="shared" si="0"/>
        <v>* surgicalProcedure -&gt; ##34#TBD##34#</v>
      </c>
      <c r="H16" s="7"/>
      <c r="I16" s="7"/>
      <c r="J16" s="7"/>
      <c r="K16" s="7"/>
      <c r="L16" s="7"/>
      <c r="M16" s="7"/>
      <c r="N16" s="7"/>
      <c r="O16" s="7"/>
    </row>
    <row r="17" spans="1:5">
      <c r="A17" s="11"/>
      <c r="B17" s="11" t="str">
        <f>Treatment!B15</f>
        <v>surgicalProcedure.surgicalProcedureNasopharynx</v>
      </c>
      <c r="C17" s="11" t="s">
        <v>1637</v>
      </c>
      <c r="E17" s="12" t="str">
        <f t="shared" si="0"/>
        <v>* surgicalProcedure.surgicalProcedureNasopharynx -&gt; ##34#TBD##34#</v>
      </c>
    </row>
    <row r="18" spans="1:5">
      <c r="A18" s="11"/>
      <c r="B18" s="11" t="str">
        <f>Treatment!B16</f>
        <v>surgicalProcedure.surgicalProcedureNasalCavityAndParanasalSinus</v>
      </c>
      <c r="C18" s="11" t="s">
        <v>1637</v>
      </c>
      <c r="E18" s="12" t="str">
        <f t="shared" si="0"/>
        <v>* surgicalProcedure.surgicalProcedureNasalCavityAndParanasalSinus -&gt; ##34#TBD##34#</v>
      </c>
    </row>
    <row r="19" spans="1:5">
      <c r="A19" s="11"/>
      <c r="B19" s="11" t="str">
        <f>Treatment!B17</f>
        <v>surgicalProcedure.surgicalProcedureSalivaryGland</v>
      </c>
      <c r="C19" s="11" t="s">
        <v>1637</v>
      </c>
      <c r="E19" s="12" t="str">
        <f t="shared" si="0"/>
        <v>* surgicalProcedure.surgicalProcedureSalivaryGland -&gt; ##34#TBD##34#</v>
      </c>
    </row>
    <row r="20" spans="1:5">
      <c r="A20" s="11"/>
      <c r="B20" s="11" t="str">
        <f>Treatment!B18</f>
        <v>surgicalProcedure.surgicalProcedureEar</v>
      </c>
      <c r="C20" s="11" t="s">
        <v>1637</v>
      </c>
      <c r="E20" s="12" t="str">
        <f t="shared" si="0"/>
        <v>* surgicalProcedure.surgicalProcedureEar -&gt; ##34#TBD##34#</v>
      </c>
    </row>
    <row r="21" spans="1:5">
      <c r="B21" s="11" t="str">
        <f>Treatment!B19</f>
        <v>surgicalProcedure.surgicalProcedureLip</v>
      </c>
      <c r="C21" s="11" t="s">
        <v>1637</v>
      </c>
      <c r="E21" s="12" t="str">
        <f t="shared" si="0"/>
        <v>* surgicalProcedure.surgicalProcedureLip -&gt; ##34#TBD##34#</v>
      </c>
    </row>
    <row r="22" spans="1:5">
      <c r="B22" s="11" t="str">
        <f>Treatment!B20</f>
        <v>surgicalProcedure.surgicalProcedureOralCavity</v>
      </c>
      <c r="C22" s="11" t="s">
        <v>1637</v>
      </c>
      <c r="E22" s="12" t="str">
        <f t="shared" si="0"/>
        <v>* surgicalProcedure.surgicalProcedureOralCavity -&gt; ##34#TBD##34#</v>
      </c>
    </row>
    <row r="23" spans="1:5">
      <c r="B23" s="11" t="str">
        <f>Treatment!B21</f>
        <v>surgicalProcedure.surgicalProcedureMandibulectomy</v>
      </c>
      <c r="C23" s="11" t="s">
        <v>1637</v>
      </c>
      <c r="E23" s="12" t="str">
        <f t="shared" si="0"/>
        <v>* surgicalProcedure.surgicalProcedureMandibulectomy -&gt; ##34#TBD##34#</v>
      </c>
    </row>
    <row r="24" spans="1:5">
      <c r="B24" s="11" t="str">
        <f>Treatment!B22</f>
        <v>surgicalProcedure.surgicalProcedureOropharynx</v>
      </c>
      <c r="C24" s="11" t="s">
        <v>1637</v>
      </c>
      <c r="E24" s="12" t="str">
        <f t="shared" si="0"/>
        <v>* surgicalProcedure.surgicalProcedureOropharynx -&gt; ##34#TBD##34#</v>
      </c>
    </row>
    <row r="25" spans="1:5">
      <c r="B25" s="11" t="str">
        <f>Treatment!B23</f>
        <v>surgicalProcedure.surgicalProcedureHypopharynx</v>
      </c>
      <c r="C25" s="11" t="s">
        <v>1637</v>
      </c>
      <c r="E25" s="12" t="str">
        <f t="shared" si="0"/>
        <v>* surgicalProcedure.surgicalProcedureHypopharynx -&gt; ##34#TBD##34#</v>
      </c>
    </row>
    <row r="26" spans="1:5">
      <c r="B26" s="11" t="str">
        <f>Treatment!B24</f>
        <v>surgicalProcedure.surgicalProcedureLarynx</v>
      </c>
      <c r="C26" s="11" t="s">
        <v>1637</v>
      </c>
      <c r="E26" s="12" t="str">
        <f t="shared" si="0"/>
        <v>* surgicalProcedure.surgicalProcedureLarynx -&gt; ##34#TBD##34#</v>
      </c>
    </row>
    <row r="27" spans="1:5">
      <c r="B27" s="11" t="str">
        <f>Treatment!B25</f>
        <v>reconstruction</v>
      </c>
      <c r="C27" s="11" t="s">
        <v>1637</v>
      </c>
      <c r="E27" s="12" t="str">
        <f t="shared" si="0"/>
        <v>* reconstruction -&gt; ##34#TBD##34#</v>
      </c>
    </row>
    <row r="28" spans="1:5">
      <c r="B28" s="11" t="str">
        <f>Treatment!B26</f>
        <v>reconstruction.flag</v>
      </c>
      <c r="C28" s="11" t="s">
        <v>1637</v>
      </c>
      <c r="E28" s="12" t="str">
        <f t="shared" si="0"/>
        <v>* reconstruction.flag -&gt; ##34#TBD##34#</v>
      </c>
    </row>
    <row r="29" spans="1:5">
      <c r="B29" s="11" t="str">
        <f>Treatment!B27</f>
        <v>reconstruction.reconstructionType</v>
      </c>
      <c r="C29" s="11" t="s">
        <v>1637</v>
      </c>
      <c r="E29" s="12" t="str">
        <f t="shared" si="0"/>
        <v>* reconstruction.reconstructionType -&gt; ##34#TBD##34#</v>
      </c>
    </row>
    <row r="30" spans="1:5">
      <c r="B30" s="11" t="str">
        <f>Treatment!B28</f>
        <v>reconstruction.firstFlapUsedForReconstruction</v>
      </c>
      <c r="C30" s="11" t="s">
        <v>1637</v>
      </c>
      <c r="E30" s="12" t="str">
        <f t="shared" si="0"/>
        <v>* reconstruction.firstFlapUsedForReconstruction -&gt; ##34#TBD##34#</v>
      </c>
    </row>
    <row r="31" spans="1:5">
      <c r="B31" s="11" t="str">
        <f>Treatment!B29</f>
        <v>reconstruction.secondFlapUsedForReconstruction</v>
      </c>
      <c r="C31" s="11" t="s">
        <v>1637</v>
      </c>
      <c r="E31" s="12" t="str">
        <f t="shared" si="0"/>
        <v>* reconstruction.secondFlapUsedForReconstruction -&gt; ##34#TBD##34#</v>
      </c>
    </row>
    <row r="32" spans="1:5">
      <c r="B32" s="11" t="str">
        <f>Treatment!B30</f>
        <v>neckSurgery</v>
      </c>
      <c r="C32" s="11" t="s">
        <v>1637</v>
      </c>
      <c r="E32" s="12" t="str">
        <f t="shared" si="0"/>
        <v>* neckSurgery -&gt; ##34#TBD##34#</v>
      </c>
    </row>
    <row r="33" spans="2:5">
      <c r="B33" s="11" t="str">
        <f>Treatment!B31</f>
        <v>dateOfNeckSurgeryIfDifferentFromDateOfTumorSiteSurgery</v>
      </c>
      <c r="C33" s="11" t="s">
        <v>1637</v>
      </c>
      <c r="E33" s="12" t="str">
        <f t="shared" si="0"/>
        <v>* dateOfNeckSurgeryIfDifferentFromDateOfTumorSiteSurgery -&gt; ##34#TBD##34#</v>
      </c>
    </row>
    <row r="34" spans="2:5">
      <c r="B34" s="11" t="str">
        <f>Treatment!B32</f>
        <v>dateOfNeckSurgeryDayUnknown</v>
      </c>
      <c r="C34" s="11" t="s">
        <v>1637</v>
      </c>
      <c r="E34" s="12" t="str">
        <f t="shared" si="0"/>
        <v>* dateOfNeckSurgeryDayUnknown -&gt; ##34#TBD##34#</v>
      </c>
    </row>
    <row r="35" spans="2:5">
      <c r="B35" s="11" t="str">
        <f>Treatment!B33</f>
        <v>nodePicking</v>
      </c>
      <c r="C35" s="11" t="s">
        <v>1637</v>
      </c>
      <c r="E35" s="12" t="str">
        <f t="shared" si="0"/>
        <v>* nodePicking -&gt; ##34#TBD##34#</v>
      </c>
    </row>
    <row r="36" spans="2:5">
      <c r="B36" s="11" t="str">
        <f>Treatment!B34</f>
        <v>neckDissection</v>
      </c>
      <c r="C36" s="11" t="s">
        <v>1637</v>
      </c>
      <c r="E36" s="12" t="str">
        <f t="shared" si="0"/>
        <v>* neckDissection -&gt; ##34#TBD##34#</v>
      </c>
    </row>
    <row r="37" spans="2:5">
      <c r="B37" s="11" t="str">
        <f>Treatment!B35</f>
        <v>lateralityOfTheDissection</v>
      </c>
      <c r="C37" s="11" t="s">
        <v>1637</v>
      </c>
      <c r="E37" s="12" t="str">
        <f t="shared" si="0"/>
        <v>* lateralityOfTheDissection -&gt; ##34#TBD##34#</v>
      </c>
    </row>
    <row r="38" spans="2:5">
      <c r="B38" s="11" t="str">
        <f>Treatment!B36</f>
        <v>surgicalProcedureRightNeck</v>
      </c>
      <c r="C38" s="11" t="s">
        <v>1637</v>
      </c>
      <c r="E38" s="12" t="str">
        <f t="shared" si="0"/>
        <v>* surgicalProcedureRightNeck -&gt; ##34#TBD##34#</v>
      </c>
    </row>
    <row r="39" spans="2:5">
      <c r="B39" s="11" t="str">
        <f>Treatment!B37</f>
        <v>surgicalProcedureRightNeckLevelsDissected</v>
      </c>
      <c r="C39" s="11" t="s">
        <v>1637</v>
      </c>
      <c r="E39" s="12" t="str">
        <f t="shared" si="0"/>
        <v>* surgicalProcedureRightNeckLevelsDissected -&gt; ##34#TBD##34#</v>
      </c>
    </row>
    <row r="40" spans="2:5">
      <c r="B40" s="11" t="str">
        <f>Treatment!B38</f>
        <v>surgicalProcedureLeftNeck</v>
      </c>
      <c r="C40" s="11" t="s">
        <v>1637</v>
      </c>
      <c r="E40" s="12" t="str">
        <f t="shared" si="0"/>
        <v>* surgicalProcedureLeftNeck -&gt; ##34#TBD##34#</v>
      </c>
    </row>
    <row r="41" spans="2:5">
      <c r="B41" s="11" t="str">
        <f>Treatment!B39</f>
        <v>surgicalProcedureLeftNeckLevelsDissected</v>
      </c>
      <c r="C41" s="11" t="s">
        <v>1637</v>
      </c>
      <c r="E41" s="12" t="str">
        <f t="shared" si="0"/>
        <v>* surgicalProcedureLeftNeckLevelsDissected -&gt; ##34#TBD##34#</v>
      </c>
    </row>
    <row r="42" spans="2:5">
      <c r="B42" s="11" t="str">
        <f>Treatment!B40</f>
        <v>surgeryOnM</v>
      </c>
      <c r="C42" s="11" t="s">
        <v>1637</v>
      </c>
      <c r="E42" s="12" t="str">
        <f t="shared" si="0"/>
        <v>* surgeryOnM -&gt; ##34#TBD##34#</v>
      </c>
    </row>
    <row r="43" spans="2:5">
      <c r="B43" s="11" t="str">
        <f>Treatment!B41</f>
        <v>siteOfSurgeryOnMetastasis</v>
      </c>
      <c r="C43" s="11" t="s">
        <v>1637</v>
      </c>
      <c r="E43" s="12" t="str">
        <f t="shared" si="0"/>
        <v>* siteOfSurgeryOnMetastasis -&gt; ##34#TBD##34#</v>
      </c>
    </row>
    <row r="44" spans="2:5">
      <c r="B44" s="11" t="str">
        <f>Treatment!B42</f>
        <v>siteOfSurgeryOnMetastasisSoftTissue</v>
      </c>
      <c r="C44" s="11" t="s">
        <v>1637</v>
      </c>
      <c r="E44" s="12" t="str">
        <f t="shared" si="0"/>
        <v>* siteOfSurgeryOnMetastasisSoftTissue -&gt; ##34#TBD##34#</v>
      </c>
    </row>
    <row r="45" spans="2:5">
      <c r="B45" s="11" t="str">
        <f>Treatment!B43</f>
        <v>siteOfSurgeryOnMetastasisDistantLymphNodes</v>
      </c>
      <c r="C45" s="11" t="s">
        <v>1637</v>
      </c>
      <c r="E45" s="12" t="str">
        <f t="shared" si="0"/>
        <v>* siteOfSurgeryOnMetastasisDistantLymphNodes -&gt; ##34#TBD##34#</v>
      </c>
    </row>
    <row r="46" spans="2:5">
      <c r="B46" s="11" t="str">
        <f>Treatment!B44</f>
        <v>siteOfSurgeryOnMetastasisLung</v>
      </c>
      <c r="C46" s="11" t="s">
        <v>1637</v>
      </c>
      <c r="E46" s="12" t="str">
        <f t="shared" si="0"/>
        <v>* siteOfSurgeryOnMetastasisLung -&gt; ##34#TBD##34#</v>
      </c>
    </row>
    <row r="47" spans="2:5">
      <c r="B47" s="11" t="str">
        <f>Treatment!B45</f>
        <v>siteOfSurgeryOnMetastasisBone</v>
      </c>
      <c r="C47" s="11" t="s">
        <v>1637</v>
      </c>
      <c r="E47" s="12" t="str">
        <f t="shared" si="0"/>
        <v>* siteOfSurgeryOnMetastasisBone -&gt; ##34#TBD##34#</v>
      </c>
    </row>
    <row r="48" spans="2:5">
      <c r="B48" s="11" t="str">
        <f>Treatment!B46</f>
        <v>siteOfSurgeryOnMetastasisLiver</v>
      </c>
      <c r="C48" s="11" t="s">
        <v>1637</v>
      </c>
      <c r="E48" s="12" t="str">
        <f t="shared" si="0"/>
        <v>* siteOfSurgeryOnMetastasisLiver -&gt; ##34#TBD##34#</v>
      </c>
    </row>
    <row r="49" spans="2:5">
      <c r="B49" s="11" t="str">
        <f>Treatment!B47</f>
        <v>siteOfSurgeryOnMetastasisPleura</v>
      </c>
      <c r="C49" s="11" t="s">
        <v>1637</v>
      </c>
      <c r="E49" s="12" t="str">
        <f t="shared" si="0"/>
        <v>* siteOfSurgeryOnMetastasisPleura -&gt; ##34#TBD##34#</v>
      </c>
    </row>
    <row r="50" spans="2:5">
      <c r="B50" s="11" t="str">
        <f>Treatment!B48</f>
        <v>siteOfSurgeryOnMetastasisPeritoneum</v>
      </c>
      <c r="C50" s="11" t="s">
        <v>1637</v>
      </c>
      <c r="E50" s="12" t="str">
        <f t="shared" si="0"/>
        <v>* siteOfSurgeryOnMetastasisPeritoneum -&gt; ##34#TBD##34#</v>
      </c>
    </row>
    <row r="51" spans="2:5">
      <c r="B51" s="11" t="str">
        <f>Treatment!B49</f>
        <v>siteOfSurgeryOnMetastasisBrain</v>
      </c>
      <c r="C51" s="11" t="s">
        <v>1637</v>
      </c>
      <c r="E51" s="12" t="str">
        <f t="shared" si="0"/>
        <v>* siteOfSurgeryOnMetastasisBrain -&gt; ##34#TBD##34#</v>
      </c>
    </row>
    <row r="52" spans="2:5">
      <c r="B52" s="11" t="str">
        <f>Treatment!B50</f>
        <v>siteOfSurgeryOnMetastasisOtherViscera</v>
      </c>
      <c r="C52" s="11" t="s">
        <v>1637</v>
      </c>
      <c r="E52" s="12" t="str">
        <f t="shared" si="0"/>
        <v>* siteOfSurgeryOnMetastasisOtherViscera -&gt; ##34#TBD##34#</v>
      </c>
    </row>
    <row r="53" spans="2:5">
      <c r="B53" s="11" t="str">
        <f>Treatment!B51</f>
        <v>siteOfSurgeryOnMetastasisUnknown</v>
      </c>
      <c r="C53" s="11" t="s">
        <v>1637</v>
      </c>
      <c r="E53" s="12" t="str">
        <f t="shared" si="0"/>
        <v>* siteOfSurgeryOnMetastasisUnknown -&gt; ##34#TBD##34#</v>
      </c>
    </row>
    <row r="54" spans="2:5">
      <c r="B54" s="11" t="str">
        <f>Treatment!B52</f>
        <v>dateOfSurgeryOnMIfDifferentFromDateOfTumorSiteSurgery</v>
      </c>
      <c r="C54" s="11" t="s">
        <v>1637</v>
      </c>
      <c r="E54" s="12" t="str">
        <f t="shared" si="0"/>
        <v>* dateOfSurgeryOnMIfDifferentFromDateOfTumorSiteSurgery -&gt; ##34#TBD##34#</v>
      </c>
    </row>
    <row r="55" spans="2:5">
      <c r="B55" s="11" t="str">
        <f>Treatment!B53</f>
        <v>surgicalWorstComplications</v>
      </c>
      <c r="C55" s="11" t="s">
        <v>1637</v>
      </c>
      <c r="E55" s="12" t="str">
        <f t="shared" si="0"/>
        <v>* surgicalWorstComplications -&gt; ##34#TBD##34#</v>
      </c>
    </row>
    <row r="56" spans="2:5">
      <c r="B56" s="11" t="str">
        <f>Treatment!B54</f>
        <v>surgical2ndWorstComplications</v>
      </c>
      <c r="C56" s="11" t="s">
        <v>1637</v>
      </c>
      <c r="E56" s="12" t="str">
        <f t="shared" si="0"/>
        <v>* surgical2ndWorstComplications -&gt; ##34#TBD##34#</v>
      </c>
    </row>
    <row r="57" spans="2:5">
      <c r="B57" s="11" t="str">
        <f>Treatment!B55</f>
        <v>unplannedSurgery</v>
      </c>
      <c r="C57" s="11" t="s">
        <v>1637</v>
      </c>
      <c r="E57" s="12" t="str">
        <f t="shared" si="0"/>
        <v>* unplannedSurgery -&gt; ##34#TBD##34#</v>
      </c>
    </row>
    <row r="58" spans="2:5">
      <c r="B58" s="11" t="str">
        <f>Treatment!B56</f>
        <v>dateOfUnplannedSurgery</v>
      </c>
      <c r="C58" s="11" t="s">
        <v>1637</v>
      </c>
      <c r="E58" s="12" t="str">
        <f t="shared" si="0"/>
        <v>* dateOfUnplannedSurgery -&gt; ##34#TBD##34#</v>
      </c>
    </row>
    <row r="59" spans="2:5">
      <c r="B59" s="11" t="str">
        <f>Treatment!B57</f>
        <v>marginsAfterUnplannedSurgery</v>
      </c>
      <c r="C59" s="11" t="s">
        <v>1637</v>
      </c>
      <c r="E59" s="12" t="str">
        <f t="shared" si="0"/>
        <v>* marginsAfterUnplannedSurgery -&gt; ##34#TBD##34#</v>
      </c>
    </row>
    <row r="60" spans="2:5">
      <c r="B60" s="11" t="str">
        <f>Treatment!B58</f>
        <v>unplannedNeckSurgery</v>
      </c>
      <c r="C60" s="11" t="s">
        <v>1637</v>
      </c>
      <c r="E60" s="12" t="str">
        <f t="shared" si="0"/>
        <v>* unplannedNeckSurgery -&gt; ##34#TBD##34#</v>
      </c>
    </row>
    <row r="61" spans="2:5">
      <c r="B61" s="11" t="str">
        <f>Treatment!B59</f>
        <v>systemicTreament</v>
      </c>
      <c r="C61" s="11" t="s">
        <v>1637</v>
      </c>
      <c r="E61" s="12" t="str">
        <f t="shared" si="0"/>
        <v>* systemicTreament -&gt; ##34#TBD##34#</v>
      </c>
    </row>
    <row r="62" spans="2:5">
      <c r="B62" s="11" t="str">
        <f>Treatment!B60</f>
        <v>systemicTreatmentPerformed</v>
      </c>
      <c r="C62" s="11" t="s">
        <v>1637</v>
      </c>
      <c r="E62" s="12" t="str">
        <f t="shared" si="0"/>
        <v>* systemicTreatmentPerformed -&gt; ##34#TBD##34#</v>
      </c>
    </row>
    <row r="63" spans="2:5">
      <c r="B63" s="11" t="str">
        <f>Treatment!B61</f>
        <v>chooseTheSingleTreatment</v>
      </c>
      <c r="C63" s="11" t="s">
        <v>1637</v>
      </c>
      <c r="E63" s="12" t="str">
        <f t="shared" si="0"/>
        <v>* chooseTheSingleTreatment -&gt; ##34#TBD##34#</v>
      </c>
    </row>
    <row r="64" spans="2:5">
      <c r="B64" s="11" t="str">
        <f>Treatment!B62</f>
        <v>intent</v>
      </c>
      <c r="C64" s="11" t="s">
        <v>1637</v>
      </c>
      <c r="E64" s="12" t="str">
        <f t="shared" si="0"/>
        <v>* intent -&gt; ##34#TBD##34#</v>
      </c>
    </row>
    <row r="65" spans="2:5">
      <c r="B65" s="11" t="str">
        <f>Treatment!B63</f>
        <v>setting</v>
      </c>
      <c r="C65" s="11" t="s">
        <v>1637</v>
      </c>
      <c r="E65" s="12" t="str">
        <f t="shared" si="0"/>
        <v>* setting -&gt; ##34#TBD##34#</v>
      </c>
    </row>
    <row r="66" spans="2:5">
      <c r="B66" s="11" t="str">
        <f>Treatment!B64</f>
        <v>startDateSystemicTreatment</v>
      </c>
      <c r="C66" s="11" t="s">
        <v>1637</v>
      </c>
      <c r="E66" s="12" t="str">
        <f t="shared" si="0"/>
        <v>* startDateSystemicTreatment -&gt; ##34#TBD##34#</v>
      </c>
    </row>
    <row r="67" spans="2:5">
      <c r="B67" s="11" t="str">
        <f>Treatment!B65</f>
        <v>startDateSystemicTreatmentDayUnknown</v>
      </c>
      <c r="C67" s="11" t="s">
        <v>1637</v>
      </c>
      <c r="E67" s="12" t="str">
        <f t="shared" si="0"/>
        <v>* startDateSystemicTreatmentDayUnknown -&gt; ##34#TBD##34#</v>
      </c>
    </row>
    <row r="68" spans="2:5">
      <c r="B68" s="11" t="str">
        <f>Treatment!B66</f>
        <v>endDateSystemicTreatment</v>
      </c>
      <c r="C68" s="11" t="s">
        <v>1637</v>
      </c>
      <c r="E68" s="12" t="str">
        <f t="shared" si="0"/>
        <v>* endDateSystemicTreatment -&gt; ##34#TBD##34#</v>
      </c>
    </row>
    <row r="69" spans="2:5">
      <c r="B69" s="11" t="str">
        <f>Treatment!B67</f>
        <v>endDateSystemicTreatmentDayUnknown</v>
      </c>
      <c r="C69" s="11" t="s">
        <v>1637</v>
      </c>
      <c r="E69" s="12" t="str">
        <f t="shared" si="0"/>
        <v>* endDateSystemicTreatmentDayUnknown -&gt; ##34#TBD##34#</v>
      </c>
    </row>
    <row r="70" spans="2:5">
      <c r="B70" s="11" t="str">
        <f>Treatment!B68</f>
        <v>numberOfCyclesAdministrations</v>
      </c>
      <c r="C70" s="11" t="s">
        <v>1637</v>
      </c>
      <c r="E70" s="12" t="str">
        <f t="shared" si="0"/>
        <v>* numberOfCyclesAdministrations -&gt; ##34#TBD##34#</v>
      </c>
    </row>
    <row r="71" spans="2:5">
      <c r="B71" s="11" t="str">
        <f>Treatment!B69</f>
        <v>regimen</v>
      </c>
      <c r="C71" s="11" t="s">
        <v>1637</v>
      </c>
      <c r="E71" s="12" t="str">
        <f t="shared" si="0"/>
        <v>* regimen -&gt; ##34#TBD##34#</v>
      </c>
    </row>
    <row r="72" spans="2:5">
      <c r="B72" s="11" t="str">
        <f>Treatment!B70</f>
        <v>drugs1</v>
      </c>
      <c r="C72" s="11" t="s">
        <v>1637</v>
      </c>
      <c r="E72" s="12" t="str">
        <f t="shared" si="0"/>
        <v>* drugs1 -&gt; ##34#TBD##34#</v>
      </c>
    </row>
    <row r="73" spans="2:5">
      <c r="B73" s="11" t="str">
        <f>Treatment!B71</f>
        <v>drugs2</v>
      </c>
      <c r="C73" s="11" t="s">
        <v>1637</v>
      </c>
      <c r="E73" s="12" t="str">
        <f t="shared" si="0"/>
        <v>* drugs2 -&gt; ##34#TBD##34#</v>
      </c>
    </row>
    <row r="74" spans="2:5">
      <c r="B74" s="11" t="str">
        <f>Treatment!B72</f>
        <v>drugs3</v>
      </c>
      <c r="C74" s="11" t="s">
        <v>1637</v>
      </c>
      <c r="E74" s="12" t="str">
        <f t="shared" ref="E74:E137" si="1">IF(B74=0,"*  -&gt; ##34###34#",CONCATENATE("* ",B74," -&gt; ##34#",C74,"##34#"))</f>
        <v>* drugs3 -&gt; ##34#TBD##34#</v>
      </c>
    </row>
    <row r="75" spans="2:5">
      <c r="B75" s="11" t="str">
        <f>Treatment!B73</f>
        <v>plasmaticEbvDnaDuringSystemicTreatment</v>
      </c>
      <c r="C75" s="11" t="s">
        <v>1637</v>
      </c>
      <c r="E75" s="12" t="str">
        <f t="shared" si="1"/>
        <v>* plasmaticEbvDnaDuringSystemicTreatment -&gt; ##34#TBD##34#</v>
      </c>
    </row>
    <row r="76" spans="2:5">
      <c r="B76" s="11" t="str">
        <f>Treatment!B74</f>
        <v>primerType</v>
      </c>
      <c r="C76" s="11" t="s">
        <v>1637</v>
      </c>
      <c r="E76" s="12" t="str">
        <f t="shared" si="1"/>
        <v>* primerType -&gt; ##34#TBD##34#</v>
      </c>
    </row>
    <row r="77" spans="2:5">
      <c r="B77" s="11" t="str">
        <f>Treatment!B75</f>
        <v>copyNumber</v>
      </c>
      <c r="C77" s="11" t="s">
        <v>1637</v>
      </c>
      <c r="E77" s="12" t="str">
        <f t="shared" si="1"/>
        <v>* copyNumber -&gt; ##34#TBD##34#</v>
      </c>
    </row>
    <row r="78" spans="2:5">
      <c r="B78" s="11" t="str">
        <f>Treatment!B76</f>
        <v>plasmaticEbvDnaAfterSystemicTreatment</v>
      </c>
      <c r="C78" s="11" t="s">
        <v>1637</v>
      </c>
      <c r="E78" s="12" t="str">
        <f t="shared" si="1"/>
        <v>* plasmaticEbvDnaAfterSystemicTreatment -&gt; ##34#TBD##34#</v>
      </c>
    </row>
    <row r="79" spans="2:5">
      <c r="B79" s="11" t="str">
        <f>Treatment!B77</f>
        <v>afterTreatment-primerType</v>
      </c>
      <c r="C79" s="11" t="s">
        <v>1637</v>
      </c>
      <c r="E79" s="12" t="str">
        <f t="shared" si="1"/>
        <v>* afterTreatment-primerType -&gt; ##34#TBD##34#</v>
      </c>
    </row>
    <row r="80" spans="2:5">
      <c r="B80" s="11" t="str">
        <f>Treatment!B78</f>
        <v>afterTreatment-copyNumber</v>
      </c>
      <c r="C80" s="11" t="s">
        <v>1637</v>
      </c>
      <c r="E80" s="12" t="str">
        <f t="shared" si="1"/>
        <v>* afterTreatment-copyNumber -&gt; ##34#TBD##34#</v>
      </c>
    </row>
    <row r="81" spans="2:5">
      <c r="B81" s="11" t="str">
        <f>Treatment!B79</f>
        <v>reasonForEndOfTreatment</v>
      </c>
      <c r="C81" s="11" t="s">
        <v>1637</v>
      </c>
      <c r="E81" s="12" t="str">
        <f t="shared" si="1"/>
        <v>* reasonForEndOfTreatment -&gt; ##34#TBD##34#</v>
      </c>
    </row>
    <row r="82" spans="2:5">
      <c r="B82" s="11" t="str">
        <f>Treatment!B80</f>
        <v>regimenChanged</v>
      </c>
      <c r="C82" s="11" t="s">
        <v>1637</v>
      </c>
      <c r="E82" s="12" t="str">
        <f t="shared" si="1"/>
        <v>* regimenChanged -&gt; ##34#TBD##34#</v>
      </c>
    </row>
    <row r="83" spans="2:5">
      <c r="B83" s="11" t="str">
        <f>Treatment!B81</f>
        <v>regimenChanged-regimen</v>
      </c>
      <c r="C83" s="11" t="s">
        <v>1637</v>
      </c>
      <c r="E83" s="12" t="str">
        <f t="shared" si="1"/>
        <v>* regimenChanged-regimen -&gt; ##34#TBD##34#</v>
      </c>
    </row>
    <row r="84" spans="2:5">
      <c r="B84" s="11" t="str">
        <f>Treatment!B82</f>
        <v>regimenChanged-otherDrug1</v>
      </c>
      <c r="C84" s="11" t="s">
        <v>1637</v>
      </c>
      <c r="E84" s="12" t="str">
        <f t="shared" si="1"/>
        <v>* regimenChanged-otherDrug1 -&gt; ##34#TBD##34#</v>
      </c>
    </row>
    <row r="85" spans="2:5">
      <c r="B85" s="11" t="str">
        <f>Treatment!B83</f>
        <v>regimenChanged-otherDrug2</v>
      </c>
      <c r="C85" s="11" t="s">
        <v>1637</v>
      </c>
      <c r="E85" s="12" t="str">
        <f t="shared" si="1"/>
        <v>* regimenChanged-otherDrug2 -&gt; ##34#TBD##34#</v>
      </c>
    </row>
    <row r="86" spans="2:5">
      <c r="B86" s="11" t="str">
        <f>Treatment!B84</f>
        <v>regimenChanged-otherDrug3</v>
      </c>
      <c r="C86" s="11" t="s">
        <v>1637</v>
      </c>
      <c r="E86" s="12" t="str">
        <f t="shared" si="1"/>
        <v>* regimenChanged-otherDrug3 -&gt; ##34#TBD##34#</v>
      </c>
    </row>
    <row r="87" spans="2:5">
      <c r="B87" s="11" t="str">
        <f>Treatment!B85</f>
        <v>startDateRegimenChanged</v>
      </c>
      <c r="C87" s="11" t="s">
        <v>1637</v>
      </c>
      <c r="E87" s="12" t="str">
        <f t="shared" si="1"/>
        <v>* startDateRegimenChanged -&gt; ##34#TBD##34#</v>
      </c>
    </row>
    <row r="88" spans="2:5">
      <c r="B88" s="11" t="str">
        <f>Treatment!B86</f>
        <v>startDateRegimenChangedDayUnknown</v>
      </c>
      <c r="C88" s="11" t="s">
        <v>1637</v>
      </c>
      <c r="E88" s="12" t="str">
        <f t="shared" si="1"/>
        <v>* startDateRegimenChangedDayUnknown -&gt; ##34#TBD##34#</v>
      </c>
    </row>
    <row r="89" spans="2:5">
      <c r="B89" s="11" t="str">
        <f>Treatment!B87</f>
        <v>endDateRegimenChanged</v>
      </c>
      <c r="C89" s="11" t="s">
        <v>1637</v>
      </c>
      <c r="E89" s="12" t="str">
        <f t="shared" si="1"/>
        <v>* endDateRegimenChanged -&gt; ##34#TBD##34#</v>
      </c>
    </row>
    <row r="90" spans="2:5">
      <c r="B90" s="11" t="str">
        <f>Treatment!B88</f>
        <v>endDateRegimenChangedDayUnknown</v>
      </c>
      <c r="C90" s="11" t="s">
        <v>1637</v>
      </c>
      <c r="E90" s="12" t="str">
        <f t="shared" si="1"/>
        <v>* endDateRegimenChangedDayUnknown -&gt; ##34#TBD##34#</v>
      </c>
    </row>
    <row r="91" spans="2:5">
      <c r="B91" s="11" t="str">
        <f>Treatment!B89</f>
        <v>regimenChanged-reasonForEndOfTreatment</v>
      </c>
      <c r="C91" s="11" t="s">
        <v>1637</v>
      </c>
      <c r="E91" s="12" t="str">
        <f t="shared" si="1"/>
        <v>* regimenChanged-reasonForEndOfTreatment -&gt; ##34#TBD##34#</v>
      </c>
    </row>
    <row r="92" spans="2:5">
      <c r="B92" s="11" t="str">
        <f>Treatment!B90</f>
        <v>treatmentResponseBasedOnImagingAloneNoRecistOrOtherCriteria</v>
      </c>
      <c r="C92" s="11" t="s">
        <v>1637</v>
      </c>
      <c r="E92" s="12" t="str">
        <f t="shared" si="1"/>
        <v>* treatmentResponseBasedOnImagingAloneNoRecistOrOtherCriteria -&gt; ##34#TBD##34#</v>
      </c>
    </row>
    <row r="93" spans="2:5">
      <c r="B93" s="11" t="str">
        <f>Treatment!B91</f>
        <v>treatmentResponseDefinedDone</v>
      </c>
      <c r="C93" s="11" t="s">
        <v>1637</v>
      </c>
      <c r="E93" s="12" t="str">
        <f t="shared" si="1"/>
        <v>* treatmentResponseDefinedDone -&gt; ##34#TBD##34#</v>
      </c>
    </row>
    <row r="94" spans="2:5">
      <c r="B94" s="11" t="str">
        <f>Treatment!B92</f>
        <v>systemicTreatment2</v>
      </c>
      <c r="C94" s="11" t="s">
        <v>1637</v>
      </c>
      <c r="E94" s="12" t="str">
        <f t="shared" si="1"/>
        <v>* systemicTreatment2 -&gt; ##34#TBD##34#</v>
      </c>
    </row>
    <row r="95" spans="2:5">
      <c r="B95" s="11" t="str">
        <f>Treatment!B93</f>
        <v>radiotherapy</v>
      </c>
      <c r="C95" s="11" t="s">
        <v>1637</v>
      </c>
      <c r="E95" s="12" t="str">
        <f t="shared" si="1"/>
        <v>* radiotherapy -&gt; ##34#TBD##34#</v>
      </c>
    </row>
    <row r="96" spans="2:5">
      <c r="B96" s="11" t="str">
        <f>Treatment!B94</f>
        <v>radiotherapywhere</v>
      </c>
      <c r="C96" s="11" t="s">
        <v>1637</v>
      </c>
      <c r="E96" s="12" t="str">
        <f t="shared" si="1"/>
        <v>* radiotherapywhere -&gt; ##34#TBD##34#</v>
      </c>
    </row>
    <row r="97" spans="2:5">
      <c r="B97" s="11" t="str">
        <f>Treatment!B95</f>
        <v>intent-2</v>
      </c>
      <c r="C97" s="11" t="s">
        <v>1637</v>
      </c>
      <c r="E97" s="12" t="str">
        <f t="shared" si="1"/>
        <v>* intent-2 -&gt; ##34#TBD##34#</v>
      </c>
    </row>
    <row r="98" spans="2:5">
      <c r="B98" s="11" t="str">
        <f>Treatment!B96</f>
        <v>setting-2</v>
      </c>
      <c r="C98" s="11" t="s">
        <v>1637</v>
      </c>
      <c r="E98" s="12" t="str">
        <f t="shared" si="1"/>
        <v>* setting-2 -&gt; ##34#TBD##34#</v>
      </c>
    </row>
    <row r="99" spans="2:5">
      <c r="B99" s="11" t="str">
        <f>Treatment!B97</f>
        <v>postoperativeRadiotherapyIndications</v>
      </c>
      <c r="C99" s="11" t="s">
        <v>1637</v>
      </c>
      <c r="E99" s="12" t="str">
        <f t="shared" si="1"/>
        <v>* postoperativeRadiotherapyIndications -&gt; ##34#TBD##34#</v>
      </c>
    </row>
    <row r="100" spans="2:5">
      <c r="B100" s="11" t="str">
        <f>Treatment!B98</f>
        <v>beamQuality</v>
      </c>
      <c r="C100" s="11" t="s">
        <v>1637</v>
      </c>
      <c r="E100" s="12" t="str">
        <f t="shared" si="1"/>
        <v>* beamQuality -&gt; ##34#TBD##34#</v>
      </c>
    </row>
    <row r="101" spans="2:5">
      <c r="B101" s="11" t="str">
        <f>Treatment!B99</f>
        <v>beamQuality-otherSpecify</v>
      </c>
      <c r="C101" s="11" t="s">
        <v>1637</v>
      </c>
      <c r="E101" s="12" t="str">
        <f t="shared" si="1"/>
        <v>* beamQuality-otherSpecify -&gt; ##34#TBD##34#</v>
      </c>
    </row>
    <row r="102" spans="2:5">
      <c r="B102" s="11" t="str">
        <f>Treatment!B100</f>
        <v>treatmentTechnique</v>
      </c>
      <c r="C102" s="11" t="s">
        <v>1637</v>
      </c>
      <c r="E102" s="12" t="str">
        <f t="shared" si="1"/>
        <v>* treatmentTechnique -&gt; ##34#TBD##34#</v>
      </c>
    </row>
    <row r="103" spans="2:5">
      <c r="B103" s="11" t="str">
        <f>Treatment!B101</f>
        <v>treatmentTechnique-otherSpecify</v>
      </c>
      <c r="C103" s="11" t="s">
        <v>1637</v>
      </c>
      <c r="E103" s="12" t="str">
        <f t="shared" si="1"/>
        <v>* treatmentTechnique-otherSpecify -&gt; ##34#TBD##34#</v>
      </c>
    </row>
    <row r="104" spans="2:5">
      <c r="B104" s="11" t="str">
        <f>Treatment!B102</f>
        <v>boostType</v>
      </c>
      <c r="C104" s="11" t="s">
        <v>1637</v>
      </c>
      <c r="E104" s="12" t="str">
        <f t="shared" si="1"/>
        <v>* boostType -&gt; ##34#TBD##34#</v>
      </c>
    </row>
    <row r="105" spans="2:5">
      <c r="B105" s="11" t="str">
        <f>Treatment!B103</f>
        <v>treatmentPlan</v>
      </c>
      <c r="C105" s="11" t="s">
        <v>1637</v>
      </c>
      <c r="E105" s="12" t="str">
        <f t="shared" si="1"/>
        <v>* treatmentPlan -&gt; ##34#TBD##34#</v>
      </c>
    </row>
    <row r="106" spans="2:5">
      <c r="B106" s="11" t="str">
        <f>Treatment!B104</f>
        <v>totalDoseTdGy</v>
      </c>
      <c r="C106" s="11" t="s">
        <v>1637</v>
      </c>
      <c r="E106" s="12" t="str">
        <f t="shared" si="1"/>
        <v>* totalDoseTdGy -&gt; ##34#TBD##34#</v>
      </c>
    </row>
    <row r="107" spans="2:5">
      <c r="B107" s="11" t="str">
        <f>Treatment!B105</f>
        <v>fractionSizeFs</v>
      </c>
      <c r="C107" s="11" t="s">
        <v>1637</v>
      </c>
      <c r="E107" s="12" t="str">
        <f t="shared" si="1"/>
        <v>* fractionSizeFs -&gt; ##34#TBD##34#</v>
      </c>
    </row>
    <row r="108" spans="2:5">
      <c r="B108" s="11" t="str">
        <f>Treatment!B106</f>
        <v>numberOfFractions</v>
      </c>
      <c r="C108" s="11" t="s">
        <v>1637</v>
      </c>
      <c r="E108" s="12" t="str">
        <f t="shared" si="1"/>
        <v>* numberOfFractions -&gt; ##34#TBD##34#</v>
      </c>
    </row>
    <row r="109" spans="2:5">
      <c r="B109" s="11" t="str">
        <f>Treatment!B107</f>
        <v>totalHighDoseGy</v>
      </c>
      <c r="C109" s="11" t="s">
        <v>1637</v>
      </c>
      <c r="E109" s="12" t="str">
        <f t="shared" si="1"/>
        <v>* totalHighDoseGy -&gt; ##34#TBD##34#</v>
      </c>
    </row>
    <row r="110" spans="2:5">
      <c r="B110" s="11" t="str">
        <f>Treatment!B108</f>
        <v>totalHighDoseFraction</v>
      </c>
      <c r="C110" s="11" t="s">
        <v>1637</v>
      </c>
      <c r="E110" s="12" t="str">
        <f t="shared" si="1"/>
        <v>* totalHighDoseFraction -&gt; ##34#TBD##34#</v>
      </c>
    </row>
    <row r="111" spans="2:5">
      <c r="B111" s="11" t="str">
        <f>Treatment!B109</f>
        <v>totalIntermediateDoseGy</v>
      </c>
      <c r="C111" s="11" t="s">
        <v>1637</v>
      </c>
      <c r="E111" s="12" t="str">
        <f t="shared" si="1"/>
        <v>* totalIntermediateDoseGy -&gt; ##34#TBD##34#</v>
      </c>
    </row>
    <row r="112" spans="2:5">
      <c r="B112" s="11" t="str">
        <f>Treatment!B110</f>
        <v>totalIntermediateDoseFraction</v>
      </c>
      <c r="C112" s="11" t="s">
        <v>1637</v>
      </c>
      <c r="E112" s="12" t="str">
        <f t="shared" si="1"/>
        <v>* totalIntermediateDoseFraction -&gt; ##34#TBD##34#</v>
      </c>
    </row>
    <row r="113" spans="2:5">
      <c r="B113" s="11" t="str">
        <f>Treatment!B111</f>
        <v>totalLowDoseGy</v>
      </c>
      <c r="C113" s="11" t="s">
        <v>1637</v>
      </c>
      <c r="E113" s="12" t="str">
        <f t="shared" si="1"/>
        <v>* totalLowDoseGy -&gt; ##34#TBD##34#</v>
      </c>
    </row>
    <row r="114" spans="2:5">
      <c r="B114" s="11" t="str">
        <f>Treatment!B112</f>
        <v>totalLowDoseFraction</v>
      </c>
      <c r="C114" s="11" t="s">
        <v>1637</v>
      </c>
      <c r="E114" s="12" t="str">
        <f t="shared" si="1"/>
        <v>* totalLowDoseFraction -&gt; ##34#TBD##34#</v>
      </c>
    </row>
    <row r="115" spans="2:5">
      <c r="B115" s="11" t="str">
        <f>Treatment!B113</f>
        <v>fractionationPattern</v>
      </c>
      <c r="C115" s="11" t="s">
        <v>1637</v>
      </c>
      <c r="E115" s="12" t="str">
        <f t="shared" si="1"/>
        <v>* fractionationPattern -&gt; ##34#TBD##34#</v>
      </c>
    </row>
    <row r="116" spans="2:5">
      <c r="B116" s="11" t="str">
        <f>Treatment!B114</f>
        <v>alteredFractionationScheme</v>
      </c>
      <c r="C116" s="11" t="s">
        <v>1637</v>
      </c>
      <c r="E116" s="12" t="str">
        <f t="shared" si="1"/>
        <v>* alteredFractionationScheme -&gt; ##34#TBD##34#</v>
      </c>
    </row>
    <row r="117" spans="2:5">
      <c r="B117" s="11" t="str">
        <f>Treatment!B115</f>
        <v>adaptiveRt</v>
      </c>
      <c r="C117" s="11" t="s">
        <v>1637</v>
      </c>
      <c r="E117" s="12" t="str">
        <f t="shared" si="1"/>
        <v>* adaptiveRt -&gt; ##34#TBD##34#</v>
      </c>
    </row>
    <row r="118" spans="2:5">
      <c r="B118" s="11" t="str">
        <f>Treatment!B116</f>
        <v>igrtImageGuideRadiotherapy</v>
      </c>
      <c r="C118" s="11" t="s">
        <v>1637</v>
      </c>
      <c r="E118" s="12" t="str">
        <f t="shared" si="1"/>
        <v>* igrtImageGuideRadiotherapy -&gt; ##34#TBD##34#</v>
      </c>
    </row>
    <row r="119" spans="2:5">
      <c r="B119" s="11" t="str">
        <f>Treatment!B117</f>
        <v>secondBeamQuality</v>
      </c>
      <c r="C119" s="11" t="s">
        <v>1637</v>
      </c>
      <c r="E119" s="12" t="str">
        <f t="shared" si="1"/>
        <v>* secondBeamQuality -&gt; ##34#TBD##34#</v>
      </c>
    </row>
    <row r="120" spans="2:5">
      <c r="B120" s="11" t="str">
        <f>Treatment!B118</f>
        <v>otherSpecify2</v>
      </c>
      <c r="C120" s="11" t="s">
        <v>1637</v>
      </c>
      <c r="E120" s="12" t="str">
        <f t="shared" si="1"/>
        <v>* otherSpecify2 -&gt; ##34#TBD##34#</v>
      </c>
    </row>
    <row r="121" spans="2:5">
      <c r="B121" s="11" t="str">
        <f>Treatment!B119</f>
        <v>treatmentTechnique2</v>
      </c>
      <c r="C121" s="11" t="s">
        <v>1637</v>
      </c>
      <c r="E121" s="12" t="str">
        <f t="shared" si="1"/>
        <v>* treatmentTechnique2 -&gt; ##34#TBD##34#</v>
      </c>
    </row>
    <row r="122" spans="2:5">
      <c r="B122" s="11" t="str">
        <f>Treatment!B120</f>
        <v>treatmentTechnique2OtherSpecify</v>
      </c>
      <c r="C122" s="11" t="s">
        <v>1637</v>
      </c>
      <c r="E122" s="12" t="str">
        <f t="shared" si="1"/>
        <v>* treatmentTechnique2OtherSpecify -&gt; ##34#TBD##34#</v>
      </c>
    </row>
    <row r="123" spans="2:5">
      <c r="B123" s="11" t="str">
        <f>Treatment!B121</f>
        <v>startDate</v>
      </c>
      <c r="C123" s="11" t="s">
        <v>1637</v>
      </c>
      <c r="E123" s="12" t="str">
        <f t="shared" si="1"/>
        <v>* startDate -&gt; ##34#TBD##34#</v>
      </c>
    </row>
    <row r="124" spans="2:5">
      <c r="B124" s="11" t="str">
        <f>Treatment!B122</f>
        <v>startDateRadiotherapyDayUnknown</v>
      </c>
      <c r="C124" s="11" t="s">
        <v>1637</v>
      </c>
      <c r="E124" s="12" t="str">
        <f t="shared" si="1"/>
        <v>* startDateRadiotherapyDayUnknown -&gt; ##34#TBD##34#</v>
      </c>
    </row>
    <row r="125" spans="2:5">
      <c r="B125" s="11" t="str">
        <f>Treatment!B123</f>
        <v>endDate</v>
      </c>
      <c r="C125" s="11" t="s">
        <v>1637</v>
      </c>
      <c r="E125" s="12" t="str">
        <f t="shared" si="1"/>
        <v>* endDate -&gt; ##34#TBD##34#</v>
      </c>
    </row>
    <row r="126" spans="2:5">
      <c r="B126" s="11" t="str">
        <f>Treatment!B124</f>
        <v>endDateRadiotherapyDayUnknown</v>
      </c>
      <c r="C126" s="11" t="s">
        <v>1637</v>
      </c>
      <c r="E126" s="12" t="str">
        <f t="shared" si="1"/>
        <v>* endDateRadiotherapyDayUnknown -&gt; ##34#TBD##34#</v>
      </c>
    </row>
    <row r="127" spans="2:5">
      <c r="B127" s="11" t="str">
        <f>Treatment!B125</f>
        <v>treatmentInterruption2DaysNotIncludingIntendedBreaks</v>
      </c>
      <c r="C127" s="11" t="s">
        <v>1637</v>
      </c>
      <c r="E127" s="12" t="str">
        <f t="shared" si="1"/>
        <v>* treatmentInterruption2DaysNotIncludingIntendedBreaks -&gt; ##34#TBD##34#</v>
      </c>
    </row>
    <row r="128" spans="2:5">
      <c r="B128" s="11" t="str">
        <f>Treatment!B126</f>
        <v>treatmentDaysMissed</v>
      </c>
      <c r="C128" s="11" t="s">
        <v>1637</v>
      </c>
      <c r="E128" s="12" t="str">
        <f t="shared" si="1"/>
        <v>* treatmentDaysMissed -&gt; ##34#TBD##34#</v>
      </c>
    </row>
    <row r="129" spans="2:5">
      <c r="B129" s="11" t="str">
        <f>Treatment!B127</f>
        <v>overallTreatmentTimeOtt</v>
      </c>
      <c r="C129" s="11" t="s">
        <v>1637</v>
      </c>
      <c r="E129" s="12" t="str">
        <f t="shared" si="1"/>
        <v>* overallTreatmentTimeOtt -&gt; ##34#TBD##34#</v>
      </c>
    </row>
    <row r="130" spans="2:5">
      <c r="B130" s="11" t="str">
        <f>Treatment!B128</f>
        <v>overallTreatmentTimeOttManualInDays</v>
      </c>
      <c r="C130" s="11" t="s">
        <v>1637</v>
      </c>
      <c r="E130" s="12" t="str">
        <f t="shared" si="1"/>
        <v>* overallTreatmentTimeOttManualInDays -&gt; ##34#TBD##34#</v>
      </c>
    </row>
    <row r="131" spans="2:5">
      <c r="B131" s="11" t="str">
        <f>Treatment!B129</f>
        <v>treatmentSites</v>
      </c>
      <c r="C131" s="11" t="s">
        <v>1637</v>
      </c>
      <c r="E131" s="12" t="str">
        <f t="shared" si="1"/>
        <v>* treatmentSites -&gt; ##34#TBD##34#</v>
      </c>
    </row>
    <row r="132" spans="2:5">
      <c r="B132" s="11" t="str">
        <f>Treatment!B130</f>
        <v>primary</v>
      </c>
      <c r="C132" s="11" t="s">
        <v>1637</v>
      </c>
      <c r="E132" s="12" t="str">
        <f t="shared" si="1"/>
        <v>* primary -&gt; ##34#TBD##34#</v>
      </c>
    </row>
    <row r="133" spans="2:5">
      <c r="B133" s="11" t="str">
        <f>Treatment!B131</f>
        <v>neck</v>
      </c>
      <c r="C133" s="11" t="s">
        <v>1637</v>
      </c>
      <c r="E133" s="12" t="str">
        <f t="shared" si="1"/>
        <v>* neck -&gt; ##34#TBD##34#</v>
      </c>
    </row>
    <row r="134" spans="2:5">
      <c r="B134" s="11" t="str">
        <f>Treatment!B132</f>
        <v>primaryAndIpsilateralNeck</v>
      </c>
      <c r="C134" s="11" t="s">
        <v>1637</v>
      </c>
      <c r="E134" s="12" t="str">
        <f t="shared" si="1"/>
        <v>* primaryAndIpsilateralNeck -&gt; ##34#TBD##34#</v>
      </c>
    </row>
    <row r="135" spans="2:5">
      <c r="B135" s="11" t="str">
        <f>Treatment!B133</f>
        <v>primaryAndBilateralNeck</v>
      </c>
      <c r="C135" s="11" t="s">
        <v>1637</v>
      </c>
      <c r="E135" s="12" t="str">
        <f t="shared" si="1"/>
        <v>* primaryAndBilateralNeck -&gt; ##34#TBD##34#</v>
      </c>
    </row>
    <row r="136" spans="2:5">
      <c r="B136" s="11" t="str">
        <f>Treatment!B134</f>
        <v>distantMetastasis</v>
      </c>
      <c r="C136" s="11" t="s">
        <v>1637</v>
      </c>
      <c r="E136" s="12" t="str">
        <f t="shared" si="1"/>
        <v>* distantMetastasis -&gt; ##34#TBD##34#</v>
      </c>
    </row>
    <row r="137" spans="2:5">
      <c r="B137" s="11" t="str">
        <f>Treatment!B135</f>
        <v>metastaticTreatmentSites</v>
      </c>
      <c r="C137" s="11" t="s">
        <v>1637</v>
      </c>
      <c r="E137" s="12" t="str">
        <f t="shared" si="1"/>
        <v>* metastaticTreatmentSites -&gt; ##34#TBD##34#</v>
      </c>
    </row>
    <row r="138" spans="2:5" ht="29.5">
      <c r="B138" s="11" t="str">
        <f>Treatment!B136</f>
        <v xml:space="preserve">lung
</v>
      </c>
      <c r="C138" s="11" t="s">
        <v>1637</v>
      </c>
      <c r="E138" s="12" t="str">
        <f t="shared" ref="E138:E177" si="2">IF(B138=0,"*  -&gt; ##34###34#",CONCATENATE("* ",B138," -&gt; ##34#",C138,"##34#"))</f>
        <v>* lung
 -&gt; ##34#TBD##34#</v>
      </c>
    </row>
    <row r="139" spans="2:5" ht="29.5">
      <c r="B139" s="11" t="str">
        <f>Treatment!B137</f>
        <v xml:space="preserve">mediastinum
</v>
      </c>
      <c r="C139" s="11" t="s">
        <v>1637</v>
      </c>
      <c r="E139" s="12" t="str">
        <f t="shared" si="2"/>
        <v>* mediastinum
 -&gt; ##34#TBD##34#</v>
      </c>
    </row>
    <row r="140" spans="2:5" ht="29.5">
      <c r="B140" s="11" t="str">
        <f>Treatment!B138</f>
        <v xml:space="preserve">bone
</v>
      </c>
      <c r="C140" s="11" t="s">
        <v>1637</v>
      </c>
      <c r="E140" s="12" t="str">
        <f t="shared" si="2"/>
        <v>* bone
 -&gt; ##34#TBD##34#</v>
      </c>
    </row>
    <row r="141" spans="2:5" ht="29.5">
      <c r="B141" s="11" t="str">
        <f>Treatment!B139</f>
        <v xml:space="preserve">softTissue
</v>
      </c>
      <c r="C141" s="11" t="s">
        <v>1637</v>
      </c>
      <c r="E141" s="12" t="str">
        <f t="shared" si="2"/>
        <v>* softTissue
 -&gt; ##34#TBD##34#</v>
      </c>
    </row>
    <row r="142" spans="2:5" ht="29.5">
      <c r="B142" s="11" t="str">
        <f>Treatment!B140</f>
        <v xml:space="preserve">liver
</v>
      </c>
      <c r="C142" s="11" t="s">
        <v>1637</v>
      </c>
      <c r="E142" s="12" t="str">
        <f t="shared" si="2"/>
        <v>* liver
 -&gt; ##34#TBD##34#</v>
      </c>
    </row>
    <row r="143" spans="2:5">
      <c r="B143" s="11" t="str">
        <f>Treatment!B141</f>
        <v>unknown</v>
      </c>
      <c r="C143" s="11" t="s">
        <v>1637</v>
      </c>
      <c r="E143" s="12" t="str">
        <f t="shared" si="2"/>
        <v>* unknown -&gt; ##34#TBD##34#</v>
      </c>
    </row>
    <row r="144" spans="2:5">
      <c r="B144" s="11" t="str">
        <f>Treatment!B142</f>
        <v>other</v>
      </c>
      <c r="C144" s="11" t="s">
        <v>1637</v>
      </c>
      <c r="E144" s="12" t="str">
        <f t="shared" si="2"/>
        <v>* other -&gt; ##34#TBD##34#</v>
      </c>
    </row>
    <row r="145" spans="2:5">
      <c r="B145" s="11" t="str">
        <f>Treatment!B143</f>
        <v>otherSpecify</v>
      </c>
      <c r="C145" s="11" t="s">
        <v>1637</v>
      </c>
      <c r="E145" s="12" t="str">
        <f t="shared" si="2"/>
        <v>* otherSpecify -&gt; ##34#TBD##34#</v>
      </c>
    </row>
    <row r="146" spans="2:5">
      <c r="B146" s="11" t="str">
        <f>Treatment!B144</f>
        <v>neckLevelsIrradiatedRight</v>
      </c>
      <c r="C146" s="11" t="s">
        <v>1637</v>
      </c>
      <c r="E146" s="12" t="str">
        <f t="shared" si="2"/>
        <v>* neckLevelsIrradiatedRight -&gt; ##34#TBD##34#</v>
      </c>
    </row>
    <row r="147" spans="2:5">
      <c r="B147" s="11" t="str">
        <f>Treatment!B145</f>
        <v>neckLevelsIrradiatedLeft</v>
      </c>
      <c r="C147" s="11" t="s">
        <v>1637</v>
      </c>
      <c r="E147" s="12" t="str">
        <f t="shared" si="2"/>
        <v>* neckLevelsIrradiatedLeft -&gt; ##34#TBD##34#</v>
      </c>
    </row>
    <row r="148" spans="2:5">
      <c r="B148" s="11" t="str">
        <f>Treatment!B146</f>
        <v>ctvHighExpansion</v>
      </c>
      <c r="C148" s="11" t="s">
        <v>1637</v>
      </c>
      <c r="E148" s="12" t="str">
        <f t="shared" si="2"/>
        <v>* ctvHighExpansion -&gt; ##34#TBD##34#</v>
      </c>
    </row>
    <row r="149" spans="2:5">
      <c r="B149" s="11" t="str">
        <f>Treatment!B147</f>
        <v>ptvHighExpansion</v>
      </c>
      <c r="C149" s="11" t="s">
        <v>1637</v>
      </c>
      <c r="E149" s="12" t="str">
        <f t="shared" si="2"/>
        <v>* ptvHighExpansion -&gt; ##34#TBD##34#</v>
      </c>
    </row>
    <row r="150" spans="2:5">
      <c r="B150" s="11" t="str">
        <f>Treatment!B148</f>
        <v>v60OfSkin</v>
      </c>
      <c r="C150" s="11" t="s">
        <v>1637</v>
      </c>
      <c r="E150" s="12" t="str">
        <f t="shared" si="2"/>
        <v>* v60OfSkin -&gt; ##34#TBD##34#</v>
      </c>
    </row>
    <row r="151" spans="2:5">
      <c r="B151" s="11" t="str">
        <f>Treatment!B149</f>
        <v>treatmentCompletedAsPlanned</v>
      </c>
      <c r="C151" s="11" t="s">
        <v>1637</v>
      </c>
      <c r="E151" s="12" t="str">
        <f t="shared" si="2"/>
        <v>* treatmentCompletedAsPlanned -&gt; ##34#TBD##34#</v>
      </c>
    </row>
    <row r="152" spans="2:5">
      <c r="B152" s="11" t="str">
        <f>Treatment!B150</f>
        <v>hospitalizedDuringRt</v>
      </c>
      <c r="C152" s="11" t="s">
        <v>1637</v>
      </c>
      <c r="E152" s="12" t="str">
        <f t="shared" si="2"/>
        <v>* hospitalizedDuringRt -&gt; ##34#TBD##34#</v>
      </c>
    </row>
    <row r="153" spans="2:5">
      <c r="B153" s="11" t="str">
        <f>Treatment!B151</f>
        <v>carotidBlowout</v>
      </c>
      <c r="C153" s="11" t="s">
        <v>1637</v>
      </c>
      <c r="E153" s="12" t="str">
        <f t="shared" si="2"/>
        <v>* carotidBlowout -&gt; ##34#TBD##34#</v>
      </c>
    </row>
    <row r="154" spans="2:5">
      <c r="B154" s="11" t="str">
        <f>Treatment!B152</f>
        <v>feedingTubeDuringRt</v>
      </c>
      <c r="C154" s="11" t="s">
        <v>1637</v>
      </c>
      <c r="E154" s="12" t="str">
        <f t="shared" si="2"/>
        <v>* feedingTubeDuringRt -&gt; ##34#TBD##34#</v>
      </c>
    </row>
    <row r="155" spans="2:5">
      <c r="B155" s="11" t="str">
        <f>Treatment!B153</f>
        <v>feedingTubeReason</v>
      </c>
      <c r="C155" s="11" t="s">
        <v>1637</v>
      </c>
      <c r="E155" s="12" t="str">
        <f t="shared" si="2"/>
        <v>* feedingTubeReason -&gt; ##34#TBD##34#</v>
      </c>
    </row>
    <row r="156" spans="2:5">
      <c r="B156" s="11" t="str">
        <f>Treatment!B154</f>
        <v>smokingDuringRt</v>
      </c>
      <c r="C156" s="11" t="s">
        <v>1637</v>
      </c>
      <c r="E156" s="12" t="str">
        <f t="shared" si="2"/>
        <v>* smokingDuringRt -&gt; ##34#TBD##34#</v>
      </c>
    </row>
    <row r="157" spans="2:5">
      <c r="B157" s="11" t="str">
        <f>Treatment!B155</f>
        <v>alcoholDuringRt</v>
      </c>
      <c r="C157" s="11" t="s">
        <v>1637</v>
      </c>
      <c r="E157" s="12" t="str">
        <f t="shared" si="2"/>
        <v>* alcoholDuringRt -&gt; ##34#TBD##34#</v>
      </c>
    </row>
    <row r="158" spans="2:5">
      <c r="B158" s="11" t="str">
        <f>Treatment!B156</f>
        <v>otherTypeOfTreatment</v>
      </c>
      <c r="C158" s="11" t="s">
        <v>1637</v>
      </c>
      <c r="E158" s="12" t="str">
        <f t="shared" si="2"/>
        <v>* otherTypeOfTreatment -&gt; ##34#TBD##34#</v>
      </c>
    </row>
    <row r="159" spans="2:5">
      <c r="B159" s="11" t="str">
        <f>Treatment!B157</f>
        <v>otherTreatmentPerformed</v>
      </c>
      <c r="C159" s="11" t="s">
        <v>1637</v>
      </c>
      <c r="E159" s="12" t="str">
        <f t="shared" si="2"/>
        <v>* otherTreatmentPerformed -&gt; ##34#TBD##34#</v>
      </c>
    </row>
    <row r="160" spans="2:5">
      <c r="B160" s="11" t="str">
        <f>Treatment!B158</f>
        <v>dateOfStart</v>
      </c>
      <c r="C160" s="11" t="s">
        <v>1637</v>
      </c>
      <c r="E160" s="12" t="str">
        <f t="shared" si="2"/>
        <v>* dateOfStart -&gt; ##34#TBD##34#</v>
      </c>
    </row>
    <row r="161" spans="2:5">
      <c r="B161" s="11" t="str">
        <f>Treatment!B159</f>
        <v>dateOfOtherTreatmentDayUnknown</v>
      </c>
      <c r="C161" s="11" t="s">
        <v>1637</v>
      </c>
      <c r="E161" s="12" t="str">
        <f t="shared" si="2"/>
        <v>* dateOfOtherTreatmentDayUnknown -&gt; ##34#TBD##34#</v>
      </c>
    </row>
    <row r="162" spans="2:5">
      <c r="B162" s="11" t="str">
        <f>Treatment!B160</f>
        <v>dateOfEnd</v>
      </c>
      <c r="C162" s="11" t="s">
        <v>1637</v>
      </c>
      <c r="E162" s="12" t="str">
        <f t="shared" si="2"/>
        <v>* dateOfEnd -&gt; ##34#TBD##34#</v>
      </c>
    </row>
    <row r="163" spans="2:5">
      <c r="B163" s="11" t="str">
        <f>Treatment!B161</f>
        <v>dateOfEndOtherTreatmentDayUnknown</v>
      </c>
      <c r="C163" s="11" t="s">
        <v>1637</v>
      </c>
      <c r="E163" s="12" t="str">
        <f t="shared" si="2"/>
        <v>* dateOfEndOtherTreatmentDayUnknown -&gt; ##34#TBD##34#</v>
      </c>
    </row>
    <row r="164" spans="2:5">
      <c r="B164" s="11" t="str">
        <f>Treatment!B162</f>
        <v>type</v>
      </c>
      <c r="C164" s="11" t="s">
        <v>1637</v>
      </c>
      <c r="E164" s="12" t="str">
        <f t="shared" si="2"/>
        <v>* type -&gt; ##34#TBD##34#</v>
      </c>
    </row>
    <row r="165" spans="2:5">
      <c r="B165" s="11" t="str">
        <f>Treatment!B163</f>
        <v>treatmentCompleted</v>
      </c>
      <c r="C165" s="11" t="s">
        <v>1637</v>
      </c>
      <c r="E165" s="12" t="str">
        <f t="shared" si="2"/>
        <v>* treatmentCompleted -&gt; ##34#TBD##34#</v>
      </c>
    </row>
    <row r="166" spans="2:5">
      <c r="B166" s="11" t="str">
        <f>Treatment!B164</f>
        <v>overallTreatmentResponse</v>
      </c>
      <c r="C166" s="11" t="s">
        <v>1637</v>
      </c>
      <c r="E166" s="12" t="str">
        <f t="shared" si="2"/>
        <v>* overallTreatmentResponse -&gt; ##34#TBD##34#</v>
      </c>
    </row>
    <row r="167" spans="2:5">
      <c r="B167" s="11" t="str">
        <f>Treatment!B165</f>
        <v>treatmentResponseBasedOnImagingAloneNoRecistOrOtherCriteria-2</v>
      </c>
      <c r="C167" s="11" t="s">
        <v>1637</v>
      </c>
      <c r="E167" s="12" t="str">
        <f t="shared" si="2"/>
        <v>* treatmentResponseBasedOnImagingAloneNoRecistOrOtherCriteria-2 -&gt; ##34#TBD##34#</v>
      </c>
    </row>
    <row r="168" spans="2:5">
      <c r="B168" s="11" t="str">
        <f>Treatment!B166</f>
        <v>treatmentResponseDefineddone</v>
      </c>
      <c r="C168" s="11" t="s">
        <v>1637</v>
      </c>
      <c r="E168" s="12" t="str">
        <f t="shared" si="2"/>
        <v>* treatmentResponseDefineddone -&gt; ##34#TBD##34#</v>
      </c>
    </row>
    <row r="169" spans="2:5">
      <c r="B169" s="11" t="str">
        <f>Treatment!B167</f>
        <v>patientIncludedInClinicalTrial</v>
      </c>
      <c r="C169" s="11" t="s">
        <v>1637</v>
      </c>
      <c r="E169" s="12" t="str">
        <f t="shared" si="2"/>
        <v>* patientIncludedInClinicalTrial -&gt; ##34#TBD##34#</v>
      </c>
    </row>
    <row r="170" spans="2:5">
      <c r="B170" s="11" t="str">
        <f>Treatment!B168</f>
        <v>patientIncludedInAClinicalTrial</v>
      </c>
      <c r="C170" s="11" t="s">
        <v>1637</v>
      </c>
      <c r="E170" s="12" t="str">
        <f t="shared" si="2"/>
        <v>* patientIncludedInAClinicalTrial -&gt; ##34#TBD##34#</v>
      </c>
    </row>
    <row r="171" spans="2:5">
      <c r="B171" s="11" t="str">
        <f>Treatment!B169</f>
        <v>clinicalTrialCode</v>
      </c>
      <c r="C171" s="11" t="s">
        <v>1637</v>
      </c>
      <c r="E171" s="12" t="str">
        <f t="shared" si="2"/>
        <v>* clinicalTrialCode -&gt; ##34#TBD##34#</v>
      </c>
    </row>
    <row r="172" spans="2:5">
      <c r="B172" s="11" t="str">
        <f>Treatment!B170</f>
        <v>instrumentStatus</v>
      </c>
      <c r="C172" s="11" t="s">
        <v>1637</v>
      </c>
      <c r="E172" s="12" t="str">
        <f t="shared" si="2"/>
        <v>* instrumentStatus -&gt; ##34#TBD##34#</v>
      </c>
    </row>
    <row r="173" spans="2:5">
      <c r="B173" s="11"/>
      <c r="E173" s="12" t="str">
        <f t="shared" si="2"/>
        <v>*  -&gt; ##34###34#</v>
      </c>
    </row>
    <row r="174" spans="2:5">
      <c r="B174" s="11"/>
      <c r="E174" s="12" t="str">
        <f t="shared" si="2"/>
        <v>*  -&gt; ##34###34#</v>
      </c>
    </row>
    <row r="175" spans="2:5">
      <c r="B175" s="11"/>
      <c r="E175" s="12" t="str">
        <f t="shared" si="2"/>
        <v>*  -&gt; ##34###34#</v>
      </c>
    </row>
    <row r="176" spans="2:5">
      <c r="B176" s="11"/>
      <c r="E176" s="12" t="str">
        <f t="shared" si="2"/>
        <v>*  -&gt; ##34###34#</v>
      </c>
    </row>
    <row r="177" spans="2:5">
      <c r="B177" s="11"/>
      <c r="E177" s="12" t="str">
        <f t="shared" si="2"/>
        <v>*  -&gt; ##34###34#</v>
      </c>
    </row>
    <row r="178" spans="2:5">
      <c r="B178" s="11"/>
    </row>
    <row r="179" spans="2:5">
      <c r="B179" s="11"/>
    </row>
    <row r="180" spans="2:5">
      <c r="B180" s="11"/>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540"/>
  <sheetViews>
    <sheetView workbookViewId="0">
      <selection activeCell="E6" sqref="E6"/>
    </sheetView>
  </sheetViews>
  <sheetFormatPr defaultRowHeight="14.75"/>
  <cols>
    <col min="3" max="3" width="108.2265625" style="12" customWidth="1"/>
    <col min="7" max="7" width="29.54296875" customWidth="1"/>
    <col min="8" max="8" width="54.90625" customWidth="1"/>
  </cols>
  <sheetData>
    <row r="1" spans="3:7" ht="15.5" thickBot="1">
      <c r="C1" s="24" t="str">
        <f>Treatment!J1</f>
        <v>//===================================================</v>
      </c>
    </row>
    <row r="2" spans="3:7" ht="16.75" thickBot="1">
      <c r="C2" s="25" t="str">
        <f>Treatment!J2</f>
        <v>//  Logical Model</v>
      </c>
      <c r="G2" s="30" t="s">
        <v>2392</v>
      </c>
    </row>
    <row r="3" spans="3:7">
      <c r="C3" s="25" t="str">
        <f>Treatment!J3</f>
        <v>//===================================================</v>
      </c>
    </row>
    <row r="4" spans="3:7">
      <c r="C4" s="17" t="str">
        <f>Treatment!J4</f>
        <v>Logical: TreatmentI4rc</v>
      </c>
    </row>
    <row r="5" spans="3:7">
      <c r="C5" s="17" t="str">
        <f>Treatment!J5</f>
        <v>Id: Treatment</v>
      </c>
    </row>
    <row r="6" spans="3:7">
      <c r="C6" s="17" t="str">
        <f>Treatment!J6</f>
        <v>Title: ##34#Treatment##34#</v>
      </c>
    </row>
    <row r="7" spans="3:7" ht="29.5">
      <c r="C7" s="17" t="str">
        <f>Treatment!J7</f>
        <v>Description:  ##334#Treatment
Maturity Level: 0 Draft##334#</v>
      </c>
    </row>
    <row r="8" spans="3:7">
      <c r="C8" s="12" t="str">
        <f>IF(Treatment!J8="*  ..  ##34###34# ##334###334#","//--- END",Treatment!J8)</f>
        <v>* surgery 0..1 BackboneElement ##34#Surgery ##34# ##334#Surgery ##334#</v>
      </c>
    </row>
    <row r="9" spans="3:7" ht="29.5">
      <c r="C9" s="12" t="str">
        <f>IF(Treatment!J9="*  ..  ##34###34# ##334###334#","//--- END",Treatment!J9)</f>
        <v>* surgeryPerformed 0..1 string ##34#Surgery performed##34# ##334#Whether or not a surgical procedure was performed and whether it was performed at the registering hospital or another hospital Diagnostic procedures biopsy are not included##334#</v>
      </c>
    </row>
    <row r="10" spans="3:7" ht="29.5">
      <c r="C10" s="12" t="str">
        <f>IF(Treatment!J10="*  ..  ##34###34# ##334###334#","//--- END",Treatment!J10)</f>
        <v>* dateOfTumourSurgery 0..1 date ##34#Date of tumour surgery##34# ##334#Date of the surgery for primary tumor with or without neck surgery##334#</v>
      </c>
    </row>
    <row r="11" spans="3:7" ht="44.25">
      <c r="C11" s="12" t="str">
        <f>IF(Treatment!J11="*  ..  ##34###34# ##334###334#","//--- END",Treatment!J11)</f>
        <v>* surgeryIntention 0..1 string ##34#Surgery intention##34# ##334#The intention of the perfromed surgery Palliative surgery performed with the intent of improving quality of life or relieving symptoms caused by advanced disease
Curative surgery performed with the intend of oncologic cure regardless of its result R0  R1R2##334#</v>
      </c>
    </row>
    <row r="12" spans="3:7" ht="44.25">
      <c r="C12" s="12" t="str">
        <f>IF(Treatment!J12="*  ..  ##34###34# ##334###334#","//--- END",Treatment!J12)</f>
        <v>* tumorSurgeryApproach 0..1 string ##34#Tumor surgery approach##34# ##334#Describes the approach to tumor resection whether it includes skin incision extenal or open   or it s aproached through a natural orifice Transnasaltransorbitaltransoral or if the approach combines two or more of the previous ones##334#</v>
      </c>
    </row>
    <row r="13" spans="3:7">
      <c r="C13" s="12" t="str">
        <f>IF(Treatment!J13="*  ..  ##34###34# ##334###334#","//--- END",Treatment!J13)</f>
        <v>* tumorSurgeryDevice 0..1 string ##34#Tumor surgery device##34# ##334#Describes  the device used LASER  Robot##334#</v>
      </c>
    </row>
    <row r="14" spans="3:7">
      <c r="C14" s="12" t="str">
        <f>IF(Treatment!J14="*  ..  ##34###34# ##334###334#","//--- END",Treatment!J14)</f>
        <v>* surgicalProcedure 0..* BackboneElement ##34#Surgical procedure##34# ##334#Describes the procedure performed##334#</v>
      </c>
    </row>
    <row r="15" spans="3:7" ht="44.25">
      <c r="C15" s="12" t="str">
        <f>IF(Treatment!J15="*  ..  ##34###34# ##334###334#","//--- END",Treatment!J15)</f>
        <v>* surgicalProcedure.surgicalProcedureNasopharynx 0..1 string ##34#Surgical procedure Nasopharynx##34# ##334#Describes the procedure performed to resect tumor from nasopharynx any kind of tumor removal either open or endoscopic Diagnostic biopsy is not included##334#</v>
      </c>
    </row>
    <row r="16" spans="3:7" ht="29.5">
      <c r="C16" s="12" t="str">
        <f>IF(Treatment!J16="*  ..  ##34###34# ##334###334#","//--- END",Treatment!J16)</f>
        <v>* surgicalProcedure.surgicalProcedureNasalCavityAndParanasalSinus 0..1 string ##34#Surgical Procedure Nasal Cavity And Paranasal Sinus##34# ##334#Describes the procedure performed to resect tumor from  nasal cavity and paranasal sinus##334#</v>
      </c>
    </row>
    <row r="17" spans="3:3" ht="29.5">
      <c r="C17" s="12" t="str">
        <f>IF(Treatment!J17="*  ..  ##34###34# ##334###334#","//--- END",Treatment!J17)</f>
        <v>* surgicalProcedure.surgicalProcedureSalivaryGland 0..1 string ##34#Surgical Procedure Salivary Gland##34# ##334#Describes the procedure performed on salivary glands ##334#</v>
      </c>
    </row>
    <row r="18" spans="3:3" ht="29.5">
      <c r="C18" s="12" t="str">
        <f>IF(Treatment!J18="*  ..  ##34###34# ##334###334#","//--- END",Treatment!J18)</f>
        <v>* surgicalProcedure.surgicalProcedureEar 0..1 string ##34#Surgical procedure Ear##34# ##334#Describes the procedure performed onear and temporal bone##334#</v>
      </c>
    </row>
    <row r="19" spans="3:3" ht="29.5">
      <c r="C19" s="12" t="str">
        <f>IF(Treatment!J19="*  ..  ##34###34# ##334###334#","//--- END",Treatment!J19)</f>
        <v>* surgicalProcedure.surgicalProcedureLip 0..1 string ##34#Surgical procedure  Lip##34# ##334#Describes the procedure performed on the lip##334#</v>
      </c>
    </row>
    <row r="20" spans="3:3" ht="29.5">
      <c r="C20" s="12" t="str">
        <f>IF(Treatment!J20="*  ..  ##34###34# ##334###334#","//--- END",Treatment!J20)</f>
        <v>* surgicalProcedure.surgicalProcedureOralCavity 0..1 string ##34#Surgical procedure Oral cavity##34# ##334#Describes the procedure performed on the oral cavity##334#</v>
      </c>
    </row>
    <row r="21" spans="3:3" ht="29.5">
      <c r="C21" s="12" t="str">
        <f>IF(Treatment!J21="*  ..  ##34###34# ##334###334#","//--- END",Treatment!J21)</f>
        <v>* surgicalProcedure.surgicalProcedureMandibulectomy 0..1 string ##34#Surgical procedure mandibulectomy##34# ##334#Describes the procedure performed on the mandible##334#</v>
      </c>
    </row>
    <row r="22" spans="3:3" ht="59">
      <c r="C22" s="12" t="str">
        <f>IF(Treatment!J22="*  ..  ##34###34# ##334###334#","//--- END",Treatment!J22)</f>
        <v>* surgicalProcedure.surgicalProcedureOropharynx 0..1 string ##34#Surgical procedure Oropharynx##34# ##334#Describes the procedure performed on the oropharynx cavity 
Lateral Oropharyngectomy LO Types were described by De Virgilio in 2019 See references
Transoral Base Of Tongue TOBOT Resection Types were described by De Virgilio in 2021 See references##334#</v>
      </c>
    </row>
    <row r="23" spans="3:3" ht="29.5">
      <c r="C23" s="12" t="str">
        <f>IF(Treatment!J23="*  ..  ##34###34# ##334###334#","//--- END",Treatment!J23)</f>
        <v>* surgicalProcedure.surgicalProcedureHypopharynx 0..1 string ##34#Surgical procedure Hypopharynx##34# ##334#Describes the procedure performed on the hypopharynx##334#</v>
      </c>
    </row>
    <row r="24" spans="3:3" ht="147.5">
      <c r="C24" s="12" t="str">
        <f>IF(Treatment!J24="*  ..  ##34###34# ##334###334#","//--- END",Treatment!J24)</f>
        <v>* surgicalProcedure.surgicalProcedureLarynx 0..1 string ##34#Surgical procedure Larynx##34# ##334#Laryngo fissure and cordectomy is a procololized procedure to remove tumors from the vocal cords through an incision in the skin and a vertical section of the thyroid cartilage
Vertical hemilaryngectomy is a protocoled procedure Please see references
TLM cordectomies were defined by Remacle et al in  2007 please see references
TSL were defined by Remacle et al in 2009 please see references
OPHL were defined by Succo et al in 2014 please see references
Neartotal laryngectomy refers to procolized procedures that remove the entire larynx except for some elements arytenoids  to improve speech production but the patient requires a permanent stoma to breathe
Total laryngectomy is a protocoled procedure to remove all laryngeal tissue and results in a permanent stoma##334#</v>
      </c>
    </row>
    <row r="25" spans="3:3" ht="29.5">
      <c r="C25" s="12" t="str">
        <f>IF(Treatment!J25="*  ..  ##34###34# ##334###334#","//--- END",Treatment!J25)</f>
        <v>* reconstruction 0..1 BackboneElement ##34#Reconstruction##34# ##334#Reconstruction procedure that was performed after tomor removal to restore either shape or function##334#</v>
      </c>
    </row>
    <row r="26" spans="3:3" ht="29.5">
      <c r="C26" s="12" t="str">
        <f>IF(Treatment!J26="*  ..  ##34###34# ##334###334#","//--- END",Treatment!J26)</f>
        <v>* reconstruction.flag 0..1 string ##34#Reconstruction##34# ##334#Describes whether a reconstruction procedure was performed after tomor removal to restore either shape or function##334#</v>
      </c>
    </row>
    <row r="27" spans="3:3" ht="59">
      <c r="C27" s="12" t="str">
        <f>IF(Treatment!J27="*  ..  ##34###34# ##334###334#","//--- END",Treatment!J27)</f>
        <v>* reconstruction.reconstructionType 0..1 string ##34#Reconstruction Type##34# ##334#Describes type of grft or flap used for the reconstruction Combined flaps is used when two or more pedicle andor microvascular flap is used for reconstruction simultaneously Otherwise the most complex flaps used must be choosen 
##334#</v>
      </c>
    </row>
    <row r="28" spans="3:3" ht="59">
      <c r="C28" s="12" t="str">
        <f>IF(Treatment!J28="*  ..  ##34###34# ##334###334#","//--- END",Treatment!J28)</f>
        <v>* reconstruction.firstFlapUsedForReconstruction 0..1 string ##34#First Flap used for reconstruction##34# ##334#Describes the flap used for reconstrucion when only one flap was used When two or more flaps has been used the most complex or advanced one must be choosen If the procedure performed is not defined and protocoled the most appropriate one will be chosen from the list of options##334#</v>
      </c>
    </row>
    <row r="29" spans="3:3" ht="44.25">
      <c r="C29" s="12" t="str">
        <f>IF(Treatment!J29="*  ..  ##34###34# ##334###334#","//--- END",Treatment!J29)</f>
        <v>* reconstruction.secondFlapUsedForReconstruction 0..1 string ##34#Second Flap used for reconstruction##34# ##334#Describes the secind flap used for reconstruction when more than one flap was used When more than two flaps has been used the most complex or advanced one must be choosen##334#</v>
      </c>
    </row>
    <row r="30" spans="3:3" ht="29.5">
      <c r="C30" s="12" t="str">
        <f>IF(Treatment!J30="*  ..  ##34###34# ##334###334#","//--- END",Treatment!J30)</f>
        <v>* neckSurgery 0..1 string ##34#Neck surgery##34# ##334#Describes whether a surgical procedure to treat and address the neck was performed or not ##334#</v>
      </c>
    </row>
    <row r="31" spans="3:3" ht="29.5">
      <c r="C31" s="12" t="str">
        <f>IF(Treatment!J31="*  ..  ##34###34# ##334###334#","//--- END",Treatment!J31)</f>
        <v>* dateOfNeckSurgeryIfDifferentFromDateOfTumorSiteSurgery 0..1 date ##34#Date of neck surgery  if different from date of tumor site surgery##34# ##334#Date of the surgery for the neck when it was performed after tumor resection ##334#</v>
      </c>
    </row>
    <row r="32" spans="3:3" ht="29.5">
      <c r="C32" s="12" t="str">
        <f>IF(Treatment!J32="*  ..  ##34###34# ##334###334#","//--- END",Treatment!J32)</f>
        <v>* dateOfNeckSurgeryDayUnknown 0..1 date ##34#Date of neck surgery day unknown##34# ##334#Describes if the day of neck surgery is unknwon##334#</v>
      </c>
    </row>
    <row r="33" spans="3:3" ht="29.5">
      <c r="C33" s="12" t="str">
        <f>IF(Treatment!J33="*  ..  ##34###34# ##334###334#","//--- END",Treatment!J33)</f>
        <v>* nodePicking 0..1 string ##34#Node picking##34# ##334#Describes whether a nonprotocoled and nonstandardized resection of more than one lymph node is performed or not##334#</v>
      </c>
    </row>
    <row r="34" spans="3:3" ht="29.5">
      <c r="C34" s="12" t="str">
        <f>IF(Treatment!J34="*  ..  ##34###34# ##334###334#","//--- END",Treatment!J34)</f>
        <v>* neckDissection 0..1 string ##34#Neck dissection##34# ##334#Describes whether a protocoled and standardized en block resection of lymphatic tissue is performed or not##334#</v>
      </c>
    </row>
    <row r="35" spans="3:3" ht="73.75">
      <c r="C35" s="12" t="str">
        <f>IF(Treatment!J35="*  ..  ##34###34# ##334###334#","//--- END",Treatment!J35)</f>
        <v>* lateralityOfTheDissection 0..1 string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36" spans="3:3" ht="73.75">
      <c r="C36" s="12" t="str">
        <f>IF(Treatment!J36="*  ..  ##34###34# ##334###334#","//--- END",Treatment!J36)</f>
        <v>* surgicalProcedureRightNeck 0..1 string ##34#Surgical procedure right neck##34# ##334#Describes surgical procedure performed to treat the right neck if applies  
Neck Dissection clasification is described according to the Consensus published by Robbins et al in 2002 See references
Central Neck dissection includes all subtypes defined by Orloff in 2011 See reference
##334#</v>
      </c>
    </row>
    <row r="37" spans="3:3" ht="44.25">
      <c r="C37" s="12" t="str">
        <f>IF(Treatment!J37="*  ..  ##34###34# ##334###334#","//--- END",Treatment!J37)</f>
        <v>* surgicalProcedureRightNeckLevelsDissected 0..1 string ##34#Surgical procedure right neck levels dissected##34# ##334#Multiple selection all lymphatic levels defined by the Consensus published by Robbins et al  in 2002 treated must be choosen##334#</v>
      </c>
    </row>
    <row r="38" spans="3:3" ht="59">
      <c r="C38" s="12" t="str">
        <f>IF(Treatment!J38="*  ..  ##34###34# ##334###334#","//--- END",Treatment!J38)</f>
        <v>* surgicalProcedureLeftNeck 0..1 string ##34#Surgical procedure left neck##34# ##334#Describes surgical procedure performed to treat the left neck if applies  
Neck Dissection clasification is described according to the Consensus published by Robbins et al in 2002 See references
Central Neck dissection includes all subtypes defined by Orloff in 2011 See reference ##334#</v>
      </c>
    </row>
    <row r="39" spans="3:3" ht="29.5">
      <c r="C39" s="12" t="str">
        <f>IF(Treatment!J39="*  ..  ##34###34# ##334###334#","//--- END",Treatment!J39)</f>
        <v>* surgicalProcedureLeftNeckLevelsDissected 0..1 string ##34#Surgical procedure left neck levels dissected##34# ##334#Multiple selection all lymphatic levels defined by the Consensus published by Robbins et al  in 2002 treated must be choosen##334#</v>
      </c>
    </row>
    <row r="40" spans="3:3" ht="29.5">
      <c r="C40" s="12" t="str">
        <f>IF(Treatment!J40="*  ..  ##34###34# ##334###334#","//--- END",Treatment!J40)</f>
        <v>* surgeryOnM 0..1 string ##34#Surgery on M##34# ##334#Describes whether surgery is performed to treat the Metastasis##334#</v>
      </c>
    </row>
    <row r="41" spans="3:3" ht="29.5">
      <c r="C41" s="12" t="str">
        <f>IF(Treatment!J41="*  ..  ##34###34# ##334###334#","//--- END",Treatment!J41)</f>
        <v>* siteOfSurgeryOnMetastasis 0..1 BackboneElement ##34#Site of surgery on metastasis##34# ##334#Site of surgery on metastasis##334#</v>
      </c>
    </row>
    <row r="42" spans="3:3" ht="29.5">
      <c r="C42" s="12" t="str">
        <f>IF(Treatment!J42="*  ..  ##34###34# ##334###334#","//--- END",Treatment!J42)</f>
        <v>* siteOfSurgeryOnMetastasisSoftTissue 0..1 string ##34#Site of surgery on metastasis soft tissue##34# ##334#Describes if site of surgery on metastasis  is soft tissue##334#</v>
      </c>
    </row>
    <row r="43" spans="3:3" ht="29.5">
      <c r="C43" s="12" t="str">
        <f>IF(Treatment!J43="*  ..  ##34###34# ##334###334#","//--- END",Treatment!J43)</f>
        <v>* siteOfSurgeryOnMetastasisDistantLymphNodes 0..1 string ##34#Site of surgery on metastasis distant lymph nodes##34# ##334#Describes if site of surgery on metastasis  is dystan lymph node##334#</v>
      </c>
    </row>
    <row r="44" spans="3:3" ht="29.5">
      <c r="C44" s="12" t="str">
        <f>IF(Treatment!J44="*  ..  ##34###34# ##334###334#","//--- END",Treatment!J44)</f>
        <v>* siteOfSurgeryOnMetastasisLung 0..1 string ##34#Site of surgery on metastasis lung##34# ##334#Describes if site of surgery on metastasis  is lung##334#</v>
      </c>
    </row>
    <row r="45" spans="3:3" ht="29.5">
      <c r="C45" s="12" t="str">
        <f>IF(Treatment!J45="*  ..  ##34###34# ##334###334#","//--- END",Treatment!J45)</f>
        <v>* siteOfSurgeryOnMetastasisBone 0..1 string ##34#Site of surgery on metastasis bone##34# ##334#Describes if site of surgery on metastasis  is bone##334#</v>
      </c>
    </row>
    <row r="46" spans="3:3" ht="29.5">
      <c r="C46" s="12" t="str">
        <f>IF(Treatment!J46="*  ..  ##34###34# ##334###334#","//--- END",Treatment!J46)</f>
        <v>* siteOfSurgeryOnMetastasisLiver 0..1 string ##34#Site of surgery on metastasis liver##34# ##334#Describes if site of surgery on metastasis  is liver##334#</v>
      </c>
    </row>
    <row r="47" spans="3:3" ht="29.5">
      <c r="C47" s="12" t="str">
        <f>IF(Treatment!J47="*  ..  ##34###34# ##334###334#","//--- END",Treatment!J47)</f>
        <v>* siteOfSurgeryOnMetastasisPleura 0..1 string ##34#Site of surgery on metastasis pleura##34# ##334#Describes if site of surgery on metastasis  is pleura##334#</v>
      </c>
    </row>
    <row r="48" spans="3:3" ht="29.5">
      <c r="C48" s="12" t="str">
        <f>IF(Treatment!J48="*  ..  ##34###34# ##334###334#","//--- END",Treatment!J48)</f>
        <v>* siteOfSurgeryOnMetastasisPeritoneum 0..1 string ##34#Site of surgery on metastasis peritoneum##34# ##334#Describes if site of surgery on metastasis  is peritoneum##334#</v>
      </c>
    </row>
    <row r="49" spans="3:3" ht="29.5">
      <c r="C49" s="12" t="str">
        <f>IF(Treatment!J49="*  ..  ##34###34# ##334###334#","//--- END",Treatment!J49)</f>
        <v>* siteOfSurgeryOnMetastasisBrain 0..1 string ##34#Site of surgery on metastasis brain##34# ##334#Describes if site of surgery on metastasis  is brain##334#</v>
      </c>
    </row>
    <row r="50" spans="3:3" ht="29.5">
      <c r="C50" s="12" t="str">
        <f>IF(Treatment!J50="*  ..  ##34###34# ##334###334#","//--- END",Treatment!J50)</f>
        <v>* siteOfSurgeryOnMetastasisOtherViscera 0..1 string ##34#Site of surgery on metastasis other viscera##34# ##334#Describes if site of surgery on metastasis  is other viscera##334#</v>
      </c>
    </row>
    <row r="51" spans="3:3" ht="29.5">
      <c r="C51" s="12" t="str">
        <f>IF(Treatment!J51="*  ..  ##34###34# ##334###334#","//--- END",Treatment!J51)</f>
        <v>* siteOfSurgeryOnMetastasisUnknown 0..1 string ##34#Site of surgery on metastasis unknown##34# ##334#Describes if site of surgery on metastasis  is unknown##334#</v>
      </c>
    </row>
    <row r="52" spans="3:3" ht="29.5">
      <c r="C52" s="12" t="str">
        <f>IF(Treatment!J52="*  ..  ##34###34# ##334###334#","//--- END",Treatment!J52)</f>
        <v>* dateOfSurgeryOnMIfDifferentFromDateOfTumorSiteSurgery 0..1 date ##34#Date of surgery on M  if different from date of tumor site surgery##34# ##334#Date of the surgery on the metastasis##334#</v>
      </c>
    </row>
    <row r="53" spans="3:3" ht="29.5">
      <c r="C53" s="12" t="str">
        <f>IF(Treatment!J53="*  ..  ##34###34# ##334###334#","//--- END",Treatment!J53)</f>
        <v>* surgicalWorstComplications 0..1 string ##34#Surgical complications ClavienDindo Classification please select the worst one##34# ##334#Describes presence and grade of complications after a surgical procedure ##334#</v>
      </c>
    </row>
    <row r="54" spans="3:3" ht="29.5">
      <c r="C54" s="12" t="str">
        <f>IF(Treatment!J54="*  ..  ##34###34# ##334###334#","//--- END",Treatment!J54)</f>
        <v>* surgical2ndWorstComplications 0..1 string ##34#Surgical complications ClavienDindo Classification 2 complications please select the 2 worst one##34# ##334#Describes presence and grade of complications after a surgical procedure ##334#</v>
      </c>
    </row>
    <row r="55" spans="3:3" ht="44.25">
      <c r="C55" s="12" t="str">
        <f>IF(Treatment!J55="*  ..  ##34###34# ##334###334#","//--- END",Treatment!J55)</f>
        <v>* unplannedSurgery 0..1 string ##34#Unplanned surgery##34# ##334#Describes whether an unplanned surgery was performed with radical intention after the first one that was not completed  inappropriate Please do not include here the surgery performed to treat a complication of the first intervention eg bleeding##334#</v>
      </c>
    </row>
    <row r="56" spans="3:3">
      <c r="C56" s="12" t="str">
        <f>IF(Treatment!J56="*  ..  ##34###34# ##334###334#","//--- END",Treatment!J56)</f>
        <v>* dateOfUnplannedSurgery 0..1 date ##34#Date of unplanned surgery##34# ##334#Date of the unplanned surgery##334#</v>
      </c>
    </row>
    <row r="57" spans="3:3" ht="103.25">
      <c r="C57" s="12" t="str">
        <f>IF(Treatment!J57="*  ..  ##34###34# ##334###334#","//--- END",Treatment!J57)</f>
        <v>* marginsAfterUnplannedSurgery 0..1 string ##34#Margins after unplanned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58" spans="3:3" ht="29.5">
      <c r="C58" s="12" t="str">
        <f>IF(Treatment!J58="*  ..  ##34###34# ##334###334#","//--- END",Treatment!J58)</f>
        <v>* unplannedNeckSurgery 0..1 string ##34#Unplanned neck surgery##34# ##334#Describes whether an unplanned surgical procedure to treat and address the neck was performed or not ##334#</v>
      </c>
    </row>
    <row r="59" spans="3:3">
      <c r="C59" s="12" t="str">
        <f>IF(Treatment!J59="*  ..  ##34###34# ##334###334#","//--- END",Treatment!J59)</f>
        <v>* systemicTreament 0..1 BackboneElement ##34#Systemic Treament##34# ##334#Systemic Treament##334#</v>
      </c>
    </row>
    <row r="60" spans="3:3" ht="44.25">
      <c r="C60" s="12" t="str">
        <f>IF(Treatment!J60="*  ..  ##34###34# ##334###334#","//--- END",Treatment!J60)</f>
        <v>* systemicTreatmentPerformed 0..1 string ##34#Systemic treatment performed ##34# ##334#Describes whether or not a systemic treatment ie chemotherapy target therapy immuntherapy was performed and whether it was performed at the registering hospital or another hospital##334#</v>
      </c>
    </row>
    <row r="61" spans="3:3" ht="29.5">
      <c r="C61" s="12" t="str">
        <f>IF(Treatment!J61="*  ..  ##34###34# ##334###334#","//--- END",Treatment!J61)</f>
        <v>* chooseTheSingleTreatment 0..1 string ##34#Choose the single treatment##34# ##334#Select the type of systemic treatment administered It is possible to directly select the single treatment as appropriate##334#</v>
      </c>
    </row>
    <row r="62" spans="3:3" ht="118">
      <c r="C62" s="12" t="str">
        <f>IF(Treatment!J62="*  ..  ##34###34# ##334###334#","//--- END",Treatment!J62)</f>
        <v>* intent 0..1 string ##34#Intent##34# ##334#Clarifies the reasons why systemic therapy is administered
 Curative chemotherapy is chemotherapy administered with the goal of achieving a complete remission and preventing the recurrence of cancer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63" spans="3:3" ht="132.75">
      <c r="C63" s="12" t="str">
        <f>IF(Treatment!J63="*  ..  ##34###34# ##334###334#","//--- END",Treatment!J63)</f>
        <v>* setting 0..1 string ##34#Setting ##34# ##334#clarifies the context  how the therapy was administered alone or in conjunction with other treatments
 Neoadjuvant treatment given as a first step to shrink a tumor before the main treatment which is usually surgery is given Examples of neoadjuvant therapy include chemotherapy radiation therapy and hormone therapy It is a type of induction therapy
 Adjuvant additional cancer treatment given after the primary treatment to lower the risk that the cancer will come back Adjuvant therapy may include chemotherapy radiation therapy hormone therapy targeted therapy or biological therapy
 Concomitantconcurrent A treatment that is given at the same time as another es Chemotherapy  radiotherapy
##334#</v>
      </c>
    </row>
    <row r="64" spans="3:3" ht="29.5">
      <c r="C64" s="12" t="str">
        <f>IF(Treatment!J64="*  ..  ##34###34# ##334###334#","//--- END",Treatment!J64)</f>
        <v>* startDateSystemicTreatment 0..1 date ##34#Start date systemic treatment##34# ##334#Specifies when systemic treatment begins##334#</v>
      </c>
    </row>
    <row r="65" spans="3:3" ht="29.5">
      <c r="C65" s="12" t="str">
        <f>IF(Treatment!J65="*  ..  ##34###34# ##334###334#","//--- END",Treatment!J65)</f>
        <v>* startDateSystemicTreatmentDayUnknown 0..1 date ##34#Start date systemic treatment  day unknown##34# ##334#Describes if the day of start systemic treatment is unknwon##334#</v>
      </c>
    </row>
    <row r="66" spans="3:3" ht="29.5">
      <c r="C66" s="12" t="str">
        <f>IF(Treatment!J66="*  ..  ##34###34# ##334###334#","//--- END",Treatment!J66)</f>
        <v>* endDateSystemicTreatment 0..1 date ##34#End date systemic treatment##34# ##334#Specifies when systemic treatment ends##334#</v>
      </c>
    </row>
    <row r="67" spans="3:3" ht="29.5">
      <c r="C67" s="12" t="str">
        <f>IF(Treatment!J67="*  ..  ##34###34# ##334###334#","//--- END",Treatment!J67)</f>
        <v>* endDateSystemicTreatmentDayUnknown 0..1 date ##34#End date systemic treatment  day unknown##34# ##334#Describes if the day of end of systemic treatment is unknwon##334#</v>
      </c>
    </row>
    <row r="68" spans="3:3" ht="59">
      <c r="C68" s="12" t="str">
        <f>IF(Treatment!J68="*  ..  ##34###34# ##334###334#","//--- END",Treatment!J68)</f>
        <v>* numberOfCyclesAdministrations 0..1 integer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69" spans="3:3" ht="44.25">
      <c r="C69" s="12" t="str">
        <f>IF(Treatment!J69="*  ..  ##34###34# ##334###334#","//--- END",Treatment!J69)</f>
        <v>* regimen 0..1 BackboneElement ##34#Regimen##34# ##334#specifies the systemic treatment drug from a predefined list If one or more drugs used are not present in the predefined list add them in the Drug 1 Drug 2 Drug 3 variables You can add up to 3 drugs not included in the predefined list##334#</v>
      </c>
    </row>
    <row r="70" spans="3:3" ht="29.5">
      <c r="C70" s="12" t="str">
        <f>IF(Treatment!J70="*  ..  ##34###34# ##334###334#","//--- END",Treatment!J70)</f>
        <v>* drugs1 0..1 string ##34#Drugs 1##34# ##334#autosuggested functionality for realtime searching within biomedical ontologies##334#</v>
      </c>
    </row>
    <row r="71" spans="3:3" ht="29.5">
      <c r="C71" s="12" t="str">
        <f>IF(Treatment!J71="*  ..  ##34###34# ##334###334#","//--- END",Treatment!J71)</f>
        <v>* drugs2 0..1 string ##34#Drugs 2##34# ##334#autosuggested functionality for realtime searching within biomedical ontologies##334#</v>
      </c>
    </row>
    <row r="72" spans="3:3" ht="29.5">
      <c r="C72" s="12" t="str">
        <f>IF(Treatment!J72="*  ..  ##34###34# ##334###334#","//--- END",Treatment!J72)</f>
        <v>* drugs3 0..1 string ##34#Drugs 3##34# ##334#autosuggested functionality for realtime searching within biomedical ontologies##334#</v>
      </c>
    </row>
    <row r="73" spans="3:3" ht="29.5">
      <c r="C73" s="12" t="str">
        <f>IF(Treatment!J73="*  ..  ##34###34# ##334###334#","//--- END",Treatment!J73)</f>
        <v>* plasmaticEbvDnaDuringSystemicTreatment 0..1 string ##34#Plasmatic EBV DNA during systemic treatment##34# ##334#Describes the result of EBV DNA plasma testing during treatment in NPC type II and III WHO##334#</v>
      </c>
    </row>
    <row r="74" spans="3:3" ht="29.5">
      <c r="C74" s="12" t="str">
        <f>IF(Treatment!J74="*  ..  ##34###34# ##334###334#","//--- END",Treatment!J74)</f>
        <v>* primerType 0..1 string ##34#Primer type##34# ##334#Describes the primer used for EBV DNA plasma testing duringin NPC type II and Type III WHO##334#</v>
      </c>
    </row>
    <row r="75" spans="3:3">
      <c r="C75" s="12" t="str">
        <f>IF(Treatment!J75="*  ..  ##34###34# ##334###334#","//--- END",Treatment!J75)</f>
        <v>* copyNumber 0..1 integer ##34#Copy Number##34# ##334#Copy number of EBVDNA in NPC##334#</v>
      </c>
    </row>
    <row r="76" spans="3:3" ht="29.5">
      <c r="C76" s="12" t="str">
        <f>IF(Treatment!J76="*  ..  ##34###34# ##334###334#","//--- END",Treatment!J76)</f>
        <v>* plasmaticEbvDnaAfterSystemicTreatment 0..1 string ##34#Plasmatic EBV DNA after systemic treatment##34# ##334#Describes the result of EBV DNA plasma testing after treatment in NPC type II and III WHO##334#</v>
      </c>
    </row>
    <row r="77" spans="3:3" ht="29.5">
      <c r="C77" s="12" t="str">
        <f>IF(Treatment!J77="*  ..  ##34###34# ##334###334#","//--- END",Treatment!J77)</f>
        <v>* afterTreatment-primerType 0..1 string ##34#Primer type##34# ##334#Describes the primer used for EBV DNA plasma testing after treatment in NPC type II and Type III WHO##334#</v>
      </c>
    </row>
    <row r="78" spans="3:3">
      <c r="C78" s="12" t="str">
        <f>IF(Treatment!J78="*  ..  ##34###34# ##334###334#","//--- END",Treatment!J78)</f>
        <v>* afterTreatment-copyNumber 0..1 integer ##34#Copy Number##34# ##334#Copy number of EBVDNA in NPC##334#</v>
      </c>
    </row>
    <row r="79" spans="3:3" ht="29.5">
      <c r="C79" s="12" t="str">
        <f>IF(Treatment!J79="*  ..  ##34###34# ##334###334#","//--- END",Treatment!J79)</f>
        <v>* reasonForEndOfTreatment 0..1 string ##34#Reason for end of treatment##34# ##334#Clarifies the reasons why the treatment ended or was interrupted##334#</v>
      </c>
    </row>
    <row r="80" spans="3:3" ht="29.5">
      <c r="C80" s="12" t="str">
        <f>IF(Treatment!J80="*  ..  ##34###34# ##334###334#","//--- END",Treatment!J80)</f>
        <v>* regimenChanged 0..1 string ##34#Regimen changed##34# ##334#Clarifies if the regimen drug changed after a toxicity or a patient intolerance##334#</v>
      </c>
    </row>
    <row r="81" spans="3:3" ht="59">
      <c r="C81" s="12" t="str">
        <f>IF(Treatment!J81="*  ..  ##34###34# ##334###334#","//--- END",Treatment!J81)</f>
        <v>* regimenChanged-regimen 0..1 BackboneElement ##34#Regimen ##34# ##334#Clarifies the drug that was administred after a toxicity or a patient intolerance that required to change the previous drug f one or more drugs used are not present in the predefined list add them in the Drug 1 Drug 2 Drug 3 variables You can add up to 3 drugs not included in the predefined list##334#</v>
      </c>
    </row>
    <row r="82" spans="3:3" ht="29.5">
      <c r="C82" s="12" t="str">
        <f>IF(Treatment!J82="*  ..  ##34###34# ##334###334#","//--- END",Treatment!J82)</f>
        <v>* regimenChanged-otherDrug1 0..1 string ##34#Other Drug1##34# ##334#Specifies the drug if not present in the regimen list up to 3 selection##334#</v>
      </c>
    </row>
    <row r="83" spans="3:3">
      <c r="C83" s="12" t="str">
        <f>IF(Treatment!J83="*  ..  ##34###34# ##334###334#","//--- END",Treatment!J83)</f>
        <v>* regimenChanged-otherDrug2 0..1 BackboneElement ##34#Other Drug2##34# ##334#Other Drug2##334#</v>
      </c>
    </row>
    <row r="84" spans="3:3">
      <c r="C84" s="12" t="str">
        <f>IF(Treatment!J84="*  ..  ##34###34# ##334###334#","//--- END",Treatment!J84)</f>
        <v>* regimenChanged-otherDrug3 0..1 BackboneElement ##34#Other Drug3##34# ##334#Other Drug3##334#</v>
      </c>
    </row>
    <row r="85" spans="3:3" ht="29.5">
      <c r="C85" s="12" t="str">
        <f>IF(Treatment!J85="*  ..  ##34###34# ##334###334#","//--- END",Treatment!J85)</f>
        <v>* startDateRegimenChanged 0..1 date ##34#Start date regimen changed##34# ##334#specifies when the new systemic treatment begins if a combination please specify the start of the first drug##334#</v>
      </c>
    </row>
    <row r="86" spans="3:3" ht="29.5">
      <c r="C86" s="12" t="str">
        <f>IF(Treatment!J86="*  ..  ##34###34# ##334###334#","//--- END",Treatment!J86)</f>
        <v>* startDateRegimenChangedDayUnknown 0..1 date ##34#Start date regimen changed  day unknown##34# ##334#Describes if the day of the begining of the  new systemic treatment  is unknwon##334#</v>
      </c>
    </row>
    <row r="87" spans="3:3" ht="29.5">
      <c r="C87" s="12" t="str">
        <f>IF(Treatment!J87="*  ..  ##34###34# ##334###334#","//--- END",Treatment!J87)</f>
        <v>* endDateRegimenChanged 0..1 date ##34#End date regimen changed##34# ##334#specifies when the new  systemic treatment endsif a combination please specify the end of the last drug##334#</v>
      </c>
    </row>
    <row r="88" spans="3:3" ht="29.5">
      <c r="C88" s="12" t="str">
        <f>IF(Treatment!J88="*  ..  ##34###34# ##334###334#","//--- END",Treatment!J88)</f>
        <v>* endDateRegimenChangedDayUnknown 0..1 date ##34#End  date regimen changed  day unknown##34# ##334#Describes if the day of the end of the systemic treatment is unknwon##334#</v>
      </c>
    </row>
    <row r="89" spans="3:3" ht="29.5">
      <c r="C89" s="12" t="str">
        <f>IF(Treatment!J89="*  ..  ##34###34# ##334###334#","//--- END",Treatment!J89)</f>
        <v>* regimenChanged-reasonForEndOfTreatment 0..1 string ##34#Reason for end of treatment##34# ##334#Clarifies the reasons why the treatment ended or was interrupted##334#</v>
      </c>
    </row>
    <row r="90" spans="3:3" ht="59">
      <c r="C90" s="12" t="str">
        <f>IF(Treatment!J90="*  ..  ##34###34# ##334###334#","//--- END",Treatment!J90)</f>
        <v>* treatmentResponseBasedOnImagingAloneNoRecistOrOtherCriteria 0..1 string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91" spans="3:3" ht="29.5">
      <c r="C91" s="12" t="str">
        <f>IF(Treatment!J91="*  ..  ##34###34# ##334###334#","//--- END",Treatment!J91)</f>
        <v>* treatmentResponseDefinedDone 0..1 string ##34#Treatment response defineddone##34# ##334#Describes whether the treatment response was assessed at the registering hospital or another hospital##334#</v>
      </c>
    </row>
    <row r="92" spans="3:3" ht="29.5">
      <c r="C92" s="12" t="str">
        <f>IF(Treatment!J92="*  ..  ##34###34# ##334###334#","//--- END",Treatment!J92)</f>
        <v>* systemicTreatment2 0..1 string ##34#Systemic treatment 2##34# ##334#Specifies if another systemic treatment was performed##334#</v>
      </c>
    </row>
    <row r="93" spans="3:3">
      <c r="C93" s="12" t="str">
        <f>IF(Treatment!J93="*  ..  ##34###34# ##334###334#","//--- END",Treatment!J93)</f>
        <v>* radiotherapy 0..1 BackboneElement ##34#Radiotherapy##34# ##334###334#</v>
      </c>
    </row>
    <row r="94" spans="3:3" ht="29.5">
      <c r="C94" s="12" t="str">
        <f>IF(Treatment!J94="*  ..  ##34###34# ##334###334#","//--- END",Treatment!J94)</f>
        <v>* radiotherapywhere 0..1 string ##34#RadiotherapyWhere##34# ##334#Whether radiotherapy was delivered to a patient either curatively or palliatively and whether it was performed at the registering hospital or another hospital##334#</v>
      </c>
    </row>
    <row r="95" spans="3:3" ht="29.5">
      <c r="C95" s="12" t="str">
        <f>IF(Treatment!J95="*  ..  ##34###34# ##334###334#","//--- END",Treatment!J95)</f>
        <v>* intent-2 0..1 string ##34#Intent##34# ##334#Radiotherapy intent refers to whether the intention of treatment is to cure the patient or to treat symptoms and palliate##334#</v>
      </c>
    </row>
    <row r="96" spans="3:3" ht="29.5">
      <c r="C96" s="12" t="str">
        <f>IF(Treatment!J96="*  ..  ##34###34# ##334###334#","//--- END",Treatment!J96)</f>
        <v>* setting-2 0..1 string ##34#Setting ##34# ##334#Whether radiotherapy is delivered as the main treatment modality definitive or if it is delivered before or after another treatment such as surgery##334#</v>
      </c>
    </row>
    <row r="97" spans="3:3" ht="44.25">
      <c r="C97" s="12" t="str">
        <f>IF(Treatment!J97="*  ..  ##34###34# ##334###334#","//--- END",Treatment!J97)</f>
        <v>* postoperativeRadiotherapyIndications 0..1 string ##34#Postoperative Radiotherapy Indications##34# ##334#Describes the reason for adjuvant or postoperative radiotherapy after surgical treatment Positive margins refer to margins positive at the inked surface##334#</v>
      </c>
    </row>
    <row r="98" spans="3:3" ht="29.5">
      <c r="C98" s="12" t="str">
        <f>IF(Treatment!J98="*  ..  ##34###34# ##334###334#","//--- END",Treatment!J98)</f>
        <v>* beamQuality 0..1 string ##34#Beam quality##34# ##334#Describes the type of radiation therapy given If external beam please specify if delivered with Photons most common electrons carbon or protons##334#</v>
      </c>
    </row>
    <row r="99" spans="3:3">
      <c r="C99" s="12" t="str">
        <f>IF(Treatment!J99="*  ..  ##34###34# ##334###334#","//--- END",Treatment!J99)</f>
        <v>* beamQuality-otherSpecify 0..1 BackboneElement ##34#Other specify ##34# ##334###334#</v>
      </c>
    </row>
    <row r="100" spans="3:3" ht="29.5">
      <c r="C100" s="12" t="str">
        <f>IF(Treatment!J100="*  ..  ##34###34# ##334###334#","//--- END",Treatment!J100)</f>
        <v>* treatmentTechnique 0..1 string ##34#Treatment technique##34# ##334#Refers to the type of radiotherapy treatment delivered##334#</v>
      </c>
    </row>
    <row r="101" spans="3:3">
      <c r="C101" s="12" t="str">
        <f>IF(Treatment!J101="*  ..  ##34###34# ##334###334#","//--- END",Treatment!J101)</f>
        <v>* treatmentTechnique-otherSpecify 0..1 BackboneElement ##34#Other specify##34# ##334###334#</v>
      </c>
    </row>
    <row r="102" spans="3:3" ht="29.5">
      <c r="C102" s="12" t="str">
        <f>IF(Treatment!J102="*  ..  ##34###34# ##334###334#","//--- END",Treatment!J102)</f>
        <v>* boostType 0..1 string ##34#Boost type##34# ##334#Refers to whether the boost dose given was done after the initial dose was delivered sequential or if the dose was delivered simultaneously with the initial dose##334#</v>
      </c>
    </row>
    <row r="103" spans="3:3" ht="44.25">
      <c r="C103" s="12" t="str">
        <f>IF(Treatment!J103="*  ..  ##34###34# ##334###334#","//--- END",Treatment!J103)</f>
        <v>* treatmentPlan 0..1 string ##34#Treatment Plan##34# ##334#Refers to whether the plan is a single plan with multiple doses delivered during the same plan or if there is a sequential boost plan Finally if the radiotherapy was adapted or changed due to change in the patients tumor or anatomy this is referred to as adaptive planning##334#</v>
      </c>
    </row>
    <row r="104" spans="3:3" ht="29.5">
      <c r="C104" s="12" t="str">
        <f>IF(Treatment!J104="*  ..  ##34###34# ##334###334#","//--- END",Treatment!J104)</f>
        <v>* totalDoseTdGy 0..1 Quantity ##34#Total Dose TD Gy##34# ##334#Refers to the total dose delivered to the patient in Gy##334#</v>
      </c>
    </row>
    <row r="105" spans="3:3">
      <c r="C105" s="12" t="str">
        <f>IF(Treatment!J105="*  ..  ##34###34# ##334###334#","//--- END",Treatment!J105)</f>
        <v>* fractionSizeFs 0..1 Quantity ##34#Fraction Size FS##34# ##334#Refers to the Dose per fraction delivered to the patient##334#</v>
      </c>
    </row>
    <row r="106" spans="3:3" ht="29.5">
      <c r="C106" s="12" t="str">
        <f>IF(Treatment!J106="*  ..  ##34###34# ##334###334#","//--- END",Treatment!J106)</f>
        <v>* numberOfFractions 0..1 integer ##34#Number of fractions##34# ##334#Refers to the total number of fractions delivered to the patient##334#</v>
      </c>
    </row>
    <row r="107" spans="3:3" ht="29.5">
      <c r="C107" s="12" t="str">
        <f>IF(Treatment!J107="*  ..  ##34###34# ##334###334#","//--- END",Treatment!J107)</f>
        <v>* totalHighDoseGy 0..1 Quantity ##34#Total High Dose Gy##34# ##334#Refers to the highest dose delivered to the patient##334#</v>
      </c>
    </row>
    <row r="108" spans="3:3" ht="29.5">
      <c r="C108" s="12" t="str">
        <f>IF(Treatment!J108="*  ..  ##34###34# ##334###334#","//--- END",Treatment!J108)</f>
        <v>* totalHighDoseFraction 0..1 Quantity ##34#Total High DoseFraction##34# ##334#Refers to the dose per fraction delivered to the patient in relation to the high dose  Calculated as the ratio of total high dose and numbers of fractions##334#</v>
      </c>
    </row>
    <row r="109" spans="3:3" ht="44.25">
      <c r="C109" s="12" t="str">
        <f>IF(Treatment!J109="*  ..  ##34###34# ##334###334#","//--- END",Treatment!J109)</f>
        <v>* totalIntermediateDoseGy 0..1 Quantity ##34#Total Intermediate Dose Gy##34# ##334#Refers to the dose that was intermediate between the low and high dose and was delivered to the patients tumor This dose is typically referred to as the high risk microscopic disease dose##334#</v>
      </c>
    </row>
    <row r="110" spans="3:3" ht="44.25">
      <c r="C110" s="12" t="str">
        <f>IF(Treatment!J110="*  ..  ##34###34# ##334###334#","//--- END",Treatment!J110)</f>
        <v>* totalIntermediateDoseFraction 0..1 Quantity ##34#Total Intermediate DoseFraction##34# ##334#Refers to the dose per fraction delivered to the patient in relation to the intermediate dose  Calculated as the ratio of total intermediate dose and numbers of fractions##334#</v>
      </c>
    </row>
    <row r="111" spans="3:3">
      <c r="C111" s="12" t="str">
        <f>IF(Treatment!J111="*  ..  ##34###34# ##334###334#","//--- END",Treatment!J111)</f>
        <v>* totalLowDoseGy 0..1 Quantity ##34#Total Low Dose Gy##34# ##334#The lowest dose prescribed to the patients tumor##334#</v>
      </c>
    </row>
    <row r="112" spans="3:3" ht="29.5">
      <c r="C112" s="12" t="str">
        <f>IF(Treatment!J112="*  ..  ##34###34# ##334###334#","//--- END",Treatment!J112)</f>
        <v>* totalLowDoseFraction 0..1 Quantity ##34#Total Low DoseFraction##34# ##334#Refers to the dose per fraction delivered to the patient in relation to the low dose  Calculated as the ratio of total low dose and numbers of fractions##334#</v>
      </c>
    </row>
    <row r="113" spans="3:3" ht="29.5">
      <c r="C113" s="12" t="str">
        <f>IF(Treatment!J113="*  ..  ##34###34# ##334###334#","//--- END",Treatment!J113)</f>
        <v>* fractionationPattern 0..1 BackboneElement ##34#Fractionation Pattern##34# ##334#Refers to the pattern of how the radiation was delivered##334#</v>
      </c>
    </row>
    <row r="114" spans="3:3" ht="44.25">
      <c r="C114" s="12" t="str">
        <f>IF(Treatment!J114="*  ..  ##34###34# ##334###334#","//--- END",Treatment!J114)</f>
        <v>* alteredFractionationScheme 0..1 BackboneElement ##34#Altered Fractionation Scheme##34# ##334#BID refers to radiotherapy delivered twice daily This could be either daily BID Daily or once weekly BID once weekly Other options are also available included 6 fractions per week and hypofractionation##334#</v>
      </c>
    </row>
    <row r="115" spans="3:3" ht="44.25">
      <c r="C115" s="12" t="str">
        <f>IF(Treatment!J115="*  ..  ##34###34# ##334###334#","//--- END",Treatment!J115)</f>
        <v>* adaptiveRt 0..1 string ##34#Adaptive RT##34# ##334#Refers to whether treatment planning was changed or adapted after the initial radiation plan was developed This could be due to a change in the patients anatomy or if the tumor changed in size##334#</v>
      </c>
    </row>
    <row r="116" spans="3:3" ht="44.25">
      <c r="C116" s="12" t="str">
        <f>IF(Treatment!J116="*  ..  ##34###34# ##334###334#","//--- END",Treatment!J116)</f>
        <v>* igrtImageGuideRadiotherapy 0..1 string ##34#IGRT  image guide radiotherapy##34# ##334#Refers to whether image guided radiotherapy was used for delivery of radiotherapy and to check the patient set up This includes MV KV or Cone Beam CT imaging##334#</v>
      </c>
    </row>
    <row r="117" spans="3:3" ht="29.5">
      <c r="C117" s="12" t="str">
        <f>IF(Treatment!J117="*  ..  ##34###34# ##334###334#","//--- END",Treatment!J117)</f>
        <v>* secondBeamQuality 0..1 string ##34#Second beam quality##34# ##334#Describes the type of radiation therapy given as second beam If external beam please specify if delivered with Photons most common electrons carbon or protons##334#</v>
      </c>
    </row>
    <row r="118" spans="3:3">
      <c r="C118" s="12" t="str">
        <f>IF(Treatment!J118="*  ..  ##34###34# ##334###334#","//--- END",Treatment!J118)</f>
        <v>* otherSpecify2 0..1 string ##34#Other specify 2##34# ##334#Specifies if the second beam quality is other##334#</v>
      </c>
    </row>
    <row r="119" spans="3:3" ht="29.5">
      <c r="C119" s="12" t="str">
        <f>IF(Treatment!J119="*  ..  ##34###34# ##334###334#","//--- END",Treatment!J119)</f>
        <v>* treatmentTechnique2 0..1 string ##34#Treatment technique2##34# ##334#Refers to the type of radiotherapy treatment delivered as second beam##334#</v>
      </c>
    </row>
    <row r="120" spans="3:3" ht="59">
      <c r="C120" s="12" t="str">
        <f>IF(Treatment!J120="*  ..  ##34###34# ##334###334#","//--- END",Treatment!J120)</f>
        <v>* treatmentTechnique2OtherSpecify 0..1 string ##34#Treatment technique2 other specify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121" spans="3:3">
      <c r="C121" s="12" t="str">
        <f>IF(Treatment!J121="*  ..  ##34###34# ##334###334#","//--- END",Treatment!J121)</f>
        <v>* startDate 0..1 date ##34#Start date##34# ##334#Date when  the first radiation treatment was delivered##334#</v>
      </c>
    </row>
    <row r="122" spans="3:3" ht="29.5">
      <c r="C122" s="12" t="str">
        <f>IF(Treatment!J122="*  ..  ##34###34# ##334###334#","//--- END",Treatment!J122)</f>
        <v>* startDateRadiotherapyDayUnknown 0..1 date ##34#Start date radiotherapy day unknown##34# ##334#Describes if the day of start radiotherapy  is unknwon##334#</v>
      </c>
    </row>
    <row r="123" spans="3:3">
      <c r="C123" s="12" t="str">
        <f>IF(Treatment!J123="*  ..  ##34###34# ##334###334#","//--- END",Treatment!J123)</f>
        <v>* endDate 0..1 date ##34#End  date##34# ##334#Date when the last radiation treatment ended##334#</v>
      </c>
    </row>
    <row r="124" spans="3:3" ht="29.5">
      <c r="C124" s="12" t="str">
        <f>IF(Treatment!J124="*  ..  ##34###34# ##334###334#","//--- END",Treatment!J124)</f>
        <v>* endDateRadiotherapyDayUnknown 0..1 date ##34#End date radiotherapy day unknown##34# ##334#Describes if the day of end of radiotherapy  is unknwon##334#</v>
      </c>
    </row>
    <row r="125" spans="3:3" ht="44.25">
      <c r="C125" s="12" t="str">
        <f>IF(Treatment!J125="*  ..  ##34###34# ##334###334#","//--- END",Treatment!J125)</f>
        <v>* treatmentInterruption2DaysNotIncludingIntendedBreaks 0..1 string ##34#Treatment Interruption 2 days not including intended breaks##34# ##334#referred to an interruption in the prescribed radiation schedule of 2 days but which does not include intended days such as on days in which the department is not treating Holidays##334#</v>
      </c>
    </row>
    <row r="126" spans="3:3" ht="29.5">
      <c r="C126" s="12" t="str">
        <f>IF(Treatment!J126="*  ..  ##34###34# ##334###334#","//--- END",Treatment!J126)</f>
        <v>* treatmentDaysMissed 0..1 Quantity ##34#Treatment days missed##34# ##334#Refers to the number of days missed during treatment##334#</v>
      </c>
    </row>
    <row r="127" spans="3:3" ht="29.5">
      <c r="C127" s="12" t="str">
        <f>IF(Treatment!J127="*  ..  ##34###34# ##334###334#","//--- END",Treatment!J127)</f>
        <v>* overallTreatmentTimeOtt 0..1 Quantity ##34#Overall Treatment TimeOTT##34# ##334#Number of days that the radiation treatment took inclusive of  the first and last day Automatic calculated##334#</v>
      </c>
    </row>
    <row r="128" spans="3:3" ht="29.5">
      <c r="C128" s="12" t="str">
        <f>IF(Treatment!J128="*  ..  ##34###34# ##334###334#","//--- END",Treatment!J128)</f>
        <v>* overallTreatmentTimeOttManualInDays 0..1 Quantity ##34#Overall Treatment TimeOTT  manual in days ##34# ##334#Number of days that the radiation treatment took inclusive of  the first and last day##334#</v>
      </c>
    </row>
    <row r="129" spans="3:3" ht="44.25">
      <c r="C129" s="12" t="str">
        <f>IF(Treatment!J129="*  ..  ##34###34# ##334###334#","//--- END",Treatment!J129)</f>
        <v>* treatmentSites 0..1 BackboneElement ##34#Treatment Sites##34# ##334#Refers to the areas that the radiation is targeting This could include the primary tumor  the neck lymph nodes the ipsilateral neck and the primary the bilateral neck and the primary or a distant metastatic lesion##334#</v>
      </c>
    </row>
    <row r="130" spans="3:3">
      <c r="C130" s="12" t="str">
        <f>IF(Treatment!J130="*  ..  ##34###34# ##334###334#","//--- END",Treatment!J130)</f>
        <v>* primary 0..1 BackboneElement ##34#Primary ##34# ##334#Primary ##334#</v>
      </c>
    </row>
    <row r="131" spans="3:3">
      <c r="C131" s="12" t="str">
        <f>IF(Treatment!J131="*  ..  ##34###34# ##334###334#","//--- END",Treatment!J131)</f>
        <v>* neck 0..1 BackboneElement ##34#Neck ##34# ##334#Neck ##334#</v>
      </c>
    </row>
    <row r="132" spans="3:3" ht="29.5">
      <c r="C132" s="12" t="str">
        <f>IF(Treatment!J132="*  ..  ##34###34# ##334###334#","//--- END",Treatment!J132)</f>
        <v>* primaryAndIpsilateralNeck 0..1 BackboneElement ##34#Primary and Ipsilateral Neck##34# ##334#Primary and Ipsilateral Neck##334#</v>
      </c>
    </row>
    <row r="133" spans="3:3" ht="29.5">
      <c r="C133" s="12" t="str">
        <f>IF(Treatment!J133="*  ..  ##34###34# ##334###334#","//--- END",Treatment!J133)</f>
        <v>* primaryAndBilateralNeck 0..1 BackboneElement ##34#Primary and Bilateral Neck##34# ##334#Primary and Bilateral Neck##334#</v>
      </c>
    </row>
    <row r="134" spans="3:3">
      <c r="C134" s="12" t="str">
        <f>IF(Treatment!J134="*  ..  ##34###34# ##334###334#","//--- END",Treatment!J134)</f>
        <v>* distantMetastasis 0..1 BackboneElement ##34#Distant Metastasis##34# ##334#Distant Metastasis##334#</v>
      </c>
    </row>
    <row r="135" spans="3:3" ht="29.5">
      <c r="C135" s="12" t="str">
        <f>IF(Treatment!J135="*  ..  ##34###34# ##334###334#","//--- END",Treatment!J135)</f>
        <v>* metastaticTreatmentSites 0..1 BackboneElement ##34#Metastatic Treatment Sites##34# ##334#Designates which treatment sites were irradiated Lung Vs Mediastinum Vs Bone Vs soft tissue vs liver Vs other##334#</v>
      </c>
    </row>
    <row r="136" spans="3:3" ht="59">
      <c r="C136" s="12" t="str">
        <f>IF(Treatment!J136="*  ..  ##34###34# ##334###334#","//--- END",Treatment!J136)</f>
        <v>* lung
 0..1 BackboneElement ##34#Lung
##34# ##334#Lung
##334#</v>
      </c>
    </row>
    <row r="137" spans="3:3" ht="59">
      <c r="C137" s="12" t="str">
        <f>IF(Treatment!J137="*  ..  ##34###34# ##334###334#","//--- END",Treatment!J137)</f>
        <v>* mediastinum
 0..1 BackboneElement ##34#Mediastinum
##34# ##334#Mediastinum
##334#</v>
      </c>
    </row>
    <row r="138" spans="3:3" ht="59">
      <c r="C138" s="12" t="str">
        <f>IF(Treatment!J138="*  ..  ##34###34# ##334###334#","//--- END",Treatment!J138)</f>
        <v>* bone
 0..1 BackboneElement ##34#Bone
##34# ##334#Bone
##334#</v>
      </c>
    </row>
    <row r="139" spans="3:3" ht="59">
      <c r="C139" s="12" t="str">
        <f>IF(Treatment!J139="*  ..  ##34###34# ##334###334#","//--- END",Treatment!J139)</f>
        <v>* softTissue
 0..1 BackboneElement ##34#Soft Tissue
##34# ##334#Soft Tissue
##334#</v>
      </c>
    </row>
    <row r="140" spans="3:3" ht="59">
      <c r="C140" s="12" t="str">
        <f>IF(Treatment!J140="*  ..  ##34###34# ##334###334#","//--- END",Treatment!J140)</f>
        <v>* liver
 0..1 BackboneElement ##34#Liver
##34# ##334#Liver
##334#</v>
      </c>
    </row>
    <row r="141" spans="3:3">
      <c r="C141" s="12" t="str">
        <f>IF(Treatment!J141="*  ..  ##34###34# ##334###334#","//--- END",Treatment!J141)</f>
        <v>* unknown 0..1 BackboneElement ##34#Unknown##34# ##334#Unknown##334#</v>
      </c>
    </row>
    <row r="142" spans="3:3">
      <c r="C142" s="12" t="str">
        <f>IF(Treatment!J142="*  ..  ##34###34# ##334###334#","//--- END",Treatment!J142)</f>
        <v>* other 0..1 BackboneElement ##34#Other ##34# ##334#Other ##334#</v>
      </c>
    </row>
    <row r="143" spans="3:3">
      <c r="C143" s="12" t="str">
        <f>IF(Treatment!J143="*  ..  ##34###34# ##334###334#","//--- END",Treatment!J143)</f>
        <v>* otherSpecify 0..1 BackboneElement ##34#Other specify##34# ##334#Other specify##334#</v>
      </c>
    </row>
    <row r="144" spans="3:3" ht="44.25">
      <c r="C144" s="12" t="str">
        <f>IF(Treatment!J144="*  ..  ##34###34# ##334###334#","//--- END",Treatment!J144)</f>
        <v>* neckLevelsIrradiatedRight 0..1 string ##34#Neck Levels Irradiated Right##34# ##334#Refers to which neck levels were irradiated during treatment Please use the consensus guideline for nodal level delineation in the N0 neck 2013 update to specify neck levels##334#</v>
      </c>
    </row>
    <row r="145" spans="3:3">
      <c r="C145" s="12" t="str">
        <f>IF(Treatment!J145="*  ..  ##34###34# ##334###334#","//--- END",Treatment!J145)</f>
        <v>* neckLevelsIrradiatedLeft 0..1 string ##34#Neck Levels Irradiated Left##34# ##334#Same as above but for the left neck##334#</v>
      </c>
    </row>
    <row r="146" spans="3:3" ht="29.5">
      <c r="C146" s="12" t="str">
        <f>IF(Treatment!J146="*  ..  ##34###34# ##334###334#","//--- END",Treatment!J146)</f>
        <v>* ctvHighExpansion 0..1 string ##34#CTV High Expansion##34# ##334#Refers to the margin that was used from GTV to CTV for the highest prescription dose##334#</v>
      </c>
    </row>
    <row r="147" spans="3:3" ht="29.5">
      <c r="C147" s="12" t="str">
        <f>IF(Treatment!J147="*  ..  ##34###34# ##334###334#","//--- END",Treatment!J147)</f>
        <v>* ptvHighExpansion 0..1 string ##34#PTV High expansion##34# ##334#Refers to the margin that was used from CTV to PTV##334#</v>
      </c>
    </row>
    <row r="148" spans="3:3">
      <c r="C148" s="12" t="str">
        <f>IF(Treatment!J148="*  ..  ##34###34# ##334###334#","//--- END",Treatment!J148)</f>
        <v>* v60OfSkin 0..1 string ##34#V60 of Skin##34# ##334#Refers to the volume of skin receiving at least 60 Gy##334#</v>
      </c>
    </row>
    <row r="149" spans="3:3" ht="59">
      <c r="C149" s="12" t="str">
        <f>IF(Treatment!J149="*  ..  ##34###34# ##334###334#","//--- END",Treatment!J149)</f>
        <v>* treatmentCompletedAsPlanned 0..1 string ##34#Treatment Completed as Planned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150" spans="3:3" ht="29.5">
      <c r="C150" s="12" t="str">
        <f>IF(Treatment!J150="*  ..  ##34###34# ##334###334#","//--- END",Treatment!J150)</f>
        <v>* hospitalizedDuringRt 0..1 string ##34#Hospitalized during RT##34# ##334#Did the patient has been hospitalized during RT##334#</v>
      </c>
    </row>
    <row r="151" spans="3:3" ht="29.5">
      <c r="C151" s="12" t="str">
        <f>IF(Treatment!J151="*  ..  ##34###34# ##334###334#","//--- END",Treatment!J151)</f>
        <v>* carotidBlowout 0..1 string ##34#Carotid Blowout ##34# ##334#Did the patient develop a carotid blow out during or after radiation##334#</v>
      </c>
    </row>
    <row r="152" spans="3:3">
      <c r="C152" s="12" t="str">
        <f>IF(Treatment!J152="*  ..  ##34###34# ##334###334#","//--- END",Treatment!J152)</f>
        <v>* feedingTubeDuringRt 0..1 string ##34#Feeding Tube during RT##34# ##334#Was a feeding tube required after RT##334#</v>
      </c>
    </row>
    <row r="153" spans="3:3" ht="29.5">
      <c r="C153" s="12" t="str">
        <f>IF(Treatment!J153="*  ..  ##34###34# ##334###334#","//--- END",Treatment!J153)</f>
        <v>* feedingTubeReason 0..1 string ##34#Feeding Tube reason##34# ##334#Was the feeding tube placed only prophylactically or reactively due to significant weight loss during treatment##334#</v>
      </c>
    </row>
    <row r="154" spans="3:3">
      <c r="C154" s="12" t="str">
        <f>IF(Treatment!J154="*  ..  ##34###34# ##334###334#","//--- END",Treatment!J154)</f>
        <v>* smokingDuringRt 0..1 string ##34#Smoking during RT##34# ##334#Did the patient smoke cigarettes during radiation##334#</v>
      </c>
    </row>
    <row r="155" spans="3:3">
      <c r="C155" s="12" t="str">
        <f>IF(Treatment!J155="*  ..  ##34###34# ##334###334#","//--- END",Treatment!J155)</f>
        <v>* alcoholDuringRt 0..1 string ##34#Alcohol during RT##34# ##334#Did the patient drink alcohol during radiation##334#</v>
      </c>
    </row>
    <row r="156" spans="3:3">
      <c r="C156" s="12" t="str">
        <f>IF(Treatment!J156="*  ..  ##34###34# ##334###334#","//--- END",Treatment!J156)</f>
        <v>* otherTypeOfTreatment 0..1 BackboneElement ##34#Other type of treatment##34# ##334#Other type of treatment##334#</v>
      </c>
    </row>
    <row r="157" spans="3:3" ht="29.5">
      <c r="C157" s="12" t="str">
        <f>IF(Treatment!J157="*  ..  ##34###34# ##334###334#","//--- END",Treatment!J157)</f>
        <v>* otherTreatmentPerformed 0..1 BackboneElement ##34#Other treatment performed##34# ##334#Other treatment performed##334#</v>
      </c>
    </row>
    <row r="158" spans="3:3">
      <c r="C158" s="12" t="str">
        <f>IF(Treatment!J158="*  ..  ##34###34# ##334###334#","//--- END",Treatment!J158)</f>
        <v>* dateOfStart 0..1 BackboneElement ##34#Date of start other treatment ##34# ##334#Date of start other treatment ##334#</v>
      </c>
    </row>
    <row r="159" spans="3:3" ht="29.5">
      <c r="C159" s="12" t="str">
        <f>IF(Treatment!J159="*  ..  ##34###34# ##334###334#","//--- END",Treatment!J159)</f>
        <v>* dateOfOtherTreatmentDayUnknown 0..1 BackboneElement ##34#Date of other treatment day unknown##34# ##334#Date of other treatment day unknown##334#</v>
      </c>
    </row>
    <row r="160" spans="3:3">
      <c r="C160" s="12" t="str">
        <f>IF(Treatment!J160="*  ..  ##34###34# ##334###334#","//--- END",Treatment!J160)</f>
        <v>* dateOfEnd 0..1 BackboneElement ##34#Date of end other treatment ##34# ##334#Date of end other treatment ##334#</v>
      </c>
    </row>
    <row r="161" spans="3:3" ht="29.5">
      <c r="C161" s="12" t="str">
        <f>IF(Treatment!J161="*  ..  ##34###34# ##334###334#","//--- END",Treatment!J161)</f>
        <v>* dateOfEndOtherTreatmentDayUnknown 0..1 BackboneElement ##34#Date of end other treatment day unknown##34# ##334#Date of end other treatment day unknown##334#</v>
      </c>
    </row>
    <row r="162" spans="3:3">
      <c r="C162" s="12" t="str">
        <f>IF(Treatment!J162="*  ..  ##34###34# ##334###334#","//--- END",Treatment!J162)</f>
        <v>* type 0..1 BackboneElement ##34#Type##34# ##334#Type##334#</v>
      </c>
    </row>
    <row r="163" spans="3:3" ht="29.5">
      <c r="C163" s="12" t="str">
        <f>IF(Treatment!J163="*  ..  ##34###34# ##334###334#","//--- END",Treatment!J163)</f>
        <v>* treatmentCompleted 0..1 BackboneElement ##34#Treatment Completed as Planned ##34# ##334#Treatment Completed as Planned ##334#</v>
      </c>
    </row>
    <row r="164" spans="3:3" ht="29.5">
      <c r="C164" s="12" t="str">
        <f>IF(Treatment!J164="*  ..  ##34###34# ##334###334#","//--- END",Treatment!J164)</f>
        <v>* overallTreatmentResponse 0..1 BackboneElement ##34#Overall treatment response##34# ##334#Overall treatment response##334#</v>
      </c>
    </row>
    <row r="165" spans="3:3" ht="44.25">
      <c r="C165" s="12" t="str">
        <f>IF(Treatment!J165="*  ..  ##34###34# ##334###334#","//--- END",Treatment!J165)</f>
        <v>* treatmentResponseBasedOnImagingAloneNoRecistOrOtherCriteria-2 0..1 BackboneElement ##34#Treatment response based on imaging alone no recist or other criteria##34# ##334#Treatment response based on imaging alone no recist or other criteria##334#</v>
      </c>
    </row>
    <row r="166" spans="3:3" ht="29.5">
      <c r="C166" s="12" t="str">
        <f>IF(Treatment!J166="*  ..  ##34###34# ##334###334#","//--- END",Treatment!J166)</f>
        <v>* treatmentResponseDefineddone 0..1 BackboneElement ##34#Treatment response defineddone##34# ##334#Treatment response defineddone##334#</v>
      </c>
    </row>
    <row r="167" spans="3:3" ht="29.5">
      <c r="C167" s="12" t="str">
        <f>IF(Treatment!J167="*  ..  ##34###34# ##334###334#","//--- END",Treatment!J167)</f>
        <v>* patientIncludedInClinicalTrial 0..1 BackboneElement ##34#PATIENT INCLUDED IN CLINICAL TRIAL ##34# ##334#PATIENT INCLUDED IN CLINICAL TRIAL ##334#</v>
      </c>
    </row>
    <row r="168" spans="3:3" ht="29.5">
      <c r="C168" s="12" t="str">
        <f>IF(Treatment!J168="*  ..  ##34###34# ##334###334#","//--- END",Treatment!J168)</f>
        <v>* patientIncludedInAClinicalTrial 0..1 BackboneElement ##34#Patient included in a clinical trial##34# ##334#Patient included in a clinical trial##334#</v>
      </c>
    </row>
    <row r="169" spans="3:3">
      <c r="C169" s="12" t="str">
        <f>IF(Treatment!J169="*  ..  ##34###34# ##334###334#","//--- END",Treatment!J169)</f>
        <v>* clinicalTrialCode 0..1 BackboneElement ##34#Clinical trial code##34# ##334#Clinical trial code##334#</v>
      </c>
    </row>
    <row r="170" spans="3:3">
      <c r="C170" s="12" t="str">
        <f>IF(Treatment!J170="*  ..  ##34###34# ##334###334#","//--- END",Treatment!J170)</f>
        <v>* instrumentStatus 0..1 BackboneElement ##34#Instrument status##34# ##334#Instrument status##334#</v>
      </c>
    </row>
    <row r="171" spans="3:3">
      <c r="C171" s="12" t="str">
        <f>IF(Treatment!J171="*  ..  ##34###34# ##334###334#","//--- END",Treatment!J171)</f>
        <v>//--- END</v>
      </c>
    </row>
    <row r="172" spans="3:3">
      <c r="C172" s="12" t="str">
        <f>IF(Treatment!J172="*  ..  ##34###34# ##334###334#","//--- END",Treatment!J172)</f>
        <v>//--- END</v>
      </c>
    </row>
    <row r="173" spans="3:3">
      <c r="C173" s="12" t="str">
        <f>IF(Treatment!J173="*  ..  ##34###34# ##334###334#","//--- END",Treatment!J173)</f>
        <v>//--- END</v>
      </c>
    </row>
    <row r="174" spans="3:3">
      <c r="C174" s="12" t="str">
        <f>IF(Treatment!J174="*  ..  ##34###34# ##334###334#","//--- END",Treatment!J174)</f>
        <v>//--- END</v>
      </c>
    </row>
    <row r="175" spans="3:3">
      <c r="C175" s="12" t="str">
        <f>IF(Treatment!J175="*  ..  ##34###34# ##334###334#","//--- END",Treatment!J175)</f>
        <v>//--- END</v>
      </c>
    </row>
    <row r="176" spans="3:3">
      <c r="C176" s="12" t="str">
        <f>IF(Treatment!J176="*  ..  ##34###34# ##334###334#","//--- END",Treatment!J176)</f>
        <v>//--- END</v>
      </c>
    </row>
    <row r="177" spans="3:3">
      <c r="C177" s="12" t="str">
        <f>IF(Treatment!J177="*  ..  ##34###34# ##334###334#","//--- END",Treatment!J177)</f>
        <v>//--- END</v>
      </c>
    </row>
    <row r="187" spans="3:3">
      <c r="C187" s="24" t="s">
        <v>1644</v>
      </c>
    </row>
    <row r="188" spans="3:3">
      <c r="C188" s="25" t="s">
        <v>1943</v>
      </c>
    </row>
    <row r="189" spans="3:3">
      <c r="C189" s="25" t="s">
        <v>1644</v>
      </c>
    </row>
    <row r="190" spans="3:3">
      <c r="C190" s="12" t="str">
        <f>IF(Treatment!L8="*  ..  ##34###34# ##334###334#","//--- END",Treatment!L8)</f>
        <v/>
      </c>
    </row>
    <row r="191" spans="3:3">
      <c r="C191" s="12" t="str">
        <f>IF(Treatment!L9="*  ..  ##34###34# ##334###334#","//--- END",Treatment!L9)</f>
        <v>* surgeryPerformed ^comment = ##334#A string value representing if and where was the surgery performed##334#</v>
      </c>
    </row>
    <row r="192" spans="3:3" ht="44.25">
      <c r="C192" s="12" t="str">
        <f>IF(Treatment!L10="*  ..  ##34###34# ##334###334#","//--- END",Treatment!L10)</f>
        <v>* dateOfTumourSurgery ^comment = ##334#Must be formatted as YYYYMMDD Leave empty if not known Optional rule  Possible date anonymisation by
setting the 15th of every month ie YYYYMM15 If the month is not known we set it to June 06##334#</v>
      </c>
    </row>
    <row r="193" spans="3:3" ht="29.5">
      <c r="C193" s="12" t="str">
        <f>IF(Treatment!L11="*  ..  ##34###34# ##334###334#","//--- END",Treatment!L11)</f>
        <v>* surgeryIntention ^comment = ##334#A string value whether the surgery was performed with palliative or curative intentions of it was unknown##334#</v>
      </c>
    </row>
    <row r="194" spans="3:3">
      <c r="C194" s="12" t="str">
        <f>IF(Treatment!L12="*  ..  ##34###34# ##334###334#","//--- END",Treatment!L12)</f>
        <v>* tumorSurgeryApproach ^comment = ##334#A string value to describe the used approach##334#</v>
      </c>
    </row>
    <row r="195" spans="3:3">
      <c r="C195" s="12" t="str">
        <f>IF(Treatment!L13="*  ..  ##34###34# ##334###334#","//--- END",Treatment!L13)</f>
        <v>* tumorSurgeryDevice ^comment = ##334#A string value to specify the used device##334#</v>
      </c>
    </row>
    <row r="196" spans="3:3">
      <c r="C196" s="12" t="str">
        <f>IF(Treatment!L14="*  ..  ##34###34# ##334###334#","//--- END",Treatment!L14)</f>
        <v/>
      </c>
    </row>
    <row r="197" spans="3:3" ht="29.5">
      <c r="C197" s="12" t="str">
        <f>IF(Treatment!L15="*  ..  ##34###34# ##334###334#","//--- END",Treatment!L15)</f>
        <v>* surgicalProcedure.surgicalProcedureNasopharynx ^comment = ##334#A string value to specify the used procedure for the nasopharynx tumour##334#</v>
      </c>
    </row>
    <row r="198" spans="3:3" ht="29.5">
      <c r="C198" s="12" t="str">
        <f>IF(Treatment!L16="*  ..  ##34###34# ##334###334#","//--- END",Treatment!L16)</f>
        <v>* surgicalProcedure.surgicalProcedureNasalCavityAndParanasalSinus ^comment = ##334#A string value to specify the procedure for the nasal cavity and paranasal sinus tumour##334#</v>
      </c>
    </row>
    <row r="199" spans="3:3" ht="29.5">
      <c r="C199" s="12" t="str">
        <f>IF(Treatment!L17="*  ..  ##34###34# ##334###334#","//--- END",Treatment!L17)</f>
        <v>* surgicalProcedure.surgicalProcedureSalivaryGland ^comment = ##334#A string value to specify the procedure for the salivary glands tumour##334#</v>
      </c>
    </row>
    <row r="200" spans="3:3">
      <c r="C200" s="12" t="str">
        <f>IF(Treatment!L18="*  ..  ##34###34# ##334###334#","//--- END",Treatment!L18)</f>
        <v>* surgicalProcedure.surgicalProcedureEar ^comment = ##334#A string value to specify the procedure for the ear##334#</v>
      </c>
    </row>
    <row r="201" spans="3:3">
      <c r="C201" s="12" t="str">
        <f>IF(Treatment!L19="*  ..  ##34###34# ##334###334#","//--- END",Treatment!L19)</f>
        <v>* surgicalProcedure.surgicalProcedureLip ^comment = ##334#A string value to specify the procedure for the lip tumour##334#</v>
      </c>
    </row>
    <row r="202" spans="3:3" ht="29.5">
      <c r="C202" s="12" t="str">
        <f>IF(Treatment!L20="*  ..  ##34###34# ##334###334#","//--- END",Treatment!L20)</f>
        <v>* surgicalProcedure.surgicalProcedureOralCavity ^comment = ##334#A string value to specify the procedure for the oral cavity tumour##334#</v>
      </c>
    </row>
    <row r="203" spans="3:3" ht="29.5">
      <c r="C203" s="12" t="str">
        <f>IF(Treatment!L21="*  ..  ##34###34# ##334###334#","//--- END",Treatment!L21)</f>
        <v>* surgicalProcedure.surgicalProcedureMandibulectomy ^comment = ##334#A string value to specify the procedure for the mandibule tumour##334#</v>
      </c>
    </row>
    <row r="204" spans="3:3" ht="29.5">
      <c r="C204" s="12" t="str">
        <f>IF(Treatment!L22="*  ..  ##34###34# ##334###334#","//--- END",Treatment!L22)</f>
        <v>* surgicalProcedure.surgicalProcedureOropharynx ^comment = ##334#A string value to specify the procedure for the oropharynx tumour##334#</v>
      </c>
    </row>
    <row r="205" spans="3:3" ht="29.5">
      <c r="C205" s="12" t="str">
        <f>IF(Treatment!L23="*  ..  ##34###34# ##334###334#","//--- END",Treatment!L23)</f>
        <v>* surgicalProcedure.surgicalProcedureHypopharynx ^comment = ##334#A string value to specify the procedure for the hypopharynx tumour##334#</v>
      </c>
    </row>
    <row r="206" spans="3:3" ht="29.5">
      <c r="C206" s="12" t="str">
        <f>IF(Treatment!L24="*  ..  ##34###34# ##334###334#","//--- END",Treatment!L24)</f>
        <v>* surgicalProcedure.surgicalProcedureLarynx ^comment = ##334#A string value to specify the procedure for the larynx tumour##334#</v>
      </c>
    </row>
    <row r="207" spans="3:3">
      <c r="C207" s="12" t="str">
        <f>IF(Treatment!L25="*  ..  ##34###34# ##334###334#","//--- END",Treatment!L25)</f>
        <v/>
      </c>
    </row>
    <row r="208" spans="3:3">
      <c r="C208" s="12" t="str">
        <f>IF(Treatment!L26="*  ..  ##34###34# ##334###334#","//--- END",Treatment!L26)</f>
        <v>* reconstruction.flag ^comment = ##334#A string value to specify whether a reconstruction procedure was performed##334#</v>
      </c>
    </row>
    <row r="209" spans="3:3" ht="29.5">
      <c r="C209" s="12" t="str">
        <f>IF(Treatment!L27="*  ..  ##34###34# ##334###334#","//--- END",Treatment!L27)</f>
        <v>* reconstruction.reconstructionType ^comment = ##334#A string value to describe the type of graft or flap used for the reconstruction##334#</v>
      </c>
    </row>
    <row r="210" spans="3:3" ht="29.5">
      <c r="C210" s="12" t="str">
        <f>IF(Treatment!L28="*  ..  ##34###34# ##334###334#","//--- END",Treatment!L28)</f>
        <v>* reconstruction.firstFlapUsedForReconstruction ^comment = ##334#A string value to describe the first and only if so flap used for reconstruction##334#</v>
      </c>
    </row>
    <row r="211" spans="3:3" ht="29.5">
      <c r="C211" s="12" t="str">
        <f>IF(Treatment!L29="*  ..  ##34###34# ##334###334#","//--- END",Treatment!L29)</f>
        <v>* reconstruction.secondFlapUsedForReconstruction ^comment = ##334#A string value to describe the second flap used for reconstruction##334#</v>
      </c>
    </row>
    <row r="212" spans="3:3">
      <c r="C212" s="12" t="str">
        <f>IF(Treatment!L30="*  ..  ##34###34# ##334###334#","//--- END",Treatment!L30)</f>
        <v>* neckSurgery ^comment = ##334#A string value to describe whether a surgical procedure for the neck was performed##334#</v>
      </c>
    </row>
    <row r="213" spans="3:3" ht="29.5">
      <c r="C213" s="12" t="str">
        <f>IF(Treatment!L31="*  ..  ##34###34# ##334###334#","//--- END",Treatment!L31)</f>
        <v>* dateOfNeckSurgeryIfDifferentFromDateOfTumorSiteSurgery ^comment = ##334#Date of the surgery for the neck when it was performed after tumor resection ##334#</v>
      </c>
    </row>
    <row r="214" spans="3:3">
      <c r="C214" s="12" t="str">
        <f>IF(Treatment!L32="*  ..  ##34###34# ##334###334#","//--- END",Treatment!L32)</f>
        <v/>
      </c>
    </row>
    <row r="215" spans="3:3" ht="29.5">
      <c r="C215" s="12" t="str">
        <f>IF(Treatment!L33="*  ..  ##34###34# ##334###334#","//--- END",Treatment!L33)</f>
        <v>* nodePicking ^comment = ##334#String describing whether a nonprotocoled and nonstandardized resection of more than one lymph node is performed or not##334#</v>
      </c>
    </row>
    <row r="216" spans="3:3" ht="29.5">
      <c r="C216" s="12" t="str">
        <f>IF(Treatment!L34="*  ..  ##34###34# ##334###334#","//--- END",Treatment!L34)</f>
        <v>* neckDissection ^comment = ##334#String describing whether a protocoled and standardized en block resection of lymphatic tissue is performed or not##334#</v>
      </c>
    </row>
    <row r="217" spans="3:3">
      <c r="C217" s="12" t="str">
        <f>IF(Treatment!L35="*  ..  ##34###34# ##334###334#","//--- END",Treatment!L35)</f>
        <v>* lateralityOfTheDissection ^comment = ##334#String describing the laterality of the neck surgical procedure##334#</v>
      </c>
    </row>
    <row r="218" spans="3:3">
      <c r="C218" s="12" t="str">
        <f>IF(Treatment!L36="*  ..  ##34###34# ##334###334#","//--- END",Treatment!L36)</f>
        <v>* surgicalProcedureRightNeck ^comment = ##334#String describing the surgical procedure performed right##334#</v>
      </c>
    </row>
    <row r="219" spans="3:3">
      <c r="C219" s="12" t="str">
        <f>IF(Treatment!L37="*  ..  ##34###34# ##334###334#","//--- END",Treatment!L37)</f>
        <v>* surgicalProcedureRightNeckLevelsDissected ^comment = ##334#String describing the lympathic levels##334#</v>
      </c>
    </row>
    <row r="220" spans="3:3">
      <c r="C220" s="12" t="str">
        <f>IF(Treatment!L38="*  ..  ##34###34# ##334###334#","//--- END",Treatment!L38)</f>
        <v>* surgicalProcedureLeftNeck ^comment = ##334#String describing the surgical procedure performed left##334#</v>
      </c>
    </row>
    <row r="221" spans="3:3">
      <c r="C221" s="12" t="str">
        <f>IF(Treatment!L39="*  ..  ##34###34# ##334###334#","//--- END",Treatment!L39)</f>
        <v>* surgicalProcedureLeftNeckLevelsDissected ^comment = ##334#String describing the lympathic levels##334#</v>
      </c>
    </row>
    <row r="222" spans="3:3">
      <c r="C222" s="12" t="str">
        <f>IF(Treatment!L40="*  ..  ##34###34# ##334###334#","//--- END",Treatment!L40)</f>
        <v>* surgeryOnM ^comment = ##334#A string describing whether the surgery on metastasis was performed or not##334#</v>
      </c>
    </row>
    <row r="223" spans="3:3">
      <c r="C223" s="12" t="str">
        <f>IF(Treatment!L41="*  ..  ##34###34# ##334###334#","//--- END",Treatment!L41)</f>
        <v/>
      </c>
    </row>
    <row r="224" spans="3:3">
      <c r="C224" s="12" t="str">
        <f>IF(Treatment!L42="*  ..  ##34###34# ##334###334#","//--- END",Treatment!L42)</f>
        <v/>
      </c>
    </row>
    <row r="225" spans="3:3">
      <c r="C225" s="12" t="str">
        <f>IF(Treatment!L43="*  ..  ##34###34# ##334###334#","//--- END",Treatment!L43)</f>
        <v/>
      </c>
    </row>
    <row r="226" spans="3:3">
      <c r="C226" s="12" t="str">
        <f>IF(Treatment!L44="*  ..  ##34###34# ##334###334#","//--- END",Treatment!L44)</f>
        <v/>
      </c>
    </row>
    <row r="227" spans="3:3">
      <c r="C227" s="12" t="str">
        <f>IF(Treatment!L45="*  ..  ##34###34# ##334###334#","//--- END",Treatment!L45)</f>
        <v/>
      </c>
    </row>
    <row r="228" spans="3:3">
      <c r="C228" s="12" t="str">
        <f>IF(Treatment!L46="*  ..  ##34###34# ##334###334#","//--- END",Treatment!L46)</f>
        <v/>
      </c>
    </row>
    <row r="229" spans="3:3">
      <c r="C229" s="12" t="str">
        <f>IF(Treatment!L47="*  ..  ##34###34# ##334###334#","//--- END",Treatment!L47)</f>
        <v/>
      </c>
    </row>
    <row r="230" spans="3:3">
      <c r="C230" s="12" t="str">
        <f>IF(Treatment!L48="*  ..  ##34###34# ##334###334#","//--- END",Treatment!L48)</f>
        <v/>
      </c>
    </row>
    <row r="231" spans="3:3">
      <c r="C231" s="12" t="str">
        <f>IF(Treatment!L49="*  ..  ##34###34# ##334###334#","//--- END",Treatment!L49)</f>
        <v/>
      </c>
    </row>
    <row r="232" spans="3:3">
      <c r="C232" s="12" t="str">
        <f>IF(Treatment!L50="*  ..  ##34###34# ##334###334#","//--- END",Treatment!L50)</f>
        <v/>
      </c>
    </row>
    <row r="233" spans="3:3">
      <c r="C233" s="12" t="str">
        <f>IF(Treatment!L51="*  ..  ##34###34# ##334###334#","//--- END",Treatment!L51)</f>
        <v/>
      </c>
    </row>
    <row r="234" spans="3:3">
      <c r="C234" s="12" t="str">
        <f>IF(Treatment!L52="*  ..  ##34###34# ##334###334#","//--- END",Treatment!L52)</f>
        <v>* dateOfSurgeryOnMIfDifferentFromDateOfTumorSiteSurgery ^comment = ##334#A date##334#</v>
      </c>
    </row>
    <row r="235" spans="3:3" ht="29.5">
      <c r="C235" s="12" t="str">
        <f>IF(Treatment!L53="*  ..  ##34###34# ##334###334#","//--- END",Treatment!L53)</f>
        <v>* surgicalWorstComplications ^comment = ##334#A string describing the presence and grade of complications after a surgical procedure Rank1##334#</v>
      </c>
    </row>
    <row r="236" spans="3:3" ht="29.5">
      <c r="C236" s="12" t="str">
        <f>IF(Treatment!L54="*  ..  ##34###34# ##334###334#","//--- END",Treatment!L54)</f>
        <v>* surgical2ndWorstComplications ^comment = ##334#A string describing the presence and grade of complications after a surgical procedure Rank2##334#</v>
      </c>
    </row>
    <row r="237" spans="3:3" ht="29.5">
      <c r="C237" s="12" t="str">
        <f>IF(Treatment!L55="*  ..  ##34###34# ##334###334#","//--- END",Treatment!L55)</f>
        <v>* unplannedSurgery ^comment = ##334#A  string describing whether an unplanned surgery was performed with radical intention after the first one that was not completed  inappropriate ##334#</v>
      </c>
    </row>
    <row r="238" spans="3:3">
      <c r="C238" s="12" t="str">
        <f>IF(Treatment!L56="*  ..  ##34###34# ##334###334#","//--- END",Treatment!L56)</f>
        <v>* dateOfUnplannedSurgery ^comment = ##334#A date##334#</v>
      </c>
    </row>
    <row r="239" spans="3:3">
      <c r="C239" s="12" t="str">
        <f>IF(Treatment!L57="*  ..  ##34###34# ##334###334#","//--- END",Treatment!L57)</f>
        <v>* marginsAfterUnplannedSurgery ^comment = ##334#A  string describing the surgery margins after unplanned##334#</v>
      </c>
    </row>
    <row r="240" spans="3:3" ht="29.5">
      <c r="C240" s="12" t="str">
        <f>IF(Treatment!L58="*  ..  ##34###34# ##334###334#","//--- END",Treatment!L58)</f>
        <v>* unplannedNeckSurgery ^comment = ##334#A string describing whether an unplanned surgical procedure to treat and address the neck was performed or not ##334#</v>
      </c>
    </row>
    <row r="241" spans="3:3">
      <c r="C241" s="12" t="str">
        <f>IF(Treatment!L59="*  ..  ##34###34# ##334###334#","//--- END",Treatment!L59)</f>
        <v/>
      </c>
    </row>
    <row r="242" spans="3:3">
      <c r="C242" s="12" t="str">
        <f>IF(Treatment!L60="*  ..  ##34###34# ##334###334#","//--- END",Treatment!L60)</f>
        <v/>
      </c>
    </row>
    <row r="243" spans="3:3">
      <c r="C243" s="12" t="str">
        <f>IF(Treatment!L61="*  ..  ##34###34# ##334###334#","//--- END",Treatment!L61)</f>
        <v/>
      </c>
    </row>
    <row r="244" spans="3:3">
      <c r="C244" s="12" t="str">
        <f>IF(Treatment!L62="*  ..  ##34###34# ##334###334#","//--- END",Treatment!L62)</f>
        <v/>
      </c>
    </row>
    <row r="245" spans="3:3">
      <c r="C245" s="12" t="str">
        <f>IF(Treatment!L63="*  ..  ##34###34# ##334###334#","//--- END",Treatment!L63)</f>
        <v/>
      </c>
    </row>
    <row r="246" spans="3:3">
      <c r="C246" s="12" t="str">
        <f>IF(Treatment!L64="*  ..  ##34###34# ##334###334#","//--- END",Treatment!L64)</f>
        <v/>
      </c>
    </row>
    <row r="247" spans="3:3">
      <c r="C247" s="12" t="str">
        <f>IF(Treatment!L65="*  ..  ##34###34# ##334###334#","//--- END",Treatment!L65)</f>
        <v/>
      </c>
    </row>
    <row r="248" spans="3:3">
      <c r="C248" s="12" t="str">
        <f>IF(Treatment!L66="*  ..  ##34###34# ##334###334#","//--- END",Treatment!L66)</f>
        <v/>
      </c>
    </row>
    <row r="249" spans="3:3">
      <c r="C249" s="12" t="str">
        <f>IF(Treatment!L67="*  ..  ##34###34# ##334###334#","//--- END",Treatment!L67)</f>
        <v/>
      </c>
    </row>
    <row r="250" spans="3:3">
      <c r="C250" s="12" t="str">
        <f>IF(Treatment!L68="*  ..  ##34###34# ##334###334#","//--- END",Treatment!L68)</f>
        <v/>
      </c>
    </row>
    <row r="251" spans="3:3">
      <c r="C251" s="12" t="str">
        <f>IF(Treatment!L69="*  ..  ##34###34# ##334###334#","//--- END",Treatment!L69)</f>
        <v/>
      </c>
    </row>
    <row r="252" spans="3:3">
      <c r="C252" s="12" t="str">
        <f>IF(Treatment!L70="*  ..  ##34###34# ##334###334#","//--- END",Treatment!L70)</f>
        <v/>
      </c>
    </row>
    <row r="253" spans="3:3">
      <c r="C253" s="12" t="str">
        <f>IF(Treatment!L71="*  ..  ##34###34# ##334###334#","//--- END",Treatment!L71)</f>
        <v/>
      </c>
    </row>
    <row r="254" spans="3:3">
      <c r="C254" s="12" t="str">
        <f>IF(Treatment!L72="*  ..  ##34###34# ##334###334#","//--- END",Treatment!L72)</f>
        <v/>
      </c>
    </row>
    <row r="255" spans="3:3">
      <c r="C255" s="12" t="str">
        <f>IF(Treatment!L73="*  ..  ##34###34# ##334###334#","//--- END",Treatment!L73)</f>
        <v/>
      </c>
    </row>
    <row r="256" spans="3:3">
      <c r="C256" s="12" t="str">
        <f>IF(Treatment!L74="*  ..  ##34###34# ##334###334#","//--- END",Treatment!L74)</f>
        <v/>
      </c>
    </row>
    <row r="257" spans="3:3">
      <c r="C257" s="12" t="str">
        <f>IF(Treatment!L75="*  ..  ##34###34# ##334###334#","//--- END",Treatment!L75)</f>
        <v/>
      </c>
    </row>
    <row r="258" spans="3:3">
      <c r="C258" s="12" t="str">
        <f>IF(Treatment!L76="*  ..  ##34###34# ##334###334#","//--- END",Treatment!L76)</f>
        <v/>
      </c>
    </row>
    <row r="259" spans="3:3">
      <c r="C259" s="12" t="str">
        <f>IF(Treatment!L77="*  ..  ##34###34# ##334###334#","//--- END",Treatment!L77)</f>
        <v/>
      </c>
    </row>
    <row r="260" spans="3:3">
      <c r="C260" s="12" t="str">
        <f>IF(Treatment!L78="*  ..  ##34###34# ##334###334#","//--- END",Treatment!L78)</f>
        <v/>
      </c>
    </row>
    <row r="261" spans="3:3">
      <c r="C261" s="12" t="str">
        <f>IF(Treatment!L79="*  ..  ##34###34# ##334###334#","//--- END",Treatment!L79)</f>
        <v/>
      </c>
    </row>
    <row r="262" spans="3:3">
      <c r="C262" s="12" t="str">
        <f>IF(Treatment!L80="*  ..  ##34###34# ##334###334#","//--- END",Treatment!L80)</f>
        <v/>
      </c>
    </row>
    <row r="263" spans="3:3">
      <c r="C263" s="12" t="str">
        <f>IF(Treatment!L81="*  ..  ##34###34# ##334###334#","//--- END",Treatment!L81)</f>
        <v/>
      </c>
    </row>
    <row r="264" spans="3:3">
      <c r="C264" s="12" t="str">
        <f>IF(Treatment!L82="*  ..  ##34###34# ##334###334#","//--- END",Treatment!L82)</f>
        <v/>
      </c>
    </row>
    <row r="265" spans="3:3">
      <c r="C265" s="12" t="str">
        <f>IF(Treatment!L83="*  ..  ##34###34# ##334###334#","//--- END",Treatment!L83)</f>
        <v/>
      </c>
    </row>
    <row r="266" spans="3:3">
      <c r="C266" s="12" t="str">
        <f>IF(Treatment!L84="*  ..  ##34###34# ##334###334#","//--- END",Treatment!L84)</f>
        <v/>
      </c>
    </row>
    <row r="267" spans="3:3">
      <c r="C267" s="12" t="str">
        <f>IF(Treatment!L85="*  ..  ##34###34# ##334###334#","//--- END",Treatment!L85)</f>
        <v/>
      </c>
    </row>
    <row r="268" spans="3:3">
      <c r="C268" s="12" t="str">
        <f>IF(Treatment!L86="*  ..  ##34###34# ##334###334#","//--- END",Treatment!L86)</f>
        <v/>
      </c>
    </row>
    <row r="269" spans="3:3">
      <c r="C269" s="12" t="str">
        <f>IF(Treatment!L87="*  ..  ##34###34# ##334###334#","//--- END",Treatment!L87)</f>
        <v/>
      </c>
    </row>
    <row r="270" spans="3:3">
      <c r="C270" s="12" t="str">
        <f>IF(Treatment!L88="*  ..  ##34###34# ##334###334#","//--- END",Treatment!L88)</f>
        <v/>
      </c>
    </row>
    <row r="271" spans="3:3">
      <c r="C271" s="12" t="str">
        <f>IF(Treatment!L89="*  ..  ##34###34# ##334###334#","//--- END",Treatment!L89)</f>
        <v/>
      </c>
    </row>
    <row r="272" spans="3:3">
      <c r="C272" s="12" t="str">
        <f>IF(Treatment!L90="*  ..  ##34###34# ##334###334#","//--- END",Treatment!L90)</f>
        <v/>
      </c>
    </row>
    <row r="273" spans="3:3">
      <c r="C273" s="12" t="str">
        <f>IF(Treatment!L91="*  ..  ##34###34# ##334###334#","//--- END",Treatment!L91)</f>
        <v/>
      </c>
    </row>
    <row r="274" spans="3:3">
      <c r="C274" s="12" t="str">
        <f>IF(Treatment!L92="*  ..  ##34###34# ##334###334#","//--- END",Treatment!L92)</f>
        <v/>
      </c>
    </row>
    <row r="275" spans="3:3">
      <c r="C275" s="12" t="str">
        <f>IF(Treatment!L93="*  ..  ##34###34# ##334###334#","//--- END",Treatment!L93)</f>
        <v/>
      </c>
    </row>
    <row r="276" spans="3:3">
      <c r="C276" s="12" t="str">
        <f>IF(Treatment!L94="*  ..  ##34###34# ##334###334#","//--- END",Treatment!L94)</f>
        <v/>
      </c>
    </row>
    <row r="277" spans="3:3">
      <c r="C277" s="12" t="str">
        <f>IF(Treatment!L95="*  ..  ##34###34# ##334###334#","//--- END",Treatment!L95)</f>
        <v/>
      </c>
    </row>
    <row r="278" spans="3:3">
      <c r="C278" s="12" t="str">
        <f>IF(Treatment!L96="*  ..  ##34###34# ##334###334#","//--- END",Treatment!L96)</f>
        <v/>
      </c>
    </row>
    <row r="279" spans="3:3">
      <c r="C279" s="12" t="str">
        <f>IF(Treatment!L97="*  ..  ##34###34# ##334###334#","//--- END",Treatment!L97)</f>
        <v/>
      </c>
    </row>
    <row r="280" spans="3:3">
      <c r="C280" s="12" t="str">
        <f>IF(Treatment!L98="*  ..  ##34###34# ##334###334#","//--- END",Treatment!L98)</f>
        <v/>
      </c>
    </row>
    <row r="281" spans="3:3">
      <c r="C281" s="12" t="str">
        <f>IF(Treatment!L99="*  ..  ##34###34# ##334###334#","//--- END",Treatment!L99)</f>
        <v/>
      </c>
    </row>
    <row r="282" spans="3:3">
      <c r="C282" s="12" t="str">
        <f>IF(Treatment!L100="*  ..  ##34###34# ##334###334#","//--- END",Treatment!L100)</f>
        <v/>
      </c>
    </row>
    <row r="283" spans="3:3">
      <c r="C283" s="12" t="str">
        <f>IF(Treatment!L101="*  ..  ##34###34# ##334###334#","//--- END",Treatment!L101)</f>
        <v/>
      </c>
    </row>
    <row r="284" spans="3:3">
      <c r="C284" s="12" t="str">
        <f>IF(Treatment!L102="*  ..  ##34###34# ##334###334#","//--- END",Treatment!L102)</f>
        <v/>
      </c>
    </row>
    <row r="285" spans="3:3">
      <c r="C285" s="12" t="str">
        <f>IF(Treatment!L103="*  ..  ##34###34# ##334###334#","//--- END",Treatment!L103)</f>
        <v/>
      </c>
    </row>
    <row r="286" spans="3:3">
      <c r="C286" s="12" t="str">
        <f>IF(Treatment!L104="*  ..  ##34###34# ##334###334#","//--- END",Treatment!L104)</f>
        <v/>
      </c>
    </row>
    <row r="287" spans="3:3">
      <c r="C287" s="12" t="str">
        <f>IF(Treatment!L105="*  ..  ##34###34# ##334###334#","//--- END",Treatment!L105)</f>
        <v/>
      </c>
    </row>
    <row r="288" spans="3:3">
      <c r="C288" s="12" t="str">
        <f>IF(Treatment!L106="*  ..  ##34###34# ##334###334#","//--- END",Treatment!L106)</f>
        <v/>
      </c>
    </row>
    <row r="289" spans="3:3">
      <c r="C289" s="12" t="str">
        <f>IF(Treatment!L107="*  ..  ##34###34# ##334###334#","//--- END",Treatment!L107)</f>
        <v/>
      </c>
    </row>
    <row r="290" spans="3:3">
      <c r="C290" s="12" t="str">
        <f>IF(Treatment!L108="*  ..  ##34###34# ##334###334#","//--- END",Treatment!L108)</f>
        <v/>
      </c>
    </row>
    <row r="291" spans="3:3">
      <c r="C291" s="12" t="str">
        <f>IF(Treatment!L109="*  ..  ##34###34# ##334###334#","//--- END",Treatment!L109)</f>
        <v/>
      </c>
    </row>
    <row r="292" spans="3:3">
      <c r="C292" s="12" t="str">
        <f>IF(Treatment!L110="*  ..  ##34###34# ##334###334#","//--- END",Treatment!L110)</f>
        <v/>
      </c>
    </row>
    <row r="293" spans="3:3">
      <c r="C293" s="12" t="str">
        <f>IF(Treatment!L111="*  ..  ##34###34# ##334###334#","//--- END",Treatment!L111)</f>
        <v/>
      </c>
    </row>
    <row r="294" spans="3:3">
      <c r="C294" s="12" t="str">
        <f>IF(Treatment!L112="*  ..  ##34###34# ##334###334#","//--- END",Treatment!L112)</f>
        <v/>
      </c>
    </row>
    <row r="295" spans="3:3">
      <c r="C295" s="12" t="str">
        <f>IF(Treatment!L113="*  ..  ##34###34# ##334###334#","//--- END",Treatment!L113)</f>
        <v/>
      </c>
    </row>
    <row r="296" spans="3:3">
      <c r="C296" s="12" t="str">
        <f>IF(Treatment!L114="*  ..  ##34###34# ##334###334#","//--- END",Treatment!L114)</f>
        <v/>
      </c>
    </row>
    <row r="297" spans="3:3">
      <c r="C297" s="12" t="str">
        <f>IF(Treatment!L115="*  ..  ##34###34# ##334###334#","//--- END",Treatment!L115)</f>
        <v/>
      </c>
    </row>
    <row r="298" spans="3:3">
      <c r="C298" s="12" t="str">
        <f>IF(Treatment!L116="*  ..  ##34###34# ##334###334#","//--- END",Treatment!L116)</f>
        <v/>
      </c>
    </row>
    <row r="299" spans="3:3">
      <c r="C299" s="12" t="str">
        <f>IF(Treatment!L117="*  ..  ##34###34# ##334###334#","//--- END",Treatment!L117)</f>
        <v/>
      </c>
    </row>
    <row r="300" spans="3:3">
      <c r="C300" s="12" t="str">
        <f>IF(Treatment!L118="*  ..  ##34###34# ##334###334#","//--- END",Treatment!L118)</f>
        <v/>
      </c>
    </row>
    <row r="301" spans="3:3">
      <c r="C301" s="12" t="str">
        <f>IF(Treatment!L119="*  ..  ##34###34# ##334###334#","//--- END",Treatment!L119)</f>
        <v/>
      </c>
    </row>
    <row r="302" spans="3:3">
      <c r="C302" s="12" t="str">
        <f>IF(Treatment!L120="*  ..  ##34###34# ##334###334#","//--- END",Treatment!L120)</f>
        <v/>
      </c>
    </row>
    <row r="303" spans="3:3">
      <c r="C303" s="12" t="str">
        <f>IF(Treatment!L121="*  ..  ##34###34# ##334###334#","//--- END",Treatment!L121)</f>
        <v/>
      </c>
    </row>
    <row r="304" spans="3:3">
      <c r="C304" s="12" t="str">
        <f>IF(Treatment!L122="*  ..  ##34###34# ##334###334#","//--- END",Treatment!L122)</f>
        <v/>
      </c>
    </row>
    <row r="305" spans="3:3">
      <c r="C305" s="12" t="str">
        <f>IF(Treatment!L123="*  ..  ##34###34# ##334###334#","//--- END",Treatment!L123)</f>
        <v/>
      </c>
    </row>
    <row r="306" spans="3:3">
      <c r="C306" s="12" t="str">
        <f>IF(Treatment!L124="*  ..  ##34###34# ##334###334#","//--- END",Treatment!L124)</f>
        <v/>
      </c>
    </row>
    <row r="307" spans="3:3">
      <c r="C307" s="12" t="str">
        <f>IF(Treatment!L125="*  ..  ##34###34# ##334###334#","//--- END",Treatment!L125)</f>
        <v/>
      </c>
    </row>
    <row r="308" spans="3:3">
      <c r="C308" s="12" t="str">
        <f>IF(Treatment!L126="*  ..  ##34###34# ##334###334#","//--- END",Treatment!L126)</f>
        <v/>
      </c>
    </row>
    <row r="309" spans="3:3">
      <c r="C309" s="12" t="str">
        <f>IF(Treatment!L127="*  ..  ##34###34# ##334###334#","//--- END",Treatment!L127)</f>
        <v/>
      </c>
    </row>
    <row r="310" spans="3:3">
      <c r="C310" s="12" t="str">
        <f>IF(Treatment!L128="*  ..  ##34###34# ##334###334#","//--- END",Treatment!L128)</f>
        <v/>
      </c>
    </row>
    <row r="311" spans="3:3">
      <c r="C311" s="12" t="str">
        <f>IF(Treatment!L129="*  ..  ##34###34# ##334###334#","//--- END",Treatment!L129)</f>
        <v/>
      </c>
    </row>
    <row r="312" spans="3:3">
      <c r="C312" s="12" t="str">
        <f>IF(Treatment!L130="*  ..  ##34###34# ##334###334#","//--- END",Treatment!L130)</f>
        <v/>
      </c>
    </row>
    <row r="313" spans="3:3">
      <c r="C313" s="12" t="str">
        <f>IF(Treatment!L131="*  ..  ##34###34# ##334###334#","//--- END",Treatment!L131)</f>
        <v/>
      </c>
    </row>
    <row r="314" spans="3:3">
      <c r="C314" s="12" t="str">
        <f>IF(Treatment!L132="*  ..  ##34###34# ##334###334#","//--- END",Treatment!L132)</f>
        <v/>
      </c>
    </row>
    <row r="315" spans="3:3">
      <c r="C315" s="12" t="str">
        <f>IF(Treatment!L133="*  ..  ##34###34# ##334###334#","//--- END",Treatment!L133)</f>
        <v/>
      </c>
    </row>
    <row r="316" spans="3:3">
      <c r="C316" s="12" t="str">
        <f>IF(Treatment!L134="*  ..  ##34###34# ##334###334#","//--- END",Treatment!L134)</f>
        <v/>
      </c>
    </row>
    <row r="317" spans="3:3">
      <c r="C317" s="12" t="str">
        <f>IF(Treatment!L135="*  ..  ##34###34# ##334###334#","//--- END",Treatment!L135)</f>
        <v/>
      </c>
    </row>
    <row r="318" spans="3:3">
      <c r="C318" s="12" t="str">
        <f>IF(Treatment!L136="*  ..  ##34###34# ##334###334#","//--- END",Treatment!L136)</f>
        <v/>
      </c>
    </row>
    <row r="319" spans="3:3">
      <c r="C319" s="12" t="str">
        <f>IF(Treatment!L137="*  ..  ##34###34# ##334###334#","//--- END",Treatment!L137)</f>
        <v/>
      </c>
    </row>
    <row r="320" spans="3:3">
      <c r="C320" s="12" t="str">
        <f>IF(Treatment!L138="*  ..  ##34###34# ##334###334#","//--- END",Treatment!L138)</f>
        <v/>
      </c>
    </row>
    <row r="321" spans="3:3">
      <c r="C321" s="12" t="str">
        <f>IF(Treatment!L139="*  ..  ##34###34# ##334###334#","//--- END",Treatment!L139)</f>
        <v/>
      </c>
    </row>
    <row r="322" spans="3:3">
      <c r="C322" s="12" t="str">
        <f>IF(Treatment!L140="*  ..  ##34###34# ##334###334#","//--- END",Treatment!L140)</f>
        <v/>
      </c>
    </row>
    <row r="323" spans="3:3">
      <c r="C323" s="12" t="str">
        <f>IF(Treatment!L141="*  ..  ##34###34# ##334###334#","//--- END",Treatment!L141)</f>
        <v/>
      </c>
    </row>
    <row r="324" spans="3:3">
      <c r="C324" s="12" t="str">
        <f>IF(Treatment!L142="*  ..  ##34###34# ##334###334#","//--- END",Treatment!L142)</f>
        <v/>
      </c>
    </row>
    <row r="325" spans="3:3">
      <c r="C325" s="12" t="str">
        <f>IF(Treatment!L143="*  ..  ##34###34# ##334###334#","//--- END",Treatment!L143)</f>
        <v/>
      </c>
    </row>
    <row r="326" spans="3:3">
      <c r="C326" s="12" t="str">
        <f>IF(Treatment!L144="*  ..  ##34###34# ##334###334#","//--- END",Treatment!L144)</f>
        <v/>
      </c>
    </row>
    <row r="327" spans="3:3">
      <c r="C327" s="12" t="str">
        <f>IF(Treatment!L145="*  ..  ##34###34# ##334###334#","//--- END",Treatment!L145)</f>
        <v/>
      </c>
    </row>
    <row r="328" spans="3:3">
      <c r="C328" s="12" t="str">
        <f>IF(Treatment!L146="*  ..  ##34###34# ##334###334#","//--- END",Treatment!L146)</f>
        <v/>
      </c>
    </row>
    <row r="329" spans="3:3">
      <c r="C329" s="12" t="str">
        <f>IF(Treatment!L147="*  ..  ##34###34# ##334###334#","//--- END",Treatment!L147)</f>
        <v/>
      </c>
    </row>
    <row r="330" spans="3:3">
      <c r="C330" s="12" t="str">
        <f>IF(Treatment!L148="*  ..  ##34###34# ##334###334#","//--- END",Treatment!L148)</f>
        <v/>
      </c>
    </row>
    <row r="331" spans="3:3">
      <c r="C331" s="12" t="str">
        <f>IF(Treatment!L149="*  ..  ##34###34# ##334###334#","//--- END",Treatment!L149)</f>
        <v/>
      </c>
    </row>
    <row r="332" spans="3:3">
      <c r="C332" s="12" t="str">
        <f>IF(Treatment!L150="*  ..  ##34###34# ##334###334#","//--- END",Treatment!L150)</f>
        <v/>
      </c>
    </row>
    <row r="333" spans="3:3">
      <c r="C333" s="12" t="str">
        <f>IF(Treatment!L151="*  ..  ##34###34# ##334###334#","//--- END",Treatment!L151)</f>
        <v/>
      </c>
    </row>
    <row r="334" spans="3:3">
      <c r="C334" s="12" t="str">
        <f>IF(Treatment!L152="*  ..  ##34###34# ##334###334#","//--- END",Treatment!L152)</f>
        <v/>
      </c>
    </row>
    <row r="335" spans="3:3">
      <c r="C335" s="12" t="str">
        <f>IF(Treatment!L153="*  ..  ##34###34# ##334###334#","//--- END",Treatment!L153)</f>
        <v/>
      </c>
    </row>
    <row r="336" spans="3:3">
      <c r="C336" s="12" t="str">
        <f>IF(Treatment!L154="*  ..  ##34###34# ##334###334#","//--- END",Treatment!L154)</f>
        <v/>
      </c>
    </row>
    <row r="337" spans="3:3">
      <c r="C337" s="12" t="str">
        <f>IF(Treatment!L155="*  ..  ##34###34# ##334###334#","//--- END",Treatment!L155)</f>
        <v/>
      </c>
    </row>
    <row r="338" spans="3:3">
      <c r="C338" s="12" t="str">
        <f>IF(Treatment!L156="*  ..  ##34###34# ##334###334#","//--- END",Treatment!L156)</f>
        <v/>
      </c>
    </row>
    <row r="339" spans="3:3">
      <c r="C339" s="12" t="str">
        <f>IF(Treatment!L157="*  ..  ##34###34# ##334###334#","//--- END",Treatment!L157)</f>
        <v/>
      </c>
    </row>
    <row r="340" spans="3:3">
      <c r="C340" s="12" t="str">
        <f>IF(Treatment!L158="*  ..  ##34###34# ##334###334#","//--- END",Treatment!L158)</f>
        <v/>
      </c>
    </row>
    <row r="341" spans="3:3">
      <c r="C341" s="12" t="str">
        <f>IF(Treatment!L159="*  ..  ##34###34# ##334###334#","//--- END",Treatment!L159)</f>
        <v/>
      </c>
    </row>
    <row r="342" spans="3:3">
      <c r="C342" s="12" t="str">
        <f>IF(Treatment!L160="*  ..  ##34###34# ##334###334#","//--- END",Treatment!L160)</f>
        <v/>
      </c>
    </row>
    <row r="343" spans="3:3">
      <c r="C343" s="12" t="str">
        <f>IF(Treatment!L161="*  ..  ##34###34# ##334###334#","//--- END",Treatment!L161)</f>
        <v/>
      </c>
    </row>
    <row r="344" spans="3:3">
      <c r="C344" s="12" t="str">
        <f>IF(Treatment!L162="*  ..  ##34###34# ##334###334#","//--- END",Treatment!L162)</f>
        <v/>
      </c>
    </row>
    <row r="345" spans="3:3">
      <c r="C345" s="12" t="str">
        <f>IF(Treatment!L163="*  ..  ##34###34# ##334###334#","//--- END",Treatment!L163)</f>
        <v/>
      </c>
    </row>
    <row r="346" spans="3:3">
      <c r="C346" s="12" t="str">
        <f>IF(Treatment!L164="*  ..  ##34###34# ##334###334#","//--- END",Treatment!L164)</f>
        <v/>
      </c>
    </row>
    <row r="347" spans="3:3">
      <c r="C347" s="12" t="str">
        <f>IF(Treatment!L165="*  ..  ##34###34# ##334###334#","//--- END",Treatment!L165)</f>
        <v/>
      </c>
    </row>
    <row r="348" spans="3:3">
      <c r="C348" s="12" t="str">
        <f>IF(Treatment!L166="*  ..  ##34###34# ##334###334#","//--- END",Treatment!L166)</f>
        <v/>
      </c>
    </row>
    <row r="349" spans="3:3">
      <c r="C349" s="12" t="str">
        <f>IF(Treatment!L167="*  ..  ##34###34# ##334###334#","//--- END",Treatment!L167)</f>
        <v/>
      </c>
    </row>
    <row r="350" spans="3:3">
      <c r="C350" s="12" t="str">
        <f>IF(Treatment!L168="*  ..  ##34###34# ##334###334#","//--- END",Treatment!L168)</f>
        <v/>
      </c>
    </row>
    <row r="351" spans="3:3">
      <c r="C351" s="12" t="str">
        <f>IF(Treatment!L169="*  ..  ##34###34# ##334###334#","//--- END",Treatment!L169)</f>
        <v/>
      </c>
    </row>
    <row r="352" spans="3:3">
      <c r="C352" s="12" t="str">
        <f>IF(Treatment!L170="*  ..  ##34###34# ##334###334#","//--- END",Treatment!L170)</f>
        <v/>
      </c>
    </row>
    <row r="353" spans="3:3">
      <c r="C353" s="12" t="str">
        <f>IF(Treatment!L171="*  ..  ##34###34# ##334###334#","//--- END",Treatment!L171)</f>
        <v>//--- END</v>
      </c>
    </row>
    <row r="354" spans="3:3">
      <c r="C354" s="12" t="str">
        <f>IF(Treatment!L172="*  ..  ##34###34# ##334###334#","//--- END",Treatment!L172)</f>
        <v>//--- END</v>
      </c>
    </row>
    <row r="355" spans="3:3">
      <c r="C355" s="12" t="str">
        <f>IF(Treatment!L173="*  ..  ##34###34# ##334###334#","//--- END",Treatment!L173)</f>
        <v>//--- END</v>
      </c>
    </row>
    <row r="360" spans="3:3">
      <c r="C360" s="12" t="str">
        <f>IF(Treatment!L134="*  ..  ##34###34# ##334###334#","//--- END",Treatment!L134)</f>
        <v/>
      </c>
    </row>
    <row r="361" spans="3:3">
      <c r="C361" s="2"/>
    </row>
    <row r="362" spans="3:3">
      <c r="C362"/>
    </row>
    <row r="364" spans="3:3">
      <c r="C364" s="24" t="str">
        <f>'Treatment-Map-1'!E1</f>
        <v>// -------------------------------------------------------------------------------</v>
      </c>
    </row>
    <row r="365" spans="3:3">
      <c r="C365" s="25" t="str">
        <f>'Treatment-Map-1'!E2</f>
        <v>//  Map to FHIR R4</v>
      </c>
    </row>
    <row r="366" spans="3:3">
      <c r="C366" s="25" t="str">
        <f>'Treatment-Map-1'!E3</f>
        <v>// -------------------------------------------------------------------------------</v>
      </c>
    </row>
    <row r="367" spans="3:3">
      <c r="C367" s="12" t="str">
        <f>'Treatment-Map-1'!E4</f>
        <v>Mapping: I4RCTreatment2Fhir</v>
      </c>
    </row>
    <row r="368" spans="3:3">
      <c r="C368" s="12" t="str">
        <f>'Treatment-Map-1'!E5</f>
        <v>Id: fhir</v>
      </c>
    </row>
    <row r="369" spans="3:3">
      <c r="C369" s="12" t="str">
        <f>'Treatment-Map-1'!E6</f>
        <v>Title: ##34#Idea4RC Treatment model to FHIR R4 Map##34#</v>
      </c>
    </row>
    <row r="370" spans="3:3">
      <c r="C370" s="12" t="str">
        <f>'Treatment-Map-1'!E7</f>
        <v>Source: Treatment</v>
      </c>
    </row>
    <row r="371" spans="3:3">
      <c r="C371" s="12" t="str">
        <f>'Treatment-Map-1'!E8</f>
        <v>Target: ##34#hl7.org/fhir/r4##34#</v>
      </c>
    </row>
    <row r="373" spans="3:3">
      <c r="C373" s="4" t="str">
        <f>'Treatment-Map-1'!E9</f>
        <v>* -&gt; ##34#TBD##34#</v>
      </c>
    </row>
    <row r="374" spans="3:3">
      <c r="C374" s="12" t="str">
        <f>IF('Treatment-Map-1'!E10="*  -&gt; ##34###34#","// --END",'Treatment-Map-1'!E10)</f>
        <v>* surgery -&gt; ##34#TBD##34#</v>
      </c>
    </row>
    <row r="375" spans="3:3">
      <c r="C375" s="12" t="str">
        <f>IF('Treatment-Map-1'!E11="*  -&gt; ##34###34#","// --END",'Treatment-Map-1'!E11)</f>
        <v>* surgeryPerformed -&gt; ##34#TBD##34#</v>
      </c>
    </row>
    <row r="376" spans="3:3">
      <c r="C376" s="12" t="str">
        <f>IF('Treatment-Map-1'!E12="*  -&gt; ##34###34#","// --END",'Treatment-Map-1'!E12)</f>
        <v>* dateOfTumourSurgery -&gt; ##34#TBD##34#</v>
      </c>
    </row>
    <row r="377" spans="3:3">
      <c r="C377" s="12" t="str">
        <f>IF('Treatment-Map-1'!E13="*  -&gt; ##34###34#","// --END",'Treatment-Map-1'!E13)</f>
        <v>* surgeryIntention -&gt; ##34#TBD##34#</v>
      </c>
    </row>
    <row r="378" spans="3:3">
      <c r="C378" s="12" t="str">
        <f>IF('Treatment-Map-1'!E14="*  -&gt; ##34###34#","// --END",'Treatment-Map-1'!E14)</f>
        <v>* tumorSurgeryApproach -&gt; ##34#TBD##34#</v>
      </c>
    </row>
    <row r="379" spans="3:3">
      <c r="C379" s="12" t="str">
        <f>IF('Treatment-Map-1'!E15="*  -&gt; ##34###34#","// --END",'Treatment-Map-1'!E15)</f>
        <v>* tumorSurgeryDevice -&gt; ##34#TBD##34#</v>
      </c>
    </row>
    <row r="380" spans="3:3">
      <c r="C380" s="12" t="str">
        <f>IF('Treatment-Map-1'!E16="*  -&gt; ##34###34#","// --END",'Treatment-Map-1'!E16)</f>
        <v>* surgicalProcedure -&gt; ##34#TBD##34#</v>
      </c>
    </row>
    <row r="381" spans="3:3">
      <c r="C381" s="12" t="str">
        <f>IF('Treatment-Map-1'!E17="*  -&gt; ##34###34#","// --END",'Treatment-Map-1'!E17)</f>
        <v>* surgicalProcedure.surgicalProcedureNasopharynx -&gt; ##34#TBD##34#</v>
      </c>
    </row>
    <row r="382" spans="3:3">
      <c r="C382" s="12" t="str">
        <f>IF('Treatment-Map-1'!E18="*  -&gt; ##34###34#","// --END",'Treatment-Map-1'!E18)</f>
        <v>* surgicalProcedure.surgicalProcedureNasalCavityAndParanasalSinus -&gt; ##34#TBD##34#</v>
      </c>
    </row>
    <row r="383" spans="3:3">
      <c r="C383" s="12" t="str">
        <f>IF('Treatment-Map-1'!E19="*  -&gt; ##34###34#","// --END",'Treatment-Map-1'!E19)</f>
        <v>* surgicalProcedure.surgicalProcedureSalivaryGland -&gt; ##34#TBD##34#</v>
      </c>
    </row>
    <row r="384" spans="3:3">
      <c r="C384" s="12" t="str">
        <f>IF('Treatment-Map-1'!E20="*  -&gt; ##34###34#","// --END",'Treatment-Map-1'!E20)</f>
        <v>* surgicalProcedure.surgicalProcedureEar -&gt; ##34#TBD##34#</v>
      </c>
    </row>
    <row r="385" spans="3:3">
      <c r="C385" s="12" t="str">
        <f>IF('Treatment-Map-1'!E21="*  -&gt; ##34###34#","// --END",'Treatment-Map-1'!E21)</f>
        <v>* surgicalProcedure.surgicalProcedureLip -&gt; ##34#TBD##34#</v>
      </c>
    </row>
    <row r="386" spans="3:3">
      <c r="C386" s="12" t="str">
        <f>IF('Treatment-Map-1'!E22="*  -&gt; ##34###34#","// --END",'Treatment-Map-1'!E22)</f>
        <v>* surgicalProcedure.surgicalProcedureOralCavity -&gt; ##34#TBD##34#</v>
      </c>
    </row>
    <row r="387" spans="3:3">
      <c r="C387" s="12" t="str">
        <f>IF('Treatment-Map-1'!E23="*  -&gt; ##34###34#","// --END",'Treatment-Map-1'!E23)</f>
        <v>* surgicalProcedure.surgicalProcedureMandibulectomy -&gt; ##34#TBD##34#</v>
      </c>
    </row>
    <row r="388" spans="3:3">
      <c r="C388" s="12" t="str">
        <f>IF('Treatment-Map-1'!E24="*  -&gt; ##34###34#","// --END",'Treatment-Map-1'!E24)</f>
        <v>* surgicalProcedure.surgicalProcedureOropharynx -&gt; ##34#TBD##34#</v>
      </c>
    </row>
    <row r="389" spans="3:3">
      <c r="C389" s="12" t="str">
        <f>IF('Treatment-Map-1'!E25="*  -&gt; ##34###34#","// --END",'Treatment-Map-1'!E25)</f>
        <v>* surgicalProcedure.surgicalProcedureHypopharynx -&gt; ##34#TBD##34#</v>
      </c>
    </row>
    <row r="390" spans="3:3">
      <c r="C390" s="12" t="str">
        <f>IF('Treatment-Map-1'!E26="*  -&gt; ##34###34#","// --END",'Treatment-Map-1'!E26)</f>
        <v>* surgicalProcedure.surgicalProcedureLarynx -&gt; ##34#TBD##34#</v>
      </c>
    </row>
    <row r="391" spans="3:3">
      <c r="C391" s="12" t="str">
        <f>IF('Treatment-Map-1'!E27="*  -&gt; ##34###34#","// --END",'Treatment-Map-1'!E27)</f>
        <v>* reconstruction -&gt; ##34#TBD##34#</v>
      </c>
    </row>
    <row r="392" spans="3:3">
      <c r="C392" s="12" t="str">
        <f>IF('Treatment-Map-1'!E28="*  -&gt; ##34###34#","// --END",'Treatment-Map-1'!E28)</f>
        <v>* reconstruction.flag -&gt; ##34#TBD##34#</v>
      </c>
    </row>
    <row r="393" spans="3:3">
      <c r="C393" s="12" t="str">
        <f>IF('Treatment-Map-1'!E29="*  -&gt; ##34###34#","// --END",'Treatment-Map-1'!E29)</f>
        <v>* reconstruction.reconstructionType -&gt; ##34#TBD##34#</v>
      </c>
    </row>
    <row r="394" spans="3:3">
      <c r="C394" s="12" t="str">
        <f>IF('Treatment-Map-1'!E30="*  -&gt; ##34###34#","// --END",'Treatment-Map-1'!E30)</f>
        <v>* reconstruction.firstFlapUsedForReconstruction -&gt; ##34#TBD##34#</v>
      </c>
    </row>
    <row r="395" spans="3:3">
      <c r="C395" s="12" t="str">
        <f>IF('Treatment-Map-1'!E31="*  -&gt; ##34###34#","// --END",'Treatment-Map-1'!E31)</f>
        <v>* reconstruction.secondFlapUsedForReconstruction -&gt; ##34#TBD##34#</v>
      </c>
    </row>
    <row r="396" spans="3:3">
      <c r="C396" s="12" t="str">
        <f>IF('Treatment-Map-1'!E32="*  -&gt; ##34###34#","// --END",'Treatment-Map-1'!E32)</f>
        <v>* neckSurgery -&gt; ##34#TBD##34#</v>
      </c>
    </row>
    <row r="397" spans="3:3">
      <c r="C397" s="12" t="str">
        <f>IF('Treatment-Map-1'!E33="*  -&gt; ##34###34#","// --END",'Treatment-Map-1'!E33)</f>
        <v>* dateOfNeckSurgeryIfDifferentFromDateOfTumorSiteSurgery -&gt; ##34#TBD##34#</v>
      </c>
    </row>
    <row r="398" spans="3:3">
      <c r="C398" s="12" t="str">
        <f>IF('Treatment-Map-1'!E34="*  -&gt; ##34###34#","// --END",'Treatment-Map-1'!E34)</f>
        <v>* dateOfNeckSurgeryDayUnknown -&gt; ##34#TBD##34#</v>
      </c>
    </row>
    <row r="399" spans="3:3">
      <c r="C399" s="12" t="str">
        <f>IF('Treatment-Map-1'!E35="*  -&gt; ##34###34#","// --END",'Treatment-Map-1'!E35)</f>
        <v>* nodePicking -&gt; ##34#TBD##34#</v>
      </c>
    </row>
    <row r="400" spans="3:3">
      <c r="C400" s="12" t="str">
        <f>IF('Treatment-Map-1'!E36="*  -&gt; ##34###34#","// --END",'Treatment-Map-1'!E36)</f>
        <v>* neckDissection -&gt; ##34#TBD##34#</v>
      </c>
    </row>
    <row r="401" spans="3:3">
      <c r="C401" s="12" t="str">
        <f>IF('Treatment-Map-1'!E37="*  -&gt; ##34###34#","// --END",'Treatment-Map-1'!E37)</f>
        <v>* lateralityOfTheDissection -&gt; ##34#TBD##34#</v>
      </c>
    </row>
    <row r="402" spans="3:3">
      <c r="C402" s="12" t="str">
        <f>IF('Treatment-Map-1'!E38="*  -&gt; ##34###34#","// --END",'Treatment-Map-1'!E38)</f>
        <v>* surgicalProcedureRightNeck -&gt; ##34#TBD##34#</v>
      </c>
    </row>
    <row r="403" spans="3:3">
      <c r="C403" s="12" t="str">
        <f>IF('Treatment-Map-1'!E39="*  -&gt; ##34###34#","// --END",'Treatment-Map-1'!E39)</f>
        <v>* surgicalProcedureRightNeckLevelsDissected -&gt; ##34#TBD##34#</v>
      </c>
    </row>
    <row r="404" spans="3:3">
      <c r="C404" s="12" t="str">
        <f>IF('Treatment-Map-1'!E40="*  -&gt; ##34###34#","// --END",'Treatment-Map-1'!E40)</f>
        <v>* surgicalProcedureLeftNeck -&gt; ##34#TBD##34#</v>
      </c>
    </row>
    <row r="405" spans="3:3">
      <c r="C405" s="12" t="str">
        <f>IF('Treatment-Map-1'!E41="*  -&gt; ##34###34#","// --END",'Treatment-Map-1'!E41)</f>
        <v>* surgicalProcedureLeftNeckLevelsDissected -&gt; ##34#TBD##34#</v>
      </c>
    </row>
    <row r="406" spans="3:3">
      <c r="C406" s="12" t="str">
        <f>IF('Treatment-Map-1'!E42="*  -&gt; ##34###34#","// --END",'Treatment-Map-1'!E42)</f>
        <v>* surgeryOnM -&gt; ##34#TBD##34#</v>
      </c>
    </row>
    <row r="407" spans="3:3">
      <c r="C407" s="12" t="str">
        <f>IF('Treatment-Map-1'!E43="*  -&gt; ##34###34#","// --END",'Treatment-Map-1'!E43)</f>
        <v>* siteOfSurgeryOnMetastasis -&gt; ##34#TBD##34#</v>
      </c>
    </row>
    <row r="408" spans="3:3">
      <c r="C408" s="12" t="str">
        <f>IF('Treatment-Map-1'!E44="*  -&gt; ##34###34#","// --END",'Treatment-Map-1'!E44)</f>
        <v>* siteOfSurgeryOnMetastasisSoftTissue -&gt; ##34#TBD##34#</v>
      </c>
    </row>
    <row r="409" spans="3:3">
      <c r="C409" s="12" t="str">
        <f>IF('Treatment-Map-1'!E45="*  -&gt; ##34###34#","// --END",'Treatment-Map-1'!E45)</f>
        <v>* siteOfSurgeryOnMetastasisDistantLymphNodes -&gt; ##34#TBD##34#</v>
      </c>
    </row>
    <row r="410" spans="3:3">
      <c r="C410" s="12" t="str">
        <f>IF('Treatment-Map-1'!E46="*  -&gt; ##34###34#","// --END",'Treatment-Map-1'!E46)</f>
        <v>* siteOfSurgeryOnMetastasisLung -&gt; ##34#TBD##34#</v>
      </c>
    </row>
    <row r="411" spans="3:3">
      <c r="C411" s="12" t="str">
        <f>IF('Treatment-Map-1'!E47="*  -&gt; ##34###34#","// --END",'Treatment-Map-1'!E47)</f>
        <v>* siteOfSurgeryOnMetastasisBone -&gt; ##34#TBD##34#</v>
      </c>
    </row>
    <row r="412" spans="3:3">
      <c r="C412" s="12" t="str">
        <f>IF('Treatment-Map-1'!E48="*  -&gt; ##34###34#","// --END",'Treatment-Map-1'!E48)</f>
        <v>* siteOfSurgeryOnMetastasisLiver -&gt; ##34#TBD##34#</v>
      </c>
    </row>
    <row r="413" spans="3:3">
      <c r="C413" s="12" t="str">
        <f>IF('Treatment-Map-1'!E49="*  -&gt; ##34###34#","// --END",'Treatment-Map-1'!E49)</f>
        <v>* siteOfSurgeryOnMetastasisPleura -&gt; ##34#TBD##34#</v>
      </c>
    </row>
    <row r="414" spans="3:3">
      <c r="C414" s="12" t="str">
        <f>IF('Treatment-Map-1'!E50="*  -&gt; ##34###34#","// --END",'Treatment-Map-1'!E50)</f>
        <v>* siteOfSurgeryOnMetastasisPeritoneum -&gt; ##34#TBD##34#</v>
      </c>
    </row>
    <row r="415" spans="3:3">
      <c r="C415" s="12" t="str">
        <f>IF('Treatment-Map-1'!E51="*  -&gt; ##34###34#","// --END",'Treatment-Map-1'!E51)</f>
        <v>* siteOfSurgeryOnMetastasisBrain -&gt; ##34#TBD##34#</v>
      </c>
    </row>
    <row r="416" spans="3:3">
      <c r="C416" s="12" t="str">
        <f>IF('Treatment-Map-1'!E52="*  -&gt; ##34###34#","// --END",'Treatment-Map-1'!E52)</f>
        <v>* siteOfSurgeryOnMetastasisOtherViscera -&gt; ##34#TBD##34#</v>
      </c>
    </row>
    <row r="417" spans="3:3">
      <c r="C417" s="12" t="str">
        <f>IF('Treatment-Map-1'!E53="*  -&gt; ##34###34#","// --END",'Treatment-Map-1'!E53)</f>
        <v>* siteOfSurgeryOnMetastasisUnknown -&gt; ##34#TBD##34#</v>
      </c>
    </row>
    <row r="418" spans="3:3">
      <c r="C418" s="12" t="str">
        <f>IF('Treatment-Map-1'!E54="*  -&gt; ##34###34#","// --END",'Treatment-Map-1'!E54)</f>
        <v>* dateOfSurgeryOnMIfDifferentFromDateOfTumorSiteSurgery -&gt; ##34#TBD##34#</v>
      </c>
    </row>
    <row r="419" spans="3:3">
      <c r="C419" s="12" t="str">
        <f>IF('Treatment-Map-1'!E55="*  -&gt; ##34###34#","// --END",'Treatment-Map-1'!E55)</f>
        <v>* surgicalWorstComplications -&gt; ##34#TBD##34#</v>
      </c>
    </row>
    <row r="420" spans="3:3">
      <c r="C420" s="12" t="str">
        <f>IF('Treatment-Map-1'!E56="*  -&gt; ##34###34#","// --END",'Treatment-Map-1'!E56)</f>
        <v>* surgical2ndWorstComplications -&gt; ##34#TBD##34#</v>
      </c>
    </row>
    <row r="421" spans="3:3">
      <c r="C421" s="12" t="str">
        <f>IF('Treatment-Map-1'!E57="*  -&gt; ##34###34#","// --END",'Treatment-Map-1'!E57)</f>
        <v>* unplannedSurgery -&gt; ##34#TBD##34#</v>
      </c>
    </row>
    <row r="422" spans="3:3">
      <c r="C422" s="12" t="str">
        <f>IF('Treatment-Map-1'!E58="*  -&gt; ##34###34#","// --END",'Treatment-Map-1'!E58)</f>
        <v>* dateOfUnplannedSurgery -&gt; ##34#TBD##34#</v>
      </c>
    </row>
    <row r="423" spans="3:3">
      <c r="C423" s="12" t="str">
        <f>IF('Treatment-Map-1'!E59="*  -&gt; ##34###34#","// --END",'Treatment-Map-1'!E59)</f>
        <v>* marginsAfterUnplannedSurgery -&gt; ##34#TBD##34#</v>
      </c>
    </row>
    <row r="424" spans="3:3">
      <c r="C424" s="12" t="str">
        <f>IF('Treatment-Map-1'!E60="*  -&gt; ##34###34#","// --END",'Treatment-Map-1'!E60)</f>
        <v>* unplannedNeckSurgery -&gt; ##34#TBD##34#</v>
      </c>
    </row>
    <row r="425" spans="3:3">
      <c r="C425" s="12" t="str">
        <f>IF('Treatment-Map-1'!E61="*  -&gt; ##34###34#","// --END",'Treatment-Map-1'!E61)</f>
        <v>* systemicTreament -&gt; ##34#TBD##34#</v>
      </c>
    </row>
    <row r="426" spans="3:3">
      <c r="C426" s="12" t="str">
        <f>IF('Treatment-Map-1'!E62="*  -&gt; ##34###34#","// --END",'Treatment-Map-1'!E62)</f>
        <v>* systemicTreatmentPerformed -&gt; ##34#TBD##34#</v>
      </c>
    </row>
    <row r="427" spans="3:3">
      <c r="C427" s="12" t="str">
        <f>IF('Treatment-Map-1'!E63="*  -&gt; ##34###34#","// --END",'Treatment-Map-1'!E63)</f>
        <v>* chooseTheSingleTreatment -&gt; ##34#TBD##34#</v>
      </c>
    </row>
    <row r="428" spans="3:3">
      <c r="C428" s="12" t="str">
        <f>IF('Treatment-Map-1'!E64="*  -&gt; ##34###34#","// --END",'Treatment-Map-1'!E64)</f>
        <v>* intent -&gt; ##34#TBD##34#</v>
      </c>
    </row>
    <row r="429" spans="3:3">
      <c r="C429" s="12" t="str">
        <f>IF('Treatment-Map-1'!E65="*  -&gt; ##34###34#","// --END",'Treatment-Map-1'!E65)</f>
        <v>* setting -&gt; ##34#TBD##34#</v>
      </c>
    </row>
    <row r="430" spans="3:3">
      <c r="C430" s="12" t="str">
        <f>IF('Treatment-Map-1'!E66="*  -&gt; ##34###34#","// --END",'Treatment-Map-1'!E66)</f>
        <v>* startDateSystemicTreatment -&gt; ##34#TBD##34#</v>
      </c>
    </row>
    <row r="431" spans="3:3">
      <c r="C431" s="12" t="str">
        <f>IF('Treatment-Map-1'!E67="*  -&gt; ##34###34#","// --END",'Treatment-Map-1'!E67)</f>
        <v>* startDateSystemicTreatmentDayUnknown -&gt; ##34#TBD##34#</v>
      </c>
    </row>
    <row r="432" spans="3:3">
      <c r="C432" s="12" t="str">
        <f>IF('Treatment-Map-1'!E68="*  -&gt; ##34###34#","// --END",'Treatment-Map-1'!E68)</f>
        <v>* endDateSystemicTreatment -&gt; ##34#TBD##34#</v>
      </c>
    </row>
    <row r="433" spans="3:3">
      <c r="C433" s="12" t="str">
        <f>IF('Treatment-Map-1'!E69="*  -&gt; ##34###34#","// --END",'Treatment-Map-1'!E69)</f>
        <v>* endDateSystemicTreatmentDayUnknown -&gt; ##34#TBD##34#</v>
      </c>
    </row>
    <row r="434" spans="3:3">
      <c r="C434" s="12" t="str">
        <f>IF('Treatment-Map-1'!E70="*  -&gt; ##34###34#","// --END",'Treatment-Map-1'!E70)</f>
        <v>* numberOfCyclesAdministrations -&gt; ##34#TBD##34#</v>
      </c>
    </row>
    <row r="435" spans="3:3">
      <c r="C435" s="12" t="str">
        <f>IF('Treatment-Map-1'!E71="*  -&gt; ##34###34#","// --END",'Treatment-Map-1'!E71)</f>
        <v>* regimen -&gt; ##34#TBD##34#</v>
      </c>
    </row>
    <row r="436" spans="3:3">
      <c r="C436" s="12" t="str">
        <f>IF('Treatment-Map-1'!E72="*  -&gt; ##34###34#","// --END",'Treatment-Map-1'!E72)</f>
        <v>* drugs1 -&gt; ##34#TBD##34#</v>
      </c>
    </row>
    <row r="437" spans="3:3">
      <c r="C437" s="12" t="str">
        <f>IF('Treatment-Map-1'!E73="*  -&gt; ##34###34#","// --END",'Treatment-Map-1'!E73)</f>
        <v>* drugs2 -&gt; ##34#TBD##34#</v>
      </c>
    </row>
    <row r="438" spans="3:3">
      <c r="C438" s="12" t="str">
        <f>IF('Treatment-Map-1'!E74="*  -&gt; ##34###34#","// --END",'Treatment-Map-1'!E74)</f>
        <v>* drugs3 -&gt; ##34#TBD##34#</v>
      </c>
    </row>
    <row r="439" spans="3:3">
      <c r="C439" s="12" t="str">
        <f>IF('Treatment-Map-1'!E75="*  -&gt; ##34###34#","// --END",'Treatment-Map-1'!E75)</f>
        <v>* plasmaticEbvDnaDuringSystemicTreatment -&gt; ##34#TBD##34#</v>
      </c>
    </row>
    <row r="440" spans="3:3">
      <c r="C440" s="12" t="str">
        <f>IF('Treatment-Map-1'!E76="*  -&gt; ##34###34#","// --END",'Treatment-Map-1'!E76)</f>
        <v>* primerType -&gt; ##34#TBD##34#</v>
      </c>
    </row>
    <row r="441" spans="3:3">
      <c r="C441" s="12" t="str">
        <f>IF('Treatment-Map-1'!E77="*  -&gt; ##34###34#","// --END",'Treatment-Map-1'!E77)</f>
        <v>* copyNumber -&gt; ##34#TBD##34#</v>
      </c>
    </row>
    <row r="442" spans="3:3">
      <c r="C442" s="12" t="str">
        <f>IF('Treatment-Map-1'!E78="*  -&gt; ##34###34#","// --END",'Treatment-Map-1'!E78)</f>
        <v>* plasmaticEbvDnaAfterSystemicTreatment -&gt; ##34#TBD##34#</v>
      </c>
    </row>
    <row r="443" spans="3:3">
      <c r="C443" s="12" t="str">
        <f>IF('Treatment-Map-1'!E79="*  -&gt; ##34###34#","// --END",'Treatment-Map-1'!E79)</f>
        <v>* afterTreatment-primerType -&gt; ##34#TBD##34#</v>
      </c>
    </row>
    <row r="444" spans="3:3">
      <c r="C444" s="12" t="str">
        <f>IF('Treatment-Map-1'!E80="*  -&gt; ##34###34#","// --END",'Treatment-Map-1'!E80)</f>
        <v>* afterTreatment-copyNumber -&gt; ##34#TBD##34#</v>
      </c>
    </row>
    <row r="445" spans="3:3">
      <c r="C445" s="12" t="str">
        <f>IF('Treatment-Map-1'!E81="*  -&gt; ##34###34#","// --END",'Treatment-Map-1'!E81)</f>
        <v>* reasonForEndOfTreatment -&gt; ##34#TBD##34#</v>
      </c>
    </row>
    <row r="446" spans="3:3">
      <c r="C446" s="12" t="str">
        <f>IF('Treatment-Map-1'!E82="*  -&gt; ##34###34#","// --END",'Treatment-Map-1'!E82)</f>
        <v>* regimenChanged -&gt; ##34#TBD##34#</v>
      </c>
    </row>
    <row r="447" spans="3:3">
      <c r="C447" s="12" t="str">
        <f>IF('Treatment-Map-1'!E83="*  -&gt; ##34###34#","// --END",'Treatment-Map-1'!E83)</f>
        <v>* regimenChanged-regimen -&gt; ##34#TBD##34#</v>
      </c>
    </row>
    <row r="448" spans="3:3">
      <c r="C448" s="12" t="str">
        <f>IF('Treatment-Map-1'!E84="*  -&gt; ##34###34#","// --END",'Treatment-Map-1'!E84)</f>
        <v>* regimenChanged-otherDrug1 -&gt; ##34#TBD##34#</v>
      </c>
    </row>
    <row r="449" spans="3:3">
      <c r="C449" s="12" t="str">
        <f>IF('Treatment-Map-1'!E85="*  -&gt; ##34###34#","// --END",'Treatment-Map-1'!E85)</f>
        <v>* regimenChanged-otherDrug2 -&gt; ##34#TBD##34#</v>
      </c>
    </row>
    <row r="450" spans="3:3">
      <c r="C450" s="12" t="str">
        <f>IF('Treatment-Map-1'!E86="*  -&gt; ##34###34#","// --END",'Treatment-Map-1'!E86)</f>
        <v>* regimenChanged-otherDrug3 -&gt; ##34#TBD##34#</v>
      </c>
    </row>
    <row r="451" spans="3:3">
      <c r="C451" s="12" t="str">
        <f>IF('Treatment-Map-1'!E87="*  -&gt; ##34###34#","// --END",'Treatment-Map-1'!E87)</f>
        <v>* startDateRegimenChanged -&gt; ##34#TBD##34#</v>
      </c>
    </row>
    <row r="452" spans="3:3">
      <c r="C452" s="12" t="str">
        <f>IF('Treatment-Map-1'!E88="*  -&gt; ##34###34#","// --END",'Treatment-Map-1'!E88)</f>
        <v>* startDateRegimenChangedDayUnknown -&gt; ##34#TBD##34#</v>
      </c>
    </row>
    <row r="453" spans="3:3">
      <c r="C453" s="12" t="str">
        <f>IF('Treatment-Map-1'!E89="*  -&gt; ##34###34#","// --END",'Treatment-Map-1'!E89)</f>
        <v>* endDateRegimenChanged -&gt; ##34#TBD##34#</v>
      </c>
    </row>
    <row r="454" spans="3:3">
      <c r="C454" s="12" t="str">
        <f>IF('Treatment-Map-1'!E90="*  -&gt; ##34###34#","// --END",'Treatment-Map-1'!E90)</f>
        <v>* endDateRegimenChangedDayUnknown -&gt; ##34#TBD##34#</v>
      </c>
    </row>
    <row r="455" spans="3:3">
      <c r="C455" s="12" t="str">
        <f>IF('Treatment-Map-1'!E91="*  -&gt; ##34###34#","// --END",'Treatment-Map-1'!E91)</f>
        <v>* regimenChanged-reasonForEndOfTreatment -&gt; ##34#TBD##34#</v>
      </c>
    </row>
    <row r="456" spans="3:3">
      <c r="C456" s="12" t="str">
        <f>IF('Treatment-Map-1'!E92="*  -&gt; ##34###34#","// --END",'Treatment-Map-1'!E92)</f>
        <v>* treatmentResponseBasedOnImagingAloneNoRecistOrOtherCriteria -&gt; ##34#TBD##34#</v>
      </c>
    </row>
    <row r="457" spans="3:3">
      <c r="C457" s="12" t="str">
        <f>IF('Treatment-Map-1'!E93="*  -&gt; ##34###34#","// --END",'Treatment-Map-1'!E93)</f>
        <v>* treatmentResponseDefinedDone -&gt; ##34#TBD##34#</v>
      </c>
    </row>
    <row r="458" spans="3:3">
      <c r="C458" s="12" t="str">
        <f>IF('Treatment-Map-1'!E94="*  -&gt; ##34###34#","// --END",'Treatment-Map-1'!E94)</f>
        <v>* systemicTreatment2 -&gt; ##34#TBD##34#</v>
      </c>
    </row>
    <row r="459" spans="3:3">
      <c r="C459" s="12" t="str">
        <f>IF('Treatment-Map-1'!E95="*  -&gt; ##34###34#","// --END",'Treatment-Map-1'!E95)</f>
        <v>* radiotherapy -&gt; ##34#TBD##34#</v>
      </c>
    </row>
    <row r="460" spans="3:3">
      <c r="C460" s="12" t="str">
        <f>IF('Treatment-Map-1'!E96="*  -&gt; ##34###34#","// --END",'Treatment-Map-1'!E96)</f>
        <v>* radiotherapywhere -&gt; ##34#TBD##34#</v>
      </c>
    </row>
    <row r="461" spans="3:3">
      <c r="C461" s="12" t="str">
        <f>IF('Treatment-Map-1'!E97="*  -&gt; ##34###34#","// --END",'Treatment-Map-1'!E97)</f>
        <v>* intent-2 -&gt; ##34#TBD##34#</v>
      </c>
    </row>
    <row r="462" spans="3:3">
      <c r="C462" s="12" t="str">
        <f>IF('Treatment-Map-1'!E98="*  -&gt; ##34###34#","// --END",'Treatment-Map-1'!E98)</f>
        <v>* setting-2 -&gt; ##34#TBD##34#</v>
      </c>
    </row>
    <row r="463" spans="3:3">
      <c r="C463" s="12" t="str">
        <f>IF('Treatment-Map-1'!E99="*  -&gt; ##34###34#","// --END",'Treatment-Map-1'!E99)</f>
        <v>* postoperativeRadiotherapyIndications -&gt; ##34#TBD##34#</v>
      </c>
    </row>
    <row r="464" spans="3:3">
      <c r="C464" s="12" t="str">
        <f>IF('Treatment-Map-1'!E100="*  -&gt; ##34###34#","// --END",'Treatment-Map-1'!E100)</f>
        <v>* beamQuality -&gt; ##34#TBD##34#</v>
      </c>
    </row>
    <row r="465" spans="3:3">
      <c r="C465" s="12" t="str">
        <f>IF('Treatment-Map-1'!E101="*  -&gt; ##34###34#","// --END",'Treatment-Map-1'!E101)</f>
        <v>* beamQuality-otherSpecify -&gt; ##34#TBD##34#</v>
      </c>
    </row>
    <row r="466" spans="3:3">
      <c r="C466" s="12" t="str">
        <f>IF('Treatment-Map-1'!E102="*  -&gt; ##34###34#","// --END",'Treatment-Map-1'!E102)</f>
        <v>* treatmentTechnique -&gt; ##34#TBD##34#</v>
      </c>
    </row>
    <row r="467" spans="3:3">
      <c r="C467" s="12" t="str">
        <f>IF('Treatment-Map-1'!E103="*  -&gt; ##34###34#","// --END",'Treatment-Map-1'!E103)</f>
        <v>* treatmentTechnique-otherSpecify -&gt; ##34#TBD##34#</v>
      </c>
    </row>
    <row r="468" spans="3:3">
      <c r="C468" s="12" t="str">
        <f>IF('Treatment-Map-1'!E104="*  -&gt; ##34###34#","// --END",'Treatment-Map-1'!E104)</f>
        <v>* boostType -&gt; ##34#TBD##34#</v>
      </c>
    </row>
    <row r="469" spans="3:3">
      <c r="C469" s="12" t="str">
        <f>IF('Treatment-Map-1'!E105="*  -&gt; ##34###34#","// --END",'Treatment-Map-1'!E105)</f>
        <v>* treatmentPlan -&gt; ##34#TBD##34#</v>
      </c>
    </row>
    <row r="470" spans="3:3">
      <c r="C470" s="12" t="str">
        <f>IF('Treatment-Map-1'!E106="*  -&gt; ##34###34#","// --END",'Treatment-Map-1'!E106)</f>
        <v>* totalDoseTdGy -&gt; ##34#TBD##34#</v>
      </c>
    </row>
    <row r="471" spans="3:3">
      <c r="C471" s="12" t="str">
        <f>IF('Treatment-Map-1'!E107="*  -&gt; ##34###34#","// --END",'Treatment-Map-1'!E107)</f>
        <v>* fractionSizeFs -&gt; ##34#TBD##34#</v>
      </c>
    </row>
    <row r="472" spans="3:3">
      <c r="C472" s="12" t="str">
        <f>IF('Treatment-Map-1'!E108="*  -&gt; ##34###34#","// --END",'Treatment-Map-1'!E108)</f>
        <v>* numberOfFractions -&gt; ##34#TBD##34#</v>
      </c>
    </row>
    <row r="473" spans="3:3">
      <c r="C473" s="12" t="str">
        <f>IF('Treatment-Map-1'!E109="*  -&gt; ##34###34#","// --END",'Treatment-Map-1'!E109)</f>
        <v>* totalHighDoseGy -&gt; ##34#TBD##34#</v>
      </c>
    </row>
    <row r="474" spans="3:3">
      <c r="C474" s="12" t="str">
        <f>IF('Treatment-Map-1'!E110="*  -&gt; ##34###34#","// --END",'Treatment-Map-1'!E110)</f>
        <v>* totalHighDoseFraction -&gt; ##34#TBD##34#</v>
      </c>
    </row>
    <row r="475" spans="3:3">
      <c r="C475" s="12" t="str">
        <f>IF('Treatment-Map-1'!E111="*  -&gt; ##34###34#","// --END",'Treatment-Map-1'!E111)</f>
        <v>* totalIntermediateDoseGy -&gt; ##34#TBD##34#</v>
      </c>
    </row>
    <row r="476" spans="3:3">
      <c r="C476" s="12" t="str">
        <f>IF('Treatment-Map-1'!E112="*  -&gt; ##34###34#","// --END",'Treatment-Map-1'!E112)</f>
        <v>* totalIntermediateDoseFraction -&gt; ##34#TBD##34#</v>
      </c>
    </row>
    <row r="477" spans="3:3">
      <c r="C477" s="12" t="str">
        <f>IF('Treatment-Map-1'!E113="*  -&gt; ##34###34#","// --END",'Treatment-Map-1'!E113)</f>
        <v>* totalLowDoseGy -&gt; ##34#TBD##34#</v>
      </c>
    </row>
    <row r="478" spans="3:3">
      <c r="C478" s="12" t="str">
        <f>IF('Treatment-Map-1'!E114="*  -&gt; ##34###34#","// --END",'Treatment-Map-1'!E114)</f>
        <v>* totalLowDoseFraction -&gt; ##34#TBD##34#</v>
      </c>
    </row>
    <row r="479" spans="3:3">
      <c r="C479" s="12" t="str">
        <f>IF('Treatment-Map-1'!E115="*  -&gt; ##34###34#","// --END",'Treatment-Map-1'!E115)</f>
        <v>* fractionationPattern -&gt; ##34#TBD##34#</v>
      </c>
    </row>
    <row r="480" spans="3:3">
      <c r="C480" s="12" t="str">
        <f>IF('Treatment-Map-1'!E116="*  -&gt; ##34###34#","// --END",'Treatment-Map-1'!E116)</f>
        <v>* alteredFractionationScheme -&gt; ##34#TBD##34#</v>
      </c>
    </row>
    <row r="481" spans="3:3">
      <c r="C481" s="12" t="str">
        <f>IF('Treatment-Map-1'!E117="*  -&gt; ##34###34#","// --END",'Treatment-Map-1'!E117)</f>
        <v>* adaptiveRt -&gt; ##34#TBD##34#</v>
      </c>
    </row>
    <row r="482" spans="3:3">
      <c r="C482" s="12" t="str">
        <f>IF('Treatment-Map-1'!E118="*  -&gt; ##34###34#","// --END",'Treatment-Map-1'!E118)</f>
        <v>* igrtImageGuideRadiotherapy -&gt; ##34#TBD##34#</v>
      </c>
    </row>
    <row r="483" spans="3:3">
      <c r="C483" s="12" t="str">
        <f>IF('Treatment-Map-1'!E119="*  -&gt; ##34###34#","// --END",'Treatment-Map-1'!E119)</f>
        <v>* secondBeamQuality -&gt; ##34#TBD##34#</v>
      </c>
    </row>
    <row r="484" spans="3:3">
      <c r="C484" s="12" t="str">
        <f>IF('Treatment-Map-1'!E120="*  -&gt; ##34###34#","// --END",'Treatment-Map-1'!E120)</f>
        <v>* otherSpecify2 -&gt; ##34#TBD##34#</v>
      </c>
    </row>
    <row r="485" spans="3:3">
      <c r="C485" s="12" t="str">
        <f>IF('Treatment-Map-1'!E121="*  -&gt; ##34###34#","// --END",'Treatment-Map-1'!E121)</f>
        <v>* treatmentTechnique2 -&gt; ##34#TBD##34#</v>
      </c>
    </row>
    <row r="486" spans="3:3">
      <c r="C486" s="12" t="str">
        <f>IF('Treatment-Map-1'!E122="*  -&gt; ##34###34#","// --END",'Treatment-Map-1'!E122)</f>
        <v>* treatmentTechnique2OtherSpecify -&gt; ##34#TBD##34#</v>
      </c>
    </row>
    <row r="487" spans="3:3">
      <c r="C487" s="12" t="str">
        <f>IF('Treatment-Map-1'!E123="*  -&gt; ##34###34#","// --END",'Treatment-Map-1'!E123)</f>
        <v>* startDate -&gt; ##34#TBD##34#</v>
      </c>
    </row>
    <row r="488" spans="3:3">
      <c r="C488" s="12" t="str">
        <f>IF('Treatment-Map-1'!E124="*  -&gt; ##34###34#","// --END",'Treatment-Map-1'!E124)</f>
        <v>* startDateRadiotherapyDayUnknown -&gt; ##34#TBD##34#</v>
      </c>
    </row>
    <row r="489" spans="3:3">
      <c r="C489" s="12" t="str">
        <f>IF('Treatment-Map-1'!E125="*  -&gt; ##34###34#","// --END",'Treatment-Map-1'!E125)</f>
        <v>* endDate -&gt; ##34#TBD##34#</v>
      </c>
    </row>
    <row r="490" spans="3:3">
      <c r="C490" s="12" t="str">
        <f>IF('Treatment-Map-1'!E126="*  -&gt; ##34###34#","// --END",'Treatment-Map-1'!E126)</f>
        <v>* endDateRadiotherapyDayUnknown -&gt; ##34#TBD##34#</v>
      </c>
    </row>
    <row r="491" spans="3:3">
      <c r="C491" s="12" t="str">
        <f>IF('Treatment-Map-1'!E127="*  -&gt; ##34###34#","// --END",'Treatment-Map-1'!E127)</f>
        <v>* treatmentInterruption2DaysNotIncludingIntendedBreaks -&gt; ##34#TBD##34#</v>
      </c>
    </row>
    <row r="492" spans="3:3">
      <c r="C492" s="12" t="str">
        <f>IF('Treatment-Map-1'!E128="*  -&gt; ##34###34#","// --END",'Treatment-Map-1'!E128)</f>
        <v>* treatmentDaysMissed -&gt; ##34#TBD##34#</v>
      </c>
    </row>
    <row r="493" spans="3:3">
      <c r="C493" s="12" t="str">
        <f>IF('Treatment-Map-1'!E129="*  -&gt; ##34###34#","// --END",'Treatment-Map-1'!E129)</f>
        <v>* overallTreatmentTimeOtt -&gt; ##34#TBD##34#</v>
      </c>
    </row>
    <row r="494" spans="3:3">
      <c r="C494" s="12" t="str">
        <f>IF('Treatment-Map-1'!E130="*  -&gt; ##34###34#","// --END",'Treatment-Map-1'!E130)</f>
        <v>* overallTreatmentTimeOttManualInDays -&gt; ##34#TBD##34#</v>
      </c>
    </row>
    <row r="495" spans="3:3">
      <c r="C495" s="12" t="str">
        <f>IF('Treatment-Map-1'!E131="*  -&gt; ##34###34#","// --END",'Treatment-Map-1'!E131)</f>
        <v>* treatmentSites -&gt; ##34#TBD##34#</v>
      </c>
    </row>
    <row r="496" spans="3:3">
      <c r="C496" s="12" t="str">
        <f>IF('Treatment-Map-1'!E132="*  -&gt; ##34###34#","// --END",'Treatment-Map-1'!E132)</f>
        <v>* primary -&gt; ##34#TBD##34#</v>
      </c>
    </row>
    <row r="497" spans="3:3">
      <c r="C497" s="12" t="str">
        <f>IF('Treatment-Map-1'!E133="*  -&gt; ##34###34#","// --END",'Treatment-Map-1'!E133)</f>
        <v>* neck -&gt; ##34#TBD##34#</v>
      </c>
    </row>
    <row r="498" spans="3:3">
      <c r="C498" s="12" t="str">
        <f>IF('Treatment-Map-1'!E134="*  -&gt; ##34###34#","// --END",'Treatment-Map-1'!E134)</f>
        <v>* primaryAndIpsilateralNeck -&gt; ##34#TBD##34#</v>
      </c>
    </row>
    <row r="499" spans="3:3">
      <c r="C499" s="12" t="str">
        <f>IF('Treatment-Map-1'!E135="*  -&gt; ##34###34#","// --END",'Treatment-Map-1'!E135)</f>
        <v>* primaryAndBilateralNeck -&gt; ##34#TBD##34#</v>
      </c>
    </row>
    <row r="500" spans="3:3">
      <c r="C500" s="12" t="str">
        <f>IF('Treatment-Map-1'!E136="*  -&gt; ##34###34#","// --END",'Treatment-Map-1'!E136)</f>
        <v>* distantMetastasis -&gt; ##34#TBD##34#</v>
      </c>
    </row>
    <row r="501" spans="3:3">
      <c r="C501" s="12" t="str">
        <f>IF('Treatment-Map-1'!E137="*  -&gt; ##34###34#","// --END",'Treatment-Map-1'!E137)</f>
        <v>* metastaticTreatmentSites -&gt; ##34#TBD##34#</v>
      </c>
    </row>
    <row r="502" spans="3:3" ht="29.5">
      <c r="C502" s="12" t="str">
        <f>IF('Treatment-Map-1'!E138="*  -&gt; ##34###34#","// --END",'Treatment-Map-1'!E138)</f>
        <v>* lung
 -&gt; ##34#TBD##34#</v>
      </c>
    </row>
    <row r="503" spans="3:3" ht="29.5">
      <c r="C503" s="12" t="str">
        <f>IF('Treatment-Map-1'!E139="*  -&gt; ##34###34#","// --END",'Treatment-Map-1'!E139)</f>
        <v>* mediastinum
 -&gt; ##34#TBD##34#</v>
      </c>
    </row>
    <row r="504" spans="3:3" ht="29.5">
      <c r="C504" s="12" t="str">
        <f>IF('Treatment-Map-1'!E140="*  -&gt; ##34###34#","// --END",'Treatment-Map-1'!E140)</f>
        <v>* bone
 -&gt; ##34#TBD##34#</v>
      </c>
    </row>
    <row r="505" spans="3:3" ht="29.5">
      <c r="C505" s="12" t="str">
        <f>IF('Treatment-Map-1'!E141="*  -&gt; ##34###34#","// --END",'Treatment-Map-1'!E141)</f>
        <v>* softTissue
 -&gt; ##34#TBD##34#</v>
      </c>
    </row>
    <row r="506" spans="3:3" ht="29.5">
      <c r="C506" s="12" t="str">
        <f>IF('Treatment-Map-1'!E142="*  -&gt; ##34###34#","// --END",'Treatment-Map-1'!E142)</f>
        <v>* liver
 -&gt; ##34#TBD##34#</v>
      </c>
    </row>
    <row r="507" spans="3:3">
      <c r="C507" s="12" t="str">
        <f>IF('Treatment-Map-1'!E143="*  -&gt; ##34###34#","// --END",'Treatment-Map-1'!E143)</f>
        <v>* unknown -&gt; ##34#TBD##34#</v>
      </c>
    </row>
    <row r="508" spans="3:3">
      <c r="C508" s="12" t="str">
        <f>IF('Treatment-Map-1'!E144="*  -&gt; ##34###34#","// --END",'Treatment-Map-1'!E144)</f>
        <v>* other -&gt; ##34#TBD##34#</v>
      </c>
    </row>
    <row r="509" spans="3:3">
      <c r="C509" s="12" t="str">
        <f>IF('Treatment-Map-1'!E145="*  -&gt; ##34###34#","// --END",'Treatment-Map-1'!E145)</f>
        <v>* otherSpecify -&gt; ##34#TBD##34#</v>
      </c>
    </row>
    <row r="510" spans="3:3">
      <c r="C510" s="12" t="str">
        <f>IF('Treatment-Map-1'!E146="*  -&gt; ##34###34#","// --END",'Treatment-Map-1'!E146)</f>
        <v>* neckLevelsIrradiatedRight -&gt; ##34#TBD##34#</v>
      </c>
    </row>
    <row r="511" spans="3:3">
      <c r="C511" s="12" t="str">
        <f>IF('Treatment-Map-1'!E147="*  -&gt; ##34###34#","// --END",'Treatment-Map-1'!E147)</f>
        <v>* neckLevelsIrradiatedLeft -&gt; ##34#TBD##34#</v>
      </c>
    </row>
    <row r="512" spans="3:3">
      <c r="C512" s="12" t="str">
        <f>IF('Treatment-Map-1'!E148="*  -&gt; ##34###34#","// --END",'Treatment-Map-1'!E148)</f>
        <v>* ctvHighExpansion -&gt; ##34#TBD##34#</v>
      </c>
    </row>
    <row r="513" spans="3:3">
      <c r="C513" s="12" t="str">
        <f>IF('Treatment-Map-1'!E149="*  -&gt; ##34###34#","// --END",'Treatment-Map-1'!E149)</f>
        <v>* ptvHighExpansion -&gt; ##34#TBD##34#</v>
      </c>
    </row>
    <row r="514" spans="3:3">
      <c r="C514" s="12" t="str">
        <f>IF('Treatment-Map-1'!E150="*  -&gt; ##34###34#","// --END",'Treatment-Map-1'!E150)</f>
        <v>* v60OfSkin -&gt; ##34#TBD##34#</v>
      </c>
    </row>
    <row r="515" spans="3:3">
      <c r="C515" s="12" t="str">
        <f>IF('Treatment-Map-1'!E151="*  -&gt; ##34###34#","// --END",'Treatment-Map-1'!E151)</f>
        <v>* treatmentCompletedAsPlanned -&gt; ##34#TBD##34#</v>
      </c>
    </row>
    <row r="516" spans="3:3">
      <c r="C516" s="12" t="str">
        <f>IF('Treatment-Map-1'!E152="*  -&gt; ##34###34#","// --END",'Treatment-Map-1'!E152)</f>
        <v>* hospitalizedDuringRt -&gt; ##34#TBD##34#</v>
      </c>
    </row>
    <row r="517" spans="3:3">
      <c r="C517" s="12" t="str">
        <f>IF('Treatment-Map-1'!E153="*  -&gt; ##34###34#","// --END",'Treatment-Map-1'!E153)</f>
        <v>* carotidBlowout -&gt; ##34#TBD##34#</v>
      </c>
    </row>
    <row r="518" spans="3:3">
      <c r="C518" s="12" t="str">
        <f>IF('Treatment-Map-1'!E154="*  -&gt; ##34###34#","// --END",'Treatment-Map-1'!E154)</f>
        <v>* feedingTubeDuringRt -&gt; ##34#TBD##34#</v>
      </c>
    </row>
    <row r="519" spans="3:3">
      <c r="C519" s="12" t="str">
        <f>IF('Treatment-Map-1'!E155="*  -&gt; ##34###34#","// --END",'Treatment-Map-1'!E155)</f>
        <v>* feedingTubeReason -&gt; ##34#TBD##34#</v>
      </c>
    </row>
    <row r="520" spans="3:3">
      <c r="C520" s="12" t="str">
        <f>IF('Treatment-Map-1'!E156="*  -&gt; ##34###34#","// --END",'Treatment-Map-1'!E156)</f>
        <v>* smokingDuringRt -&gt; ##34#TBD##34#</v>
      </c>
    </row>
    <row r="521" spans="3:3">
      <c r="C521" s="12" t="str">
        <f>IF('Treatment-Map-1'!E157="*  -&gt; ##34###34#","// --END",'Treatment-Map-1'!E157)</f>
        <v>* alcoholDuringRt -&gt; ##34#TBD##34#</v>
      </c>
    </row>
    <row r="522" spans="3:3">
      <c r="C522" s="12" t="str">
        <f>IF('Treatment-Map-1'!E158="*  -&gt; ##34###34#","// --END",'Treatment-Map-1'!E158)</f>
        <v>* otherTypeOfTreatment -&gt; ##34#TBD##34#</v>
      </c>
    </row>
    <row r="523" spans="3:3">
      <c r="C523" s="12" t="str">
        <f>IF('Treatment-Map-1'!E159="*  -&gt; ##34###34#","// --END",'Treatment-Map-1'!E159)</f>
        <v>* otherTreatmentPerformed -&gt; ##34#TBD##34#</v>
      </c>
    </row>
    <row r="524" spans="3:3">
      <c r="C524" s="12" t="str">
        <f>IF('Treatment-Map-1'!E160="*  -&gt; ##34###34#","// --END",'Treatment-Map-1'!E160)</f>
        <v>* dateOfStart -&gt; ##34#TBD##34#</v>
      </c>
    </row>
    <row r="525" spans="3:3">
      <c r="C525" s="12" t="str">
        <f>IF('Treatment-Map-1'!E161="*  -&gt; ##34###34#","// --END",'Treatment-Map-1'!E161)</f>
        <v>* dateOfOtherTreatmentDayUnknown -&gt; ##34#TBD##34#</v>
      </c>
    </row>
    <row r="526" spans="3:3">
      <c r="C526" s="12" t="str">
        <f>IF('Treatment-Map-1'!E162="*  -&gt; ##34###34#","// --END",'Treatment-Map-1'!E162)</f>
        <v>* dateOfEnd -&gt; ##34#TBD##34#</v>
      </c>
    </row>
    <row r="527" spans="3:3">
      <c r="C527" s="12" t="str">
        <f>IF('Treatment-Map-1'!E163="*  -&gt; ##34###34#","// --END",'Treatment-Map-1'!E163)</f>
        <v>* dateOfEndOtherTreatmentDayUnknown -&gt; ##34#TBD##34#</v>
      </c>
    </row>
    <row r="528" spans="3:3">
      <c r="C528" s="12" t="str">
        <f>IF('Treatment-Map-1'!E164="*  -&gt; ##34###34#","// --END",'Treatment-Map-1'!E164)</f>
        <v>* type -&gt; ##34#TBD##34#</v>
      </c>
    </row>
    <row r="529" spans="3:3">
      <c r="C529" s="12" t="str">
        <f>IF('Treatment-Map-1'!E165="*  -&gt; ##34###34#","// --END",'Treatment-Map-1'!E165)</f>
        <v>* treatmentCompleted -&gt; ##34#TBD##34#</v>
      </c>
    </row>
    <row r="530" spans="3:3">
      <c r="C530" s="12" t="str">
        <f>IF('Treatment-Map-1'!E166="*  -&gt; ##34###34#","// --END",'Treatment-Map-1'!E166)</f>
        <v>* overallTreatmentResponse -&gt; ##34#TBD##34#</v>
      </c>
    </row>
    <row r="531" spans="3:3">
      <c r="C531" s="12" t="str">
        <f>IF('Treatment-Map-1'!E167="*  -&gt; ##34###34#","// --END",'Treatment-Map-1'!E167)</f>
        <v>* treatmentResponseBasedOnImagingAloneNoRecistOrOtherCriteria-2 -&gt; ##34#TBD##34#</v>
      </c>
    </row>
    <row r="532" spans="3:3">
      <c r="C532" s="12" t="str">
        <f>IF('Treatment-Map-1'!E168="*  -&gt; ##34###34#","// --END",'Treatment-Map-1'!E168)</f>
        <v>* treatmentResponseDefineddone -&gt; ##34#TBD##34#</v>
      </c>
    </row>
    <row r="533" spans="3:3">
      <c r="C533" s="12" t="str">
        <f>IF('Treatment-Map-1'!E169="*  -&gt; ##34###34#","// --END",'Treatment-Map-1'!E169)</f>
        <v>* patientIncludedInClinicalTrial -&gt; ##34#TBD##34#</v>
      </c>
    </row>
    <row r="534" spans="3:3">
      <c r="C534" s="12" t="str">
        <f>IF('Treatment-Map-1'!E170="*  -&gt; ##34###34#","// --END",'Treatment-Map-1'!E170)</f>
        <v>* patientIncludedInAClinicalTrial -&gt; ##34#TBD##34#</v>
      </c>
    </row>
    <row r="535" spans="3:3">
      <c r="C535" s="12" t="str">
        <f>IF('Treatment-Map-1'!E171="*  -&gt; ##34###34#","// --END",'Treatment-Map-1'!E171)</f>
        <v>* clinicalTrialCode -&gt; ##34#TBD##34#</v>
      </c>
    </row>
    <row r="536" spans="3:3">
      <c r="C536" s="12" t="str">
        <f>IF('Treatment-Map-1'!E172="*  -&gt; ##34###34#","// --END",'Treatment-Map-1'!E172)</f>
        <v>* instrumentStatus -&gt; ##34#TBD##34#</v>
      </c>
    </row>
    <row r="537" spans="3:3">
      <c r="C537" s="12" t="str">
        <f>IF('Treatment-Map-1'!E173="*  -&gt; ##34###34#","// --END",'Treatment-Map-1'!E173)</f>
        <v>// --END</v>
      </c>
    </row>
    <row r="538" spans="3:3">
      <c r="C538" s="12" t="str">
        <f>IF('Treatment-Map-1'!E174="*  -&gt; ##34###34#","// --END",'Treatment-Map-1'!E174)</f>
        <v>// --END</v>
      </c>
    </row>
    <row r="539" spans="3:3">
      <c r="C539" s="12" t="str">
        <f>IF('Treatment-Map-1'!E175="*  -&gt; ##34###34#","// --END",'Treatment-Map-1'!E175)</f>
        <v>// --END</v>
      </c>
    </row>
    <row r="540" spans="3:3">
      <c r="C540" s="12" t="str">
        <f>IF('Treatment-Map-1'!E176="*  -&gt; ##34###34#","// --END",'Treatment-Map-1'!E176)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373</xdr:row>
                    <xdr:rowOff>171450</xdr:rowOff>
                  </from>
                  <to>
                    <xdr:col>2</xdr:col>
                    <xdr:colOff>1117600</xdr:colOff>
                    <xdr:row>375</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0E225-EC64-4012-8562-D104792F8DC1}">
  <sheetPr codeName="Foglio50">
    <tabColor theme="0" tint="-0.499984740745262"/>
  </sheetPr>
  <dimension ref="A3:Q184"/>
  <sheetViews>
    <sheetView workbookViewId="0">
      <selection activeCell="B11" sqref="B11"/>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1412</v>
      </c>
      <c r="I3" s="12" t="s">
        <v>1413</v>
      </c>
      <c r="J3" s="12" t="s">
        <v>1414</v>
      </c>
      <c r="K3" s="12" t="s">
        <v>1415</v>
      </c>
      <c r="L3" s="11" t="s">
        <v>1416</v>
      </c>
      <c r="N3" s="53" t="s">
        <v>1451</v>
      </c>
      <c r="O3" s="53">
        <v>5</v>
      </c>
    </row>
    <row r="4" spans="1:17" ht="15.5" thickBot="1">
      <c r="B4" s="10" t="s">
        <v>18</v>
      </c>
      <c r="C4" s="29"/>
      <c r="E4" s="58"/>
      <c r="H4" s="12"/>
      <c r="I4" s="11"/>
      <c r="J4" s="11"/>
      <c r="K4" s="11"/>
      <c r="L4" s="11"/>
    </row>
    <row r="5" spans="1:17" ht="15.5" thickBot="1">
      <c r="B5" s="10" t="s">
        <v>17</v>
      </c>
      <c r="C5" s="13"/>
      <c r="E5" s="59"/>
      <c r="H5" s="12"/>
      <c r="I5" s="11"/>
      <c r="J5" s="11"/>
      <c r="K5" s="11"/>
      <c r="L5" s="11"/>
    </row>
    <row r="6" spans="1:17" ht="15.5" thickBot="1">
      <c r="B6" s="10" t="s">
        <v>11</v>
      </c>
      <c r="C6" s="7"/>
      <c r="E6" s="7"/>
      <c r="H6" s="17" t="s">
        <v>1454</v>
      </c>
      <c r="I6" s="71" t="s">
        <v>1455</v>
      </c>
      <c r="J6" s="17" t="s">
        <v>1452</v>
      </c>
      <c r="K6" s="71" t="s">
        <v>1453</v>
      </c>
      <c r="L6" s="67" t="s">
        <v>1447</v>
      </c>
    </row>
    <row r="7" spans="1:17">
      <c r="B7" s="64" t="s">
        <v>19</v>
      </c>
      <c r="C7" s="60"/>
      <c r="E7" s="60"/>
      <c r="H7" s="12"/>
      <c r="I7" s="11"/>
      <c r="J7" s="11"/>
      <c r="K7" s="11"/>
      <c r="L7" s="11"/>
    </row>
    <row r="8" spans="1:17">
      <c r="B8" s="66" t="s">
        <v>16</v>
      </c>
      <c r="C8" s="11"/>
      <c r="D8" s="12"/>
      <c r="E8" s="11"/>
      <c r="F8" s="67" t="s">
        <v>1447</v>
      </c>
      <c r="G8" s="70"/>
      <c r="H8" s="12"/>
      <c r="I8" s="11"/>
      <c r="J8" s="67"/>
      <c r="K8" s="67"/>
      <c r="L8" s="67"/>
    </row>
    <row r="9" spans="1:17">
      <c r="A9" s="63"/>
      <c r="B9" s="6"/>
      <c r="C9" s="11"/>
      <c r="D9" s="6" t="s">
        <v>1406</v>
      </c>
      <c r="E9" s="6"/>
      <c r="F9" s="11"/>
      <c r="H9" s="12"/>
      <c r="I9" s="11"/>
      <c r="J9" s="11"/>
      <c r="K9" s="11"/>
      <c r="L9" s="67"/>
    </row>
    <row r="10" spans="1:17" ht="44.25">
      <c r="A10" s="63"/>
      <c r="B10" s="6" t="str">
        <f>Treatment!B5</f>
        <v>Treatment</v>
      </c>
      <c r="C10" s="6" t="str">
        <f>Treatment!B6</f>
        <v>Treatment</v>
      </c>
      <c r="D10" s="61" t="str">
        <f>ConvertOsiris!I2</f>
        <v>Patient</v>
      </c>
      <c r="E10" s="61" t="str">
        <f>ConvertOsiris!J2</f>
        <v>Patient</v>
      </c>
      <c r="F10" s="68" t="s">
        <v>1439</v>
      </c>
      <c r="G10" s="62"/>
      <c r="H10" s="12" t="str">
        <f>"* group[=].element[+].code = #"&amp;B10</f>
        <v>* group[=].element[+].code = #Treatment</v>
      </c>
      <c r="I10" s="12" t="str">
        <f>"* group[=].element[=].display = ##34#"&amp;C10&amp;"##34#"</f>
        <v>* group[=].element[=].display = ##34#Treatment##34#</v>
      </c>
      <c r="J10" s="12" t="str">
        <f>IF(F10="unmatched","//-- unmatched","* group[=].element[=].target.code = #"&amp;$D$9&amp;"."&amp;D10)</f>
        <v>* group[=].element[=].target.code = #Osiris.Patient</v>
      </c>
      <c r="K10" s="12" t="str">
        <f>IF(F10="unmatched","//-- unmatched","* group[=].element[=].target.display = ##34#"&amp;E10&amp;"##34#")</f>
        <v>* group[=].element[=].target.display = ##34#Patient##34#</v>
      </c>
      <c r="L10" s="12" t="str">
        <f>"* group[=].element[=].target.equivalence = #"&amp;F10</f>
        <v>* group[=].element[=].target.equivalence = #equivalent</v>
      </c>
      <c r="N10" s="11">
        <v>1</v>
      </c>
      <c r="O10" s="11">
        <f>IF(MOD(N10,$O$3)=0,N10/$O$3-1,INT(N10/$O$3))</f>
        <v>0</v>
      </c>
      <c r="P10" s="11">
        <f>IF(MOD(N10,$O$3)=0,$O$3,MOD(N10,$O$3))</f>
        <v>1</v>
      </c>
      <c r="Q10" s="12" t="str" cm="1">
        <f t="array" ref="Q10">INDEX('Treatment-ConceptMap'!$H$10:$L$264,O10+1,P10)</f>
        <v>* group[=].element[+].code = #Treatment</v>
      </c>
    </row>
    <row r="11" spans="1:17" ht="44.25">
      <c r="A11" s="63"/>
      <c r="B11" s="11" t="str">
        <f>$B$10&amp;"."&amp;Treatment!B8</f>
        <v>Treatment.surgery</v>
      </c>
      <c r="C11" s="11" t="str">
        <f>Treatment!C8</f>
        <v xml:space="preserve">Surgery </v>
      </c>
      <c r="D11" s="11" t="str">
        <f>ConvertOsiris!I6</f>
        <v>Patient.BirthDate</v>
      </c>
      <c r="E11" s="11" t="str">
        <f>ConvertOsiris!J6</f>
        <v>Birth Date [C4]</v>
      </c>
      <c r="F11" s="68" t="s">
        <v>1417</v>
      </c>
      <c r="G11" s="62"/>
      <c r="H11" s="12" t="str">
        <f t="shared" ref="H11:H17" si="0">"* group[=].element[+].code = #"&amp;B11</f>
        <v>* group[=].element[+].code = #Treatment.surgery</v>
      </c>
      <c r="I11" s="12" t="str">
        <f t="shared" ref="I11:I17" si="1">"* group[=].element[=].display = ##34#"&amp;C11&amp;"##34#"</f>
        <v>* group[=].element[=].display = ##34#Surgery ##34#</v>
      </c>
      <c r="J11" s="12" t="str">
        <f t="shared" ref="J11:J17" si="2">IF(F11="unmatched","//-- unmatched","* group[=].element[=].target.code = #"&amp;$D$9&amp;"."&amp;D11)</f>
        <v>* group[=].element[=].target.code = #Osiris.Patient.BirthDate</v>
      </c>
      <c r="K11" s="12" t="str">
        <f t="shared" ref="K11:K17" si="3">IF(F11="unmatched","//-- unmatched","* group[=].element[=].target.display = ##34#"&amp;E11&amp;"##34#")</f>
        <v>* group[=].element[=].target.display = ##34#Birth Date [C4]##34#</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INDEX('Treatment-ConceptMap'!$H$10:$L$264,O11+1,P11)</f>
        <v>* group[=].element[=].display = ##34#Treatment##34#</v>
      </c>
    </row>
    <row r="12" spans="1:17" ht="44.25">
      <c r="A12" s="63"/>
      <c r="B12" s="11" t="str">
        <f>$B$10&amp;"."&amp;Treatment!B9</f>
        <v>Treatment.surgeryPerformed</v>
      </c>
      <c r="C12" s="11" t="str">
        <f>Treatment!C9</f>
        <v>Surgery performed</v>
      </c>
      <c r="D12" s="11" t="str">
        <f>ConvertOsiris!I6</f>
        <v>Patient.BirthDate</v>
      </c>
      <c r="E12" s="11" t="str">
        <f>ConvertOsiris!J6</f>
        <v>Birth Date [C4]</v>
      </c>
      <c r="F12" s="68" t="s">
        <v>1439</v>
      </c>
      <c r="G12" s="62"/>
      <c r="H12" s="12" t="str">
        <f t="shared" si="0"/>
        <v>* group[=].element[+].code = #Treatment.surgeryPerformed</v>
      </c>
      <c r="I12" s="12" t="str">
        <f t="shared" si="1"/>
        <v>* group[=].element[=].display = ##34#Surgery performed##34#</v>
      </c>
      <c r="J12" s="12" t="str">
        <f t="shared" si="2"/>
        <v>* group[=].element[=].target.code = #Osiris.Patient.BirthDate</v>
      </c>
      <c r="K12" s="12" t="str">
        <f t="shared" si="3"/>
        <v>* group[=].element[=].target.display = ##34#Birth Date [C4]##34#</v>
      </c>
      <c r="L12" s="12" t="str">
        <f t="shared" si="4"/>
        <v>* group[=].element[=].target.equivalence = #equivalent</v>
      </c>
      <c r="N12" s="11">
        <v>3</v>
      </c>
      <c r="O12" s="11">
        <f t="shared" si="5"/>
        <v>0</v>
      </c>
      <c r="P12" s="11">
        <f t="shared" si="6"/>
        <v>3</v>
      </c>
      <c r="Q12" s="12" t="str" cm="1">
        <f t="array" ref="Q12">INDEX('Treatment-ConceptMap'!$H$10:$L$264,O12+1,P12)</f>
        <v>* group[=].element[=].target.code = #Osiris.Patient</v>
      </c>
    </row>
    <row r="13" spans="1:17" ht="44.25">
      <c r="A13" s="63"/>
      <c r="B13" s="11" t="str">
        <f>$B$10&amp;"."&amp;Treatment!B11</f>
        <v>Treatment.surgeryIntention</v>
      </c>
      <c r="C13" s="11" t="str">
        <f>Treatment!C11</f>
        <v>Surgery intention</v>
      </c>
      <c r="D13" s="11"/>
      <c r="E13" s="11"/>
      <c r="F13" s="68" t="s">
        <v>1434</v>
      </c>
      <c r="G13" s="62"/>
      <c r="H13" s="12" t="str">
        <f t="shared" si="0"/>
        <v>* group[=].element[+].code = #Treatment.surgeryIntention</v>
      </c>
      <c r="I13" s="12" t="str">
        <f t="shared" si="1"/>
        <v>* group[=].element[=].display = ##34#Surgery intention##34#</v>
      </c>
      <c r="J13" s="12" t="str">
        <f t="shared" si="2"/>
        <v>//-- unmatched</v>
      </c>
      <c r="K13" s="12" t="str">
        <f t="shared" si="3"/>
        <v>//-- unmatched</v>
      </c>
      <c r="L13" s="12" t="str">
        <f t="shared" si="4"/>
        <v>* group[=].element[=].target.equivalence = #unmatched</v>
      </c>
      <c r="N13" s="11">
        <v>4</v>
      </c>
      <c r="O13" s="11">
        <f t="shared" si="5"/>
        <v>0</v>
      </c>
      <c r="P13" s="11">
        <f t="shared" si="6"/>
        <v>4</v>
      </c>
      <c r="Q13" s="12" t="str" cm="1">
        <f t="array" ref="Q13">INDEX('Treatment-ConceptMap'!$H$10:$L$264,O13+1,P13)</f>
        <v>* group[=].element[=].target.display = ##34#Patient##34#</v>
      </c>
    </row>
    <row r="14" spans="1:17" ht="44.25">
      <c r="A14" s="63"/>
      <c r="B14" s="11" t="str">
        <f>$B$10&amp;"."&amp;Treatment!B12</f>
        <v>Treatment.tumorSurgeryApproach</v>
      </c>
      <c r="C14" s="11" t="str">
        <f>Treatment!C12</f>
        <v>Tumor surgery approach</v>
      </c>
      <c r="D14" s="11"/>
      <c r="E14" s="11"/>
      <c r="F14" s="68" t="s">
        <v>1434</v>
      </c>
      <c r="G14" s="62"/>
      <c r="H14" s="12" t="str">
        <f t="shared" si="0"/>
        <v>* group[=].element[+].code = #Treatment.tumorSurgeryApproach</v>
      </c>
      <c r="I14" s="12" t="str">
        <f t="shared" si="1"/>
        <v>* group[=].element[=].display = ##34#Tumor surgery approach##34#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INDEX('Treatment-ConceptMap'!$H$10:$L$264,O14+1,P14)</f>
        <v>* group[=].element[=].target.equivalence = #equivalent</v>
      </c>
    </row>
    <row r="15" spans="1:17" ht="44.25">
      <c r="A15" s="63"/>
      <c r="B15" s="11" t="str">
        <f>$B$10&amp;"."&amp;Treatment!B13</f>
        <v>Treatment.tumorSurgeryDevice</v>
      </c>
      <c r="C15" s="11" t="str">
        <f>Treatment!C13</f>
        <v>Tumor surgery device</v>
      </c>
      <c r="D15" s="11" t="str">
        <f>ConvertOsiris!I4</f>
        <v>Patient.Gender</v>
      </c>
      <c r="E15" s="11" t="str">
        <f>ConvertOsiris!J4</f>
        <v>Gender [C2]</v>
      </c>
      <c r="F15" s="68" t="s">
        <v>1443</v>
      </c>
      <c r="G15" s="62"/>
      <c r="H15" s="12" t="str">
        <f t="shared" si="0"/>
        <v>* group[=].element[+].code = #Treatment.tumorSurgeryDevice</v>
      </c>
      <c r="I15" s="12" t="str">
        <f t="shared" si="1"/>
        <v>* group[=].element[=].display = ##34#Tumor surgery device##34#</v>
      </c>
      <c r="J15" s="12" t="str">
        <f t="shared" si="2"/>
        <v>* group[=].element[=].target.code = #Osiris.Patient.Gender</v>
      </c>
      <c r="K15" s="12" t="str">
        <f t="shared" si="3"/>
        <v>* group[=].element[=].target.display = ##34#Gender [C2]##34#</v>
      </c>
      <c r="L15" s="12" t="str">
        <f t="shared" si="4"/>
        <v>* group[=].element[=].target.equivalence = #narrower</v>
      </c>
      <c r="N15" s="11">
        <v>6</v>
      </c>
      <c r="O15" s="11">
        <f t="shared" si="5"/>
        <v>1</v>
      </c>
      <c r="P15" s="11">
        <f t="shared" si="6"/>
        <v>1</v>
      </c>
      <c r="Q15" s="12" t="str" cm="1">
        <f t="array" ref="Q15">INDEX('Treatment-ConceptMap'!$H$10:$L$264,O15+1,P15)</f>
        <v>* group[=].element[+].code = #Treatment.surgery</v>
      </c>
    </row>
    <row r="16" spans="1:17" ht="44.25">
      <c r="A16" s="63"/>
      <c r="B16" s="11" t="str">
        <f>$B$10&amp;"."&amp;Treatment!B14</f>
        <v>Treatment.surgicalProcedure</v>
      </c>
      <c r="C16" s="11" t="str">
        <f>Treatment!C14</f>
        <v>Surgical procedure</v>
      </c>
      <c r="D16" s="11" t="str">
        <f>ConvertOsiris!I5</f>
        <v>Patient.Ethnicity</v>
      </c>
      <c r="E16" s="11" t="str">
        <f>ConvertOsiris!J5</f>
        <v>Ethnicity [C3]</v>
      </c>
      <c r="F16" s="68" t="s">
        <v>1441</v>
      </c>
      <c r="G16" s="62"/>
      <c r="H16" s="12" t="str">
        <f t="shared" si="0"/>
        <v>* group[=].element[+].code = #Treatment.surgicalProcedure</v>
      </c>
      <c r="I16" s="12" t="str">
        <f t="shared" si="1"/>
        <v>* group[=].element[=].display = ##34#Surgical procedure##34#</v>
      </c>
      <c r="J16" s="12" t="str">
        <f t="shared" si="2"/>
        <v>* group[=].element[=].target.code = #Osiris.Patient.Ethnicity</v>
      </c>
      <c r="K16" s="12" t="str">
        <f t="shared" si="3"/>
        <v>* group[=].element[=].target.display = ##34#Ethnicity [C3]##34#</v>
      </c>
      <c r="L16" s="12" t="str">
        <f t="shared" si="4"/>
        <v>* group[=].element[=].target.equivalence = #wider</v>
      </c>
      <c r="N16" s="11">
        <v>7</v>
      </c>
      <c r="O16" s="11">
        <f t="shared" si="5"/>
        <v>1</v>
      </c>
      <c r="P16" s="11">
        <f t="shared" si="6"/>
        <v>2</v>
      </c>
      <c r="Q16" s="12" t="str" cm="1">
        <f t="array" ref="Q16">INDEX('Treatment-ConceptMap'!$H$10:$L$264,O16+1,P16)</f>
        <v>* group[=].element[=].display = ##34#Surgery ##34#</v>
      </c>
    </row>
    <row r="17" spans="1:17" ht="44.25">
      <c r="A17" s="63"/>
      <c r="B17" s="11" t="str">
        <f>$B$10&amp;"."&amp;Treatment!B15</f>
        <v>Treatment.surgicalProcedure.surgicalProcedureNasopharynx</v>
      </c>
      <c r="C17" s="11" t="str">
        <f>Treatment!C15</f>
        <v>Surgical procedure Nasopharynx</v>
      </c>
      <c r="D17" s="11"/>
      <c r="E17" s="12"/>
      <c r="F17" s="68" t="s">
        <v>1434</v>
      </c>
      <c r="G17" s="62"/>
      <c r="H17" s="12" t="str">
        <f t="shared" si="0"/>
        <v>* group[=].element[+].code = #Treatment.surgicalProcedure.surgicalProcedureNasopharynx</v>
      </c>
      <c r="I17" s="12" t="str">
        <f t="shared" si="1"/>
        <v>* group[=].element[=].display = ##34#Surgical procedure Nasopharynx##34#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INDEX('Treatment-ConceptMap'!$H$10:$L$264,O17+1,P17)</f>
        <v>* group[=].element[=].target.code = #Osiris.Patient.BirthDate</v>
      </c>
    </row>
    <row r="18" spans="1:17">
      <c r="A18" s="63"/>
      <c r="B18" s="11"/>
      <c r="C18" s="11"/>
      <c r="D18" s="11"/>
      <c r="E18" s="12"/>
      <c r="F18" s="68"/>
      <c r="G18" s="62"/>
      <c r="H18" s="12"/>
      <c r="I18" s="12"/>
      <c r="J18" s="12"/>
      <c r="K18" s="12"/>
      <c r="L18" s="12"/>
      <c r="N18" s="11">
        <v>9</v>
      </c>
      <c r="O18" s="11">
        <f t="shared" si="5"/>
        <v>1</v>
      </c>
      <c r="P18" s="11">
        <f t="shared" si="6"/>
        <v>4</v>
      </c>
      <c r="Q18" s="12" t="str" cm="1">
        <f t="array" ref="Q18">INDEX('Treatment-ConceptMap'!$H$10:$L$264,O18+1,P18)</f>
        <v>* group[=].element[=].target.display = ##34#Birth Date [C4]##34#</v>
      </c>
    </row>
    <row r="19" spans="1:17">
      <c r="B19" s="11"/>
      <c r="C19" s="11"/>
      <c r="D19" s="11"/>
      <c r="E19" s="12"/>
      <c r="F19" s="68"/>
      <c r="G19" s="62"/>
      <c r="H19" s="12"/>
      <c r="I19" s="12"/>
      <c r="J19" s="12"/>
      <c r="K19" s="12"/>
      <c r="L19" s="12"/>
      <c r="N19" s="11">
        <v>10</v>
      </c>
      <c r="O19" s="11">
        <f t="shared" si="5"/>
        <v>1</v>
      </c>
      <c r="P19" s="11">
        <f t="shared" si="6"/>
        <v>5</v>
      </c>
      <c r="Q19" s="12" t="str" cm="1">
        <f t="array" ref="Q19">INDEX('Treatment-ConceptMap'!$H$10:$L$264,O19+1,P19)</f>
        <v>* group[=].element[=].target.equivalence = #relatedto</v>
      </c>
    </row>
    <row r="20" spans="1:17">
      <c r="B20" s="11"/>
      <c r="C20" s="11"/>
      <c r="D20" s="11"/>
      <c r="E20" s="12"/>
      <c r="F20" s="68"/>
      <c r="G20" s="62"/>
      <c r="H20" s="12"/>
      <c r="I20" s="12"/>
      <c r="J20" s="12"/>
      <c r="K20" s="12"/>
      <c r="L20" s="12"/>
      <c r="N20" s="11">
        <v>11</v>
      </c>
      <c r="O20" s="11">
        <f t="shared" si="5"/>
        <v>2</v>
      </c>
      <c r="P20" s="11">
        <f t="shared" si="6"/>
        <v>1</v>
      </c>
      <c r="Q20" s="12" t="str" cm="1">
        <f t="array" ref="Q20">INDEX('Treatment-ConceptMap'!$H$10:$L$264,O20+1,P20)</f>
        <v>* group[=].element[+].code = #Treatment.surgeryPerformed</v>
      </c>
    </row>
    <row r="21" spans="1:17">
      <c r="B21" s="11"/>
      <c r="C21" s="11"/>
      <c r="D21" s="11"/>
      <c r="E21" s="12"/>
      <c r="F21" s="68"/>
      <c r="G21" s="62"/>
      <c r="J21" s="62"/>
      <c r="K21" s="62"/>
      <c r="L21" s="70"/>
      <c r="N21" s="11">
        <v>12</v>
      </c>
      <c r="O21" s="11">
        <f t="shared" si="5"/>
        <v>2</v>
      </c>
      <c r="P21" s="11">
        <f t="shared" si="6"/>
        <v>2</v>
      </c>
      <c r="Q21" s="12" t="str" cm="1">
        <f t="array" ref="Q21">INDEX('Treatment-ConceptMap'!$H$10:$L$264,O21+1,P21)</f>
        <v>* group[=].element[=].display = ##34#Surgery performed##34#</v>
      </c>
    </row>
    <row r="22" spans="1:17">
      <c r="B22" s="11"/>
      <c r="C22" s="11"/>
      <c r="D22" s="11"/>
      <c r="E22" s="12"/>
      <c r="F22" s="68"/>
      <c r="G22" s="62"/>
      <c r="J22" s="62"/>
      <c r="K22" s="62"/>
      <c r="L22" s="70"/>
      <c r="N22" s="11">
        <v>13</v>
      </c>
      <c r="O22" s="11">
        <f t="shared" si="5"/>
        <v>2</v>
      </c>
      <c r="P22" s="11">
        <f t="shared" si="6"/>
        <v>3</v>
      </c>
      <c r="Q22" s="12" t="str" cm="1">
        <f t="array" ref="Q22">INDEX('Treatment-ConceptMap'!$H$10:$L$264,O22+1,P22)</f>
        <v>* group[=].element[=].target.code = #Osiris.Patient.BirthDate</v>
      </c>
    </row>
    <row r="23" spans="1:17">
      <c r="B23" s="11"/>
      <c r="C23" s="11"/>
      <c r="D23" s="11"/>
      <c r="E23" s="12"/>
      <c r="F23" s="68"/>
      <c r="G23" s="62"/>
      <c r="J23" s="62"/>
      <c r="K23" s="62"/>
      <c r="L23" s="70"/>
      <c r="N23" s="11">
        <v>14</v>
      </c>
      <c r="O23" s="11">
        <f t="shared" si="5"/>
        <v>2</v>
      </c>
      <c r="P23" s="11">
        <f t="shared" si="6"/>
        <v>4</v>
      </c>
      <c r="Q23" s="12" t="str" cm="1">
        <f t="array" ref="Q23">INDEX('Treatment-ConceptMap'!$H$10:$L$264,O23+1,P23)</f>
        <v>* group[=].element[=].target.display = ##34#Birth Date [C4]##34#</v>
      </c>
    </row>
    <row r="24" spans="1:17">
      <c r="B24" s="11"/>
      <c r="C24" s="11"/>
      <c r="D24" s="11"/>
      <c r="E24" s="12"/>
      <c r="F24" s="68"/>
      <c r="G24" s="62"/>
      <c r="J24" s="62"/>
      <c r="K24" s="62"/>
      <c r="L24" s="70"/>
      <c r="N24" s="11">
        <v>15</v>
      </c>
      <c r="O24" s="11">
        <f t="shared" si="5"/>
        <v>2</v>
      </c>
      <c r="P24" s="11">
        <f t="shared" si="6"/>
        <v>5</v>
      </c>
      <c r="Q24" s="12" t="str" cm="1">
        <f t="array" ref="Q24">INDEX('Treatment-ConceptMap'!$H$10:$L$264,O24+1,P24)</f>
        <v>* group[=].element[=].target.equivalence = #equivalent</v>
      </c>
    </row>
    <row r="25" spans="1:17">
      <c r="B25" s="11"/>
      <c r="C25" s="11"/>
      <c r="D25" s="11"/>
      <c r="E25" s="12"/>
      <c r="F25" s="68"/>
      <c r="G25" s="62"/>
      <c r="J25" s="62"/>
      <c r="K25" s="62"/>
      <c r="L25" s="70"/>
      <c r="N25" s="11">
        <v>16</v>
      </c>
      <c r="O25" s="11">
        <f t="shared" si="5"/>
        <v>3</v>
      </c>
      <c r="P25" s="11">
        <f t="shared" si="6"/>
        <v>1</v>
      </c>
      <c r="Q25" s="12" t="str" cm="1">
        <f t="array" ref="Q25">INDEX('Treatment-ConceptMap'!$H$10:$L$264,O25+1,P25)</f>
        <v>* group[=].element[+].code = #Treatment.surgeryIntention</v>
      </c>
    </row>
    <row r="26" spans="1:17">
      <c r="B26" s="11"/>
      <c r="C26" s="11"/>
      <c r="D26" s="11"/>
      <c r="E26" s="12"/>
      <c r="F26" s="68"/>
      <c r="G26" s="62"/>
      <c r="J26" s="62"/>
      <c r="K26" s="62"/>
      <c r="L26" s="70"/>
      <c r="N26" s="11">
        <v>17</v>
      </c>
      <c r="O26" s="11">
        <f t="shared" si="5"/>
        <v>3</v>
      </c>
      <c r="P26" s="11">
        <f t="shared" si="6"/>
        <v>2</v>
      </c>
      <c r="Q26" s="12" t="str" cm="1">
        <f t="array" ref="Q26">INDEX('Treatment-ConceptMap'!$H$10:$L$264,O26+1,P26)</f>
        <v>* group[=].element[=].display = ##34#Surgery intention##34#</v>
      </c>
    </row>
    <row r="27" spans="1:17">
      <c r="B27" s="11"/>
      <c r="C27" s="11"/>
      <c r="D27" s="11"/>
      <c r="E27" s="12"/>
      <c r="F27" s="68"/>
      <c r="G27" s="62"/>
      <c r="J27" s="62"/>
      <c r="K27" s="62"/>
      <c r="L27" s="70"/>
      <c r="N27" s="11">
        <v>18</v>
      </c>
      <c r="O27" s="11">
        <f t="shared" si="5"/>
        <v>3</v>
      </c>
      <c r="P27" s="11">
        <f t="shared" si="6"/>
        <v>3</v>
      </c>
      <c r="Q27" s="12" t="str" cm="1">
        <f t="array" ref="Q27">INDEX('Treatment-ConceptMap'!$H$10:$L$264,O27+1,P27)</f>
        <v>//-- unmatched</v>
      </c>
    </row>
    <row r="28" spans="1:17">
      <c r="B28" s="11"/>
      <c r="C28" s="11"/>
      <c r="D28" s="11"/>
      <c r="E28" s="12"/>
      <c r="F28" s="68"/>
      <c r="G28" s="62"/>
      <c r="J28" s="62"/>
      <c r="K28" s="62"/>
      <c r="L28" s="70"/>
      <c r="N28" s="11">
        <v>19</v>
      </c>
      <c r="O28" s="11">
        <f t="shared" si="5"/>
        <v>3</v>
      </c>
      <c r="P28" s="11">
        <f t="shared" si="6"/>
        <v>4</v>
      </c>
      <c r="Q28" s="12" t="str" cm="1">
        <f t="array" ref="Q28">INDEX('Treatment-ConceptMap'!$H$10:$L$264,O28+1,P28)</f>
        <v>//-- unmatched</v>
      </c>
    </row>
    <row r="29" spans="1:17">
      <c r="B29" s="11"/>
      <c r="C29" s="11"/>
      <c r="D29" s="11"/>
      <c r="E29" s="12"/>
      <c r="F29" s="68"/>
      <c r="G29" s="62"/>
      <c r="J29" s="62"/>
      <c r="K29" s="62"/>
      <c r="L29" s="70"/>
      <c r="N29" s="11">
        <v>20</v>
      </c>
      <c r="O29" s="11">
        <f t="shared" si="5"/>
        <v>3</v>
      </c>
      <c r="P29" s="11">
        <f t="shared" si="6"/>
        <v>5</v>
      </c>
      <c r="Q29" s="12" t="str" cm="1">
        <f t="array" ref="Q29">INDEX('Treatment-ConceptMap'!$H$10:$L$264,O29+1,P29)</f>
        <v>* group[=].element[=].target.equivalence = #unmatched</v>
      </c>
    </row>
    <row r="30" spans="1:17">
      <c r="B30" s="11"/>
      <c r="C30" s="11"/>
      <c r="D30" s="11"/>
      <c r="E30" s="12"/>
      <c r="F30" s="68"/>
      <c r="G30" s="62"/>
      <c r="J30" s="62"/>
      <c r="K30" s="62"/>
      <c r="L30" s="70"/>
      <c r="N30" s="11">
        <v>21</v>
      </c>
      <c r="O30" s="11">
        <f t="shared" si="5"/>
        <v>4</v>
      </c>
      <c r="P30" s="11">
        <f t="shared" si="6"/>
        <v>1</v>
      </c>
      <c r="Q30" s="12" t="str" cm="1">
        <f t="array" ref="Q30">INDEX('Treatment-ConceptMap'!$H$10:$L$264,O30+1,P30)</f>
        <v>* group[=].element[+].code = #Treatment.tumorSurgeryApproach</v>
      </c>
    </row>
    <row r="31" spans="1:17" s="2" customFormat="1">
      <c r="A31"/>
      <c r="B31" s="11"/>
      <c r="C31" s="11"/>
      <c r="D31" s="11"/>
      <c r="E31" s="12"/>
      <c r="F31" s="68"/>
      <c r="G31" s="62"/>
      <c r="I31"/>
      <c r="J31" s="62"/>
      <c r="K31" s="62"/>
      <c r="L31" s="70"/>
      <c r="N31" s="11">
        <v>22</v>
      </c>
      <c r="O31" s="11">
        <f t="shared" si="5"/>
        <v>4</v>
      </c>
      <c r="P31" s="11">
        <f t="shared" si="6"/>
        <v>2</v>
      </c>
      <c r="Q31" s="12" t="str" cm="1">
        <f t="array" ref="Q31">INDEX('Treatment-ConceptMap'!$H$10:$L$264,O31+1,P31)</f>
        <v>* group[=].element[=].display = ##34#Tumor surgery approach##34#</v>
      </c>
    </row>
    <row r="32" spans="1:17" s="2" customFormat="1">
      <c r="A32"/>
      <c r="B32" s="65"/>
      <c r="C32" s="65"/>
      <c r="D32" s="65"/>
      <c r="F32" s="62"/>
      <c r="G32" s="62"/>
      <c r="I32"/>
      <c r="J32" s="62"/>
      <c r="K32" s="62"/>
      <c r="L32" s="70"/>
      <c r="N32" s="11">
        <v>23</v>
      </c>
      <c r="O32" s="11">
        <f t="shared" si="5"/>
        <v>4</v>
      </c>
      <c r="P32" s="11">
        <f t="shared" si="6"/>
        <v>3</v>
      </c>
      <c r="Q32" s="12" t="str" cm="1">
        <f t="array" ref="Q32">INDEX('Treatment-ConceptMap'!$H$10:$L$264,O32+1,P32)</f>
        <v>//-- unmatched</v>
      </c>
    </row>
    <row r="33" spans="1:17" s="2" customFormat="1">
      <c r="A33"/>
      <c r="B33" s="11"/>
      <c r="C33" s="11"/>
      <c r="F33" s="62"/>
      <c r="G33" s="62"/>
      <c r="I33"/>
      <c r="J33" s="62"/>
      <c r="K33" s="62"/>
      <c r="L33" s="70"/>
      <c r="N33" s="11">
        <v>24</v>
      </c>
      <c r="O33" s="11">
        <f t="shared" si="5"/>
        <v>4</v>
      </c>
      <c r="P33" s="11">
        <f t="shared" si="6"/>
        <v>4</v>
      </c>
      <c r="Q33" s="12" t="str" cm="1">
        <f t="array" ref="Q33">INDEX('Treatment-ConceptMap'!$H$10:$L$264,O33+1,P33)</f>
        <v>//-- unmatched</v>
      </c>
    </row>
    <row r="34" spans="1:17" s="2" customFormat="1">
      <c r="A34"/>
      <c r="B34" s="11"/>
      <c r="C34"/>
      <c r="F34" s="62"/>
      <c r="G34" s="62"/>
      <c r="I34" s="62"/>
      <c r="J34" s="62"/>
      <c r="K34" s="62"/>
      <c r="L34" s="70"/>
      <c r="N34" s="11">
        <v>25</v>
      </c>
      <c r="O34" s="11">
        <f t="shared" si="5"/>
        <v>4</v>
      </c>
      <c r="P34" s="11">
        <f t="shared" si="6"/>
        <v>5</v>
      </c>
      <c r="Q34" s="12" t="str" cm="1">
        <f t="array" ref="Q34">INDEX('Treatment-ConceptMap'!$H$10:$L$264,O34+1,P34)</f>
        <v>* group[=].element[=].target.equivalence = #unmatched</v>
      </c>
    </row>
    <row r="35" spans="1:17" s="2" customFormat="1">
      <c r="A35"/>
      <c r="B35" s="11"/>
      <c r="C35"/>
      <c r="F35" s="62"/>
      <c r="G35" s="62"/>
      <c r="I35" s="62"/>
      <c r="J35" s="62"/>
      <c r="K35" s="62"/>
      <c r="L35" s="70"/>
      <c r="N35" s="11">
        <v>26</v>
      </c>
      <c r="O35" s="11">
        <f t="shared" si="5"/>
        <v>5</v>
      </c>
      <c r="P35" s="11">
        <f t="shared" si="6"/>
        <v>1</v>
      </c>
      <c r="Q35" s="12" t="str" cm="1">
        <f t="array" ref="Q35">INDEX('Treatment-ConceptMap'!$H$10:$L$264,O35+1,P35)</f>
        <v>* group[=].element[+].code = #Treatment.tumorSurgeryDevice</v>
      </c>
    </row>
    <row r="36" spans="1:17" s="2" customFormat="1">
      <c r="A36"/>
      <c r="B36" s="11"/>
      <c r="C36"/>
      <c r="F36" s="62"/>
      <c r="G36" s="62"/>
      <c r="I36" s="62"/>
      <c r="J36" s="62"/>
      <c r="K36" s="62"/>
      <c r="L36" s="70"/>
      <c r="N36" s="11">
        <v>27</v>
      </c>
      <c r="O36" s="11">
        <f t="shared" si="5"/>
        <v>5</v>
      </c>
      <c r="P36" s="11">
        <f t="shared" si="6"/>
        <v>2</v>
      </c>
      <c r="Q36" s="12" t="str" cm="1">
        <f t="array" ref="Q36">INDEX('Treatment-ConceptMap'!$H$10:$L$264,O36+1,P36)</f>
        <v>* group[=].element[=].display = ##34#Tumor surgery device##34#</v>
      </c>
    </row>
    <row r="37" spans="1:17" s="2" customFormat="1">
      <c r="A37"/>
      <c r="B37" s="11"/>
      <c r="C37"/>
      <c r="F37" s="62"/>
      <c r="G37" s="62"/>
      <c r="I37" s="62"/>
      <c r="J37" s="62"/>
      <c r="K37" s="62"/>
      <c r="L37" s="62"/>
      <c r="N37" s="11">
        <v>28</v>
      </c>
      <c r="O37" s="11">
        <f t="shared" si="5"/>
        <v>5</v>
      </c>
      <c r="P37" s="11">
        <f t="shared" si="6"/>
        <v>3</v>
      </c>
      <c r="Q37" s="12" t="str" cm="1">
        <f t="array" ref="Q37">INDEX('Treatment-ConceptMap'!$H$10:$L$264,O37+1,P37)</f>
        <v>* group[=].element[=].target.code = #Osiris.Patient.Gender</v>
      </c>
    </row>
    <row r="38" spans="1:17" s="2" customFormat="1">
      <c r="A38"/>
      <c r="B38" s="11"/>
      <c r="C38"/>
      <c r="F38" s="62"/>
      <c r="G38" s="62"/>
      <c r="I38" s="62"/>
      <c r="J38" s="62"/>
      <c r="K38" s="62"/>
      <c r="L38" s="62"/>
      <c r="N38" s="11">
        <v>29</v>
      </c>
      <c r="O38" s="11">
        <f t="shared" si="5"/>
        <v>5</v>
      </c>
      <c r="P38" s="11">
        <f t="shared" si="6"/>
        <v>4</v>
      </c>
      <c r="Q38" s="12" t="str" cm="1">
        <f t="array" ref="Q38">INDEX('Treatment-ConceptMap'!$H$10:$L$264,O38+1,P38)</f>
        <v>* group[=].element[=].target.display = ##34#Gender [C2]##34#</v>
      </c>
    </row>
    <row r="39" spans="1:17" s="2" customFormat="1">
      <c r="A39"/>
      <c r="B39" s="11"/>
      <c r="C39"/>
      <c r="F39" s="62"/>
      <c r="G39" s="62"/>
      <c r="I39" s="62"/>
      <c r="J39" s="62"/>
      <c r="K39" s="62"/>
      <c r="L39" s="62"/>
      <c r="N39" s="11">
        <v>30</v>
      </c>
      <c r="O39" s="11">
        <f t="shared" si="5"/>
        <v>5</v>
      </c>
      <c r="P39" s="11">
        <f t="shared" si="6"/>
        <v>5</v>
      </c>
      <c r="Q39" s="12" t="str" cm="1">
        <f t="array" ref="Q39">INDEX('Treatment-ConceptMap'!$H$10:$L$264,O39+1,P39)</f>
        <v>* group[=].element[=].target.equivalence = #narrower</v>
      </c>
    </row>
    <row r="40" spans="1:17" s="2" customFormat="1">
      <c r="A40"/>
      <c r="B40" s="11"/>
      <c r="C40"/>
      <c r="F40" s="62"/>
      <c r="G40" s="62"/>
      <c r="I40" s="62"/>
      <c r="J40" s="62"/>
      <c r="K40" s="62"/>
      <c r="L40" s="62"/>
      <c r="N40" s="11">
        <v>31</v>
      </c>
      <c r="O40" s="11">
        <f t="shared" si="5"/>
        <v>6</v>
      </c>
      <c r="P40" s="11">
        <f t="shared" si="6"/>
        <v>1</v>
      </c>
      <c r="Q40" s="12" t="str" cm="1">
        <f t="array" ref="Q40">INDEX('Treatment-ConceptMap'!$H$10:$L$264,O40+1,P40)</f>
        <v>* group[=].element[+].code = #Treatment.surgicalProcedure</v>
      </c>
    </row>
    <row r="41" spans="1:17" s="2" customFormat="1">
      <c r="A41"/>
      <c r="B41" s="11"/>
      <c r="C41"/>
      <c r="F41" s="62"/>
      <c r="G41" s="62"/>
      <c r="I41" s="62"/>
      <c r="J41" s="62"/>
      <c r="K41" s="62"/>
      <c r="L41" s="62"/>
      <c r="N41" s="11">
        <v>32</v>
      </c>
      <c r="O41" s="11">
        <f t="shared" si="5"/>
        <v>6</v>
      </c>
      <c r="P41" s="11">
        <f t="shared" si="6"/>
        <v>2</v>
      </c>
      <c r="Q41" s="12" t="str" cm="1">
        <f t="array" ref="Q41">INDEX('Treatment-ConceptMap'!$H$10:$L$264,O41+1,P41)</f>
        <v>* group[=].element[=].display = ##34#Surgical procedure##34#</v>
      </c>
    </row>
    <row r="42" spans="1:17" s="2" customFormat="1">
      <c r="A42"/>
      <c r="B42" s="11"/>
      <c r="C42"/>
      <c r="F42" s="62"/>
      <c r="G42" s="62"/>
      <c r="I42" s="62"/>
      <c r="J42" s="62"/>
      <c r="K42" s="62"/>
      <c r="L42" s="62"/>
      <c r="N42" s="11">
        <v>33</v>
      </c>
      <c r="O42" s="11">
        <f t="shared" si="5"/>
        <v>6</v>
      </c>
      <c r="P42" s="11">
        <f t="shared" si="6"/>
        <v>3</v>
      </c>
      <c r="Q42" s="12" t="str" cm="1">
        <f t="array" ref="Q42">INDEX('Treatment-ConceptMap'!$H$10:$L$264,O42+1,P42)</f>
        <v>* group[=].element[=].target.code = #Osiris.Patient.Ethnicity</v>
      </c>
    </row>
    <row r="43" spans="1:17">
      <c r="F43" s="62"/>
      <c r="G43" s="62"/>
      <c r="I43" s="62"/>
      <c r="J43" s="62"/>
      <c r="K43" s="62"/>
      <c r="L43" s="62"/>
      <c r="N43" s="11">
        <v>34</v>
      </c>
      <c r="O43" s="11">
        <f t="shared" si="5"/>
        <v>6</v>
      </c>
      <c r="P43" s="11">
        <f t="shared" si="6"/>
        <v>4</v>
      </c>
      <c r="Q43" s="12" t="str" cm="1">
        <f t="array" ref="Q43">INDEX('Treatment-ConceptMap'!$H$10:$L$264,O43+1,P43)</f>
        <v>* group[=].element[=].target.display = ##34#Ethnicity [C3]##34#</v>
      </c>
    </row>
    <row r="44" spans="1:17">
      <c r="F44" s="62"/>
      <c r="G44" s="62"/>
      <c r="I44" s="62"/>
      <c r="J44" s="62"/>
      <c r="K44" s="62"/>
      <c r="L44" s="62"/>
      <c r="N44" s="11">
        <v>35</v>
      </c>
      <c r="O44" s="11">
        <f t="shared" si="5"/>
        <v>6</v>
      </c>
      <c r="P44" s="11">
        <f t="shared" si="6"/>
        <v>5</v>
      </c>
      <c r="Q44" s="12" t="str" cm="1">
        <f t="array" ref="Q44">INDEX('Treatment-ConceptMap'!$H$10:$L$264,O44+1,P44)</f>
        <v>* group[=].element[=].target.equivalence = #wider</v>
      </c>
    </row>
    <row r="45" spans="1:17" ht="29.5">
      <c r="F45" s="62"/>
      <c r="G45" s="62"/>
      <c r="I45" s="62"/>
      <c r="J45" s="62"/>
      <c r="K45" s="62"/>
      <c r="L45" s="62"/>
      <c r="N45" s="11">
        <v>36</v>
      </c>
      <c r="O45" s="11">
        <f t="shared" si="5"/>
        <v>7</v>
      </c>
      <c r="P45" s="11">
        <f t="shared" si="6"/>
        <v>1</v>
      </c>
      <c r="Q45" s="12" t="str" cm="1">
        <f t="array" ref="Q45">INDEX('Treatment-ConceptMap'!$H$10:$L$264,O45+1,P45)</f>
        <v>* group[=].element[+].code = #Treatment.surgicalProcedure.surgicalProcedureNasopharynx</v>
      </c>
    </row>
    <row r="46" spans="1:17">
      <c r="F46" s="62"/>
      <c r="G46" s="62"/>
      <c r="I46" s="62"/>
      <c r="J46" s="62"/>
      <c r="K46" s="62"/>
      <c r="L46" s="62"/>
      <c r="N46" s="11">
        <v>37</v>
      </c>
      <c r="O46" s="11">
        <f t="shared" si="5"/>
        <v>7</v>
      </c>
      <c r="P46" s="11">
        <f t="shared" si="6"/>
        <v>2</v>
      </c>
      <c r="Q46" s="12" t="str" cm="1">
        <f t="array" ref="Q46">INDEX('Treatment-ConceptMap'!$H$10:$L$264,O46+1,P46)</f>
        <v>* group[=].element[=].display = ##34#Surgical procedure Nasopharynx##34#</v>
      </c>
    </row>
    <row r="47" spans="1:17">
      <c r="B47" t="s">
        <v>1412</v>
      </c>
      <c r="C47" t="s">
        <v>1413</v>
      </c>
      <c r="D47" t="s">
        <v>1414</v>
      </c>
      <c r="E47" t="s">
        <v>1415</v>
      </c>
      <c r="N47" s="11">
        <v>38</v>
      </c>
      <c r="O47" s="11">
        <f t="shared" si="5"/>
        <v>7</v>
      </c>
      <c r="P47" s="11">
        <f t="shared" si="6"/>
        <v>3</v>
      </c>
      <c r="Q47" s="12" t="str" cm="1">
        <f t="array" ref="Q47">INDEX('Treatment-ConceptMap'!$H$10:$L$264,O47+1,P47)</f>
        <v>//-- unmatched</v>
      </c>
    </row>
    <row r="48" spans="1:17">
      <c r="N48" s="11">
        <v>39</v>
      </c>
      <c r="O48" s="11">
        <f t="shared" si="5"/>
        <v>7</v>
      </c>
      <c r="P48" s="11">
        <f t="shared" si="6"/>
        <v>4</v>
      </c>
      <c r="Q48" s="12" t="str" cm="1">
        <f t="array" ref="Q48">INDEX('Treatment-ConceptMap'!$H$10:$L$264,O48+1,P48)</f>
        <v>//-- unmatched</v>
      </c>
    </row>
    <row r="49" spans="14:17">
      <c r="N49" s="11">
        <v>40</v>
      </c>
      <c r="O49" s="11">
        <f t="shared" si="5"/>
        <v>7</v>
      </c>
      <c r="P49" s="11">
        <f t="shared" si="6"/>
        <v>5</v>
      </c>
      <c r="Q49" s="12" t="str" cm="1">
        <f t="array" ref="Q49">INDEX('Treatment-ConceptMap'!$H$10:$L$264,O49+1,P49)</f>
        <v>* group[=].element[=].target.equivalence = #unmatched</v>
      </c>
    </row>
    <row r="50" spans="14:17">
      <c r="N50" s="11">
        <v>41</v>
      </c>
      <c r="O50" s="11">
        <f t="shared" si="5"/>
        <v>8</v>
      </c>
      <c r="P50" s="11">
        <f t="shared" si="6"/>
        <v>1</v>
      </c>
      <c r="Q50" s="12" cm="1">
        <f t="array" ref="Q50">INDEX('Treatment-ConceptMap'!$H$10:$L$264,O50+1,P50)</f>
        <v>0</v>
      </c>
    </row>
    <row r="51" spans="14:17">
      <c r="N51" s="11">
        <v>42</v>
      </c>
      <c r="O51" s="11">
        <f t="shared" si="5"/>
        <v>8</v>
      </c>
      <c r="P51" s="11">
        <f t="shared" si="6"/>
        <v>2</v>
      </c>
      <c r="Q51" s="12" cm="1">
        <f t="array" ref="Q51">INDEX('Treatment-ConceptMap'!$H$10:$L$264,O51+1,P51)</f>
        <v>0</v>
      </c>
    </row>
    <row r="52" spans="14:17">
      <c r="N52" s="11">
        <v>43</v>
      </c>
      <c r="O52" s="11">
        <f t="shared" si="5"/>
        <v>8</v>
      </c>
      <c r="P52" s="11">
        <f t="shared" si="6"/>
        <v>3</v>
      </c>
      <c r="Q52" s="12" cm="1">
        <f t="array" ref="Q52">INDEX('Treatment-ConceptMap'!$H$10:$L$264,O52+1,P52)</f>
        <v>0</v>
      </c>
    </row>
    <row r="53" spans="14:17">
      <c r="N53" s="11">
        <v>44</v>
      </c>
      <c r="O53" s="11">
        <f t="shared" si="5"/>
        <v>8</v>
      </c>
      <c r="P53" s="11">
        <f t="shared" si="6"/>
        <v>4</v>
      </c>
      <c r="Q53" s="12" cm="1">
        <f t="array" ref="Q53">INDEX('Treatment-ConceptMap'!$H$10:$L$264,O53+1,P53)</f>
        <v>0</v>
      </c>
    </row>
    <row r="54" spans="14:17">
      <c r="N54" s="11">
        <v>45</v>
      </c>
      <c r="O54" s="11">
        <f t="shared" si="5"/>
        <v>8</v>
      </c>
      <c r="P54" s="11">
        <f t="shared" si="6"/>
        <v>5</v>
      </c>
      <c r="Q54" s="12" cm="1">
        <f t="array" ref="Q54">INDEX('Treatment-ConceptMap'!$H$10:$L$264,O54+1,P54)</f>
        <v>0</v>
      </c>
    </row>
    <row r="55" spans="14:17">
      <c r="N55" s="11">
        <v>46</v>
      </c>
      <c r="O55" s="11">
        <f t="shared" si="5"/>
        <v>9</v>
      </c>
      <c r="P55" s="11">
        <f t="shared" si="6"/>
        <v>1</v>
      </c>
      <c r="Q55" s="12" cm="1">
        <f t="array" ref="Q55">INDEX('Treatment-ConceptMap'!$H$10:$L$264,O55+1,P55)</f>
        <v>0</v>
      </c>
    </row>
    <row r="56" spans="14:17">
      <c r="N56" s="11">
        <v>47</v>
      </c>
      <c r="O56" s="11">
        <f t="shared" si="5"/>
        <v>9</v>
      </c>
      <c r="P56" s="11">
        <f t="shared" si="6"/>
        <v>2</v>
      </c>
      <c r="Q56" s="12" cm="1">
        <f t="array" ref="Q56">INDEX('Treatment-ConceptMap'!$H$10:$L$264,O56+1,P56)</f>
        <v>0</v>
      </c>
    </row>
    <row r="57" spans="14:17">
      <c r="N57" s="11">
        <v>48</v>
      </c>
      <c r="O57" s="11">
        <f t="shared" si="5"/>
        <v>9</v>
      </c>
      <c r="P57" s="11">
        <f t="shared" si="6"/>
        <v>3</v>
      </c>
      <c r="Q57" s="12" cm="1">
        <f t="array" ref="Q57">INDEX('Treatment-ConceptMap'!$H$10:$L$264,O57+1,P57)</f>
        <v>0</v>
      </c>
    </row>
    <row r="58" spans="14:17">
      <c r="N58" s="11">
        <v>49</v>
      </c>
      <c r="O58" s="11">
        <f t="shared" si="5"/>
        <v>9</v>
      </c>
      <c r="P58" s="11">
        <f t="shared" si="6"/>
        <v>4</v>
      </c>
      <c r="Q58" s="12" cm="1">
        <f t="array" ref="Q58">INDEX('Treatment-ConceptMap'!$H$10:$L$264,O58+1,P58)</f>
        <v>0</v>
      </c>
    </row>
    <row r="59" spans="14:17">
      <c r="N59" s="11">
        <v>50</v>
      </c>
      <c r="O59" s="11">
        <f t="shared" si="5"/>
        <v>9</v>
      </c>
      <c r="P59" s="11">
        <f t="shared" si="6"/>
        <v>5</v>
      </c>
      <c r="Q59" s="12" cm="1">
        <f t="array" ref="Q59">INDEX('Treatment-ConceptMap'!$H$10:$L$264,O59+1,P59)</f>
        <v>0</v>
      </c>
    </row>
    <row r="60" spans="14:17">
      <c r="N60" s="11">
        <v>51</v>
      </c>
      <c r="O60" s="11">
        <f t="shared" si="5"/>
        <v>10</v>
      </c>
      <c r="P60" s="11">
        <f t="shared" si="6"/>
        <v>1</v>
      </c>
      <c r="Q60" s="12" cm="1">
        <f t="array" ref="Q60">INDEX('Treatment-ConceptMap'!$H$10:$L$264,O60+1,P60)</f>
        <v>0</v>
      </c>
    </row>
    <row r="61" spans="14:17">
      <c r="N61" s="11">
        <v>52</v>
      </c>
      <c r="O61" s="11">
        <f t="shared" si="5"/>
        <v>10</v>
      </c>
      <c r="P61" s="11">
        <f t="shared" si="6"/>
        <v>2</v>
      </c>
      <c r="Q61" s="12" cm="1">
        <f t="array" ref="Q61">INDEX('Treatment-ConceptMap'!$H$10:$L$264,O61+1,P61)</f>
        <v>0</v>
      </c>
    </row>
    <row r="62" spans="14:17">
      <c r="N62" s="11">
        <v>53</v>
      </c>
      <c r="O62" s="11">
        <f t="shared" si="5"/>
        <v>10</v>
      </c>
      <c r="P62" s="11">
        <f t="shared" si="6"/>
        <v>3</v>
      </c>
      <c r="Q62" s="12" cm="1">
        <f t="array" ref="Q62">INDEX('Treatment-ConceptMap'!$H$10:$L$264,O62+1,P62)</f>
        <v>0</v>
      </c>
    </row>
    <row r="63" spans="14:17">
      <c r="N63" s="11">
        <v>54</v>
      </c>
      <c r="O63" s="11">
        <f t="shared" si="5"/>
        <v>10</v>
      </c>
      <c r="P63" s="11">
        <f t="shared" si="6"/>
        <v>4</v>
      </c>
      <c r="Q63" s="12" cm="1">
        <f t="array" ref="Q63">INDEX('Treatment-ConceptMap'!$H$10:$L$264,O63+1,P63)</f>
        <v>0</v>
      </c>
    </row>
    <row r="64" spans="14:17">
      <c r="N64" s="11">
        <v>55</v>
      </c>
      <c r="O64" s="11">
        <f t="shared" si="5"/>
        <v>10</v>
      </c>
      <c r="P64" s="11">
        <f t="shared" si="6"/>
        <v>5</v>
      </c>
      <c r="Q64" s="12" cm="1">
        <f t="array" ref="Q64">INDEX('Treatment-ConceptMap'!$H$10:$L$264,O64+1,P64)</f>
        <v>0</v>
      </c>
    </row>
    <row r="65" spans="14:17">
      <c r="N65" s="11">
        <v>56</v>
      </c>
      <c r="O65" s="11">
        <f t="shared" si="5"/>
        <v>11</v>
      </c>
      <c r="P65" s="11">
        <f t="shared" si="6"/>
        <v>1</v>
      </c>
      <c r="Q65" s="12" cm="1">
        <f t="array" ref="Q65">INDEX('Treatment-ConceptMap'!$H$10:$L$264,O65+1,P65)</f>
        <v>0</v>
      </c>
    </row>
    <row r="66" spans="14:17">
      <c r="N66" s="11">
        <v>57</v>
      </c>
      <c r="O66" s="11">
        <f t="shared" si="5"/>
        <v>11</v>
      </c>
      <c r="P66" s="11">
        <f t="shared" si="6"/>
        <v>2</v>
      </c>
      <c r="Q66" s="12" cm="1">
        <f t="array" ref="Q66">INDEX('Treatment-ConceptMap'!$H$10:$L$264,O66+1,P66)</f>
        <v>0</v>
      </c>
    </row>
    <row r="67" spans="14:17">
      <c r="N67" s="11">
        <v>58</v>
      </c>
      <c r="O67" s="11">
        <f t="shared" si="5"/>
        <v>11</v>
      </c>
      <c r="P67" s="11">
        <f t="shared" si="6"/>
        <v>3</v>
      </c>
      <c r="Q67" s="12" cm="1">
        <f t="array" ref="Q67">INDEX('Treatment-ConceptMap'!$H$10:$L$264,O67+1,P67)</f>
        <v>0</v>
      </c>
    </row>
    <row r="68" spans="14:17">
      <c r="N68" s="11">
        <v>59</v>
      </c>
      <c r="O68" s="11">
        <f t="shared" si="5"/>
        <v>11</v>
      </c>
      <c r="P68" s="11">
        <f t="shared" si="6"/>
        <v>4</v>
      </c>
      <c r="Q68" s="12" cm="1">
        <f t="array" ref="Q68">INDEX('Treatment-ConceptMap'!$H$10:$L$264,O68+1,P68)</f>
        <v>0</v>
      </c>
    </row>
    <row r="69" spans="14:17">
      <c r="N69" s="11">
        <v>60</v>
      </c>
      <c r="O69" s="11">
        <f t="shared" si="5"/>
        <v>11</v>
      </c>
      <c r="P69" s="11">
        <f t="shared" si="6"/>
        <v>5</v>
      </c>
      <c r="Q69" s="12" cm="1">
        <f t="array" ref="Q69">INDEX('Treatment-ConceptMap'!$H$10:$L$264,O69+1,P69)</f>
        <v>0</v>
      </c>
    </row>
    <row r="70" spans="14:17">
      <c r="N70" s="11">
        <v>61</v>
      </c>
      <c r="O70" s="11">
        <f t="shared" si="5"/>
        <v>12</v>
      </c>
      <c r="P70" s="11">
        <f t="shared" si="6"/>
        <v>1</v>
      </c>
      <c r="Q70" s="12" cm="1">
        <f t="array" ref="Q70">INDEX('Treatment-ConceptMap'!$H$10:$L$264,O70+1,P70)</f>
        <v>0</v>
      </c>
    </row>
    <row r="71" spans="14:17">
      <c r="N71" s="11">
        <v>62</v>
      </c>
      <c r="O71" s="11">
        <f t="shared" si="5"/>
        <v>12</v>
      </c>
      <c r="P71" s="11">
        <f t="shared" si="6"/>
        <v>2</v>
      </c>
      <c r="Q71" s="12" cm="1">
        <f t="array" ref="Q71">INDEX('Treatment-ConceptMap'!$H$10:$L$264,O71+1,P71)</f>
        <v>0</v>
      </c>
    </row>
    <row r="72" spans="14:17">
      <c r="N72" s="11">
        <v>63</v>
      </c>
      <c r="O72" s="11">
        <f t="shared" si="5"/>
        <v>12</v>
      </c>
      <c r="P72" s="11">
        <f t="shared" si="6"/>
        <v>3</v>
      </c>
      <c r="Q72" s="12" cm="1">
        <f t="array" ref="Q72">INDEX('Treatment-ConceptMap'!$H$10:$L$264,O72+1,P72)</f>
        <v>0</v>
      </c>
    </row>
    <row r="73" spans="14:17">
      <c r="N73" s="11">
        <v>64</v>
      </c>
      <c r="O73" s="11">
        <f t="shared" si="5"/>
        <v>12</v>
      </c>
      <c r="P73" s="11">
        <f t="shared" si="6"/>
        <v>4</v>
      </c>
      <c r="Q73" s="12" cm="1">
        <f t="array" ref="Q73">INDEX('Treatment-ConceptMap'!$H$10:$L$264,O73+1,P73)</f>
        <v>0</v>
      </c>
    </row>
    <row r="74" spans="14:17">
      <c r="N74" s="11">
        <v>65</v>
      </c>
      <c r="O74" s="11">
        <f t="shared" si="5"/>
        <v>12</v>
      </c>
      <c r="P74" s="11">
        <f t="shared" si="6"/>
        <v>5</v>
      </c>
      <c r="Q74" s="12" cm="1">
        <f t="array" ref="Q74">INDEX('Treatment-ConceptMap'!$H$10:$L$264,O74+1,P74)</f>
        <v>0</v>
      </c>
    </row>
    <row r="75" spans="14:17">
      <c r="N75" s="11">
        <v>66</v>
      </c>
      <c r="O75" s="11">
        <f t="shared" ref="O75:O138" si="7">IF(MOD(N75,$O$3)=0,N75/$O$3-1,INT(N75/$O$3))</f>
        <v>13</v>
      </c>
      <c r="P75" s="11">
        <f t="shared" ref="P75:P138" si="8">IF(MOD(N75,$O$3)=0,$O$3,MOD(N75,$O$3))</f>
        <v>1</v>
      </c>
      <c r="Q75" s="12" cm="1">
        <f t="array" ref="Q75">INDEX('Treatment-ConceptMap'!$H$10:$L$264,O75+1,P75)</f>
        <v>0</v>
      </c>
    </row>
    <row r="76" spans="14:17">
      <c r="N76" s="11">
        <v>67</v>
      </c>
      <c r="O76" s="11">
        <f t="shared" si="7"/>
        <v>13</v>
      </c>
      <c r="P76" s="11">
        <f t="shared" si="8"/>
        <v>2</v>
      </c>
      <c r="Q76" s="12" cm="1">
        <f t="array" ref="Q76">INDEX('Treatment-ConceptMap'!$H$10:$L$264,O76+1,P76)</f>
        <v>0</v>
      </c>
    </row>
    <row r="77" spans="14:17">
      <c r="N77" s="11">
        <v>68</v>
      </c>
      <c r="O77" s="11">
        <f t="shared" si="7"/>
        <v>13</v>
      </c>
      <c r="P77" s="11">
        <f t="shared" si="8"/>
        <v>3</v>
      </c>
      <c r="Q77" s="12" cm="1">
        <f t="array" ref="Q77">INDEX('Treatment-ConceptMap'!$H$10:$L$264,O77+1,P77)</f>
        <v>0</v>
      </c>
    </row>
    <row r="78" spans="14:17">
      <c r="N78" s="11">
        <v>69</v>
      </c>
      <c r="O78" s="11">
        <f t="shared" si="7"/>
        <v>13</v>
      </c>
      <c r="P78" s="11">
        <f t="shared" si="8"/>
        <v>4</v>
      </c>
      <c r="Q78" s="12" cm="1">
        <f t="array" ref="Q78">INDEX('Treatment-ConceptMap'!$H$10:$L$264,O78+1,P78)</f>
        <v>0</v>
      </c>
    </row>
    <row r="79" spans="14:17">
      <c r="N79" s="11">
        <v>70</v>
      </c>
      <c r="O79" s="11">
        <f t="shared" si="7"/>
        <v>13</v>
      </c>
      <c r="P79" s="11">
        <f t="shared" si="8"/>
        <v>5</v>
      </c>
      <c r="Q79" s="12" cm="1">
        <f t="array" ref="Q79">INDEX('Treatment-ConceptMap'!$H$10:$L$264,O79+1,P79)</f>
        <v>0</v>
      </c>
    </row>
    <row r="80" spans="14:17">
      <c r="N80" s="11">
        <v>71</v>
      </c>
      <c r="O80" s="11">
        <f t="shared" si="7"/>
        <v>14</v>
      </c>
      <c r="P80" s="11">
        <f t="shared" si="8"/>
        <v>1</v>
      </c>
      <c r="Q80" s="12" cm="1">
        <f t="array" ref="Q80">INDEX('Treatment-ConceptMap'!$H$10:$L$264,O80+1,P80)</f>
        <v>0</v>
      </c>
    </row>
    <row r="81" spans="14:17">
      <c r="N81" s="11">
        <v>72</v>
      </c>
      <c r="O81" s="11">
        <f t="shared" si="7"/>
        <v>14</v>
      </c>
      <c r="P81" s="11">
        <f t="shared" si="8"/>
        <v>2</v>
      </c>
      <c r="Q81" s="12" cm="1">
        <f t="array" ref="Q81">INDEX('Treatment-ConceptMap'!$H$10:$L$264,O81+1,P81)</f>
        <v>0</v>
      </c>
    </row>
    <row r="82" spans="14:17">
      <c r="N82" s="11">
        <v>73</v>
      </c>
      <c r="O82" s="11">
        <f t="shared" si="7"/>
        <v>14</v>
      </c>
      <c r="P82" s="11">
        <f t="shared" si="8"/>
        <v>3</v>
      </c>
      <c r="Q82" s="12" cm="1">
        <f t="array" ref="Q82">INDEX('Treatment-ConceptMap'!$H$10:$L$264,O82+1,P82)</f>
        <v>0</v>
      </c>
    </row>
    <row r="83" spans="14:17">
      <c r="N83" s="11">
        <v>74</v>
      </c>
      <c r="O83" s="11">
        <f t="shared" si="7"/>
        <v>14</v>
      </c>
      <c r="P83" s="11">
        <f t="shared" si="8"/>
        <v>4</v>
      </c>
      <c r="Q83" s="12" cm="1">
        <f t="array" ref="Q83">INDEX('Treatment-ConceptMap'!$H$10:$L$264,O83+1,P83)</f>
        <v>0</v>
      </c>
    </row>
    <row r="84" spans="14:17">
      <c r="N84" s="11">
        <v>75</v>
      </c>
      <c r="O84" s="11">
        <f t="shared" si="7"/>
        <v>14</v>
      </c>
      <c r="P84" s="11">
        <f t="shared" si="8"/>
        <v>5</v>
      </c>
      <c r="Q84" s="12" cm="1">
        <f t="array" ref="Q84">INDEX('Treatment-ConceptMap'!$H$10:$L$264,O84+1,P84)</f>
        <v>0</v>
      </c>
    </row>
    <row r="85" spans="14:17">
      <c r="N85" s="11">
        <v>76</v>
      </c>
      <c r="O85" s="11">
        <f t="shared" si="7"/>
        <v>15</v>
      </c>
      <c r="P85" s="11">
        <f t="shared" si="8"/>
        <v>1</v>
      </c>
      <c r="Q85" s="12" cm="1">
        <f t="array" ref="Q85">INDEX('Treatment-ConceptMap'!$H$10:$L$264,O85+1,P85)</f>
        <v>0</v>
      </c>
    </row>
    <row r="86" spans="14:17">
      <c r="N86" s="11">
        <v>77</v>
      </c>
      <c r="O86" s="11">
        <f t="shared" si="7"/>
        <v>15</v>
      </c>
      <c r="P86" s="11">
        <f t="shared" si="8"/>
        <v>2</v>
      </c>
      <c r="Q86" s="12" cm="1">
        <f t="array" ref="Q86">INDEX('Treatment-ConceptMap'!$H$10:$L$264,O86+1,P86)</f>
        <v>0</v>
      </c>
    </row>
    <row r="87" spans="14:17">
      <c r="N87" s="11">
        <v>78</v>
      </c>
      <c r="O87" s="11">
        <f t="shared" si="7"/>
        <v>15</v>
      </c>
      <c r="P87" s="11">
        <f t="shared" si="8"/>
        <v>3</v>
      </c>
      <c r="Q87" s="12" cm="1">
        <f t="array" ref="Q87">INDEX('Treatment-ConceptMap'!$H$10:$L$264,O87+1,P87)</f>
        <v>0</v>
      </c>
    </row>
    <row r="88" spans="14:17">
      <c r="N88" s="11">
        <v>79</v>
      </c>
      <c r="O88" s="11">
        <f t="shared" si="7"/>
        <v>15</v>
      </c>
      <c r="P88" s="11">
        <f t="shared" si="8"/>
        <v>4</v>
      </c>
      <c r="Q88" s="12" cm="1">
        <f t="array" ref="Q88">INDEX('Treatment-ConceptMap'!$H$10:$L$264,O88+1,P88)</f>
        <v>0</v>
      </c>
    </row>
    <row r="89" spans="14:17">
      <c r="N89" s="11">
        <v>80</v>
      </c>
      <c r="O89" s="11">
        <f t="shared" si="7"/>
        <v>15</v>
      </c>
      <c r="P89" s="11">
        <f t="shared" si="8"/>
        <v>5</v>
      </c>
      <c r="Q89" s="12" cm="1">
        <f t="array" ref="Q89">INDEX('Treatment-ConceptMap'!$H$10:$L$264,O89+1,P89)</f>
        <v>0</v>
      </c>
    </row>
    <row r="90" spans="14:17">
      <c r="N90" s="11">
        <v>81</v>
      </c>
      <c r="O90" s="11">
        <f t="shared" si="7"/>
        <v>16</v>
      </c>
      <c r="P90" s="11">
        <f t="shared" si="8"/>
        <v>1</v>
      </c>
      <c r="Q90" s="12" cm="1">
        <f t="array" ref="Q90">INDEX('Treatment-ConceptMap'!$H$10:$L$264,O90+1,P90)</f>
        <v>0</v>
      </c>
    </row>
    <row r="91" spans="14:17">
      <c r="N91" s="11">
        <v>82</v>
      </c>
      <c r="O91" s="11">
        <f t="shared" si="7"/>
        <v>16</v>
      </c>
      <c r="P91" s="11">
        <f t="shared" si="8"/>
        <v>2</v>
      </c>
      <c r="Q91" s="12" cm="1">
        <f t="array" ref="Q91">INDEX('Treatment-ConceptMap'!$H$10:$L$264,O91+1,P91)</f>
        <v>0</v>
      </c>
    </row>
    <row r="92" spans="14:17">
      <c r="N92" s="11">
        <v>83</v>
      </c>
      <c r="O92" s="11">
        <f t="shared" si="7"/>
        <v>16</v>
      </c>
      <c r="P92" s="11">
        <f t="shared" si="8"/>
        <v>3</v>
      </c>
      <c r="Q92" s="12" cm="1">
        <f t="array" ref="Q92">INDEX('Treatment-ConceptMap'!$H$10:$L$264,O92+1,P92)</f>
        <v>0</v>
      </c>
    </row>
    <row r="93" spans="14:17">
      <c r="N93" s="11">
        <v>84</v>
      </c>
      <c r="O93" s="11">
        <f t="shared" si="7"/>
        <v>16</v>
      </c>
      <c r="P93" s="11">
        <f t="shared" si="8"/>
        <v>4</v>
      </c>
      <c r="Q93" s="12" cm="1">
        <f t="array" ref="Q93">INDEX('Treatment-ConceptMap'!$H$10:$L$264,O93+1,P93)</f>
        <v>0</v>
      </c>
    </row>
    <row r="94" spans="14:17">
      <c r="N94" s="11">
        <v>85</v>
      </c>
      <c r="O94" s="11">
        <f t="shared" si="7"/>
        <v>16</v>
      </c>
      <c r="P94" s="11">
        <f t="shared" si="8"/>
        <v>5</v>
      </c>
      <c r="Q94" s="12" cm="1">
        <f t="array" ref="Q94">INDEX('Treatment-ConceptMap'!$H$10:$L$264,O94+1,P94)</f>
        <v>0</v>
      </c>
    </row>
    <row r="95" spans="14:17">
      <c r="N95" s="11">
        <v>86</v>
      </c>
      <c r="O95" s="11">
        <f t="shared" si="7"/>
        <v>17</v>
      </c>
      <c r="P95" s="11">
        <f t="shared" si="8"/>
        <v>1</v>
      </c>
      <c r="Q95" s="12" cm="1">
        <f t="array" ref="Q95">INDEX('Treatment-ConceptMap'!$H$10:$L$264,O95+1,P95)</f>
        <v>0</v>
      </c>
    </row>
    <row r="96" spans="14:17">
      <c r="N96" s="11">
        <v>87</v>
      </c>
      <c r="O96" s="11">
        <f t="shared" si="7"/>
        <v>17</v>
      </c>
      <c r="P96" s="11">
        <f t="shared" si="8"/>
        <v>2</v>
      </c>
      <c r="Q96" s="12" cm="1">
        <f t="array" ref="Q96">INDEX('Treatment-ConceptMap'!$H$10:$L$264,O96+1,P96)</f>
        <v>0</v>
      </c>
    </row>
    <row r="97" spans="14:17">
      <c r="N97" s="11">
        <v>88</v>
      </c>
      <c r="O97" s="11">
        <f t="shared" si="7"/>
        <v>17</v>
      </c>
      <c r="P97" s="11">
        <f t="shared" si="8"/>
        <v>3</v>
      </c>
      <c r="Q97" s="12" cm="1">
        <f t="array" ref="Q97">INDEX('Treatment-ConceptMap'!$H$10:$L$264,O97+1,P97)</f>
        <v>0</v>
      </c>
    </row>
    <row r="98" spans="14:17">
      <c r="N98" s="11">
        <v>89</v>
      </c>
      <c r="O98" s="11">
        <f t="shared" si="7"/>
        <v>17</v>
      </c>
      <c r="P98" s="11">
        <f t="shared" si="8"/>
        <v>4</v>
      </c>
      <c r="Q98" s="12" cm="1">
        <f t="array" ref="Q98">INDEX('Treatment-ConceptMap'!$H$10:$L$264,O98+1,P98)</f>
        <v>0</v>
      </c>
    </row>
    <row r="99" spans="14:17">
      <c r="N99" s="11">
        <v>90</v>
      </c>
      <c r="O99" s="11">
        <f t="shared" si="7"/>
        <v>17</v>
      </c>
      <c r="P99" s="11">
        <f t="shared" si="8"/>
        <v>5</v>
      </c>
      <c r="Q99" s="12" cm="1">
        <f t="array" ref="Q99">INDEX('Treatment-ConceptMap'!$H$10:$L$264,O99+1,P99)</f>
        <v>0</v>
      </c>
    </row>
    <row r="100" spans="14:17">
      <c r="N100" s="11">
        <v>91</v>
      </c>
      <c r="O100" s="11">
        <f t="shared" si="7"/>
        <v>18</v>
      </c>
      <c r="P100" s="11">
        <f t="shared" si="8"/>
        <v>1</v>
      </c>
      <c r="Q100" s="12" cm="1">
        <f t="array" ref="Q100">INDEX('Treatment-ConceptMap'!$H$10:$L$264,O100+1,P100)</f>
        <v>0</v>
      </c>
    </row>
    <row r="101" spans="14:17">
      <c r="N101" s="11">
        <v>92</v>
      </c>
      <c r="O101" s="11">
        <f t="shared" si="7"/>
        <v>18</v>
      </c>
      <c r="P101" s="11">
        <f t="shared" si="8"/>
        <v>2</v>
      </c>
      <c r="Q101" s="12" cm="1">
        <f t="array" ref="Q101">INDEX('Treatment-ConceptMap'!U85:Y339,1+O101,P101)</f>
        <v>0</v>
      </c>
    </row>
    <row r="102" spans="14:17">
      <c r="N102" s="11">
        <v>93</v>
      </c>
      <c r="O102" s="11">
        <f t="shared" si="7"/>
        <v>18</v>
      </c>
      <c r="P102" s="11">
        <f t="shared" si="8"/>
        <v>3</v>
      </c>
      <c r="Q102" s="12" cm="1">
        <f t="array" ref="Q102">INDEX('Treatment-ConceptMap'!U86:Y340,1+O102,P102)</f>
        <v>0</v>
      </c>
    </row>
    <row r="103" spans="14:17">
      <c r="N103" s="11">
        <v>94</v>
      </c>
      <c r="O103" s="11">
        <f t="shared" si="7"/>
        <v>18</v>
      </c>
      <c r="P103" s="11">
        <f t="shared" si="8"/>
        <v>4</v>
      </c>
      <c r="Q103" s="12" cm="1">
        <f t="array" ref="Q103">INDEX('Treatment-ConceptMap'!U87:Y341,1+O103,P103)</f>
        <v>0</v>
      </c>
    </row>
    <row r="104" spans="14:17">
      <c r="N104" s="11">
        <v>95</v>
      </c>
      <c r="O104" s="11">
        <f t="shared" si="7"/>
        <v>18</v>
      </c>
      <c r="P104" s="11">
        <f t="shared" si="8"/>
        <v>5</v>
      </c>
      <c r="Q104" s="12" cm="1">
        <f t="array" ref="Q104">INDEX('Treatment-ConceptMap'!U88:Y342,1+O104,P104)</f>
        <v>0</v>
      </c>
    </row>
    <row r="105" spans="14:17">
      <c r="N105" s="11">
        <v>96</v>
      </c>
      <c r="O105" s="11">
        <f t="shared" si="7"/>
        <v>19</v>
      </c>
      <c r="P105" s="11">
        <f t="shared" si="8"/>
        <v>1</v>
      </c>
      <c r="Q105" s="12" cm="1">
        <f t="array" ref="Q105">INDEX('Treatment-ConceptMap'!U89:Y343,1+O105,P105)</f>
        <v>0</v>
      </c>
    </row>
    <row r="106" spans="14:17">
      <c r="N106" s="11">
        <v>97</v>
      </c>
      <c r="O106" s="11">
        <f t="shared" si="7"/>
        <v>19</v>
      </c>
      <c r="P106" s="11">
        <f t="shared" si="8"/>
        <v>2</v>
      </c>
      <c r="Q106" s="12" cm="1">
        <f t="array" ref="Q106">INDEX('Treatment-ConceptMap'!U90:Y344,1+O106,P106)</f>
        <v>0</v>
      </c>
    </row>
    <row r="107" spans="14:17">
      <c r="N107" s="11">
        <v>98</v>
      </c>
      <c r="O107" s="11">
        <f t="shared" si="7"/>
        <v>19</v>
      </c>
      <c r="P107" s="11">
        <f t="shared" si="8"/>
        <v>3</v>
      </c>
      <c r="Q107" s="12" cm="1">
        <f t="array" ref="Q107">INDEX('Treatment-ConceptMap'!U91:Y345,1+O107,P107)</f>
        <v>0</v>
      </c>
    </row>
    <row r="108" spans="14:17">
      <c r="N108" s="11">
        <v>99</v>
      </c>
      <c r="O108" s="11">
        <f t="shared" si="7"/>
        <v>19</v>
      </c>
      <c r="P108" s="11">
        <f t="shared" si="8"/>
        <v>4</v>
      </c>
      <c r="Q108" s="12" cm="1">
        <f t="array" ref="Q108">INDEX('Treatment-ConceptMap'!U92:Y346,1+O108,P108)</f>
        <v>0</v>
      </c>
    </row>
    <row r="109" spans="14:17">
      <c r="N109" s="11">
        <v>100</v>
      </c>
      <c r="O109" s="11">
        <f t="shared" si="7"/>
        <v>19</v>
      </c>
      <c r="P109" s="11">
        <f t="shared" si="8"/>
        <v>5</v>
      </c>
      <c r="Q109" s="12" cm="1">
        <f t="array" ref="Q109">INDEX('Treatment-ConceptMap'!U93:Y347,1+O109,P109)</f>
        <v>0</v>
      </c>
    </row>
    <row r="110" spans="14:17">
      <c r="N110" s="11">
        <v>101</v>
      </c>
      <c r="O110" s="11">
        <f t="shared" si="7"/>
        <v>20</v>
      </c>
      <c r="P110" s="11">
        <f t="shared" si="8"/>
        <v>1</v>
      </c>
      <c r="Q110" s="12" cm="1">
        <f t="array" ref="Q110">INDEX('Treatment-ConceptMap'!U94:Y348,1+O110,P110)</f>
        <v>0</v>
      </c>
    </row>
    <row r="111" spans="14:17">
      <c r="N111" s="11">
        <v>102</v>
      </c>
      <c r="O111" s="11">
        <f t="shared" si="7"/>
        <v>20</v>
      </c>
      <c r="P111" s="11">
        <f t="shared" si="8"/>
        <v>2</v>
      </c>
      <c r="Q111" s="12" cm="1">
        <f t="array" ref="Q111">INDEX('Treatment-ConceptMap'!U95:Y349,1+O111,P111)</f>
        <v>0</v>
      </c>
    </row>
    <row r="112" spans="14:17">
      <c r="N112" s="11">
        <v>103</v>
      </c>
      <c r="O112" s="11">
        <f t="shared" si="7"/>
        <v>20</v>
      </c>
      <c r="P112" s="11">
        <f t="shared" si="8"/>
        <v>3</v>
      </c>
      <c r="Q112" s="12" cm="1">
        <f t="array" ref="Q112">INDEX('Treatment-ConceptMap'!U96:Y350,1+O112,P112)</f>
        <v>0</v>
      </c>
    </row>
    <row r="113" spans="14:17">
      <c r="N113" s="11">
        <v>104</v>
      </c>
      <c r="O113" s="11">
        <f t="shared" si="7"/>
        <v>20</v>
      </c>
      <c r="P113" s="11">
        <f t="shared" si="8"/>
        <v>4</v>
      </c>
      <c r="Q113" s="12" cm="1">
        <f t="array" ref="Q113">INDEX('Treatment-ConceptMap'!U97:Y351,1+O113,P113)</f>
        <v>0</v>
      </c>
    </row>
    <row r="114" spans="14:17">
      <c r="N114" s="11">
        <v>105</v>
      </c>
      <c r="O114" s="11">
        <f t="shared" si="7"/>
        <v>20</v>
      </c>
      <c r="P114" s="11">
        <f t="shared" si="8"/>
        <v>5</v>
      </c>
      <c r="Q114" s="12" cm="1">
        <f t="array" ref="Q114">INDEX('Treatment-ConceptMap'!U98:Y352,1+O114,P114)</f>
        <v>0</v>
      </c>
    </row>
    <row r="115" spans="14:17">
      <c r="N115" s="11">
        <v>106</v>
      </c>
      <c r="O115" s="11">
        <f t="shared" si="7"/>
        <v>21</v>
      </c>
      <c r="P115" s="11">
        <f t="shared" si="8"/>
        <v>1</v>
      </c>
      <c r="Q115" s="12" cm="1">
        <f t="array" ref="Q115">INDEX('Treatment-ConceptMap'!U99:Y353,1+O115,P115)</f>
        <v>0</v>
      </c>
    </row>
    <row r="116" spans="14:17">
      <c r="N116" s="11">
        <v>107</v>
      </c>
      <c r="O116" s="11">
        <f t="shared" si="7"/>
        <v>21</v>
      </c>
      <c r="P116" s="11">
        <f t="shared" si="8"/>
        <v>2</v>
      </c>
      <c r="Q116" s="12" cm="1">
        <f t="array" ref="Q116">INDEX('Treatment-ConceptMap'!U100:Y354,1+O116,P116)</f>
        <v>0</v>
      </c>
    </row>
    <row r="117" spans="14:17">
      <c r="N117" s="11">
        <v>108</v>
      </c>
      <c r="O117" s="11">
        <f t="shared" si="7"/>
        <v>21</v>
      </c>
      <c r="P117" s="11">
        <f t="shared" si="8"/>
        <v>3</v>
      </c>
      <c r="Q117" s="12" cm="1">
        <f t="array" ref="Q117">INDEX('Treatment-ConceptMap'!U101:Y355,1+O117,P117)</f>
        <v>0</v>
      </c>
    </row>
    <row r="118" spans="14:17">
      <c r="N118" s="11">
        <v>109</v>
      </c>
      <c r="O118" s="11">
        <f t="shared" si="7"/>
        <v>21</v>
      </c>
      <c r="P118" s="11">
        <f t="shared" si="8"/>
        <v>4</v>
      </c>
      <c r="Q118" s="12" cm="1">
        <f t="array" ref="Q118">INDEX('Treatment-ConceptMap'!U102:Y356,1+O118,P118)</f>
        <v>0</v>
      </c>
    </row>
    <row r="119" spans="14:17">
      <c r="N119" s="11">
        <v>110</v>
      </c>
      <c r="O119" s="11">
        <f t="shared" si="7"/>
        <v>21</v>
      </c>
      <c r="P119" s="11">
        <f t="shared" si="8"/>
        <v>5</v>
      </c>
      <c r="Q119" s="12" cm="1">
        <f t="array" ref="Q119">INDEX('Treatment-ConceptMap'!U103:Y357,1+O119,P119)</f>
        <v>0</v>
      </c>
    </row>
    <row r="120" spans="14:17">
      <c r="N120" s="11">
        <v>111</v>
      </c>
      <c r="O120" s="11">
        <f t="shared" si="7"/>
        <v>22</v>
      </c>
      <c r="P120" s="11">
        <f t="shared" si="8"/>
        <v>1</v>
      </c>
      <c r="Q120" s="12" cm="1">
        <f t="array" ref="Q120">INDEX('Treatment-ConceptMap'!U104:Y358,1+O120,P120)</f>
        <v>0</v>
      </c>
    </row>
    <row r="121" spans="14:17">
      <c r="N121" s="11">
        <v>112</v>
      </c>
      <c r="O121" s="11">
        <f t="shared" si="7"/>
        <v>22</v>
      </c>
      <c r="P121" s="11">
        <f t="shared" si="8"/>
        <v>2</v>
      </c>
      <c r="Q121" s="12" cm="1">
        <f t="array" ref="Q121">INDEX('Treatment-ConceptMap'!U105:Y359,1+O121,P121)</f>
        <v>0</v>
      </c>
    </row>
    <row r="122" spans="14:17">
      <c r="N122" s="11">
        <v>113</v>
      </c>
      <c r="O122" s="11">
        <f t="shared" si="7"/>
        <v>22</v>
      </c>
      <c r="P122" s="11">
        <f t="shared" si="8"/>
        <v>3</v>
      </c>
      <c r="Q122" s="12" cm="1">
        <f t="array" ref="Q122">INDEX('Treatment-ConceptMap'!U106:Y360,1+O122,P122)</f>
        <v>0</v>
      </c>
    </row>
    <row r="123" spans="14:17">
      <c r="N123" s="11">
        <v>114</v>
      </c>
      <c r="O123" s="11">
        <f t="shared" si="7"/>
        <v>22</v>
      </c>
      <c r="P123" s="11">
        <f t="shared" si="8"/>
        <v>4</v>
      </c>
      <c r="Q123" s="12" cm="1">
        <f t="array" ref="Q123">INDEX('Treatment-ConceptMap'!U107:Y361,1+O123,P123)</f>
        <v>0</v>
      </c>
    </row>
    <row r="124" spans="14:17">
      <c r="N124" s="11">
        <v>115</v>
      </c>
      <c r="O124" s="11">
        <f t="shared" si="7"/>
        <v>22</v>
      </c>
      <c r="P124" s="11">
        <f t="shared" si="8"/>
        <v>5</v>
      </c>
      <c r="Q124" s="12" cm="1">
        <f t="array" ref="Q124">INDEX('Treatment-ConceptMap'!U108:Y362,1+O124,P124)</f>
        <v>0</v>
      </c>
    </row>
    <row r="125" spans="14:17">
      <c r="N125" s="11">
        <v>116</v>
      </c>
      <c r="O125" s="11">
        <f t="shared" si="7"/>
        <v>23</v>
      </c>
      <c r="P125" s="11">
        <f t="shared" si="8"/>
        <v>1</v>
      </c>
      <c r="Q125" s="12" cm="1">
        <f t="array" ref="Q125">INDEX('Treatment-ConceptMap'!U109:Y363,1+O125,P125)</f>
        <v>0</v>
      </c>
    </row>
    <row r="126" spans="14:17">
      <c r="N126" s="11">
        <v>117</v>
      </c>
      <c r="O126" s="11">
        <f t="shared" si="7"/>
        <v>23</v>
      </c>
      <c r="P126" s="11">
        <f t="shared" si="8"/>
        <v>2</v>
      </c>
      <c r="Q126" s="12" cm="1">
        <f t="array" ref="Q126">INDEX('Treatment-ConceptMap'!U110:Y364,1+O126,P126)</f>
        <v>0</v>
      </c>
    </row>
    <row r="127" spans="14:17">
      <c r="N127" s="11">
        <v>118</v>
      </c>
      <c r="O127" s="11">
        <f t="shared" si="7"/>
        <v>23</v>
      </c>
      <c r="P127" s="11">
        <f t="shared" si="8"/>
        <v>3</v>
      </c>
      <c r="Q127" s="12" cm="1">
        <f t="array" ref="Q127">INDEX('Treatment-ConceptMap'!U111:Y365,1+O127,P127)</f>
        <v>0</v>
      </c>
    </row>
    <row r="128" spans="14:17">
      <c r="N128" s="11">
        <v>119</v>
      </c>
      <c r="O128" s="11">
        <f t="shared" si="7"/>
        <v>23</v>
      </c>
      <c r="P128" s="11">
        <f t="shared" si="8"/>
        <v>4</v>
      </c>
      <c r="Q128" s="12" cm="1">
        <f t="array" ref="Q128">INDEX('Treatment-ConceptMap'!U112:Y366,1+O128,P128)</f>
        <v>0</v>
      </c>
    </row>
    <row r="129" spans="14:17">
      <c r="N129" s="11">
        <v>120</v>
      </c>
      <c r="O129" s="11">
        <f t="shared" si="7"/>
        <v>23</v>
      </c>
      <c r="P129" s="11">
        <f t="shared" si="8"/>
        <v>5</v>
      </c>
      <c r="Q129" s="12" cm="1">
        <f t="array" ref="Q129">INDEX('Treatment-ConceptMap'!U113:Y367,1+O129,P129)</f>
        <v>0</v>
      </c>
    </row>
    <row r="130" spans="14:17">
      <c r="N130" s="11">
        <v>121</v>
      </c>
      <c r="O130" s="11">
        <f t="shared" si="7"/>
        <v>24</v>
      </c>
      <c r="P130" s="11">
        <f t="shared" si="8"/>
        <v>1</v>
      </c>
      <c r="Q130" s="12" cm="1">
        <f t="array" ref="Q130">INDEX('Treatment-ConceptMap'!U114:Y368,1+O130,P130)</f>
        <v>0</v>
      </c>
    </row>
    <row r="131" spans="14:17">
      <c r="N131" s="11">
        <v>122</v>
      </c>
      <c r="O131" s="11">
        <f t="shared" si="7"/>
        <v>24</v>
      </c>
      <c r="P131" s="11">
        <f t="shared" si="8"/>
        <v>2</v>
      </c>
      <c r="Q131" s="12" cm="1">
        <f t="array" ref="Q131">INDEX('Treatment-ConceptMap'!U115:Y369,1+O131,P131)</f>
        <v>0</v>
      </c>
    </row>
    <row r="132" spans="14:17">
      <c r="N132" s="11">
        <v>123</v>
      </c>
      <c r="O132" s="11">
        <f t="shared" si="7"/>
        <v>24</v>
      </c>
      <c r="P132" s="11">
        <f t="shared" si="8"/>
        <v>3</v>
      </c>
      <c r="Q132" s="12" cm="1">
        <f t="array" ref="Q132">INDEX('Treatment-ConceptMap'!U116:Y370,1+O132,P132)</f>
        <v>0</v>
      </c>
    </row>
    <row r="133" spans="14:17">
      <c r="N133" s="11">
        <v>124</v>
      </c>
      <c r="O133" s="11">
        <f t="shared" si="7"/>
        <v>24</v>
      </c>
      <c r="P133" s="11">
        <f t="shared" si="8"/>
        <v>4</v>
      </c>
      <c r="Q133" s="12" cm="1">
        <f t="array" ref="Q133">INDEX('Treatment-ConceptMap'!U117:Y371,1+O133,P133)</f>
        <v>0</v>
      </c>
    </row>
    <row r="134" spans="14:17">
      <c r="N134" s="11">
        <v>125</v>
      </c>
      <c r="O134" s="11">
        <f t="shared" si="7"/>
        <v>24</v>
      </c>
      <c r="P134" s="11">
        <f t="shared" si="8"/>
        <v>5</v>
      </c>
      <c r="Q134" s="12" cm="1">
        <f t="array" ref="Q134">INDEX('Treatment-ConceptMap'!U118:Y372,1+O134,P134)</f>
        <v>0</v>
      </c>
    </row>
    <row r="135" spans="14:17">
      <c r="N135" s="11">
        <v>126</v>
      </c>
      <c r="O135" s="11">
        <f t="shared" si="7"/>
        <v>25</v>
      </c>
      <c r="P135" s="11">
        <f t="shared" si="8"/>
        <v>1</v>
      </c>
      <c r="Q135" s="12" cm="1">
        <f t="array" ref="Q135">INDEX('Treatment-ConceptMap'!U119:Y373,1+O135,P135)</f>
        <v>0</v>
      </c>
    </row>
    <row r="136" spans="14:17">
      <c r="N136" s="11">
        <v>127</v>
      </c>
      <c r="O136" s="11">
        <f t="shared" si="7"/>
        <v>25</v>
      </c>
      <c r="P136" s="11">
        <f t="shared" si="8"/>
        <v>2</v>
      </c>
      <c r="Q136" s="12" cm="1">
        <f t="array" ref="Q136">INDEX('Treatment-ConceptMap'!U120:Y374,1+O136,P136)</f>
        <v>0</v>
      </c>
    </row>
    <row r="137" spans="14:17">
      <c r="N137" s="11">
        <v>128</v>
      </c>
      <c r="O137" s="11">
        <f t="shared" si="7"/>
        <v>25</v>
      </c>
      <c r="P137" s="11">
        <f t="shared" si="8"/>
        <v>3</v>
      </c>
      <c r="Q137" s="12" cm="1">
        <f t="array" ref="Q137">INDEX('Treatment-ConceptMap'!U121:Y375,1+O137,P137)</f>
        <v>0</v>
      </c>
    </row>
    <row r="138" spans="14:17">
      <c r="N138" s="11">
        <v>129</v>
      </c>
      <c r="O138" s="11">
        <f t="shared" si="7"/>
        <v>25</v>
      </c>
      <c r="P138" s="11">
        <f t="shared" si="8"/>
        <v>4</v>
      </c>
      <c r="Q138" s="12" cm="1">
        <f t="array" ref="Q138">INDEX('Treatment-ConceptMap'!U122:Y376,1+O138,P138)</f>
        <v>0</v>
      </c>
    </row>
    <row r="139" spans="14:17">
      <c r="N139" s="11">
        <v>130</v>
      </c>
      <c r="O139" s="11">
        <f t="shared" ref="O139:O184" si="9">IF(MOD(N139,$O$3)=0,N139/$O$3-1,INT(N139/$O$3))</f>
        <v>25</v>
      </c>
      <c r="P139" s="11">
        <f t="shared" ref="P139:P184" si="10">IF(MOD(N139,$O$3)=0,$O$3,MOD(N139,$O$3))</f>
        <v>5</v>
      </c>
      <c r="Q139" s="12" cm="1">
        <f t="array" ref="Q139">INDEX('Treatment-ConceptMap'!U123:Y377,1+O139,P139)</f>
        <v>0</v>
      </c>
    </row>
    <row r="140" spans="14:17">
      <c r="N140" s="11">
        <v>131</v>
      </c>
      <c r="O140" s="11">
        <f t="shared" si="9"/>
        <v>26</v>
      </c>
      <c r="P140" s="11">
        <f t="shared" si="10"/>
        <v>1</v>
      </c>
      <c r="Q140" s="12" cm="1">
        <f t="array" ref="Q140">INDEX('Treatment-ConceptMap'!U124:Y378,1+O140,P140)</f>
        <v>0</v>
      </c>
    </row>
    <row r="141" spans="14:17">
      <c r="N141" s="11">
        <v>132</v>
      </c>
      <c r="O141" s="11">
        <f t="shared" si="9"/>
        <v>26</v>
      </c>
      <c r="P141" s="11">
        <f t="shared" si="10"/>
        <v>2</v>
      </c>
      <c r="Q141" s="12" cm="1">
        <f t="array" ref="Q141">INDEX('Treatment-ConceptMap'!U125:Y379,1+O141,P141)</f>
        <v>0</v>
      </c>
    </row>
    <row r="142" spans="14:17">
      <c r="N142" s="11">
        <v>133</v>
      </c>
      <c r="O142" s="11">
        <f t="shared" si="9"/>
        <v>26</v>
      </c>
      <c r="P142" s="11">
        <f t="shared" si="10"/>
        <v>3</v>
      </c>
      <c r="Q142" s="12" cm="1">
        <f t="array" ref="Q142">INDEX('Treatment-ConceptMap'!U126:Y380,1+O142,P142)</f>
        <v>0</v>
      </c>
    </row>
    <row r="143" spans="14:17">
      <c r="N143" s="11">
        <v>134</v>
      </c>
      <c r="O143" s="11">
        <f t="shared" si="9"/>
        <v>26</v>
      </c>
      <c r="P143" s="11">
        <f t="shared" si="10"/>
        <v>4</v>
      </c>
      <c r="Q143" s="12" cm="1">
        <f t="array" ref="Q143">INDEX('Treatment-ConceptMap'!U127:Y381,1+O143,P143)</f>
        <v>0</v>
      </c>
    </row>
    <row r="144" spans="14:17">
      <c r="N144" s="11">
        <v>135</v>
      </c>
      <c r="O144" s="11">
        <f t="shared" si="9"/>
        <v>26</v>
      </c>
      <c r="P144" s="11">
        <f t="shared" si="10"/>
        <v>5</v>
      </c>
      <c r="Q144" s="12" cm="1">
        <f t="array" ref="Q144">INDEX('Treatment-ConceptMap'!U128:Y382,1+O144,P144)</f>
        <v>0</v>
      </c>
    </row>
    <row r="145" spans="14:17">
      <c r="N145" s="11">
        <v>136</v>
      </c>
      <c r="O145" s="11">
        <f t="shared" si="9"/>
        <v>27</v>
      </c>
      <c r="P145" s="11">
        <f t="shared" si="10"/>
        <v>1</v>
      </c>
      <c r="Q145" s="12" cm="1">
        <f t="array" ref="Q145">INDEX('Treatment-ConceptMap'!U129:Y383,1+O145,P145)</f>
        <v>0</v>
      </c>
    </row>
    <row r="146" spans="14:17">
      <c r="N146" s="11">
        <v>137</v>
      </c>
      <c r="O146" s="11">
        <f t="shared" si="9"/>
        <v>27</v>
      </c>
      <c r="P146" s="11">
        <f t="shared" si="10"/>
        <v>2</v>
      </c>
      <c r="Q146" s="12" cm="1">
        <f t="array" ref="Q146">INDEX('Treatment-ConceptMap'!U130:Y384,1+O146,P146)</f>
        <v>0</v>
      </c>
    </row>
    <row r="147" spans="14:17">
      <c r="N147" s="11">
        <v>138</v>
      </c>
      <c r="O147" s="11">
        <f t="shared" si="9"/>
        <v>27</v>
      </c>
      <c r="P147" s="11">
        <f t="shared" si="10"/>
        <v>3</v>
      </c>
      <c r="Q147" s="12" cm="1">
        <f t="array" ref="Q147">INDEX('Treatment-ConceptMap'!U131:Y385,1+O147,P147)</f>
        <v>0</v>
      </c>
    </row>
    <row r="148" spans="14:17">
      <c r="N148" s="11">
        <v>139</v>
      </c>
      <c r="O148" s="11">
        <f t="shared" si="9"/>
        <v>27</v>
      </c>
      <c r="P148" s="11">
        <f t="shared" si="10"/>
        <v>4</v>
      </c>
      <c r="Q148" s="12" cm="1">
        <f t="array" ref="Q148">INDEX('Treatment-ConceptMap'!U132:Y386,1+O148,P148)</f>
        <v>0</v>
      </c>
    </row>
    <row r="149" spans="14:17">
      <c r="N149" s="11">
        <v>140</v>
      </c>
      <c r="O149" s="11">
        <f t="shared" si="9"/>
        <v>27</v>
      </c>
      <c r="P149" s="11">
        <f t="shared" si="10"/>
        <v>5</v>
      </c>
      <c r="Q149" s="12" cm="1">
        <f t="array" ref="Q149">INDEX('Treatment-ConceptMap'!U133:Y387,1+O149,P149)</f>
        <v>0</v>
      </c>
    </row>
    <row r="150" spans="14:17">
      <c r="N150" s="11">
        <v>141</v>
      </c>
      <c r="O150" s="11">
        <f t="shared" si="9"/>
        <v>28</v>
      </c>
      <c r="P150" s="11">
        <f t="shared" si="10"/>
        <v>1</v>
      </c>
      <c r="Q150" s="12" cm="1">
        <f t="array" ref="Q150">INDEX('Treatment-ConceptMap'!U134:Y388,1+O150,P150)</f>
        <v>0</v>
      </c>
    </row>
    <row r="151" spans="14:17">
      <c r="N151" s="11">
        <v>142</v>
      </c>
      <c r="O151" s="11">
        <f t="shared" si="9"/>
        <v>28</v>
      </c>
      <c r="P151" s="11">
        <f t="shared" si="10"/>
        <v>2</v>
      </c>
      <c r="Q151" s="12" cm="1">
        <f t="array" ref="Q151">INDEX('Treatment-ConceptMap'!U135:Y389,1+O151,P151)</f>
        <v>0</v>
      </c>
    </row>
    <row r="152" spans="14:17">
      <c r="N152" s="11">
        <v>143</v>
      </c>
      <c r="O152" s="11">
        <f t="shared" si="9"/>
        <v>28</v>
      </c>
      <c r="P152" s="11">
        <f t="shared" si="10"/>
        <v>3</v>
      </c>
      <c r="Q152" s="12" cm="1">
        <f t="array" ref="Q152">INDEX('Treatment-ConceptMap'!U136:Y390,1+O152,P152)</f>
        <v>0</v>
      </c>
    </row>
    <row r="153" spans="14:17">
      <c r="N153" s="11">
        <v>144</v>
      </c>
      <c r="O153" s="11">
        <f t="shared" si="9"/>
        <v>28</v>
      </c>
      <c r="P153" s="11">
        <f t="shared" si="10"/>
        <v>4</v>
      </c>
      <c r="Q153" s="12" cm="1">
        <f t="array" ref="Q153">INDEX('Treatment-ConceptMap'!U137:Y391,1+O153,P153)</f>
        <v>0</v>
      </c>
    </row>
    <row r="154" spans="14:17">
      <c r="N154" s="11">
        <v>145</v>
      </c>
      <c r="O154" s="11">
        <f t="shared" si="9"/>
        <v>28</v>
      </c>
      <c r="P154" s="11">
        <f t="shared" si="10"/>
        <v>5</v>
      </c>
      <c r="Q154" s="12" cm="1">
        <f t="array" ref="Q154">INDEX('Treatment-ConceptMap'!U138:Y392,1+O154,P154)</f>
        <v>0</v>
      </c>
    </row>
    <row r="155" spans="14:17">
      <c r="N155" s="11">
        <v>146</v>
      </c>
      <c r="O155" s="11">
        <f t="shared" si="9"/>
        <v>29</v>
      </c>
      <c r="P155" s="11">
        <f t="shared" si="10"/>
        <v>1</v>
      </c>
      <c r="Q155" s="12" cm="1">
        <f t="array" ref="Q155">INDEX('Treatment-ConceptMap'!U139:Y393,1+O155,P155)</f>
        <v>0</v>
      </c>
    </row>
    <row r="156" spans="14:17">
      <c r="N156" s="11">
        <v>147</v>
      </c>
      <c r="O156" s="11">
        <f t="shared" si="9"/>
        <v>29</v>
      </c>
      <c r="P156" s="11">
        <f t="shared" si="10"/>
        <v>2</v>
      </c>
      <c r="Q156" s="12" cm="1">
        <f t="array" ref="Q156">INDEX('Treatment-ConceptMap'!U140:Y394,1+O156,P156)</f>
        <v>0</v>
      </c>
    </row>
    <row r="157" spans="14:17">
      <c r="N157" s="11">
        <v>148</v>
      </c>
      <c r="O157" s="11">
        <f t="shared" si="9"/>
        <v>29</v>
      </c>
      <c r="P157" s="11">
        <f t="shared" si="10"/>
        <v>3</v>
      </c>
      <c r="Q157" s="12" cm="1">
        <f t="array" ref="Q157">INDEX('Treatment-ConceptMap'!U141:Y395,1+O157,P157)</f>
        <v>0</v>
      </c>
    </row>
    <row r="158" spans="14:17">
      <c r="N158" s="11">
        <v>149</v>
      </c>
      <c r="O158" s="11">
        <f t="shared" si="9"/>
        <v>29</v>
      </c>
      <c r="P158" s="11">
        <f t="shared" si="10"/>
        <v>4</v>
      </c>
      <c r="Q158" s="12" cm="1">
        <f t="array" ref="Q158">INDEX('Treatment-ConceptMap'!U142:Y396,1+O158,P158)</f>
        <v>0</v>
      </c>
    </row>
    <row r="159" spans="14:17">
      <c r="N159" s="11">
        <v>150</v>
      </c>
      <c r="O159" s="11">
        <f t="shared" si="9"/>
        <v>29</v>
      </c>
      <c r="P159" s="11">
        <f t="shared" si="10"/>
        <v>5</v>
      </c>
      <c r="Q159" s="12" cm="1">
        <f t="array" ref="Q159">INDEX('Treatment-ConceptMap'!U143:Y397,1+O159,P159)</f>
        <v>0</v>
      </c>
    </row>
    <row r="160" spans="14:17">
      <c r="N160" s="11">
        <v>151</v>
      </c>
      <c r="O160" s="11">
        <f t="shared" si="9"/>
        <v>30</v>
      </c>
      <c r="P160" s="11">
        <f t="shared" si="10"/>
        <v>1</v>
      </c>
      <c r="Q160" s="12" cm="1">
        <f t="array" ref="Q160">INDEX('Treatment-ConceptMap'!U144:Y398,1+O160,P160)</f>
        <v>0</v>
      </c>
    </row>
    <row r="161" spans="14:17">
      <c r="N161" s="11">
        <v>152</v>
      </c>
      <c r="O161" s="11">
        <f t="shared" si="9"/>
        <v>30</v>
      </c>
      <c r="P161" s="11">
        <f t="shared" si="10"/>
        <v>2</v>
      </c>
      <c r="Q161" s="12" cm="1">
        <f t="array" ref="Q161">INDEX('Treatment-ConceptMap'!U145:Y399,1+O161,P161)</f>
        <v>0</v>
      </c>
    </row>
    <row r="162" spans="14:17">
      <c r="N162" s="11">
        <v>153</v>
      </c>
      <c r="O162" s="11">
        <f t="shared" si="9"/>
        <v>30</v>
      </c>
      <c r="P162" s="11">
        <f t="shared" si="10"/>
        <v>3</v>
      </c>
      <c r="Q162" s="12" cm="1">
        <f t="array" ref="Q162">INDEX('Treatment-ConceptMap'!U146:Y400,1+O162,P162)</f>
        <v>0</v>
      </c>
    </row>
    <row r="163" spans="14:17">
      <c r="N163" s="11">
        <v>154</v>
      </c>
      <c r="O163" s="11">
        <f t="shared" si="9"/>
        <v>30</v>
      </c>
      <c r="P163" s="11">
        <f t="shared" si="10"/>
        <v>4</v>
      </c>
      <c r="Q163" s="12" cm="1">
        <f t="array" ref="Q163">INDEX('Treatment-ConceptMap'!U147:Y401,1+O163,P163)</f>
        <v>0</v>
      </c>
    </row>
    <row r="164" spans="14:17">
      <c r="N164" s="11">
        <v>155</v>
      </c>
      <c r="O164" s="11">
        <f t="shared" si="9"/>
        <v>30</v>
      </c>
      <c r="P164" s="11">
        <f t="shared" si="10"/>
        <v>5</v>
      </c>
      <c r="Q164" s="12" cm="1">
        <f t="array" ref="Q164">INDEX('Treatment-ConceptMap'!U148:Y402,1+O164,P164)</f>
        <v>0</v>
      </c>
    </row>
    <row r="165" spans="14:17">
      <c r="N165" s="11">
        <v>156</v>
      </c>
      <c r="O165" s="11">
        <f t="shared" si="9"/>
        <v>31</v>
      </c>
      <c r="P165" s="11">
        <f t="shared" si="10"/>
        <v>1</v>
      </c>
      <c r="Q165" s="12" cm="1">
        <f t="array" ref="Q165">INDEX('Treatment-ConceptMap'!U149:Y403,1+O165,P165)</f>
        <v>0</v>
      </c>
    </row>
    <row r="166" spans="14:17">
      <c r="N166" s="11">
        <v>157</v>
      </c>
      <c r="O166" s="11">
        <f t="shared" si="9"/>
        <v>31</v>
      </c>
      <c r="P166" s="11">
        <f t="shared" si="10"/>
        <v>2</v>
      </c>
      <c r="Q166" s="12" cm="1">
        <f t="array" ref="Q166">INDEX('Treatment-ConceptMap'!U150:Y404,1+O166,P166)</f>
        <v>0</v>
      </c>
    </row>
    <row r="167" spans="14:17">
      <c r="N167" s="11">
        <v>158</v>
      </c>
      <c r="O167" s="11">
        <f t="shared" si="9"/>
        <v>31</v>
      </c>
      <c r="P167" s="11">
        <f t="shared" si="10"/>
        <v>3</v>
      </c>
      <c r="Q167" s="12" cm="1">
        <f t="array" ref="Q167">INDEX('Treatment-ConceptMap'!U151:Y405,1+O167,P167)</f>
        <v>0</v>
      </c>
    </row>
    <row r="168" spans="14:17">
      <c r="N168" s="11">
        <v>159</v>
      </c>
      <c r="O168" s="11">
        <f t="shared" si="9"/>
        <v>31</v>
      </c>
      <c r="P168" s="11">
        <f t="shared" si="10"/>
        <v>4</v>
      </c>
      <c r="Q168" s="12" cm="1">
        <f t="array" ref="Q168">INDEX('Treatment-ConceptMap'!U152:Y406,1+O168,P168)</f>
        <v>0</v>
      </c>
    </row>
    <row r="169" spans="14:17">
      <c r="N169" s="11">
        <v>160</v>
      </c>
      <c r="O169" s="11">
        <f t="shared" si="9"/>
        <v>31</v>
      </c>
      <c r="P169" s="11">
        <f t="shared" si="10"/>
        <v>5</v>
      </c>
      <c r="Q169" s="12" cm="1">
        <f t="array" ref="Q169">INDEX('Treatment-ConceptMap'!U153:Y407,1+O169,P169)</f>
        <v>0</v>
      </c>
    </row>
    <row r="170" spans="14:17">
      <c r="N170" s="11">
        <v>161</v>
      </c>
      <c r="O170" s="11">
        <f t="shared" si="9"/>
        <v>32</v>
      </c>
      <c r="P170" s="11">
        <f t="shared" si="10"/>
        <v>1</v>
      </c>
      <c r="Q170" s="12" cm="1">
        <f t="array" ref="Q170">INDEX('Treatment-ConceptMap'!U154:Y408,1+O170,P170)</f>
        <v>0</v>
      </c>
    </row>
    <row r="171" spans="14:17">
      <c r="N171" s="11">
        <v>162</v>
      </c>
      <c r="O171" s="11">
        <f t="shared" si="9"/>
        <v>32</v>
      </c>
      <c r="P171" s="11">
        <f t="shared" si="10"/>
        <v>2</v>
      </c>
      <c r="Q171" s="12" cm="1">
        <f t="array" ref="Q171">INDEX('Treatment-ConceptMap'!U155:Y409,1+O171,P171)</f>
        <v>0</v>
      </c>
    </row>
    <row r="172" spans="14:17">
      <c r="N172" s="11">
        <v>163</v>
      </c>
      <c r="O172" s="11">
        <f t="shared" si="9"/>
        <v>32</v>
      </c>
      <c r="P172" s="11">
        <f t="shared" si="10"/>
        <v>3</v>
      </c>
      <c r="Q172" s="12" cm="1">
        <f t="array" ref="Q172">INDEX('Treatment-ConceptMap'!U156:Y410,1+O172,P172)</f>
        <v>0</v>
      </c>
    </row>
    <row r="173" spans="14:17">
      <c r="N173" s="11">
        <v>164</v>
      </c>
      <c r="O173" s="11">
        <f t="shared" si="9"/>
        <v>32</v>
      </c>
      <c r="P173" s="11">
        <f t="shared" si="10"/>
        <v>4</v>
      </c>
      <c r="Q173" s="12" cm="1">
        <f t="array" ref="Q173">INDEX('Treatment-ConceptMap'!U157:Y411,1+O173,P173)</f>
        <v>0</v>
      </c>
    </row>
    <row r="174" spans="14:17">
      <c r="N174" s="11">
        <v>165</v>
      </c>
      <c r="O174" s="11">
        <f t="shared" si="9"/>
        <v>32</v>
      </c>
      <c r="P174" s="11">
        <f t="shared" si="10"/>
        <v>5</v>
      </c>
      <c r="Q174" s="12" cm="1">
        <f t="array" ref="Q174">INDEX('Treatment-ConceptMap'!U158:Y412,1+O174,P174)</f>
        <v>0</v>
      </c>
    </row>
    <row r="175" spans="14:17">
      <c r="N175" s="11">
        <v>166</v>
      </c>
      <c r="O175" s="11">
        <f t="shared" si="9"/>
        <v>33</v>
      </c>
      <c r="P175" s="11">
        <f t="shared" si="10"/>
        <v>1</v>
      </c>
      <c r="Q175" s="12" cm="1">
        <f t="array" ref="Q175">INDEX('Treatment-ConceptMap'!U159:Y413,1+O175,P175)</f>
        <v>0</v>
      </c>
    </row>
    <row r="176" spans="14:17">
      <c r="N176" s="11">
        <v>167</v>
      </c>
      <c r="O176" s="11">
        <f t="shared" si="9"/>
        <v>33</v>
      </c>
      <c r="P176" s="11">
        <f t="shared" si="10"/>
        <v>2</v>
      </c>
      <c r="Q176" s="12" cm="1">
        <f t="array" ref="Q176">INDEX('Treatment-ConceptMap'!U160:Y414,1+O176,P176)</f>
        <v>0</v>
      </c>
    </row>
    <row r="177" spans="14:17">
      <c r="N177" s="11">
        <v>168</v>
      </c>
      <c r="O177" s="11">
        <f t="shared" si="9"/>
        <v>33</v>
      </c>
      <c r="P177" s="11">
        <f t="shared" si="10"/>
        <v>3</v>
      </c>
      <c r="Q177" s="12" cm="1">
        <f t="array" ref="Q177">INDEX('Treatment-ConceptMap'!U161:Y415,1+O177,P177)</f>
        <v>0</v>
      </c>
    </row>
    <row r="178" spans="14:17">
      <c r="N178" s="11">
        <v>169</v>
      </c>
      <c r="O178" s="11">
        <f t="shared" si="9"/>
        <v>33</v>
      </c>
      <c r="P178" s="11">
        <f t="shared" si="10"/>
        <v>4</v>
      </c>
      <c r="Q178" s="12" cm="1">
        <f t="array" ref="Q178">INDEX('Treatment-ConceptMap'!U162:Y416,1+O178,P178)</f>
        <v>0</v>
      </c>
    </row>
    <row r="179" spans="14:17">
      <c r="N179" s="11">
        <v>170</v>
      </c>
      <c r="O179" s="11">
        <f t="shared" si="9"/>
        <v>33</v>
      </c>
      <c r="P179" s="11">
        <f t="shared" si="10"/>
        <v>5</v>
      </c>
      <c r="Q179" s="12" cm="1">
        <f t="array" ref="Q179">INDEX('Treatment-ConceptMap'!U163:Y417,1+O179,P179)</f>
        <v>0</v>
      </c>
    </row>
    <row r="180" spans="14:17">
      <c r="N180" s="11">
        <v>171</v>
      </c>
      <c r="O180" s="11">
        <f t="shared" si="9"/>
        <v>34</v>
      </c>
      <c r="P180" s="11">
        <f t="shared" si="10"/>
        <v>1</v>
      </c>
      <c r="Q180" s="12" cm="1">
        <f t="array" ref="Q180">INDEX('Treatment-ConceptMap'!U164:Y418,1+O180,P180)</f>
        <v>0</v>
      </c>
    </row>
    <row r="181" spans="14:17">
      <c r="N181" s="11">
        <v>172</v>
      </c>
      <c r="O181" s="11">
        <f t="shared" si="9"/>
        <v>34</v>
      </c>
      <c r="P181" s="11">
        <f t="shared" si="10"/>
        <v>2</v>
      </c>
      <c r="Q181" s="12" cm="1">
        <f t="array" ref="Q181">INDEX('Treatment-ConceptMap'!U165:Y419,1+O181,P181)</f>
        <v>0</v>
      </c>
    </row>
    <row r="182" spans="14:17">
      <c r="N182" s="11">
        <v>173</v>
      </c>
      <c r="O182" s="11">
        <f t="shared" si="9"/>
        <v>34</v>
      </c>
      <c r="P182" s="11">
        <f t="shared" si="10"/>
        <v>3</v>
      </c>
      <c r="Q182" s="12" cm="1">
        <f t="array" ref="Q182">INDEX('Treatment-ConceptMap'!U166:Y420,1+O182,P182)</f>
        <v>0</v>
      </c>
    </row>
    <row r="183" spans="14:17">
      <c r="N183" s="11">
        <v>174</v>
      </c>
      <c r="O183" s="11">
        <f t="shared" si="9"/>
        <v>34</v>
      </c>
      <c r="P183" s="11">
        <f t="shared" si="10"/>
        <v>4</v>
      </c>
      <c r="Q183" s="12" cm="1">
        <f t="array" ref="Q183">INDEX('Treatment-ConceptMap'!U167:Y421,1+O183,P183)</f>
        <v>0</v>
      </c>
    </row>
    <row r="184" spans="14:17">
      <c r="N184" s="11">
        <v>175</v>
      </c>
      <c r="O184" s="11">
        <f t="shared" si="9"/>
        <v>34</v>
      </c>
      <c r="P184" s="11">
        <f t="shared" si="10"/>
        <v>5</v>
      </c>
      <c r="Q184" s="12" cm="1">
        <f t="array" ref="Q184">INDEX('Treatment-ConceptMap'!U168:Y422,1+O184,P184)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83D0D25-A2B3-4624-86DA-03F3544BBFDF}">
          <x14:formula1>
            <xm:f>Foglio2!$D$6:$D$15</xm:f>
          </x14:formula1>
          <xm:sqref>L37:L46 I34:I46 J21:K46 F10:G46</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76B9E-25BA-46F3-98AA-5B78A43B28D9}">
  <sheetPr codeName="Foglio15">
    <tabColor theme="0" tint="-0.34998626667073579"/>
  </sheetPr>
  <dimension ref="B1:G77"/>
  <sheetViews>
    <sheetView workbookViewId="0">
      <selection activeCell="B11" sqref="B11"/>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4" t="s">
        <v>21</v>
      </c>
    </row>
    <row r="2" spans="2:7" ht="16.75" thickBot="1">
      <c r="B2" s="25" t="s">
        <v>1459</v>
      </c>
      <c r="G2" s="30" t="s">
        <v>1476</v>
      </c>
    </row>
    <row r="3" spans="2:7">
      <c r="B3" s="25" t="s">
        <v>21</v>
      </c>
    </row>
    <row r="4" spans="2:7">
      <c r="B4" s="69" t="s">
        <v>1477</v>
      </c>
    </row>
    <row r="5" spans="2:7">
      <c r="B5" s="69" t="s">
        <v>1457</v>
      </c>
    </row>
    <row r="6" spans="2:7">
      <c r="B6" s="69" t="s">
        <v>1448</v>
      </c>
    </row>
    <row r="7" spans="2:7">
      <c r="B7" s="69" t="s">
        <v>1478</v>
      </c>
    </row>
    <row r="8" spans="2:7">
      <c r="B8" s="69" t="s">
        <v>1479</v>
      </c>
    </row>
    <row r="9" spans="2:7">
      <c r="B9" s="69" t="s">
        <v>1480</v>
      </c>
    </row>
    <row r="10" spans="2:7">
      <c r="B10" s="69" t="s">
        <v>1449</v>
      </c>
    </row>
    <row r="11" spans="2:7">
      <c r="B11" s="69" t="s">
        <v>1450</v>
      </c>
    </row>
    <row r="12" spans="2:7">
      <c r="B12" s="69" t="s">
        <v>1481</v>
      </c>
    </row>
    <row r="13" spans="2:7">
      <c r="B13" s="69" t="s">
        <v>1482</v>
      </c>
    </row>
    <row r="14" spans="2:7">
      <c r="B14" s="73" t="s">
        <v>1472</v>
      </c>
    </row>
    <row r="15" spans="2:7">
      <c r="B15" s="73" t="s">
        <v>1473</v>
      </c>
    </row>
    <row r="16" spans="2:7">
      <c r="B16" s="69"/>
    </row>
    <row r="17" spans="2:7">
      <c r="B17" s="72" t="s">
        <v>1474</v>
      </c>
    </row>
    <row r="18" spans="2:7">
      <c r="B18" s="72" t="s">
        <v>1475</v>
      </c>
    </row>
    <row r="19" spans="2:7">
      <c r="B19" s="74"/>
    </row>
    <row r="20" spans="2:7">
      <c r="B20" s="12" t="str">
        <f>IF('Treatment-ConceptMap'!Q10=0,"//---END",'Treatment-ConceptMap'!Q10)</f>
        <v>* group[=].element[+].code = #Treatment</v>
      </c>
    </row>
    <row r="21" spans="2:7">
      <c r="B21" s="12" t="str">
        <f>IF('Treatment-ConceptMap'!Q11=0,"//---END",'Treatment-ConceptMap'!Q11)</f>
        <v>* group[=].element[=].display = ##34#Treatment##34#</v>
      </c>
    </row>
    <row r="22" spans="2:7">
      <c r="B22" s="12" t="str">
        <f>IF('Treatment-ConceptMap'!Q12=0,"//---END",'Treatment-ConceptMap'!Q12)</f>
        <v>* group[=].element[=].target.code = #Osiris.Patient</v>
      </c>
    </row>
    <row r="23" spans="2:7">
      <c r="B23" s="12" t="str">
        <f>IF('Treatment-ConceptMap'!Q13=0,"//---END",'Treatment-ConceptMap'!Q13)</f>
        <v>* group[=].element[=].target.display = ##34#Patient##34#</v>
      </c>
    </row>
    <row r="24" spans="2:7">
      <c r="B24" s="12" t="str">
        <f>IF('Treatment-ConceptMap'!Q14=0,"//---END",'Treatment-ConceptMap'!Q14)</f>
        <v>* group[=].element[=].target.equivalence = #equivalent</v>
      </c>
    </row>
    <row r="25" spans="2:7">
      <c r="B25" s="12" t="str">
        <f>IF('Treatment-ConceptMap'!Q15=0,"//---END",'Treatment-ConceptMap'!Q15)</f>
        <v>* group[=].element[+].code = #Treatment.surgery</v>
      </c>
      <c r="G25" s="7"/>
    </row>
    <row r="26" spans="2:7">
      <c r="B26" s="12" t="str">
        <f>IF('Treatment-ConceptMap'!Q16=0,"//---END",'Treatment-ConceptMap'!Q16)</f>
        <v>* group[=].element[=].display = ##34#Surgery ##34#</v>
      </c>
    </row>
    <row r="27" spans="2:7">
      <c r="B27" s="12" t="str">
        <f>IF('Treatment-ConceptMap'!Q17=0,"//---END",'Treatment-ConceptMap'!Q17)</f>
        <v>* group[=].element[=].target.code = #Osiris.Patient.BirthDate</v>
      </c>
    </row>
    <row r="28" spans="2:7">
      <c r="B28" s="12" t="str">
        <f>IF('Treatment-ConceptMap'!Q18=0,"//---END",'Treatment-ConceptMap'!Q18)</f>
        <v>* group[=].element[=].target.display = ##34#Birth Date [C4]##34#</v>
      </c>
    </row>
    <row r="29" spans="2:7">
      <c r="B29" s="12" t="str">
        <f>IF('Treatment-ConceptMap'!Q19=0,"//---END",'Treatment-ConceptMap'!Q19)</f>
        <v>* group[=].element[=].target.equivalence = #relatedto</v>
      </c>
    </row>
    <row r="30" spans="2:7">
      <c r="B30" s="12" t="str">
        <f>IF('Treatment-ConceptMap'!Q20=0,"//---END",'Treatment-ConceptMap'!Q20)</f>
        <v>* group[=].element[+].code = #Treatment.surgeryPerformed</v>
      </c>
    </row>
    <row r="31" spans="2:7">
      <c r="B31" s="12" t="str">
        <f>IF('Treatment-ConceptMap'!Q21=0,"//---END",'Treatment-ConceptMap'!Q21)</f>
        <v>* group[=].element[=].display = ##34#Surgery performed##34#</v>
      </c>
    </row>
    <row r="32" spans="2:7">
      <c r="B32" s="12" t="str">
        <f>IF('Treatment-ConceptMap'!Q22=0,"//---END",'Treatment-ConceptMap'!Q22)</f>
        <v>* group[=].element[=].target.code = #Osiris.Patient.BirthDate</v>
      </c>
    </row>
    <row r="33" spans="2:2">
      <c r="B33" s="12" t="str">
        <f>IF('Treatment-ConceptMap'!Q23=0,"//---END",'Treatment-ConceptMap'!Q23)</f>
        <v>* group[=].element[=].target.display = ##34#Birth Date [C4]##34#</v>
      </c>
    </row>
    <row r="34" spans="2:2">
      <c r="B34" s="12" t="str">
        <f>IF('Treatment-ConceptMap'!Q24=0,"//---END",'Treatment-ConceptMap'!Q24)</f>
        <v>* group[=].element[=].target.equivalence = #equivalent</v>
      </c>
    </row>
    <row r="35" spans="2:2">
      <c r="B35" s="12" t="str">
        <f>IF('Treatment-ConceptMap'!Q25=0,"//---END",'Treatment-ConceptMap'!Q25)</f>
        <v>* group[=].element[+].code = #Treatment.surgeryIntention</v>
      </c>
    </row>
    <row r="36" spans="2:2">
      <c r="B36" s="12" t="str">
        <f>IF('Treatment-ConceptMap'!Q26=0,"//---END",'Treatment-ConceptMap'!Q26)</f>
        <v>* group[=].element[=].display = ##34#Surgery intention##34#</v>
      </c>
    </row>
    <row r="37" spans="2:2">
      <c r="B37" s="12" t="str">
        <f>IF('Treatment-ConceptMap'!Q27=0,"//---END",'Treatment-ConceptMap'!Q27)</f>
        <v>//-- unmatched</v>
      </c>
    </row>
    <row r="38" spans="2:2">
      <c r="B38" s="12" t="str">
        <f>IF('Treatment-ConceptMap'!Q28=0,"//---END",'Treatment-ConceptMap'!Q28)</f>
        <v>//-- unmatched</v>
      </c>
    </row>
    <row r="39" spans="2:2">
      <c r="B39" s="12" t="str">
        <f>IF('Treatment-ConceptMap'!Q29=0,"//---END",'Treatment-ConceptMap'!Q29)</f>
        <v>* group[=].element[=].target.equivalence = #unmatched</v>
      </c>
    </row>
    <row r="40" spans="2:2">
      <c r="B40" s="12" t="str">
        <f>IF('Treatment-ConceptMap'!Q30=0,"//---END",'Treatment-ConceptMap'!Q30)</f>
        <v>* group[=].element[+].code = #Treatment.tumorSurgeryApproach</v>
      </c>
    </row>
    <row r="41" spans="2:2">
      <c r="B41" s="12" t="str">
        <f>IF('Treatment-ConceptMap'!Q31=0,"//---END",'Treatment-ConceptMap'!Q31)</f>
        <v>* group[=].element[=].display = ##34#Tumor surgery approach##34#</v>
      </c>
    </row>
    <row r="42" spans="2:2">
      <c r="B42" s="12" t="str">
        <f>IF('Treatment-ConceptMap'!Q32=0,"//---END",'Treatment-ConceptMap'!Q32)</f>
        <v>//-- unmatched</v>
      </c>
    </row>
    <row r="43" spans="2:2">
      <c r="B43" s="12" t="str">
        <f>IF('Treatment-ConceptMap'!Q33=0,"//---END",'Treatment-ConceptMap'!Q33)</f>
        <v>//-- unmatched</v>
      </c>
    </row>
    <row r="44" spans="2:2">
      <c r="B44" s="12" t="str">
        <f>IF('Treatment-ConceptMap'!Q34=0,"//---END",'Treatment-ConceptMap'!Q34)</f>
        <v>* group[=].element[=].target.equivalence = #unmatched</v>
      </c>
    </row>
    <row r="45" spans="2:2">
      <c r="B45" s="12" t="str">
        <f>IF('Treatment-ConceptMap'!Q35=0,"//---END",'Treatment-ConceptMap'!Q35)</f>
        <v>* group[=].element[+].code = #Treatment.tumorSurgeryDevice</v>
      </c>
    </row>
    <row r="46" spans="2:2">
      <c r="B46" s="12" t="str">
        <f>IF('Treatment-ConceptMap'!Q36=0,"//---END",'Treatment-ConceptMap'!Q36)</f>
        <v>* group[=].element[=].display = ##34#Tumor surgery device##34#</v>
      </c>
    </row>
    <row r="47" spans="2:2">
      <c r="B47" s="12" t="str">
        <f>IF('Treatment-ConceptMap'!Q37=0,"//---END",'Treatment-ConceptMap'!Q37)</f>
        <v>* group[=].element[=].target.code = #Osiris.Patient.Gender</v>
      </c>
    </row>
    <row r="48" spans="2:2">
      <c r="B48" s="12" t="str">
        <f>IF('Treatment-ConceptMap'!Q38=0,"//---END",'Treatment-ConceptMap'!Q38)</f>
        <v>* group[=].element[=].target.display = ##34#Gender [C2]##34#</v>
      </c>
    </row>
    <row r="49" spans="2:2">
      <c r="B49" s="12" t="str">
        <f>IF('Treatment-ConceptMap'!Q39=0,"//---END",'Treatment-ConceptMap'!Q39)</f>
        <v>* group[=].element[=].target.equivalence = #narrower</v>
      </c>
    </row>
    <row r="50" spans="2:2">
      <c r="B50" s="12" t="str">
        <f>IF('Treatment-ConceptMap'!Q40=0,"//---END",'Treatment-ConceptMap'!Q40)</f>
        <v>* group[=].element[+].code = #Treatment.surgicalProcedure</v>
      </c>
    </row>
    <row r="51" spans="2:2">
      <c r="B51" s="12" t="str">
        <f>IF('Treatment-ConceptMap'!Q41=0,"//---END",'Treatment-ConceptMap'!Q41)</f>
        <v>* group[=].element[=].display = ##34#Surgical procedure##34#</v>
      </c>
    </row>
    <row r="52" spans="2:2">
      <c r="B52" s="12" t="str">
        <f>IF('Treatment-ConceptMap'!Q42=0,"//---END",'Treatment-ConceptMap'!Q42)</f>
        <v>* group[=].element[=].target.code = #Osiris.Patient.Ethnicity</v>
      </c>
    </row>
    <row r="53" spans="2:2">
      <c r="B53" s="12" t="str">
        <f>IF('Treatment-ConceptMap'!Q43=0,"//---END",'Treatment-ConceptMap'!Q43)</f>
        <v>* group[=].element[=].target.display = ##34#Ethnicity [C3]##34#</v>
      </c>
    </row>
    <row r="54" spans="2:2">
      <c r="B54" s="12" t="str">
        <f>IF('Treatment-ConceptMap'!Q44=0,"//---END",'Treatment-ConceptMap'!Q44)</f>
        <v>* group[=].element[=].target.equivalence = #wider</v>
      </c>
    </row>
    <row r="55" spans="2:2">
      <c r="B55" s="12" t="str">
        <f>IF('Treatment-ConceptMap'!Q45=0,"//---END",'Treatment-ConceptMap'!Q45)</f>
        <v>* group[=].element[+].code = #Treatment.surgicalProcedure.surgicalProcedureNasopharynx</v>
      </c>
    </row>
    <row r="56" spans="2:2">
      <c r="B56" s="12" t="str">
        <f>IF('Treatment-ConceptMap'!Q46=0,"//---END",'Treatment-ConceptMap'!Q46)</f>
        <v>* group[=].element[=].display = ##34#Surgical procedure Nasopharynx##34#</v>
      </c>
    </row>
    <row r="57" spans="2:2">
      <c r="B57" s="12" t="str">
        <f>IF('Treatment-ConceptMap'!Q47=0,"//---END",'Treatment-ConceptMap'!Q47)</f>
        <v>//-- unmatched</v>
      </c>
    </row>
    <row r="58" spans="2:2">
      <c r="B58" s="12" t="str">
        <f>IF('Treatment-ConceptMap'!Q48=0,"//---END",'Treatment-ConceptMap'!Q48)</f>
        <v>//-- unmatched</v>
      </c>
    </row>
    <row r="59" spans="2:2">
      <c r="B59" s="12" t="str">
        <f>IF('Treatment-ConceptMap'!Q49=0,"//---END",'Treatment-ConceptMap'!Q49)</f>
        <v>* group[=].element[=].target.equivalence = #unmatched</v>
      </c>
    </row>
    <row r="60" spans="2:2">
      <c r="B60" s="12" t="str">
        <f>IF('Treatment-ConceptMap'!Q50=0,"//---END",'Treatment-ConceptMap'!Q50)</f>
        <v>//---END</v>
      </c>
    </row>
    <row r="61" spans="2:2">
      <c r="B61" s="12" t="str">
        <f>IF('Treatment-ConceptMap'!Q51=0,"//---END",'Treatment-ConceptMap'!Q51)</f>
        <v>//---END</v>
      </c>
    </row>
    <row r="62" spans="2:2">
      <c r="B62" s="12" t="str">
        <f>IF('Treatment-ConceptMap'!Q52=0,"//---END",'Treatment-ConceptMap'!Q52)</f>
        <v>//---END</v>
      </c>
    </row>
    <row r="63" spans="2:2">
      <c r="B63" s="12"/>
    </row>
    <row r="64" spans="2:2">
      <c r="B64" s="12"/>
    </row>
    <row r="65" spans="2:4">
      <c r="B65" s="12"/>
    </row>
    <row r="66" spans="2:4">
      <c r="B66" s="12"/>
    </row>
    <row r="67" spans="2:4">
      <c r="B67" s="12"/>
    </row>
    <row r="68" spans="2:4">
      <c r="B68" s="12"/>
    </row>
    <row r="69" spans="2:4">
      <c r="B69" s="12"/>
    </row>
    <row r="70" spans="2:4">
      <c r="B70" s="12"/>
      <c r="D70" s="62"/>
    </row>
    <row r="71" spans="2:4">
      <c r="B71" s="12"/>
    </row>
    <row r="72" spans="2:4">
      <c r="B72" s="12"/>
    </row>
    <row r="73" spans="2:4">
      <c r="B73" s="12"/>
    </row>
    <row r="74" spans="2:4">
      <c r="B74" s="12"/>
    </row>
    <row r="75" spans="2:4">
      <c r="B75" s="12"/>
    </row>
    <row r="76" spans="2:4">
      <c r="B76" s="12"/>
    </row>
    <row r="77" spans="2:4">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topLeftCell="E1" workbookViewId="0">
      <selection activeCell="I223" sqref="I223"/>
    </sheetView>
  </sheetViews>
  <sheetFormatPr defaultRowHeight="14.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c r="D1" s="53" t="str">
        <f>OsirisDataElementConcept[[#Headers],[DataElementConcept]]</f>
        <v>DataElementConcept</v>
      </c>
      <c r="L1" t="s">
        <v>1409</v>
      </c>
    </row>
    <row r="2" spans="4:13">
      <c r="I2" s="55" t="str">
        <f>OsirisDataElementConcept!$A$2</f>
        <v>Patient</v>
      </c>
      <c r="J2" s="55" t="str">
        <f>OsirisDataElementConcept!$A$2</f>
        <v>Patient</v>
      </c>
      <c r="K2" s="55" t="str">
        <f>OsirisDataElementConcept!$A$2</f>
        <v>Patient</v>
      </c>
      <c r="L2" s="57" t="s">
        <v>1410</v>
      </c>
      <c r="M2" s="57" t="s">
        <v>2</v>
      </c>
    </row>
    <row r="3" spans="4:13" ht="29.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54" t="str">
        <f>IF(LEN(OsirisDataElementConcept!I2)=9,"1","0")</f>
        <v>1</v>
      </c>
      <c r="M3" t="str">
        <f>IF(OsirisDataElementConcept!G2="String","string",IF(OsirisDataElementConcept!G2="Date","date",IF(OsirisDataElementConcept!G2="Float","decimal",OsirisDataElementConcept!G2)))</f>
        <v>string</v>
      </c>
    </row>
    <row r="4" spans="4:13" ht="44.2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54" t="str">
        <f>IF(LEN(OsirisDataElementConcept!I3)=9,"1","0")</f>
        <v>1</v>
      </c>
      <c r="M4" t="str">
        <f>IF(OsirisDataElementConcept!G3="String","string",IF(OsirisDataElementConcept!G3="Date","date",IF(OsirisDataElementConcept!G3="Float","decimal",OsirisDataElementConcept!G3)))</f>
        <v>string</v>
      </c>
    </row>
    <row r="5" spans="4:13" ht="44.2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54" t="str">
        <f>IF(LEN(OsirisDataElementConcept!I4)=9,"1","0")</f>
        <v>0</v>
      </c>
      <c r="M5" t="str">
        <f>IF(OsirisDataElementConcept!G4="String","string",IF(OsirisDataElementConcept!G4="Date","date",IF(OsirisDataElementConcept!G4="Float","decimal",OsirisDataElementConcept!G4)))</f>
        <v>string</v>
      </c>
    </row>
    <row r="6" spans="4:13" ht="29.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54" t="str">
        <f>IF(LEN(OsirisDataElementConcept!I5)=9,"1","0")</f>
        <v>1</v>
      </c>
      <c r="M6" t="str">
        <f>IF(OsirisDataElementConcept!G5="String","string",IF(OsirisDataElementConcept!G5="Date","date",IF(OsirisDataElementConcept!G5="Float","decimal",OsirisDataElementConcept!G5)))</f>
        <v>date</v>
      </c>
    </row>
    <row r="7" spans="4:13" ht="29.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54" t="str">
        <f>IF(LEN(OsirisDataElementConcept!I6)=9,"1","0")</f>
        <v>0</v>
      </c>
      <c r="M7" t="str">
        <f>IF(OsirisDataElementConcept!G6="String","string",IF(OsirisDataElementConcept!G6="Date","date",IF(OsirisDataElementConcept!G6="Float","decimal",OsirisDataElementConcept!G6)))</f>
        <v>date</v>
      </c>
    </row>
    <row r="8" spans="4:13" ht="29.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54" t="str">
        <f>IF(LEN(OsirisDataElementConcept!I7)=9,"1","0")</f>
        <v>1</v>
      </c>
      <c r="M8" t="str">
        <f>IF(OsirisDataElementConcept!G7="String","string",IF(OsirisDataElementConcept!G7="Date","date",IF(OsirisDataElementConcept!G7="Float","decimal",OsirisDataElementConcept!G7)))</f>
        <v>string</v>
      </c>
    </row>
    <row r="9" spans="4:13" ht="29.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54" t="str">
        <f>IF(LEN(OsirisDataElementConcept!I8)=9,"1","0")</f>
        <v>1</v>
      </c>
      <c r="M9" t="str">
        <f>IF(OsirisDataElementConcept!G8="String","string",IF(OsirisDataElementConcept!G8="Date","date",IF(OsirisDataElementConcept!G8="Float","decimal",OsirisDataElementConcept!G8)))</f>
        <v>string</v>
      </c>
    </row>
    <row r="10" spans="4:13" ht="44.2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54" t="str">
        <f>IF(LEN(OsirisDataElementConcept!I9)=9,"1","0")</f>
        <v>0</v>
      </c>
      <c r="M10" t="str">
        <f>IF(OsirisDataElementConcept!G9="String","string",IF(OsirisDataElementConcept!G9="Date","date",IF(OsirisDataElementConcept!G9="Float","decimal",OsirisDataElementConcept!G9)))</f>
        <v>string</v>
      </c>
    </row>
    <row r="11" spans="4:13" ht="44.2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54" t="str">
        <f>IF(LEN(OsirisDataElementConcept!I10)=9,"1","0")</f>
        <v>1</v>
      </c>
      <c r="M11" t="str">
        <f>IF(OsirisDataElementConcept!G10="String","string",IF(OsirisDataElementConcept!G10="Date","date",IF(OsirisDataElementConcept!G10="Float","decimal",OsirisDataElementConcept!G10)))</f>
        <v>date</v>
      </c>
    </row>
    <row r="12" spans="4:13" ht="44.2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54" t="str">
        <f>IF(LEN(OsirisDataElementConcept!I11)=9,"1","0")</f>
        <v>1</v>
      </c>
      <c r="M12" t="str">
        <f>IF(OsirisDataElementConcept!G11="String","string",IF(OsirisDataElementConcept!G11="Date","date",IF(OsirisDataElementConcept!G11="Float","decimal",OsirisDataElementConcept!G11)))</f>
        <v>string</v>
      </c>
    </row>
    <row r="13" spans="4:13">
      <c r="D13" t="str">
        <f>OsirisDataElementConcept!C12</f>
        <v>Consent_Date</v>
      </c>
      <c r="E13" t="str">
        <f>OsirisDataElementConcept!D12</f>
        <v>Date</v>
      </c>
      <c r="H13" t="str">
        <f>OsirisDataElementConcept!A12</f>
        <v>Consent</v>
      </c>
      <c r="I13" s="55" t="str">
        <f>OsirisDataElementConcept!$A$12</f>
        <v>Consent</v>
      </c>
      <c r="J13" s="55" t="str">
        <f>OsirisDataElementConcept!$A$12</f>
        <v>Consent</v>
      </c>
      <c r="K13" s="55" t="str">
        <f>OsirisDataElementConcept!$A$12</f>
        <v>Consent</v>
      </c>
      <c r="L13" s="56">
        <v>1</v>
      </c>
      <c r="M13" s="57" t="s">
        <v>2</v>
      </c>
    </row>
    <row r="14" spans="4:13" ht="29.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54" t="str">
        <f>IF(LEN(OsirisDataElementConcept!I12)=9,"1","0")</f>
        <v>1</v>
      </c>
      <c r="M14" t="str">
        <f>IF(OsirisDataElementConcept!G12="String","string",IF(OsirisDataElementConcept!G12="Date","date",IF(OsirisDataElementConcept!G12="Float","decimal",OsirisDataElementConcept!G12)))</f>
        <v>date</v>
      </c>
    </row>
    <row r="15" spans="4:13" ht="44.2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54" t="str">
        <f>IF(LEN(OsirisDataElementConcept!I13)=9,"1","0")</f>
        <v>1</v>
      </c>
      <c r="M15" t="str">
        <f>IF(OsirisDataElementConcept!G13="String","string",IF(OsirisDataElementConcept!G13="Date","date",IF(OsirisDataElementConcept!G13="Float","decimal",OsirisDataElementConcept!G13)))</f>
        <v>string</v>
      </c>
    </row>
    <row r="16" spans="4:13">
      <c r="D16" t="str">
        <f>OsirisDataElementConcept!C15</f>
        <v>RelatedPathology_DiagnosisDate</v>
      </c>
      <c r="H16" t="str">
        <f>OsirisDataElementConcept!A15</f>
        <v>RelatedPathology</v>
      </c>
      <c r="I16" s="55" t="s">
        <v>281</v>
      </c>
      <c r="J16" s="55" t="s">
        <v>281</v>
      </c>
      <c r="K16" s="55" t="s">
        <v>281</v>
      </c>
      <c r="L16" s="56">
        <v>0</v>
      </c>
      <c r="M16" s="57" t="s">
        <v>2</v>
      </c>
    </row>
    <row r="17" spans="4:13" ht="59">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54" t="str">
        <f>IF(LEN(OsirisDataElementConcept!I14)=9,"1","0")</f>
        <v>0</v>
      </c>
      <c r="M17" t="str">
        <f>IF(OsirisDataElementConcept!G14="String","string",IF(OsirisDataElementConcept!G14="Date","date",OsirisDataElementConcept!G14))</f>
        <v>string</v>
      </c>
    </row>
    <row r="18" spans="4:13" ht="29.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54" t="str">
        <f>IF(LEN(OsirisDataElementConcept!I15)=9,"1","0")</f>
        <v>0</v>
      </c>
      <c r="M18" t="str">
        <f>IF(OsirisDataElementConcept!G15="String","string",IF(OsirisDataElementConcept!G15="Date","date",OsirisDataElementConcept!G15))</f>
        <v>date</v>
      </c>
    </row>
    <row r="19" spans="4:13" ht="29.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54" t="str">
        <f>IF(LEN(OsirisDataElementConcept!I16)=9,"1","0")</f>
        <v>0</v>
      </c>
      <c r="M19" t="str">
        <f>IF(OsirisDataElementConcept!G16="String","string",IF(OsirisDataElementConcept!G16="Date","date",OsirisDataElementConcept!G16))</f>
        <v>date</v>
      </c>
    </row>
    <row r="20" spans="4:13">
      <c r="D20" t="str">
        <f>OsirisDataElementConcept!C19</f>
        <v>TumorPathologyEvent_Type</v>
      </c>
      <c r="H20" t="str">
        <f>OsirisDataElementConcept!A19</f>
        <v>TumorPathologyEvent</v>
      </c>
      <c r="I20" s="55" t="s">
        <v>305</v>
      </c>
      <c r="J20" s="55" t="s">
        <v>305</v>
      </c>
      <c r="K20" s="55" t="s">
        <v>305</v>
      </c>
      <c r="L20" s="56">
        <v>0</v>
      </c>
      <c r="M20" s="57" t="s">
        <v>2</v>
      </c>
    </row>
    <row r="21" spans="4:13" ht="44.2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54" t="str">
        <f>IF(LEN(OsirisDataElementConcept!I17)=9,"1","0")</f>
        <v>0</v>
      </c>
      <c r="M21" t="str">
        <f>IF(OsirisDataElementConcept!G17="String","string",IF(OsirisDataElementConcept!G17="Date","date",OsirisDataElementConcept!G17))</f>
        <v>string</v>
      </c>
    </row>
    <row r="22" spans="4:13" ht="44.2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54" t="str">
        <f>IF(LEN(OsirisDataElementConcept!I18)=9,"1","0")</f>
        <v>0</v>
      </c>
      <c r="M22" t="str">
        <f>IF(OsirisDataElementConcept!G18="String","string",IF(OsirisDataElementConcept!G18="Date","date",OsirisDataElementConcept!G18))</f>
        <v>string</v>
      </c>
    </row>
    <row r="23" spans="4:13">
      <c r="D23" t="str">
        <f>OsirisDataElementConcept!C22</f>
        <v>TumorPathologyEvent_PerformanceStatus</v>
      </c>
      <c r="H23" t="str">
        <f>OsirisDataElementConcept!A22</f>
        <v>TumorPathologyEvent</v>
      </c>
      <c r="I23" s="55" t="s">
        <v>320</v>
      </c>
      <c r="J23" s="55" t="s">
        <v>320</v>
      </c>
      <c r="K23" s="55" t="s">
        <v>320</v>
      </c>
      <c r="L23" s="56">
        <v>1</v>
      </c>
      <c r="M23" s="57" t="s">
        <v>2</v>
      </c>
    </row>
    <row r="24" spans="4:13" ht="73.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54" t="str">
        <f>IF(LEN(OsirisDataElementConcept!I19)=9,"1","0")</f>
        <v>1</v>
      </c>
      <c r="M24" t="str">
        <f>IF(OsirisDataElementConcept!G19="String","string",IF(OsirisDataElementConcept!G19="Date","date",OsirisDataElementConcept!G19))</f>
        <v>string</v>
      </c>
    </row>
    <row r="25" spans="4:13" ht="29.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54" t="str">
        <f>IF(LEN(OsirisDataElementConcept!I20)=9,"1","0")</f>
        <v>1</v>
      </c>
      <c r="M25" t="str">
        <f>IF(OsirisDataElementConcept!G20="String","string",IF(OsirisDataElementConcept!G20="Date","date",OsirisDataElementConcept!G20))</f>
        <v>date</v>
      </c>
    </row>
    <row r="26" spans="4:13" ht="29.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54" t="str">
        <f>IF(LEN(OsirisDataElementConcept!I21)=9,"1","0")</f>
        <v>0</v>
      </c>
      <c r="M26" t="str">
        <f>IF(OsirisDataElementConcept!G21="String","string",IF(OsirisDataElementConcept!G21="Date","date",OsirisDataElementConcept!G21))</f>
        <v>date</v>
      </c>
    </row>
    <row r="27" spans="4:13" ht="44.2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54" t="str">
        <f>IF(LEN(OsirisDataElementConcept!I22)=9,"1","0")</f>
        <v>0</v>
      </c>
      <c r="M27" t="str">
        <f>IF(OsirisDataElementConcept!G22="String","string",IF(OsirisDataElementConcept!G22="Date","date",OsirisDataElementConcept!G22))</f>
        <v>string</v>
      </c>
    </row>
    <row r="28" spans="4:13" ht="29.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54" t="str">
        <f>IF(LEN(OsirisDataElementConcept!I23)=9,"1","0")</f>
        <v>0</v>
      </c>
      <c r="M28" t="str">
        <f>IF(OsirisDataElementConcept!G23="String","string",IF(OsirisDataElementConcept!G23="Date","date",IF(OsirisDataElementConcept!G23="Integer","integer",OsirisDataElementConcept!G23)))</f>
        <v>integer</v>
      </c>
    </row>
    <row r="29" spans="4:13" ht="44.2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54" t="str">
        <f>IF(LEN(OsirisDataElementConcept!I24)=9,"1","0")</f>
        <v>0</v>
      </c>
      <c r="M29" t="str">
        <f>IF(OsirisDataElementConcept!G24="String","string",IF(OsirisDataElementConcept!G24="Date","date",IF(OsirisDataElementConcept!G24="Integer","integer",OsirisDataElementConcept!G24)))</f>
        <v>string</v>
      </c>
    </row>
    <row r="30" spans="4:13" ht="44.2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54" t="str">
        <f>IF(LEN(OsirisDataElementConcept!I25)=9,"1","0")</f>
        <v>0</v>
      </c>
      <c r="M30" t="str">
        <f>IF(OsirisDataElementConcept!G25="String","string",IF(OsirisDataElementConcept!G25="Date","date",IF(OsirisDataElementConcept!G25="Integer","integer",OsirisDataElementConcept!G25)))</f>
        <v>string</v>
      </c>
    </row>
    <row r="31" spans="4:13" ht="44.2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54" t="str">
        <f>IF(LEN(OsirisDataElementConcept!I26)=9,"1","0")</f>
        <v>0</v>
      </c>
      <c r="M31" t="str">
        <f>IF(OsirisDataElementConcept!G26="String","string",IF(OsirisDataElementConcept!G26="Date","date",IF(OsirisDataElementConcept!G26="Integer","integer",OsirisDataElementConcept!G26)))</f>
        <v>string</v>
      </c>
    </row>
    <row r="32" spans="4:13" ht="44.2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54" t="str">
        <f>IF(LEN(OsirisDataElementConcept!I27)=9,"1","0")</f>
        <v>0</v>
      </c>
      <c r="M32" t="str">
        <f>IF(OsirisDataElementConcept!G27="String","string",IF(OsirisDataElementConcept!G27="Date","date",IF(OsirisDataElementConcept!G27="Integer","integer",OsirisDataElementConcept!G27)))</f>
        <v>string</v>
      </c>
    </row>
    <row r="33" spans="4:13" ht="29.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54" t="str">
        <f>IF(LEN(OsirisDataElementConcept!I28)=9,"1","0")</f>
        <v>1</v>
      </c>
      <c r="M33" t="str">
        <f>IF(OsirisDataElementConcept!G28="String","string",IF(OsirisDataElementConcept!G28="Date","date",IF(OsirisDataElementConcept!G28="Integer","integer",OsirisDataElementConcept!G28)))</f>
        <v>date</v>
      </c>
    </row>
    <row r="34" spans="4:13" ht="44.2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54" t="str">
        <f>IF(LEN(OsirisDataElementConcept!I29)=9,"1","0")</f>
        <v>1</v>
      </c>
      <c r="M34" t="str">
        <f>IF(OsirisDataElementConcept!G29="String","string",IF(OsirisDataElementConcept!G29="Date","date",IF(OsirisDataElementConcept!G29="Integer","integer",OsirisDataElementConcept!G29)))</f>
        <v>string</v>
      </c>
    </row>
    <row r="35" spans="4:13" ht="59">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54" t="str">
        <f>IF(LEN(OsirisDataElementConcept!I30)=9,"1","0")</f>
        <v>1</v>
      </c>
      <c r="M35" t="str">
        <f>IF(OsirisDataElementConcept!G30="String","string",IF(OsirisDataElementConcept!G30="Date","date",IF(OsirisDataElementConcept!G30="Integer","integer",OsirisDataElementConcept!G30)))</f>
        <v>string</v>
      </c>
    </row>
    <row r="36" spans="4:13" ht="44.2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54" t="str">
        <f>IF(LEN(OsirisDataElementConcept!I31)=9,"1","0")</f>
        <v>0</v>
      </c>
      <c r="M36" t="str">
        <f>IF(OsirisDataElementConcept!G31="String","string",IF(OsirisDataElementConcept!G31="Date","date",IF(OsirisDataElementConcept!G31="Integer","integer",OsirisDataElementConcept!G31)))</f>
        <v>string</v>
      </c>
    </row>
    <row r="37" spans="4:13">
      <c r="D37" t="str">
        <f>OsirisDataElementConcept!C36</f>
        <v>TNM_Type</v>
      </c>
      <c r="H37" t="str">
        <f>OsirisDataElementConcept!A36</f>
        <v>TNM</v>
      </c>
      <c r="I37" s="55" t="s">
        <v>414</v>
      </c>
      <c r="J37" s="55" t="s">
        <v>414</v>
      </c>
      <c r="K37" s="55" t="s">
        <v>414</v>
      </c>
      <c r="L37" s="56">
        <v>0</v>
      </c>
      <c r="M37" s="57" t="s">
        <v>2</v>
      </c>
    </row>
    <row r="38" spans="4:13" ht="44.2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54" t="str">
        <f>IF(LEN(OsirisDataElementConcept!I32)=9,"1","0")</f>
        <v>0</v>
      </c>
      <c r="M38" t="str">
        <f>IF(OsirisDataElementConcept!G32="String","string",IF(OsirisDataElementConcept!G32="Date","date",IF(OsirisDataElementConcept!G32="Integer","integer",OsirisDataElementConcept!G32)))</f>
        <v>string</v>
      </c>
    </row>
    <row r="39" spans="4:13" ht="44.2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54" t="str">
        <f>IF(LEN(OsirisDataElementConcept!I33)=9,"1","0")</f>
        <v>0</v>
      </c>
      <c r="M39" t="str">
        <f>IF(OsirisDataElementConcept!G33="String","string",IF(OsirisDataElementConcept!G33="Date","date",IF(OsirisDataElementConcept!G33="Integer","integer",OsirisDataElementConcept!G33)))</f>
        <v>string</v>
      </c>
    </row>
    <row r="40" spans="4:13" ht="44.2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54" t="str">
        <f>IF(LEN(OsirisDataElementConcept!I34)=9,"1","0")</f>
        <v>0</v>
      </c>
      <c r="M40" t="str">
        <f>IF(OsirisDataElementConcept!G34="String","string",IF(OsirisDataElementConcept!G34="Date","date",IF(OsirisDataElementConcept!G34="Integer","integer",OsirisDataElementConcept!G34)))</f>
        <v>string</v>
      </c>
    </row>
    <row r="41" spans="4:13" ht="44.2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54" t="str">
        <f>IF(LEN(OsirisDataElementConcept!I35)=9,"1","0")</f>
        <v>0</v>
      </c>
      <c r="M41" t="str">
        <f>IF(OsirisDataElementConcept!G35="String","string",IF(OsirisDataElementConcept!G35="Date","date",IF(OsirisDataElementConcept!G35="Integer","integer",OsirisDataElementConcept!G35)))</f>
        <v>string</v>
      </c>
    </row>
    <row r="42" spans="4:13" ht="44.2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54" t="str">
        <f>IF(LEN(OsirisDataElementConcept!I36)=9,"1","0")</f>
        <v>0</v>
      </c>
      <c r="M42" t="str">
        <f>IF(OsirisDataElementConcept!G36="String","string",IF(OsirisDataElementConcept!G36="Date","date",IF(OsirisDataElementConcept!G36="Integer","integer",OsirisDataElementConcept!G36)))</f>
        <v>string</v>
      </c>
    </row>
    <row r="43" spans="4:13">
      <c r="D43" t="str">
        <f>OsirisDataElementConcept!C42</f>
        <v>Biomarker_Code</v>
      </c>
      <c r="H43" t="str">
        <f>OsirisDataElementConcept!A37</f>
        <v>Analysis</v>
      </c>
      <c r="I43" s="55" t="s">
        <v>451</v>
      </c>
      <c r="J43" s="55" t="s">
        <v>451</v>
      </c>
      <c r="K43" s="55" t="s">
        <v>451</v>
      </c>
      <c r="L43" s="56">
        <v>0</v>
      </c>
      <c r="M43" s="57" t="s">
        <v>2</v>
      </c>
    </row>
    <row r="44" spans="4:13" ht="29.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54" t="str">
        <f>IF(LEN(OsirisDataElementConcept!I37)=9,"1","0")</f>
        <v>0</v>
      </c>
      <c r="M44" t="str">
        <f>IF(OsirisDataElementConcept!G37="String","string",IF(OsirisDataElementConcept!G37="Date","date",IF(OsirisDataElementConcept!G37="Integer","integer",OsirisDataElementConcept!G37)))</f>
        <v>string</v>
      </c>
    </row>
    <row r="45" spans="4:13" ht="44.2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54" t="str">
        <f>IF(LEN(OsirisDataElementConcept!I38)=9,"1","0")</f>
        <v>0</v>
      </c>
      <c r="M45" t="str">
        <f>IF(OsirisDataElementConcept!G38="String","string",IF(OsirisDataElementConcept!G38="Date","date",IF(OsirisDataElementConcept!G38="Integer","integer",OsirisDataElementConcept!G38)))</f>
        <v>string</v>
      </c>
    </row>
    <row r="46" spans="4:13" ht="29.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54" t="str">
        <f>IF(LEN(OsirisDataElementConcept!I39)=9,"1","0")</f>
        <v>0</v>
      </c>
      <c r="M46" t="str">
        <f>IF(OsirisDataElementConcept!G39="String","string",IF(OsirisDataElementConcept!G39="Date","date",IF(OsirisDataElementConcept!G39="Integer","integer",OsirisDataElementConcept!G39)))</f>
        <v>date</v>
      </c>
    </row>
    <row r="47" spans="4:13">
      <c r="D47" t="str">
        <f>OsirisDataElementConcept!C46</f>
        <v>Treatment_LineNumber</v>
      </c>
      <c r="H47" t="str">
        <f>OsirisDataElementConcept!A40</f>
        <v>ResponseEvaluation</v>
      </c>
      <c r="I47" s="55" t="s">
        <v>466</v>
      </c>
      <c r="J47" s="55" t="s">
        <v>466</v>
      </c>
      <c r="K47" s="55" t="s">
        <v>466</v>
      </c>
      <c r="L47" s="56">
        <v>0</v>
      </c>
      <c r="M47" s="57" t="s">
        <v>2</v>
      </c>
    </row>
    <row r="48" spans="4:13" ht="29.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54" t="str">
        <f>IF(LEN(OsirisDataElementConcept!I40)=9,"1","0")</f>
        <v>0</v>
      </c>
      <c r="M48" t="str">
        <f>IF(OsirisDataElementConcept!G40="String","string",IF(OsirisDataElementConcept!G40="Date","date",IF(OsirisDataElementConcept!G40="Integer","integer",OsirisDataElementConcept!G40)))</f>
        <v>date</v>
      </c>
    </row>
    <row r="49" spans="4:13" ht="44.2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54" t="str">
        <f>IF(LEN(OsirisDataElementConcept!I41)=9,"1","0")</f>
        <v>0</v>
      </c>
      <c r="M49" t="str">
        <f>IF(OsirisDataElementConcept!G41="String","string",IF(OsirisDataElementConcept!G41="Date","date",IF(OsirisDataElementConcept!G41="Integer","integer",OsirisDataElementConcept!G41)))</f>
        <v>string</v>
      </c>
    </row>
    <row r="50" spans="4:13">
      <c r="D50" t="str">
        <f>OsirisDataElementConcept!C49</f>
        <v>Treatment_EndDate</v>
      </c>
      <c r="I50" s="55" t="s">
        <v>479</v>
      </c>
      <c r="J50" s="55" t="s">
        <v>479</v>
      </c>
      <c r="K50" s="55" t="s">
        <v>479</v>
      </c>
      <c r="L50" s="56">
        <v>0</v>
      </c>
      <c r="M50" s="57" t="s">
        <v>2</v>
      </c>
    </row>
    <row r="51" spans="4:13" ht="44.2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54" t="str">
        <f>IF(LEN(OsirisDataElementConcept!I42)=9,"1","0")</f>
        <v>0</v>
      </c>
      <c r="M51" t="str">
        <f>IF(OsirisDataElementConcept!G42="String","string",IF(OsirisDataElementConcept!G42="Date","date",IF(OsirisDataElementConcept!G42="Integer","integer",OsirisDataElementConcept!G42)))</f>
        <v>string</v>
      </c>
    </row>
    <row r="52" spans="4:13" ht="29.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54" t="str">
        <f>IF(LEN(OsirisDataElementConcept!I43)=9,"1","0")</f>
        <v>0</v>
      </c>
      <c r="M52" t="str">
        <f>IF(OsirisDataElementConcept!G43="String","string",IF(OsirisDataElementConcept!G43="Date","date",IF(OsirisDataElementConcept!G43="Integer","integer",OsirisDataElementConcept!G43)))</f>
        <v>string</v>
      </c>
    </row>
    <row r="53" spans="4:13" ht="29.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54" t="str">
        <f>IF(LEN(OsirisDataElementConcept!I44)=9,"1","0")</f>
        <v>0</v>
      </c>
      <c r="M53" t="str">
        <f>IF(OsirisDataElementConcept!G44="String","string",IF(OsirisDataElementConcept!G44="Date","date",IF(OsirisDataElementConcept!G44="Integer","integer",OsirisDataElementConcept!G44)))</f>
        <v>string</v>
      </c>
    </row>
    <row r="54" spans="4:13">
      <c r="D54" t="str">
        <f>OsirisDataElementConcept!C53</f>
        <v>Treatment_SurgeryResectionQuality</v>
      </c>
      <c r="I54" s="55" t="s">
        <v>498</v>
      </c>
      <c r="J54" s="55" t="s">
        <v>498</v>
      </c>
      <c r="K54" s="55" t="s">
        <v>498</v>
      </c>
      <c r="L54" s="56">
        <v>0</v>
      </c>
      <c r="M54" s="57" t="s">
        <v>2</v>
      </c>
    </row>
    <row r="55" spans="4:13" ht="44.2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54" t="str">
        <f>IF(LEN(OsirisDataElementConcept!I45)=9,"1","0")</f>
        <v>0</v>
      </c>
      <c r="M55" t="str">
        <f>IF(OsirisDataElementConcept!G45="String","string",IF(OsirisDataElementConcept!G45="Date","date",IF(OsirisDataElementConcept!G45="Integer","integer",OsirisDataElementConcept!G45)))</f>
        <v>string</v>
      </c>
    </row>
    <row r="56" spans="4:13" ht="29.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54" t="str">
        <f>IF(LEN(OsirisDataElementConcept!I46)=9,"1","0")</f>
        <v>0</v>
      </c>
      <c r="M56" t="str">
        <f>IF(OsirisDataElementConcept!G46="String","string",IF(OsirisDataElementConcept!G46="Date","date",IF(OsirisDataElementConcept!G46="Integer","integer",OsirisDataElementConcept!G46)))</f>
        <v>string</v>
      </c>
    </row>
    <row r="57" spans="4:13" ht="44.2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54" t="str">
        <f>IF(LEN(OsirisDataElementConcept!I47)=9,"1","0")</f>
        <v>0</v>
      </c>
      <c r="M57" t="str">
        <f>IF(OsirisDataElementConcept!G47="String","string",IF(OsirisDataElementConcept!G47="Date","date",IF(OsirisDataElementConcept!G47="Integer","integer",OsirisDataElementConcept!G47)))</f>
        <v>string</v>
      </c>
    </row>
    <row r="58" spans="4:13" ht="29.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54" t="str">
        <f>IF(LEN(OsirisDataElementConcept!I48)=9,"1","0")</f>
        <v>0</v>
      </c>
      <c r="M58" t="str">
        <f>IF(OsirisDataElementConcept!G48="String","string",IF(OsirisDataElementConcept!G48="Date","date",IF(OsirisDataElementConcept!G48="Integer","integer",OsirisDataElementConcept!G48)))</f>
        <v>date</v>
      </c>
    </row>
    <row r="59" spans="4:13" ht="29.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54" t="str">
        <f>IF(LEN(OsirisDataElementConcept!I49)=9,"1","0")</f>
        <v>0</v>
      </c>
      <c r="M59" t="str">
        <f>IF(OsirisDataElementConcept!G49="String","string",IF(OsirisDataElementConcept!G49="Date","date",IF(OsirisDataElementConcept!G49="Integer","integer",OsirisDataElementConcept!G49)))</f>
        <v>date</v>
      </c>
    </row>
    <row r="60" spans="4:13" ht="44.2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54" t="str">
        <f>IF(LEN(OsirisDataElementConcept!I50)=9,"1","0")</f>
        <v>0</v>
      </c>
      <c r="M60" t="str">
        <f>IF(OsirisDataElementConcept!G50="String","string",IF(OsirisDataElementConcept!G50="Date","date",IF(OsirisDataElementConcept!G50="Integer","integer",OsirisDataElementConcept!G50)))</f>
        <v>string</v>
      </c>
    </row>
    <row r="61" spans="4:13" ht="29.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54" t="str">
        <f>IF(LEN(OsirisDataElementConcept!I51)=9,"1","0")</f>
        <v>0</v>
      </c>
      <c r="M61" t="str">
        <f>IF(OsirisDataElementConcept!G51="String","string",IF(OsirisDataElementConcept!G51="Date","date",IF(OsirisDataElementConcept!G51="Integer","integer",OsirisDataElementConcept!G51)))</f>
        <v>string</v>
      </c>
    </row>
    <row r="62" spans="4:13" ht="29.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54" t="str">
        <f>IF(LEN(OsirisDataElementConcept!I52)=9,"1","0")</f>
        <v>0</v>
      </c>
      <c r="M62" t="str">
        <f>IF(OsirisDataElementConcept!G52="String","string",IF(OsirisDataElementConcept!G52="Date","date",IF(OsirisDataElementConcept!G52="Integer","integer",OsirisDataElementConcept!G52)))</f>
        <v>string</v>
      </c>
    </row>
    <row r="63" spans="4:13" ht="44.2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54" t="str">
        <f>IF(LEN(OsirisDataElementConcept!I53)=9,"1","0")</f>
        <v>0</v>
      </c>
      <c r="M63" t="str">
        <f>IF(OsirisDataElementConcept!G53="String","string",IF(OsirisDataElementConcept!G53="Date","date",IF(OsirisDataElementConcept!G53="Integer","integer",OsirisDataElementConcept!G53)))</f>
        <v>string</v>
      </c>
    </row>
    <row r="64" spans="4:13" ht="29.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54" t="str">
        <f>IF(LEN(OsirisDataElementConcept!I54)=9,"1","0")</f>
        <v>0</v>
      </c>
      <c r="M64" t="str">
        <f>IF(OsirisDataElementConcept!G54="String","string",IF(OsirisDataElementConcept!G54="Date","date",IF(OsirisDataElementConcept!G54="Integer","integer",OsirisDataElementConcept!G54)))</f>
        <v>string</v>
      </c>
    </row>
    <row r="65" spans="4:13">
      <c r="D65" t="str">
        <f>OsirisDataElementConcept!C65</f>
        <v>BiologicalSample_Nature</v>
      </c>
      <c r="I65" s="55" t="s">
        <v>563</v>
      </c>
      <c r="J65" s="55" t="s">
        <v>563</v>
      </c>
      <c r="K65" s="55" t="s">
        <v>563</v>
      </c>
      <c r="L65" s="56">
        <v>0</v>
      </c>
      <c r="M65" s="57" t="s">
        <v>2</v>
      </c>
    </row>
    <row r="66" spans="4:13" ht="59">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54" t="str">
        <f>IF(LEN(OsirisDataElementConcept!I55)=9,"1","0")</f>
        <v>0</v>
      </c>
      <c r="M66" t="str">
        <f>IF(OsirisDataElementConcept!G55="String","string",IF(OsirisDataElementConcept!G55="Date","date",IF(OsirisDataElementConcept!G55="Integer","integer",OsirisDataElementConcept!G55)))</f>
        <v>string</v>
      </c>
    </row>
    <row r="67" spans="4:13" ht="29.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54" t="str">
        <f>IF(LEN(OsirisDataElementConcept!I56)=9,"1","0")</f>
        <v>0</v>
      </c>
      <c r="M67" t="str">
        <f>IF(OsirisDataElementConcept!G56="String","string",IF(OsirisDataElementConcept!G56="Date","date",IF(OsirisDataElementConcept!G56="Integer","integer",OsirisDataElementConcept!G56)))</f>
        <v>date</v>
      </c>
    </row>
    <row r="68" spans="4:13" ht="29.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54" t="str">
        <f>IF(LEN(OsirisDataElementConcept!I57)=9,"1","0")</f>
        <v>0</v>
      </c>
      <c r="M68" t="str">
        <f>IF(OsirisDataElementConcept!G57="String","string",IF(OsirisDataElementConcept!G57="Date","date",IF(OsirisDataElementConcept!G57="Integer","integer",OsirisDataElementConcept!G57)))</f>
        <v>date</v>
      </c>
    </row>
    <row r="69" spans="4:13" ht="29.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54" t="str">
        <f>IF(LEN(OsirisDataElementConcept!I58)=9,"1","0")</f>
        <v>0</v>
      </c>
      <c r="M69" t="str">
        <f>IF(OsirisDataElementConcept!G58="String","string",IF(OsirisDataElementConcept!G58="Date","date",IF(OsirisDataElementConcept!G58="Integer","integer",OsirisDataElementConcept!G58)))</f>
        <v>string</v>
      </c>
    </row>
    <row r="70" spans="4:13">
      <c r="D70" t="str">
        <f>OsirisDataElementConcept!C70</f>
        <v>Technology_PlatformName</v>
      </c>
      <c r="H70" t="str">
        <f>OsirisDataElementConcept!A59</f>
        <v>Drug</v>
      </c>
      <c r="I70" s="55" t="s">
        <v>584</v>
      </c>
      <c r="J70" s="55" t="s">
        <v>584</v>
      </c>
      <c r="K70" s="55" t="s">
        <v>584</v>
      </c>
      <c r="L70" s="56">
        <v>0</v>
      </c>
      <c r="M70" s="57" t="s">
        <v>2</v>
      </c>
    </row>
    <row r="71" spans="4:13" ht="44.2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54" t="str">
        <f>IF(LEN(OsirisDataElementConcept!I59)=9,"1","0")</f>
        <v>0</v>
      </c>
      <c r="M71" t="str">
        <f>IF(OsirisDataElementConcept!G59="String","string",IF(OsirisDataElementConcept!G59="Date","date",IF(OsirisDataElementConcept!G59="Integer","integer",OsirisDataElementConcept!G59)))</f>
        <v>string</v>
      </c>
    </row>
    <row r="72" spans="4:13" ht="29.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54" t="str">
        <f>IF(LEN(OsirisDataElementConcept!I60)=9,"1","0")</f>
        <v>0</v>
      </c>
      <c r="M72" t="str">
        <f>IF(OsirisDataElementConcept!G60="String","string",IF(OsirisDataElementConcept!G60="Date","date",IF(OsirisDataElementConcept!G60="Integer","integer",OsirisDataElementConcept!G60)))</f>
        <v>string</v>
      </c>
    </row>
    <row r="73" spans="4:13">
      <c r="D73" t="str">
        <f>OsirisDataElementConcept!C73</f>
        <v>Panel_Name</v>
      </c>
      <c r="I73" s="55" t="s">
        <v>595</v>
      </c>
      <c r="J73" s="55" t="s">
        <v>595</v>
      </c>
      <c r="K73" s="55" t="s">
        <v>595</v>
      </c>
      <c r="L73" s="56">
        <v>0</v>
      </c>
      <c r="M73" s="57" t="s">
        <v>2</v>
      </c>
    </row>
    <row r="74" spans="4:13" ht="29.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54" t="str">
        <f>IF(LEN(OsirisDataElementConcept!I61)=9,"1","0")</f>
        <v>0</v>
      </c>
      <c r="M74" t="str">
        <f>IF(OsirisDataElementConcept!G61="String","string",IF(OsirisDataElementConcept!G61="Date","date",IF(OsirisDataElementConcept!G61="Integer","integer",OsirisDataElementConcept!G61)))</f>
        <v>string</v>
      </c>
    </row>
    <row r="75" spans="4:13" ht="44.2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54" t="str">
        <f>IF(LEN(OsirisDataElementConcept!I62)=9,"1","0")</f>
        <v>0</v>
      </c>
      <c r="M75" t="str">
        <f>IF(OsirisDataElementConcept!G62="String","string",IF(OsirisDataElementConcept!G62="Date","date",IF(OsirisDataElementConcept!G62="Integer","integer",OsirisDataElementConcept!G62)))</f>
        <v>string</v>
      </c>
    </row>
    <row r="76" spans="4:13" ht="29.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54" t="str">
        <f>IF(LEN(OsirisDataElementConcept!I63)=9,"1","0")</f>
        <v>0</v>
      </c>
      <c r="M76" t="str">
        <f>IF(OsirisDataElementConcept!G63="String","string",IF(OsirisDataElementConcept!G63="Date","date",IF(OsirisDataElementConcept!G63="Integer","integer",OsirisDataElementConcept!G63)))</f>
        <v>date</v>
      </c>
    </row>
    <row r="77" spans="4:13" ht="44.2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54" t="str">
        <f>IF(LEN(OsirisDataElementConcept!I64)=9,"1","0")</f>
        <v>0</v>
      </c>
      <c r="M77" t="str">
        <f>IF(OsirisDataElementConcept!G64="String","string",IF(OsirisDataElementConcept!G64="Date","date",IF(OsirisDataElementConcept!G64="Integer","integer",OsirisDataElementConcept!G64)))</f>
        <v>string</v>
      </c>
    </row>
    <row r="78" spans="4:13" ht="44.2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54" t="str">
        <f>IF(LEN(OsirisDataElementConcept!I65)=9,"1","0")</f>
        <v>0</v>
      </c>
      <c r="M78" t="str">
        <f>IF(OsirisDataElementConcept!G65="String","string",IF(OsirisDataElementConcept!G65="Date","date",IF(OsirisDataElementConcept!G65="Integer","integer",OsirisDataElementConcept!G65)))</f>
        <v>string</v>
      </c>
    </row>
    <row r="79" spans="4:13" ht="44.2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54" t="str">
        <f>IF(LEN(OsirisDataElementConcept!I66)=9,"1","0")</f>
        <v>0</v>
      </c>
      <c r="M79" t="str">
        <f>IF(OsirisDataElementConcept!G66="String","string",IF(OsirisDataElementConcept!G66="Date","date",IF(OsirisDataElementConcept!G66="Integer","integer",OsirisDataElementConcept!G66)))</f>
        <v>string</v>
      </c>
    </row>
    <row r="80" spans="4:13" ht="44.2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54" t="str">
        <f>IF(LEN(OsirisDataElementConcept!I67)=9,"1","0")</f>
        <v>0</v>
      </c>
      <c r="M80" t="str">
        <f>IF(OsirisDataElementConcept!G67="String","string",IF(OsirisDataElementConcept!G67="Date","date",IF(OsirisDataElementConcept!G67="Integer","integer",OsirisDataElementConcept!G67)))</f>
        <v>string</v>
      </c>
    </row>
    <row r="81" spans="4:13" ht="29.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54" t="str">
        <f>IF(LEN(OsirisDataElementConcept!I68)=9,"1","0")</f>
        <v>0</v>
      </c>
      <c r="M81" t="str">
        <f>IF(OsirisDataElementConcept!G68="String","string",IF(OsirisDataElementConcept!G68="Date","date",IF(OsirisDataElementConcept!G68="Integer","integer",OsirisDataElementConcept!G68)))</f>
        <v>integer</v>
      </c>
    </row>
    <row r="82" spans="4:13">
      <c r="D82" t="str">
        <f>OsirisDataElementConcept!C82</f>
        <v>Validation_Type</v>
      </c>
      <c r="I82" s="55" t="s">
        <v>647</v>
      </c>
      <c r="J82" s="55" t="s">
        <v>647</v>
      </c>
      <c r="K82" s="55" t="s">
        <v>647</v>
      </c>
      <c r="L82" s="56">
        <v>1</v>
      </c>
      <c r="M82" s="57" t="s">
        <v>2</v>
      </c>
    </row>
    <row r="83" spans="4:13" ht="44.2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54" t="str">
        <f>IF(LEN(OsirisDataElementConcept!I69)=9,"1","0")</f>
        <v>1</v>
      </c>
      <c r="M83" t="str">
        <f>IF(OsirisDataElementConcept!G69="String","string",IF(OsirisDataElementConcept!G69="Date","date",IF(OsirisDataElementConcept!G69="Integer","integer",OsirisDataElementConcept!G69)))</f>
        <v>string</v>
      </c>
    </row>
    <row r="84" spans="4:13" ht="59">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54" t="str">
        <f>IF(LEN(OsirisDataElementConcept!I70)=9,"1","0")</f>
        <v>1</v>
      </c>
      <c r="M84" t="str">
        <f>IF(OsirisDataElementConcept!G70="String","string",IF(OsirisDataElementConcept!G70="Date","date",IF(OsirisDataElementConcept!G70="Integer","integer",OsirisDataElementConcept!G70)))</f>
        <v>string</v>
      </c>
    </row>
    <row r="85" spans="4:13" ht="29.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54" t="str">
        <f>IF(LEN(OsirisDataElementConcept!I71)=9,"1","0")</f>
        <v>0</v>
      </c>
      <c r="M85" t="str">
        <f>IF(OsirisDataElementConcept!G71="String","string",IF(OsirisDataElementConcept!G71="Date","date",IF(OsirisDataElementConcept!G71="Integer","integer",OsirisDataElementConcept!G71)))</f>
        <v>string</v>
      </c>
    </row>
    <row r="86" spans="4:13" ht="29.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54" t="str">
        <f>IF(LEN(OsirisDataElementConcept!I72)=9,"1","0")</f>
        <v>0</v>
      </c>
      <c r="M86" t="str">
        <f>IF(OsirisDataElementConcept!G72="String","string",IF(OsirisDataElementConcept!G72="Date","date",IF(OsirisDataElementConcept!G72="Integer","integer",OsirisDataElementConcept!G72)))</f>
        <v>date</v>
      </c>
    </row>
    <row r="87" spans="4:13">
      <c r="D87" t="str">
        <f>OsirisDataElementConcept!C87</f>
        <v>Alteration_GenomicStop</v>
      </c>
      <c r="I87" s="55" t="s">
        <v>677</v>
      </c>
      <c r="J87" s="55" t="s">
        <v>677</v>
      </c>
      <c r="K87" s="55" t="s">
        <v>677</v>
      </c>
      <c r="L87" s="56">
        <v>0</v>
      </c>
      <c r="M87" s="57" t="s">
        <v>2</v>
      </c>
    </row>
    <row r="88" spans="4:13" ht="59">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54" t="str">
        <f>IF(LEN(OsirisDataElementConcept!I73)=9,"1","0")</f>
        <v>0</v>
      </c>
      <c r="M88" t="str">
        <f>IF(OsirisDataElementConcept!G73="String","string",IF(OsirisDataElementConcept!G73="Date","date",IF(OsirisDataElementConcept!G73="Integer","integer",OsirisDataElementConcept!G73)))</f>
        <v>string</v>
      </c>
    </row>
    <row r="89" spans="4:13">
      <c r="D89" t="str">
        <f>OsirisDataElementConcept!C89</f>
        <v>Alteration_Cytoband</v>
      </c>
      <c r="I89" s="55" t="s">
        <v>684</v>
      </c>
      <c r="J89" s="55" t="s">
        <v>684</v>
      </c>
      <c r="K89" s="55" t="s">
        <v>684</v>
      </c>
      <c r="L89" s="56">
        <v>1</v>
      </c>
      <c r="M89" s="57" t="s">
        <v>2</v>
      </c>
    </row>
    <row r="90" spans="4:13" ht="29.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54" t="str">
        <f>IF(LEN(OsirisDataElementConcept!I74)=9,"1","0")</f>
        <v>1</v>
      </c>
      <c r="M90" t="str">
        <f>IF(OsirisDataElementConcept!G74="String","string",IF(OsirisDataElementConcept!G74="Date","date",IF(OsirisDataElementConcept!G74="Integer","integer",OsirisDataElementConcept!G74)))</f>
        <v>string</v>
      </c>
    </row>
    <row r="91" spans="4:13">
      <c r="D91" t="str">
        <f>OsirisDataElementConcept!C91</f>
        <v>GenomeEntity_Database</v>
      </c>
      <c r="H91" t="str">
        <f>OsirisDataElementConcept!A76</f>
        <v>OmicAnalysis</v>
      </c>
      <c r="I91" s="55" t="s">
        <v>692</v>
      </c>
      <c r="J91" s="55" t="s">
        <v>692</v>
      </c>
      <c r="K91" s="55" t="s">
        <v>692</v>
      </c>
      <c r="L91" s="56">
        <v>0</v>
      </c>
      <c r="M91" s="57" t="s">
        <v>2</v>
      </c>
    </row>
    <row r="92" spans="4:13" ht="29.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54" t="str">
        <f>IF(LEN(OsirisDataElementConcept!I75)=9,"1","0")</f>
        <v>0</v>
      </c>
      <c r="M92" t="str">
        <f>IF(OsirisDataElementConcept!G75="String","string",IF(OsirisDataElementConcept!G75="Date","date",IF(OsirisDataElementConcept!G75="Integer","integer",OsirisDataElementConcept!G75)))</f>
        <v>integer</v>
      </c>
    </row>
    <row r="93" spans="4:13" ht="44.2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54" t="str">
        <f>IF(LEN(OsirisDataElementConcept!I76)=9,"1","0")</f>
        <v>0</v>
      </c>
      <c r="M93" t="str">
        <f>IF(OsirisDataElementConcept!G76="String","string",IF(OsirisDataElementConcept!G76="Date","date",IF(OsirisDataElementConcept!G76="Integer","integer",OsirisDataElementConcept!G76)))</f>
        <v>string</v>
      </c>
    </row>
    <row r="94" spans="4:13" ht="29.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54" t="str">
        <f>IF(LEN(OsirisDataElementConcept!I77)=9,"1","0")</f>
        <v>0</v>
      </c>
      <c r="M94" t="str">
        <f>IF(OsirisDataElementConcept!G77="String","string",IF(OsirisDataElementConcept!G77="Date","date",IF(OsirisDataElementConcept!G77="Integer","integer",OsirisDataElementConcept!G77)))</f>
        <v>integer</v>
      </c>
    </row>
    <row r="95" spans="4:13">
      <c r="D95" t="str">
        <f>OsirisDataElementConcept!C95</f>
        <v>Fusion_Point5prime</v>
      </c>
      <c r="H95" s="55"/>
      <c r="I95" s="55" t="s">
        <v>715</v>
      </c>
      <c r="J95" s="55" t="s">
        <v>715</v>
      </c>
      <c r="K95" s="55" t="s">
        <v>715</v>
      </c>
      <c r="L95" s="56">
        <v>1</v>
      </c>
      <c r="M95" s="57" t="s">
        <v>2</v>
      </c>
    </row>
    <row r="96" spans="4:13" ht="44.2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54" t="str">
        <f>IF(LEN(OsirisDataElementConcept!I78)=9,"1","0")</f>
        <v>1</v>
      </c>
      <c r="M96" t="str">
        <f>IF(OsirisDataElementConcept!G78="String","string",IF(OsirisDataElementConcept!G78="Date","date",IF(OsirisDataElementConcept!G78="Integer","integer",OsirisDataElementConcept!G78)))</f>
        <v>string</v>
      </c>
    </row>
    <row r="97" spans="4:13" ht="59">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54" t="str">
        <f>IF(LEN(OsirisDataElementConcept!I79)=9,"1","0")</f>
        <v>0</v>
      </c>
      <c r="M97" t="str">
        <f>IF(OsirisDataElementConcept!G79="String","string",IF(OsirisDataElementConcept!G79="Date","date",IF(OsirisDataElementConcept!G79="Integer","integer",OsirisDataElementConcept!G79)))</f>
        <v>string</v>
      </c>
    </row>
    <row r="98" spans="4:13" ht="59">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54" t="str">
        <f>IF(LEN(OsirisDataElementConcept!I80)=9,"1","0")</f>
        <v>0</v>
      </c>
      <c r="M98" t="str">
        <f>IF(OsirisDataElementConcept!G80="String","string",IF(OsirisDataElementConcept!G80="Date","date",IF(OsirisDataElementConcept!G80="Integer","integer",OsirisDataElementConcept!G80)))</f>
        <v>string</v>
      </c>
    </row>
    <row r="99" spans="4:13" ht="59">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54" t="str">
        <f>IF(LEN(OsirisDataElementConcept!I81)=9,"1","0")</f>
        <v>0</v>
      </c>
      <c r="M99" t="str">
        <f>IF(OsirisDataElementConcept!G81="String","string",IF(OsirisDataElementConcept!G81="Date","date",IF(OsirisDataElementConcept!G81="Integer","integer",OsirisDataElementConcept!G81)))</f>
        <v>string</v>
      </c>
    </row>
    <row r="100" spans="4:13">
      <c r="D100" t="str">
        <f>OsirisDataElementConcept!C100</f>
        <v>Fusion_NbSpanningPair</v>
      </c>
      <c r="I100" s="55" t="s">
        <v>742</v>
      </c>
      <c r="J100" s="55" t="s">
        <v>742</v>
      </c>
      <c r="K100" s="55" t="s">
        <v>742</v>
      </c>
      <c r="L100" s="56">
        <v>0</v>
      </c>
      <c r="M100" s="57" t="s">
        <v>2</v>
      </c>
    </row>
    <row r="101" spans="4:13" ht="44.2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54" t="str">
        <f>IF(LEN(OsirisDataElementConcept!I82)=9,"1","0")</f>
        <v>0</v>
      </c>
      <c r="M101" t="str">
        <f>IF(OsirisDataElementConcept!G82="String","string",IF(OsirisDataElementConcept!G82="Date","date",IF(OsirisDataElementConcept!G82="Integer","integer",OsirisDataElementConcept!G82)))</f>
        <v>string</v>
      </c>
    </row>
    <row r="102" spans="4:13" ht="29.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54" t="str">
        <f>IF(LEN(OsirisDataElementConcept!I83)=9,"1","0")</f>
        <v>0</v>
      </c>
      <c r="M102" t="str">
        <f>IF(OsirisDataElementConcept!G83="String","string",IF(OsirisDataElementConcept!G83="Date","date",IF(OsirisDataElementConcept!G83="Integer","integer",OsirisDataElementConcept!G83)))</f>
        <v>string</v>
      </c>
    </row>
    <row r="103" spans="4:13" ht="44.2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54" t="str">
        <f>IF(LEN(OsirisDataElementConcept!I84)=9,"1","0")</f>
        <v>0</v>
      </c>
      <c r="M103" t="str">
        <f>IF(OsirisDataElementConcept!G84="String","string",IF(OsirisDataElementConcept!G84="Date","date",IF(OsirisDataElementConcept!G84="Integer","integer",OsirisDataElementConcept!G84)))</f>
        <v>string</v>
      </c>
    </row>
    <row r="104" spans="4:13">
      <c r="D104" t="str">
        <f>OsirisDataElementConcept!C104</f>
        <v>CNV_CopyNumber</v>
      </c>
      <c r="I104" s="55" t="s">
        <v>760</v>
      </c>
      <c r="J104" s="55" t="s">
        <v>760</v>
      </c>
      <c r="K104" s="55" t="s">
        <v>760</v>
      </c>
      <c r="L104" s="56">
        <v>1</v>
      </c>
      <c r="M104" s="57" t="s">
        <v>2</v>
      </c>
    </row>
    <row r="105" spans="4:13" ht="44.2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54" t="str">
        <f>IF(LEN(OsirisDataElementConcept!I85)=9,"1","0")</f>
        <v>1</v>
      </c>
      <c r="M105" t="str">
        <f>IF(OsirisDataElementConcept!G85="String","string",IF(OsirisDataElementConcept!G85="Date","date",IF(OsirisDataElementConcept!G85="Integer","integer",OsirisDataElementConcept!G85)))</f>
        <v>string</v>
      </c>
    </row>
    <row r="106" spans="4:13" ht="44.2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54" t="str">
        <f>IF(LEN(OsirisDataElementConcept!I86)=9,"1","0")</f>
        <v>1</v>
      </c>
      <c r="M106" t="str">
        <f>IF(OsirisDataElementConcept!G86="String","string",IF(OsirisDataElementConcept!G86="Date","date",IF(OsirisDataElementConcept!G86="Integer","integer",OsirisDataElementConcept!G86)))</f>
        <v>integer</v>
      </c>
    </row>
    <row r="107" spans="4:13" ht="44.2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54" t="str">
        <f>IF(LEN(OsirisDataElementConcept!I87)=9,"1","0")</f>
        <v>1</v>
      </c>
      <c r="M107" t="str">
        <f>IF(OsirisDataElementConcept!G87="String","string",IF(OsirisDataElementConcept!G87="Date","date",IF(OsirisDataElementConcept!G87="Integer","integer",OsirisDataElementConcept!G87)))</f>
        <v>integer</v>
      </c>
    </row>
    <row r="108" spans="4:13" ht="44.2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54" t="str">
        <f>IF(LEN(OsirisDataElementConcept!I88)=9,"1","0")</f>
        <v>1</v>
      </c>
      <c r="M108" t="str">
        <f>IF(OsirisDataElementConcept!G88="String","string",IF(OsirisDataElementConcept!G88="Date","date",IF(OsirisDataElementConcept!G88="Integer","integer",OsirisDataElementConcept!G88)))</f>
        <v>string</v>
      </c>
    </row>
    <row r="109" spans="4:13" ht="29.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54" t="str">
        <f>IF(LEN(OsirisDataElementConcept!I89)=9,"1","0")</f>
        <v>0</v>
      </c>
      <c r="M109" t="str">
        <f>IF(OsirisDataElementConcept!G89="String","string",IF(OsirisDataElementConcept!G89="Date","date",IF(OsirisDataElementConcept!G89="Integer","integer",OsirisDataElementConcept!G89)))</f>
        <v>string</v>
      </c>
    </row>
    <row r="110" spans="4:13">
      <c r="D110" t="str">
        <f>OsirisDataElementConcept!C110</f>
        <v>Annotation_ReferenceType</v>
      </c>
      <c r="H110" t="str">
        <f>OsirisDataElementConcept!$A$90</f>
        <v>GenomeEntity</v>
      </c>
      <c r="I110" s="55" t="str">
        <f>OsirisDataElementConcept!$A$90</f>
        <v>GenomeEntity</v>
      </c>
      <c r="J110" s="55" t="str">
        <f>OsirisDataElementConcept!$A$90</f>
        <v>GenomeEntity</v>
      </c>
      <c r="K110" s="55" t="str">
        <f>OsirisDataElementConcept!$A$90</f>
        <v>GenomeEntity</v>
      </c>
      <c r="L110" s="56">
        <v>1</v>
      </c>
      <c r="M110" s="57" t="s">
        <v>2</v>
      </c>
    </row>
    <row r="111" spans="4:13" ht="44.2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54" t="str">
        <f>IF(LEN(OsirisDataElementConcept!I90)=9,"1","0")</f>
        <v>1</v>
      </c>
      <c r="M111" t="str">
        <f>IF(OsirisDataElementConcept!G90="String","string",IF(OsirisDataElementConcept!G90="Date","date",IF(OsirisDataElementConcept!G90="Integer","integer",OsirisDataElementConcept!G90)))</f>
        <v>string</v>
      </c>
    </row>
    <row r="112" spans="4:13" ht="44.2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54" t="str">
        <f>IF(LEN(OsirisDataElementConcept!I91)=9,"1","0")</f>
        <v>1</v>
      </c>
      <c r="M112" t="str">
        <f>IF(OsirisDataElementConcept!G91="String","string",IF(OsirisDataElementConcept!G91="Date","date",IF(OsirisDataElementConcept!G91="Integer","integer",OsirisDataElementConcept!G91)))</f>
        <v>string</v>
      </c>
    </row>
    <row r="113" spans="4:15" ht="29.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54" t="str">
        <f>IF(LEN(OsirisDataElementConcept!I92)=9,"1","0")</f>
        <v>1</v>
      </c>
      <c r="M113" t="str">
        <f>IF(OsirisDataElementConcept!G92="String","string",IF(OsirisDataElementConcept!G92="Date","date",IF(OsirisDataElementConcept!G92="Integer","integer",OsirisDataElementConcept!G92)))</f>
        <v>string</v>
      </c>
    </row>
    <row r="114" spans="4:15" ht="29.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54" t="str">
        <f>IF(LEN(OsirisDataElementConcept!I93)=9,"1","0")</f>
        <v>0</v>
      </c>
      <c r="M114" t="str">
        <f>IF(OsirisDataElementConcept!G93="String","string",IF(OsirisDataElementConcept!G93="Date","date",IF(OsirisDataElementConcept!G93="Integer","integer",OsirisDataElementConcept!G93)))</f>
        <v>string</v>
      </c>
    </row>
    <row r="115" spans="4:15">
      <c r="D115" t="str">
        <f>OsirisDataElementConcept!C115</f>
        <v>Annotation_MutationPredictionScore</v>
      </c>
      <c r="H115" t="str">
        <f>OsirisDataElementConcept!$A$94</f>
        <v>Fusion</v>
      </c>
      <c r="I115" s="55" t="str">
        <f>OsirisDataElementConcept!$A$94</f>
        <v>Fusion</v>
      </c>
      <c r="J115" s="55" t="str">
        <f>OsirisDataElementConcept!$A$94</f>
        <v>Fusion</v>
      </c>
      <c r="K115" s="55" t="str">
        <f>OsirisDataElementConcept!$A$94</f>
        <v>Fusion</v>
      </c>
      <c r="L115" s="56">
        <v>1</v>
      </c>
      <c r="M115" s="57" t="s">
        <v>2</v>
      </c>
    </row>
    <row r="116" spans="4:15" ht="44.2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54"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54"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54"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54"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54"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54"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54"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54"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c r="D124" t="str">
        <f>OsirisDataElementConcept!C124</f>
        <v>Annotation_FusionPrimeEnd</v>
      </c>
      <c r="H124" t="str">
        <f>OsirisDataElementConcept!$A$102</f>
        <v>CNV</v>
      </c>
      <c r="I124" s="55" t="str">
        <f>OsirisDataElementConcept!$A$102</f>
        <v>CNV</v>
      </c>
      <c r="J124" s="55" t="str">
        <f>OsirisDataElementConcept!$A$102</f>
        <v>CNV</v>
      </c>
      <c r="K124" s="55" t="str">
        <f>OsirisDataElementConcept!$A$102</f>
        <v>CNV</v>
      </c>
      <c r="L124" s="56">
        <v>1</v>
      </c>
      <c r="M124" s="57" t="s">
        <v>2</v>
      </c>
    </row>
    <row r="125" spans="4:15" ht="29.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54"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54"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54"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54"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54"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c r="D130" t="str">
        <f>OsirisDataElementConcept!C130</f>
        <v>VariantInSample_GenomicSourceClass</v>
      </c>
      <c r="H130" t="str">
        <f>OsirisDataElementConcept!$A$109</f>
        <v>Variant</v>
      </c>
      <c r="I130" s="55" t="str">
        <f>OsirisDataElementConcept!$A$109</f>
        <v>Variant</v>
      </c>
      <c r="J130" s="55" t="str">
        <f>OsirisDataElementConcept!$A$109</f>
        <v>Variant</v>
      </c>
      <c r="K130" s="55" t="str">
        <f>OsirisDataElementConcept!$A$109</f>
        <v>Variant</v>
      </c>
      <c r="L130" s="56">
        <v>1</v>
      </c>
      <c r="M130" s="57" t="s">
        <v>2</v>
      </c>
    </row>
    <row r="131" spans="4:15" ht="44.2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54"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54"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54"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c r="D134" t="str">
        <f>OsirisDataElementConcept!C134</f>
        <v>Equipment_ModelName</v>
      </c>
      <c r="H134" t="str">
        <f>OsirisDataElementConcept!$A$111</f>
        <v>Annotation</v>
      </c>
      <c r="I134" s="55" t="str">
        <f>OsirisDataElementConcept!$A$111</f>
        <v>Annotation</v>
      </c>
      <c r="J134" s="55" t="str">
        <f>OsirisDataElementConcept!$A$111</f>
        <v>Annotation</v>
      </c>
      <c r="K134" s="55" t="str">
        <f>OsirisDataElementConcept!$A$111</f>
        <v>Annotation</v>
      </c>
      <c r="L134" s="56">
        <v>0</v>
      </c>
      <c r="M134" s="57" t="s">
        <v>2</v>
      </c>
    </row>
    <row r="135" spans="4:15" ht="44.2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54"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54"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54"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54"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54"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54"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54"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54"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54"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54"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54"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54"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54"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54"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54"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54"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54"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c r="D152" t="str">
        <f>OsirisDataElementConcept!C152</f>
        <v>Injection_ContrastBolusStartTime</v>
      </c>
      <c r="H152" s="55" t="str">
        <f>OsirisDataElementConcept!$A$128</f>
        <v>VariantInSample</v>
      </c>
      <c r="I152" s="55" t="str">
        <f>OsirisDataElementConcept!$A$128</f>
        <v>VariantInSample</v>
      </c>
      <c r="J152" s="55" t="str">
        <f>OsirisDataElementConcept!$A$128</f>
        <v>VariantInSample</v>
      </c>
      <c r="K152" s="55" t="str">
        <f>OsirisDataElementConcept!$A$128</f>
        <v>VariantInSample</v>
      </c>
      <c r="L152" s="56">
        <v>1</v>
      </c>
      <c r="M152" s="57" t="s">
        <v>2</v>
      </c>
    </row>
    <row r="153" spans="4:15" ht="44.2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54"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54"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54"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54"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54" t="str">
        <f>IF(LEN(OsirisDataElementConcept!I131)=9,"1","0")</f>
        <v>0</v>
      </c>
      <c r="M157" s="75" t="s">
        <v>2</v>
      </c>
    </row>
    <row r="158" spans="4:15">
      <c r="D158" t="str">
        <f>OsirisDataElementConcept!C158</f>
        <v>CommonImage_PixelSpacing</v>
      </c>
      <c r="H158" t="str">
        <f>OsirisDataElementConcept!$A$133</f>
        <v>GeneExpression</v>
      </c>
      <c r="I158" s="55" t="str">
        <f>OsirisDataElementConcept!$A$133</f>
        <v>GeneExpression</v>
      </c>
      <c r="J158" s="55" t="str">
        <f>OsirisDataElementConcept!$A$133</f>
        <v>GeneExpression</v>
      </c>
      <c r="K158" s="55" t="str">
        <f>OsirisDataElementConcept!$A$133</f>
        <v>GeneExpression</v>
      </c>
      <c r="L158" s="56">
        <v>1</v>
      </c>
      <c r="M158" s="57" t="s">
        <v>2</v>
      </c>
    </row>
    <row r="159" spans="4:15" ht="59">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54" t="str">
        <f>IF(LEN(OsirisDataElementConcept!I132)=9,"1","0")</f>
        <v>1</v>
      </c>
      <c r="M159" s="75" t="s">
        <v>2</v>
      </c>
    </row>
    <row r="160" spans="4:15" ht="29.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54" t="str">
        <f>IF(LEN(OsirisDataElementConcept!I133)=9,"1","0")</f>
        <v>1</v>
      </c>
      <c r="M160" s="75" t="s">
        <v>2</v>
      </c>
    </row>
    <row r="161" spans="4:13">
      <c r="D161" t="str">
        <f>OsirisDataElementConcept!C161</f>
        <v>CommonImage_Columns</v>
      </c>
      <c r="H161" t="str">
        <f>OsirisDataElementConcept!$A$134</f>
        <v>Equipment</v>
      </c>
      <c r="I161" s="55" t="str">
        <f>OsirisDataElementConcept!$A$134</f>
        <v>Equipment</v>
      </c>
      <c r="J161" s="55" t="str">
        <f>OsirisDataElementConcept!$A$134</f>
        <v>Equipment</v>
      </c>
      <c r="K161" s="55" t="str">
        <f>OsirisDataElementConcept!$A$134</f>
        <v>Equipment</v>
      </c>
      <c r="L161" s="56">
        <v>0</v>
      </c>
      <c r="M161" s="57" t="s">
        <v>2</v>
      </c>
    </row>
    <row r="162" spans="4:13" ht="44.2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54" t="str">
        <f>IF(LEN(OsirisDataElementConcept!I134)=9,"1","0")</f>
        <v>0</v>
      </c>
      <c r="M162" s="75" t="s">
        <v>2</v>
      </c>
    </row>
    <row r="163" spans="4:13" ht="44.2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54" t="str">
        <f>IF(LEN(OsirisDataElementConcept!I135)=9,"1","0")</f>
        <v>0</v>
      </c>
      <c r="M163" s="75" t="s">
        <v>2</v>
      </c>
    </row>
    <row r="164" spans="4:13">
      <c r="D164" t="str">
        <f>OsirisDataElementConcept!C164</f>
        <v>MRImage_MRAcquisitionType</v>
      </c>
      <c r="H164" t="str">
        <f>OsirisDataElementConcept!$A$136</f>
        <v>Study</v>
      </c>
      <c r="I164" s="55" t="str">
        <f>OsirisDataElementConcept!$A$136</f>
        <v>Study</v>
      </c>
      <c r="J164" s="55" t="str">
        <f>OsirisDataElementConcept!$A$136</f>
        <v>Study</v>
      </c>
      <c r="K164" s="55" t="str">
        <f>OsirisDataElementConcept!$A$136</f>
        <v>Study</v>
      </c>
      <c r="L164" s="56">
        <v>0</v>
      </c>
      <c r="M164" s="57" t="s">
        <v>2</v>
      </c>
    </row>
    <row r="165" spans="4:13" ht="44.2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54" t="str">
        <f>IF(LEN(OsirisDataElementConcept!I136)=9,"1","0")</f>
        <v>0</v>
      </c>
      <c r="M165" s="75" t="s">
        <v>2</v>
      </c>
    </row>
    <row r="166" spans="4:13" ht="44.2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54" t="str">
        <f>IF(LEN(OsirisDataElementConcept!I137)=9,"1","0")</f>
        <v>0</v>
      </c>
      <c r="M166" s="75" t="s">
        <v>2</v>
      </c>
    </row>
    <row r="167" spans="4:13" ht="44.2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54" t="str">
        <f>IF(LEN(OsirisDataElementConcept!I138)=9,"1","0")</f>
        <v>0</v>
      </c>
      <c r="M167" s="75" t="s">
        <v>2</v>
      </c>
    </row>
    <row r="168" spans="4:13" ht="29.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54" t="str">
        <f>IF(LEN(OsirisDataElementConcept!I139)=9,"1","0")</f>
        <v>0</v>
      </c>
      <c r="M168" s="75" t="s">
        <v>2</v>
      </c>
    </row>
    <row r="169" spans="4:13" ht="44.2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54" t="str">
        <f>IF(LEN(OsirisDataElementConcept!I140)=9,"1","0")</f>
        <v>0</v>
      </c>
      <c r="M169" s="75" t="s">
        <v>2</v>
      </c>
    </row>
    <row r="170" spans="4:13" ht="44.2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54" t="str">
        <f>IF(LEN(OsirisDataElementConcept!I141)=9,"1","0")</f>
        <v>0</v>
      </c>
      <c r="M170" s="75" t="s">
        <v>2</v>
      </c>
    </row>
    <row r="171" spans="4:13" ht="44.2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54" t="str">
        <f>IF(LEN(OsirisDataElementConcept!I142)=9,"1","0")</f>
        <v>0</v>
      </c>
      <c r="M171" s="75" t="s">
        <v>2</v>
      </c>
    </row>
    <row r="172" spans="4:13">
      <c r="D172" t="str">
        <f>OsirisDataElementConcept!C172</f>
        <v>CTImage_XRayTubeCurrent</v>
      </c>
      <c r="H172" t="str">
        <f>OsirisDataElementConcept!$A$144</f>
        <v>Series</v>
      </c>
      <c r="I172" s="55" t="str">
        <f>OsirisDataElementConcept!$A$144</f>
        <v>Series</v>
      </c>
      <c r="J172" s="55" t="str">
        <f>OsirisDataElementConcept!$A$144</f>
        <v>Series</v>
      </c>
      <c r="K172" s="55" t="str">
        <f>OsirisDataElementConcept!$A$144</f>
        <v>Series</v>
      </c>
      <c r="L172" s="56">
        <v>0</v>
      </c>
      <c r="M172" s="57" t="s">
        <v>2</v>
      </c>
    </row>
    <row r="173" spans="4:13" ht="44.2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54" t="str">
        <f>IF(LEN(OsirisDataElementConcept!I143)=9,"1","0")</f>
        <v>0</v>
      </c>
      <c r="M173" s="75" t="s">
        <v>2</v>
      </c>
    </row>
    <row r="174" spans="4:13" ht="44.2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54" t="str">
        <f>IF(LEN(OsirisDataElementConcept!I144)=9,"1","0")</f>
        <v>0</v>
      </c>
      <c r="M174" s="75" t="s">
        <v>2</v>
      </c>
    </row>
    <row r="175" spans="4:13" ht="44.2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54" t="str">
        <f>IF(LEN(OsirisDataElementConcept!I145)=9,"1","0")</f>
        <v>0</v>
      </c>
      <c r="M175" s="75" t="s">
        <v>2</v>
      </c>
    </row>
    <row r="176" spans="4:13" ht="44.2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54" t="str">
        <f>IF(LEN(OsirisDataElementConcept!I146)=9,"1","0")</f>
        <v>0</v>
      </c>
      <c r="M176" s="75" t="s">
        <v>2</v>
      </c>
    </row>
    <row r="177" spans="4:13" ht="44.2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54" t="str">
        <f>IF(LEN(OsirisDataElementConcept!I147)=9,"1","0")</f>
        <v>0</v>
      </c>
      <c r="M177" s="75" t="s">
        <v>2</v>
      </c>
    </row>
    <row r="178" spans="4:13" ht="44.2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54" t="str">
        <f>IF(LEN(OsirisDataElementConcept!I148)=9,"1","0")</f>
        <v>0</v>
      </c>
      <c r="M178" s="75" t="s">
        <v>2</v>
      </c>
    </row>
    <row r="179" spans="4:13" ht="44.2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54" t="str">
        <f>IF(LEN(OsirisDataElementConcept!I149)=9,"1","0")</f>
        <v>0</v>
      </c>
      <c r="M179" s="75" t="s">
        <v>2</v>
      </c>
    </row>
    <row r="180" spans="4:13">
      <c r="D180" t="str">
        <f>OsirisDataElementConcept!C180</f>
        <v>NMImage_AttenuationCorrectionMethod</v>
      </c>
      <c r="H180" t="str">
        <f>OsirisDataElementConcept!$A$152</f>
        <v>Injection</v>
      </c>
      <c r="I180" s="55" t="str">
        <f>OsirisDataElementConcept!$A$152</f>
        <v>Injection</v>
      </c>
      <c r="J180" s="55" t="str">
        <f>OsirisDataElementConcept!$A$152</f>
        <v>Injection</v>
      </c>
      <c r="K180" s="55" t="str">
        <f>OsirisDataElementConcept!$A$152</f>
        <v>Injection</v>
      </c>
      <c r="L180" s="56">
        <v>0</v>
      </c>
      <c r="M180" s="57" t="s">
        <v>2</v>
      </c>
    </row>
    <row r="181" spans="4:13" ht="44.2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54" t="str">
        <f>IF(LEN(OsirisDataElementConcept!I150)=9,"1","0")</f>
        <v>0</v>
      </c>
      <c r="M181" s="75" t="s">
        <v>2</v>
      </c>
    </row>
    <row r="182" spans="4:13" ht="44.2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54" t="str">
        <f>IF(LEN(OsirisDataElementConcept!I151)=9,"1","0")</f>
        <v>0</v>
      </c>
      <c r="M182" s="75" t="s">
        <v>2</v>
      </c>
    </row>
    <row r="183" spans="4:13" ht="44.2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54" t="str">
        <f>IF(LEN(OsirisDataElementConcept!I152)=9,"1","0")</f>
        <v>0</v>
      </c>
      <c r="M183" s="75" t="s">
        <v>2</v>
      </c>
    </row>
    <row r="184" spans="4:13" ht="44.2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54" t="str">
        <f>IF(LEN(OsirisDataElementConcept!I153)=9,"1","0")</f>
        <v>0</v>
      </c>
      <c r="M184" s="75" t="s">
        <v>2</v>
      </c>
    </row>
    <row r="185" spans="4:13" ht="44.2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54" t="str">
        <f>IF(LEN(OsirisDataElementConcept!I154)=9,"1","0")</f>
        <v>0</v>
      </c>
      <c r="M185" s="75" t="s">
        <v>2</v>
      </c>
    </row>
    <row r="186" spans="4:13" ht="44.2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54" t="str">
        <f>IF(LEN(OsirisDataElementConcept!I155)=9,"1","0")</f>
        <v>0</v>
      </c>
      <c r="M186" s="75" t="s">
        <v>2</v>
      </c>
    </row>
    <row r="187" spans="4:13">
      <c r="D187" t="str">
        <f>OsirisDataElementConcept!C187</f>
        <v>DXImage_KVP</v>
      </c>
      <c r="H187" t="str">
        <f>OsirisDataElementConcept!$A$159</f>
        <v>CommonImage</v>
      </c>
      <c r="I187" s="55" t="str">
        <f>OsirisDataElementConcept!$A$159</f>
        <v>CommonImage</v>
      </c>
      <c r="J187" s="55" t="str">
        <f>OsirisDataElementConcept!$A$159</f>
        <v>CommonImage</v>
      </c>
      <c r="K187" s="55" t="str">
        <f>OsirisDataElementConcept!$A$159</f>
        <v>CommonImage</v>
      </c>
      <c r="L187" s="56">
        <v>0</v>
      </c>
      <c r="M187" s="56" t="s">
        <v>2</v>
      </c>
    </row>
    <row r="188" spans="4:13" ht="44.2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54" t="str">
        <f>IF(LEN(OsirisDataElementConcept!I156)=9,"1","0")</f>
        <v>0</v>
      </c>
      <c r="M188" s="75" t="s">
        <v>2</v>
      </c>
    </row>
    <row r="189" spans="4:13" ht="44.2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54" t="str">
        <f>IF(LEN(OsirisDataElementConcept!I157)=9,"1","0")</f>
        <v>0</v>
      </c>
      <c r="M189" s="75" t="s">
        <v>2</v>
      </c>
    </row>
    <row r="190" spans="4:13" ht="44.2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54" t="str">
        <f>IF(LEN(OsirisDataElementConcept!I158)=9,"1","0")</f>
        <v>0</v>
      </c>
      <c r="M190" s="75" t="s">
        <v>2</v>
      </c>
    </row>
    <row r="191" spans="4:13" ht="29.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54" t="str">
        <f>IF(LEN(OsirisDataElementConcept!I159)=9,"1","0")</f>
        <v>0</v>
      </c>
      <c r="M191" s="75" t="s">
        <v>2</v>
      </c>
    </row>
    <row r="192" spans="4:13" ht="44.2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54" t="str">
        <f>IF(LEN(OsirisDataElementConcept!I160)=9,"1","0")</f>
        <v>0</v>
      </c>
      <c r="M192" s="75" t="s">
        <v>2</v>
      </c>
    </row>
    <row r="193" spans="4:13" ht="44.2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54" t="str">
        <f>IF(LEN(OsirisDataElementConcept!I161)=9,"1","0")</f>
        <v>0</v>
      </c>
      <c r="M193" s="75" t="s">
        <v>2</v>
      </c>
    </row>
    <row r="194" spans="4:13">
      <c r="D194" t="str">
        <f>OsirisDataElementConcept!C194</f>
        <v>ROISegmentation_ROIDescription</v>
      </c>
      <c r="H194" t="str">
        <f>OsirisDataElementConcept!$A$166</f>
        <v>MRImage</v>
      </c>
      <c r="I194" s="55" t="str">
        <f>OsirisDataElementConcept!$A$166</f>
        <v>MRImage</v>
      </c>
      <c r="J194" s="55" t="str">
        <f>OsirisDataElementConcept!$A$166</f>
        <v>MRImage</v>
      </c>
      <c r="K194" s="55" t="str">
        <f>OsirisDataElementConcept!$A$166</f>
        <v>MRImage</v>
      </c>
      <c r="L194" s="56">
        <v>0</v>
      </c>
      <c r="M194" s="57" t="s">
        <v>2</v>
      </c>
    </row>
    <row r="195" spans="4:13" ht="44.2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54" t="str">
        <f>IF(LEN(OsirisDataElementConcept!I162)=9,"1","0")</f>
        <v>0</v>
      </c>
      <c r="M195" s="75" t="s">
        <v>2</v>
      </c>
    </row>
    <row r="196" spans="4:13" ht="44.2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54" t="str">
        <f>IF(LEN(OsirisDataElementConcept!I163)=9,"1","0")</f>
        <v>0</v>
      </c>
      <c r="M196" s="75" t="s">
        <v>2</v>
      </c>
    </row>
    <row r="197" spans="4:13" ht="44.2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54" t="str">
        <f>IF(LEN(OsirisDataElementConcept!I164)=9,"1","0")</f>
        <v>0</v>
      </c>
      <c r="M197" s="75" t="s">
        <v>2</v>
      </c>
    </row>
    <row r="198" spans="4:13" ht="44.2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54" t="str">
        <f>IF(LEN(OsirisDataElementConcept!I165)=9,"1","0")</f>
        <v>0</v>
      </c>
      <c r="M198" s="75" t="s">
        <v>2</v>
      </c>
    </row>
    <row r="199" spans="4:13" ht="44.2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54" t="str">
        <f>IF(LEN(OsirisDataElementConcept!I166)=9,"1","0")</f>
        <v>0</v>
      </c>
      <c r="M199" s="75" t="s">
        <v>2</v>
      </c>
    </row>
    <row r="200" spans="4:13" ht="44.2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54" t="str">
        <f>IF(LEN(OsirisDataElementConcept!I167)=9,"1","0")</f>
        <v>0</v>
      </c>
      <c r="M200" s="75" t="s">
        <v>2</v>
      </c>
    </row>
    <row r="201" spans="4:13" ht="44.2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54" t="str">
        <f>IF(LEN(OsirisDataElementConcept!I168)=9,"1","0")</f>
        <v>0</v>
      </c>
      <c r="M201" s="75" t="s">
        <v>2</v>
      </c>
    </row>
    <row r="202" spans="4:13" ht="44.2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54" t="str">
        <f>IF(LEN(OsirisDataElementConcept!I169)=9,"1","0")</f>
        <v>0</v>
      </c>
      <c r="M202" s="75" t="s">
        <v>2</v>
      </c>
    </row>
    <row r="203" spans="4:13" ht="44.2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54" t="str">
        <f>IF(LEN(OsirisDataElementConcept!I170)=9,"1","0")</f>
        <v>0</v>
      </c>
      <c r="M203" s="75" t="s">
        <v>2</v>
      </c>
    </row>
    <row r="204" spans="4:13">
      <c r="D204" t="str">
        <f>OsirisDataElementConcept!C204</f>
        <v>RadiomicsCriteria_IntensityResampling</v>
      </c>
      <c r="H204" s="55" t="str">
        <f>OsirisDataElementConcept!$A$171</f>
        <v>CTImage</v>
      </c>
      <c r="I204" s="55" t="str">
        <f>OsirisDataElementConcept!$A$171</f>
        <v>CTImage</v>
      </c>
      <c r="J204" s="55" t="str">
        <f>OsirisDataElementConcept!$A$171</f>
        <v>CTImage</v>
      </c>
      <c r="K204" s="55" t="str">
        <f>OsirisDataElementConcept!$A$171</f>
        <v>CTImage</v>
      </c>
      <c r="L204" s="56">
        <v>0</v>
      </c>
      <c r="M204" s="57" t="s">
        <v>2</v>
      </c>
    </row>
    <row r="205" spans="4:13" ht="44.2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54" t="str">
        <f>IF(LEN(OsirisDataElementConcept!I171)=9,"1","0")</f>
        <v>0</v>
      </c>
      <c r="M205" s="75" t="s">
        <v>2</v>
      </c>
    </row>
    <row r="206" spans="4:13" ht="44.2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54" t="str">
        <f>IF(LEN(OsirisDataElementConcept!I172)=9,"1","0")</f>
        <v>0</v>
      </c>
      <c r="M206" s="75" t="s">
        <v>2</v>
      </c>
    </row>
    <row r="207" spans="4:13" ht="44.2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54" t="str">
        <f>IF(LEN(OsirisDataElementConcept!I173)=9,"1","0")</f>
        <v>0</v>
      </c>
      <c r="M207" s="75" t="s">
        <v>2</v>
      </c>
    </row>
    <row r="208" spans="4:13" ht="44.2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54" t="str">
        <f>IF(LEN(OsirisDataElementConcept!I174)=9,"1","0")</f>
        <v>0</v>
      </c>
      <c r="M208" s="75" t="s">
        <v>2</v>
      </c>
    </row>
    <row r="209" spans="4:13" ht="44.2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54" t="str">
        <f>IF(LEN(OsirisDataElementConcept!I175)=9,"1","0")</f>
        <v>0</v>
      </c>
      <c r="M209" s="75" t="s">
        <v>2</v>
      </c>
    </row>
    <row r="210" spans="4:13" ht="44.2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54" t="str">
        <f>IF(LEN(OsirisDataElementConcept!I176)=9,"1","0")</f>
        <v>0</v>
      </c>
      <c r="M210" s="75" t="s">
        <v>2</v>
      </c>
    </row>
    <row r="211" spans="4:13">
      <c r="D211" t="str">
        <f>OsirisDataElementConcept!C211</f>
        <v>RadiomicsImageFilter_SoftwareVersion</v>
      </c>
      <c r="H211" s="55" t="str">
        <f>OsirisDataElementConcept!$A$178</f>
        <v>PTImage</v>
      </c>
      <c r="I211" s="55" t="str">
        <f>OsirisDataElementConcept!$A$178</f>
        <v>PTImage</v>
      </c>
      <c r="J211" s="55" t="str">
        <f>OsirisDataElementConcept!$A$178</f>
        <v>PTImage</v>
      </c>
      <c r="K211" s="55" t="str">
        <f>OsirisDataElementConcept!$A$178</f>
        <v>PTImage</v>
      </c>
      <c r="L211" s="56">
        <v>0</v>
      </c>
      <c r="M211" s="55" t="s">
        <v>2</v>
      </c>
    </row>
    <row r="212" spans="4:13" ht="44.2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54" t="str">
        <f>IF(LEN(OsirisDataElementConcept!I177)=9,"1","0")</f>
        <v>0</v>
      </c>
      <c r="M212" s="75" t="s">
        <v>2</v>
      </c>
    </row>
    <row r="213" spans="4:13" ht="44.2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54" t="str">
        <f>IF(LEN(OsirisDataElementConcept!I178)=9,"1","0")</f>
        <v>0</v>
      </c>
      <c r="M213" s="75" t="s">
        <v>2</v>
      </c>
    </row>
    <row r="214" spans="4:13" ht="44.2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54" t="str">
        <f>IF(LEN(OsirisDataElementConcept!I179)=9,"1","0")</f>
        <v>0</v>
      </c>
      <c r="M214" s="75" t="s">
        <v>2</v>
      </c>
    </row>
    <row r="215" spans="4:13">
      <c r="D215" t="str">
        <f>OsirisDataElementConcept!C215</f>
        <v>RadiomicsImageFilter_IntensityRounding</v>
      </c>
      <c r="H215" s="55" t="str">
        <f>OsirisDataElementConcept!$A$182</f>
        <v>NMImage</v>
      </c>
      <c r="I215" s="55" t="str">
        <f>OsirisDataElementConcept!$A$182</f>
        <v>NMImage</v>
      </c>
      <c r="J215" s="55" t="str">
        <f>OsirisDataElementConcept!$A$182</f>
        <v>NMImage</v>
      </c>
      <c r="K215" s="55" t="str">
        <f>OsirisDataElementConcept!$A$182</f>
        <v>NMImage</v>
      </c>
      <c r="L215" s="56">
        <v>0</v>
      </c>
      <c r="M215" s="55" t="s">
        <v>2</v>
      </c>
    </row>
    <row r="216" spans="4:13" ht="44.2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54" t="str">
        <f>IF(LEN(OsirisDataElementConcept!I180)=9,"1","0")</f>
        <v>0</v>
      </c>
      <c r="M216" s="75" t="s">
        <v>2</v>
      </c>
    </row>
    <row r="217" spans="4:13" ht="44.2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54" t="str">
        <f>IF(LEN(OsirisDataElementConcept!I181)=9,"1","0")</f>
        <v>0</v>
      </c>
      <c r="M217" s="75" t="s">
        <v>2</v>
      </c>
    </row>
    <row r="218" spans="4:13" ht="44.2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54" t="str">
        <f>IF(LEN(OsirisDataElementConcept!I182)=9,"1","0")</f>
        <v>0</v>
      </c>
      <c r="M218" s="75" t="s">
        <v>2</v>
      </c>
    </row>
    <row r="219" spans="4:13">
      <c r="D219" t="str">
        <f>OsirisDataElementConcept!C219</f>
        <v>RadiomicsFeature_Value</v>
      </c>
      <c r="H219" s="55" t="str">
        <f>OsirisDataElementConcept!$A$186</f>
        <v>DXImage</v>
      </c>
      <c r="I219" s="55" t="str">
        <f>OsirisDataElementConcept!$A$186</f>
        <v>DXImage</v>
      </c>
      <c r="J219" s="55" t="str">
        <f>OsirisDataElementConcept!$A$186</f>
        <v>DXImage</v>
      </c>
      <c r="K219" s="55" t="str">
        <f>OsirisDataElementConcept!$A$186</f>
        <v>DXImage</v>
      </c>
      <c r="L219" s="56">
        <v>0</v>
      </c>
      <c r="M219" s="55" t="s">
        <v>2</v>
      </c>
    </row>
    <row r="220" spans="4:13" ht="44.2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54" t="str">
        <f>IF(LEN(OsirisDataElementConcept!I183)=9,"1","0")</f>
        <v>0</v>
      </c>
      <c r="M220" s="75" t="s">
        <v>2</v>
      </c>
    </row>
    <row r="221" spans="4:13" ht="44.2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54" t="str">
        <f>IF(LEN(OsirisDataElementConcept!I184)=9,"1","0")</f>
        <v>0</v>
      </c>
      <c r="M221" s="75" t="s">
        <v>2</v>
      </c>
    </row>
    <row r="222" spans="4:13" ht="44.2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54" t="str">
        <f>IF(LEN(OsirisDataElementConcept!I185)=9,"1","0")</f>
        <v>0</v>
      </c>
      <c r="M222" s="75" t="s">
        <v>2</v>
      </c>
    </row>
    <row r="223" spans="4:13" ht="44.25">
      <c r="D223" t="str">
        <f>OsirisDataElementConcept!C223</f>
        <v/>
      </c>
      <c r="H223" t="str">
        <f>OsirisDataElementConcept!A190</f>
        <v>DXImage</v>
      </c>
      <c r="I223" s="77"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54" t="str">
        <f>IF(LEN(OsirisDataElementConcept!I186)=9,"1","0")</f>
        <v>0</v>
      </c>
      <c r="M223" s="75" t="s">
        <v>2</v>
      </c>
    </row>
    <row r="224" spans="4:13" ht="44.2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54" t="str">
        <f>IF(LEN(OsirisDataElementConcept!I187)=9,"1","0")</f>
        <v>0</v>
      </c>
      <c r="M224" s="75" t="s">
        <v>2</v>
      </c>
    </row>
    <row r="225" spans="4:13" ht="44.2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54" t="str">
        <f>IF(LEN(OsirisDataElementConcept!I188)=9,"1","0")</f>
        <v>0</v>
      </c>
      <c r="M225" s="75" t="s">
        <v>2</v>
      </c>
    </row>
    <row r="226" spans="4:13" ht="44.2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54" t="str">
        <f>IF(LEN(OsirisDataElementConcept!I189)=9,"1","0")</f>
        <v>0</v>
      </c>
      <c r="M226" s="75" t="s">
        <v>2</v>
      </c>
    </row>
    <row r="227" spans="4:13" ht="44.2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54" t="str">
        <f>IF(LEN(OsirisDataElementConcept!I190)=9,"1","0")</f>
        <v>0</v>
      </c>
      <c r="M227" s="75" t="s">
        <v>2</v>
      </c>
    </row>
    <row r="228" spans="4:13">
      <c r="D228" t="str">
        <f>OsirisDataElementConcept!C228</f>
        <v/>
      </c>
      <c r="H228" s="55" t="str">
        <f>OsirisDataElementConcept!$A$195</f>
        <v>ROISegmentation</v>
      </c>
      <c r="I228" s="55" t="str">
        <f>OsirisDataElementConcept!$A$195</f>
        <v>ROISegmentation</v>
      </c>
      <c r="J228" s="55" t="str">
        <f>OsirisDataElementConcept!$A$195</f>
        <v>ROISegmentation</v>
      </c>
      <c r="K228" s="55" t="str">
        <f>OsirisDataElementConcept!$A$195</f>
        <v>ROISegmentation</v>
      </c>
      <c r="L228" s="56">
        <v>0</v>
      </c>
      <c r="M228" s="55" t="s">
        <v>2</v>
      </c>
    </row>
    <row r="229" spans="4:13" ht="44.2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54" t="str">
        <f>IF(LEN(OsirisDataElementConcept!I191)=9,"1","0")</f>
        <v>0</v>
      </c>
      <c r="M229" s="75" t="s">
        <v>2</v>
      </c>
    </row>
    <row r="230" spans="4:13" ht="44.2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54" t="str">
        <f>IF(LEN(OsirisDataElementConcept!I192)=9,"1","0")</f>
        <v>0</v>
      </c>
      <c r="M230" s="75" t="s">
        <v>2</v>
      </c>
    </row>
    <row r="231" spans="4:13" ht="44.2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54" t="str">
        <f>IF(LEN(OsirisDataElementConcept!I193)=9,"1","0")</f>
        <v>0</v>
      </c>
      <c r="M231" s="75" t="s">
        <v>2</v>
      </c>
    </row>
    <row r="232" spans="4:13" ht="44.2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54" t="str">
        <f>IF(LEN(OsirisDataElementConcept!I194)=9,"1","0")</f>
        <v>0</v>
      </c>
      <c r="M232" s="75" t="s">
        <v>2</v>
      </c>
    </row>
    <row r="233" spans="4:13" ht="29.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54" t="str">
        <f>IF(LEN(OsirisDataElementConcept!I195)=9,"1","0")</f>
        <v>0</v>
      </c>
      <c r="M233" s="75" t="s">
        <v>2</v>
      </c>
    </row>
    <row r="234" spans="4:13" ht="29.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54" t="str">
        <f>IF(LEN(OsirisDataElementConcept!I196)=9,"1","0")</f>
        <v>0</v>
      </c>
      <c r="M234" s="75" t="s">
        <v>2</v>
      </c>
    </row>
    <row r="235" spans="4:13">
      <c r="H235" s="55" t="str">
        <f>OsirisDataElementConcept!$A$197</f>
        <v>RadiomicsCriteria</v>
      </c>
      <c r="I235" s="55" t="str">
        <f>OsirisDataElementConcept!$A$197</f>
        <v>RadiomicsCriteria</v>
      </c>
      <c r="J235" s="55" t="str">
        <f>OsirisDataElementConcept!$A$197</f>
        <v>RadiomicsCriteria</v>
      </c>
      <c r="K235" s="55" t="str">
        <f>OsirisDataElementConcept!$A$197</f>
        <v>RadiomicsCriteria</v>
      </c>
      <c r="L235" s="56">
        <v>0</v>
      </c>
      <c r="M235" s="55" t="s">
        <v>2</v>
      </c>
    </row>
    <row r="236" spans="4:13" ht="44.2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54" t="str">
        <f>IF(LEN(OsirisDataElementConcept!I197)=9,"1","0")</f>
        <v>0</v>
      </c>
      <c r="M236" s="75" t="s">
        <v>2</v>
      </c>
    </row>
    <row r="237" spans="4:13" ht="44.2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54" t="str">
        <f>IF(LEN(OsirisDataElementConcept!I198)=9,"1","0")</f>
        <v>0</v>
      </c>
      <c r="M237" s="75" t="s">
        <v>2</v>
      </c>
    </row>
    <row r="238" spans="4:13" ht="44.2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54" t="str">
        <f>IF(LEN(OsirisDataElementConcept!I199)=9,"1","0")</f>
        <v>0</v>
      </c>
      <c r="M238" s="75" t="s">
        <v>2</v>
      </c>
    </row>
    <row r="239" spans="4:13" ht="44.2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54" t="str">
        <f>IF(LEN(OsirisDataElementConcept!I200)=9,"1","0")</f>
        <v>0</v>
      </c>
      <c r="M239" s="75" t="s">
        <v>2</v>
      </c>
    </row>
    <row r="240" spans="4:13" ht="44.2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54" t="str">
        <f>IF(LEN(OsirisDataElementConcept!I201)=9,"1","0")</f>
        <v>0</v>
      </c>
      <c r="M240" s="75" t="s">
        <v>2</v>
      </c>
    </row>
    <row r="241" spans="8:13" ht="44.2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54" t="str">
        <f>IF(LEN(OsirisDataElementConcept!I202)=9,"1","0")</f>
        <v>0</v>
      </c>
      <c r="M241" s="75" t="s">
        <v>2</v>
      </c>
    </row>
    <row r="242" spans="8:13" ht="44.2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54" t="str">
        <f>IF(LEN(OsirisDataElementConcept!I203)=9,"1","0")</f>
        <v>0</v>
      </c>
      <c r="M242" s="75" t="s">
        <v>2</v>
      </c>
    </row>
    <row r="243" spans="8:13" ht="44.2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54" t="str">
        <f>IF(LEN(OsirisDataElementConcept!I204)=9,"1","0")</f>
        <v>0</v>
      </c>
      <c r="M243" s="75" t="s">
        <v>2</v>
      </c>
    </row>
    <row r="244" spans="8:13" ht="44.2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54" t="str">
        <f>IF(LEN(OsirisDataElementConcept!I205)=9,"1","0")</f>
        <v>0</v>
      </c>
      <c r="M244" s="75" t="s">
        <v>2</v>
      </c>
    </row>
    <row r="245" spans="8:13" ht="44.2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54" t="str">
        <f>IF(LEN(OsirisDataElementConcept!I206)=9,"1","0")</f>
        <v>0</v>
      </c>
      <c r="M245" s="75" t="s">
        <v>2</v>
      </c>
    </row>
    <row r="246" spans="8:13" ht="44.2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54" t="str">
        <f>IF(LEN(OsirisDataElementConcept!I207)=9,"1","0")</f>
        <v>0</v>
      </c>
      <c r="M246" s="75" t="s">
        <v>2</v>
      </c>
    </row>
    <row r="247" spans="8:13" ht="44.2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54" t="str">
        <f>IF(LEN(OsirisDataElementConcept!I208)=9,"1","0")</f>
        <v>0</v>
      </c>
      <c r="M247" s="75" t="s">
        <v>2</v>
      </c>
    </row>
    <row r="248" spans="8:13" ht="44.2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54" t="str">
        <f>IF(LEN(OsirisDataElementConcept!I209)=9,"1","0")</f>
        <v>0</v>
      </c>
      <c r="M248" s="75" t="s">
        <v>2</v>
      </c>
    </row>
    <row r="249" spans="8:13">
      <c r="H249" s="55" t="str">
        <f>OsirisDataElementConcept!$A$210</f>
        <v>RadiomicsImageFilter</v>
      </c>
      <c r="I249" s="55" t="str">
        <f>OsirisDataElementConcept!$A$210</f>
        <v>RadiomicsImageFilter</v>
      </c>
      <c r="J249" s="55" t="str">
        <f>OsirisDataElementConcept!$A$210</f>
        <v>RadiomicsImageFilter</v>
      </c>
      <c r="K249" s="55" t="str">
        <f>OsirisDataElementConcept!$A$210</f>
        <v>RadiomicsImageFilter</v>
      </c>
      <c r="L249" s="56">
        <v>0</v>
      </c>
      <c r="M249" s="55" t="s">
        <v>2</v>
      </c>
    </row>
    <row r="250" spans="8:13" ht="44.2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54" t="str">
        <f>IF(LEN(OsirisDataElementConcept!I210)=9,"1","0")</f>
        <v>0</v>
      </c>
      <c r="M250" s="75" t="s">
        <v>2</v>
      </c>
    </row>
    <row r="251" spans="8:13" ht="44.2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54" t="str">
        <f>IF(LEN(OsirisDataElementConcept!I211)=9,"1","0")</f>
        <v>0</v>
      </c>
      <c r="M251" s="75" t="s">
        <v>2</v>
      </c>
    </row>
    <row r="252" spans="8:13" ht="44.2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54" t="str">
        <f>IF(LEN(OsirisDataElementConcept!I212)=9,"1","0")</f>
        <v>0</v>
      </c>
      <c r="M252" s="75" t="s">
        <v>2</v>
      </c>
    </row>
    <row r="253" spans="8:13" ht="44.2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54" t="str">
        <f>IF(LEN(OsirisDataElementConcept!I213)=9,"1","0")</f>
        <v>0</v>
      </c>
      <c r="M253" s="75" t="s">
        <v>2</v>
      </c>
    </row>
    <row r="254" spans="8:13" ht="44.2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54" t="str">
        <f>IF(LEN(OsirisDataElementConcept!I214)=9,"1","0")</f>
        <v>0</v>
      </c>
      <c r="M254" s="75" t="s">
        <v>2</v>
      </c>
    </row>
    <row r="255" spans="8:13" ht="44.2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54" t="str">
        <f>IF(LEN(OsirisDataElementConcept!I215)=9,"1","0")</f>
        <v>0</v>
      </c>
      <c r="M255" s="75" t="s">
        <v>2</v>
      </c>
    </row>
    <row r="256" spans="8:13" ht="44.2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54" t="str">
        <f>IF(LEN(OsirisDataElementConcept!I216)=9,"1","0")</f>
        <v>0</v>
      </c>
      <c r="M256" s="75" t="s">
        <v>2</v>
      </c>
    </row>
    <row r="257" spans="8:13">
      <c r="H257" s="55" t="str">
        <f>OsirisDataElementConcept!$A$218</f>
        <v>RadiomicsFeature</v>
      </c>
      <c r="I257" s="55" t="str">
        <f>OsirisDataElementConcept!$A$218</f>
        <v>RadiomicsFeature</v>
      </c>
      <c r="J257" s="55" t="str">
        <f>OsirisDataElementConcept!$A$218</f>
        <v>RadiomicsFeature</v>
      </c>
      <c r="K257" s="55" t="str">
        <f>OsirisDataElementConcept!$A$218</f>
        <v>RadiomicsFeature</v>
      </c>
      <c r="L257" s="56">
        <v>0</v>
      </c>
      <c r="M257" s="55" t="s">
        <v>2</v>
      </c>
    </row>
    <row r="258" spans="8:13" ht="44.2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54" t="str">
        <f>IF(LEN(OsirisDataElementConcept!I217)=9,"1","0")</f>
        <v>0</v>
      </c>
      <c r="M258" s="75" t="s">
        <v>2</v>
      </c>
    </row>
    <row r="259" spans="8:13" ht="44.2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54" t="str">
        <f>IF(LEN(OsirisDataElementConcept!I218)=9,"1","0")</f>
        <v>0</v>
      </c>
      <c r="M259" s="75" t="s">
        <v>2</v>
      </c>
    </row>
    <row r="260" spans="8:13" ht="44.2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54" t="str">
        <f>IF(LEN(OsirisDataElementConcept!I219)=9,"1","0")</f>
        <v>0</v>
      </c>
      <c r="M260" s="75" t="s">
        <v>2</v>
      </c>
    </row>
  </sheetData>
  <autoFilter ref="D2:U232" xr:uid="{65625CB6-A4D1-445C-8FA0-02E903280690}"/>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4" t="s">
        <v>21</v>
      </c>
    </row>
    <row r="2" spans="1:9">
      <c r="I2" s="25" t="s">
        <v>20</v>
      </c>
    </row>
    <row r="3" spans="1:9" ht="15.5" thickBot="1">
      <c r="I3" s="25" t="str">
        <f>I1</f>
        <v>// -------------------------------------------------------------------------------</v>
      </c>
    </row>
    <row r="4" spans="1:9">
      <c r="A4" s="5" t="s">
        <v>12</v>
      </c>
      <c r="B4" s="46" t="s">
        <v>1406</v>
      </c>
      <c r="I4" s="17" t="str">
        <f>CONCATENATE("Logical: ",B4)</f>
        <v>Logical: Osiris</v>
      </c>
    </row>
    <row r="5" spans="1:9">
      <c r="A5" s="15" t="s">
        <v>17</v>
      </c>
      <c r="B5" s="47" t="s">
        <v>1406</v>
      </c>
      <c r="I5" s="17" t="str">
        <f>CONCATENATE("Id: ",B5)</f>
        <v>Id: Osiris</v>
      </c>
    </row>
    <row r="6" spans="1:9">
      <c r="A6" s="15" t="s">
        <v>11</v>
      </c>
      <c r="B6" s="48" t="s">
        <v>1407</v>
      </c>
      <c r="I6" s="18" t="str">
        <f>CONCATENATE("Title: ##34#",B6,"##34#")</f>
        <v>Title: ##34#Osiris Model##34#</v>
      </c>
    </row>
    <row r="7" spans="1:9" ht="15.5" thickBot="1">
      <c r="A7" s="27" t="s">
        <v>3</v>
      </c>
      <c r="B7" s="52" t="s">
        <v>1408</v>
      </c>
      <c r="C7" s="9" t="s">
        <v>4</v>
      </c>
      <c r="D7" s="1" t="s">
        <v>5</v>
      </c>
      <c r="E7" s="3" t="s">
        <v>6</v>
      </c>
      <c r="F7" s="3" t="s">
        <v>7</v>
      </c>
      <c r="G7" s="3" t="s">
        <v>8</v>
      </c>
      <c r="I7" s="18" t="str">
        <f>CONCATENATE("Description: "," ##334#",B7,"##334#",)</f>
        <v>Description:  ##334#Osiris Data Element Concept##334#</v>
      </c>
    </row>
    <row r="8" spans="1:9">
      <c r="A8" s="11">
        <v>1</v>
      </c>
      <c r="B8" s="11" t="str">
        <f>ConvertOsiris!I2</f>
        <v>Patient</v>
      </c>
      <c r="C8" s="12" t="str">
        <f>ConvertOsiris!J2</f>
        <v>Patient</v>
      </c>
      <c r="D8" s="12" t="str">
        <f>ConvertOsiris!K2</f>
        <v>Patient</v>
      </c>
      <c r="E8" s="12" t="str">
        <f>ConvertOsiris!L2</f>
        <v>1</v>
      </c>
      <c r="F8" s="11" t="s">
        <v>9</v>
      </c>
      <c r="G8" s="11" t="str">
        <f>ConvertOsiris!M2</f>
        <v>BackboneElement</v>
      </c>
      <c r="H8" s="26"/>
      <c r="I8" s="12" t="str">
        <f t="shared" ref="I8:I71" si="0">IF(B8=0,"//---- END",CONCATENATE("* ",B8, " ",E8,"..",F8," ",G8," ##34#",C8,"##34# ##334#",D8,"##334#"))</f>
        <v>* Patient 1..* BackboneElement ##34#Patient##34# ##334#Patient##334#</v>
      </c>
    </row>
    <row r="9" spans="1:9" ht="44.25">
      <c r="A9" s="11">
        <v>2</v>
      </c>
      <c r="B9" s="11" t="str">
        <f>ConvertOsiris!I3</f>
        <v>Patient.Id</v>
      </c>
      <c r="C9" s="12" t="str">
        <f>ConvertOsiris!J3</f>
        <v>Patient Id [C1]</v>
      </c>
      <c r="D9" s="12" t="str">
        <f>ConvertOsiris!K3</f>
        <v>Patient ID in the center providing the information
_x000D_mandatory</v>
      </c>
      <c r="E9" s="12" t="str">
        <f>ConvertOsiris!L3</f>
        <v>1</v>
      </c>
      <c r="F9" s="11" t="s">
        <v>9</v>
      </c>
      <c r="G9" s="11" t="str">
        <f>ConvertOsiris!M3</f>
        <v>string</v>
      </c>
      <c r="H9" s="26"/>
      <c r="I9" s="12" t="str">
        <f t="shared" si="0"/>
        <v>* Patient.Id 1..* string ##34#Patient Id [C1]##34# ##334#Patient ID in the center providing the information
_x000D_mandatory##334#</v>
      </c>
    </row>
    <row r="10" spans="1:9" ht="59">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9</v>
      </c>
      <c r="G10" s="11" t="str">
        <f>ConvertOsiris!M4</f>
        <v>string</v>
      </c>
      <c r="H10" s="26"/>
      <c r="I10" s="12" t="str">
        <f t="shared" si="0"/>
        <v>* Patient.Gender 1..* string ##34#Gender [C2]##34# ##334#Gender of the patient
_x000D_ConceptualDomain: FHIR:AdministrativeGender
_x000D_mandatory##334#</v>
      </c>
    </row>
    <row r="11" spans="1:9" ht="59">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9</v>
      </c>
      <c r="G11" s="11" t="str">
        <f>ConvertOsiris!M5</f>
        <v>string</v>
      </c>
      <c r="H11" s="26"/>
      <c r="I11" s="12" t="str">
        <f t="shared" si="0"/>
        <v>* Patient.Ethnicity 0..* string ##34#Ethnicity [C3]##34# ##334#Ethnicity of the patient
_x000D_ConceptualDomain: FHIR:Race
_x000D_optional##334#</v>
      </c>
    </row>
    <row r="12" spans="1:9" ht="44.25">
      <c r="A12" s="11">
        <v>5</v>
      </c>
      <c r="B12" s="11" t="str">
        <f>ConvertOsiris!I6</f>
        <v>Patient.BirthDate</v>
      </c>
      <c r="C12" s="12" t="str">
        <f>ConvertOsiris!J6</f>
        <v>Birth Date [C4]</v>
      </c>
      <c r="D12" s="12" t="str">
        <f>ConvertOsiris!K6</f>
        <v>Date of birth of the patient
_x000D_mandatory</v>
      </c>
      <c r="E12" s="12" t="str">
        <f>ConvertOsiris!L6</f>
        <v>1</v>
      </c>
      <c r="F12" s="11" t="s">
        <v>9</v>
      </c>
      <c r="G12" s="11" t="str">
        <f>ConvertOsiris!M6</f>
        <v>date</v>
      </c>
      <c r="H12" s="26"/>
      <c r="I12" s="12" t="str">
        <f t="shared" si="0"/>
        <v>* Patient.BirthDate 1..* date ##34#Birth Date [C4]##34# ##334#Date of birth of the patient
_x000D_mandatory##334#</v>
      </c>
    </row>
    <row r="13" spans="1:9" ht="44.25">
      <c r="A13" s="11">
        <v>6</v>
      </c>
      <c r="B13" s="11" t="str">
        <f>ConvertOsiris!I7</f>
        <v>Patient.DeathDate</v>
      </c>
      <c r="C13" s="12" t="str">
        <f>ConvertOsiris!J7</f>
        <v>Death Date [C5]</v>
      </c>
      <c r="D13" s="12" t="str">
        <f>ConvertOsiris!K7</f>
        <v>Date of death of the patient
_x000D_optional</v>
      </c>
      <c r="E13" s="12" t="str">
        <f>ConvertOsiris!L7</f>
        <v>0</v>
      </c>
      <c r="F13" s="11" t="s">
        <v>9</v>
      </c>
      <c r="G13" s="11" t="str">
        <f>ConvertOsiris!M7</f>
        <v>date</v>
      </c>
      <c r="H13" s="26"/>
      <c r="I13" s="12" t="str">
        <f t="shared" si="0"/>
        <v>* Patient.DeathDate 0..* date ##34#Death Date [C5]##34# ##334#Date of death of the patient
_x000D_optional##334#</v>
      </c>
    </row>
    <row r="14" spans="1:9" ht="44.2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9</v>
      </c>
      <c r="G14" s="11" t="str">
        <f>ConvertOsiris!M8</f>
        <v>string</v>
      </c>
      <c r="H14" s="26"/>
      <c r="I14" s="12" t="str">
        <f t="shared" si="0"/>
        <v>* Patient.ProviderCenterId 1..* string ##34#Provider  Center  Id [C6]##34# ##334#Center ID of the center providing the information
_x000D_mandatory##334#</v>
      </c>
    </row>
    <row r="15" spans="1:9" ht="44.2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9</v>
      </c>
      <c r="G15" s="11" t="str">
        <f>ConvertOsiris!M9</f>
        <v>string</v>
      </c>
      <c r="H15" s="26"/>
      <c r="I15" s="12" t="str">
        <f t="shared" si="0"/>
        <v>* Patient.OriginCenterId 1..* string ##34#Origin  Center  Id [C71]##34# ##334#Center ID of the center of origin of the patient
_x000D_mandatory##334#</v>
      </c>
    </row>
    <row r="16" spans="1:9" ht="59">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9</v>
      </c>
      <c r="G16" s="11" t="str">
        <f>ConvertOsiris!M10</f>
        <v>string</v>
      </c>
      <c r="H16" s="26"/>
      <c r="I16" s="12" t="str">
        <f t="shared" si="0"/>
        <v>* Patient.CauseOfDeath 0..* string ##34#Cause of death [C7]##34# ##334#Description of the cause of death of the patient 
_x000D_ConceptualDomain: UMLS:C0007465
_x000D_mandatory if DeathDate is set##334#</v>
      </c>
    </row>
    <row r="17" spans="1:9" ht="59">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9</v>
      </c>
      <c r="G17" s="11" t="str">
        <f>ConvertOsiris!M11</f>
        <v>date</v>
      </c>
      <c r="H17" s="26"/>
      <c r="I17" s="12" t="str">
        <f t="shared" si="0"/>
        <v>* Patient.LastNewsDate 1..* date ##34#Last News Date [C8]##34# ##334#Date of last news (= date of last patient visit if there is no other information available) (day is set to the 15th)
_x000D_mandatory##334#</v>
      </c>
    </row>
    <row r="18" spans="1:9" ht="59">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9</v>
      </c>
      <c r="G18" s="11" t="str">
        <f>ConvertOsiris!M12</f>
        <v>string</v>
      </c>
      <c r="H18" s="26"/>
      <c r="I18" s="12" t="str">
        <f t="shared" si="0"/>
        <v>* Patient.LastNewsStatus 1..* string ##34#Last News Status [C9]##34# ##334#Indicator of the patient's last known vital status (alive or deceased)
_x000D_ConceptualDomain: OSIRIS:LastNewsStatus
_x000D_mandatory##334#</v>
      </c>
    </row>
    <row r="19" spans="1:9">
      <c r="A19" s="11">
        <v>12</v>
      </c>
      <c r="B19" s="11" t="str">
        <f>ConvertOsiris!I13</f>
        <v>Consent</v>
      </c>
      <c r="C19" s="12" t="str">
        <f>ConvertOsiris!J13</f>
        <v>Consent</v>
      </c>
      <c r="D19" s="12" t="str">
        <f>ConvertOsiris!K13</f>
        <v>Consent</v>
      </c>
      <c r="E19" s="12">
        <f>ConvertOsiris!L13</f>
        <v>1</v>
      </c>
      <c r="F19" s="11" t="s">
        <v>9</v>
      </c>
      <c r="G19" s="11" t="str">
        <f>ConvertOsiris!M13</f>
        <v>BackboneElement</v>
      </c>
      <c r="H19" s="26"/>
      <c r="I19" s="12" t="str">
        <f t="shared" si="0"/>
        <v>* Consent 1..* BackboneElement ##34#Consent##34# ##334#Consent##334#</v>
      </c>
    </row>
    <row r="20" spans="1:9" ht="44.25">
      <c r="A20" s="11">
        <v>13</v>
      </c>
      <c r="B20" s="11" t="str">
        <f>ConvertOsiris!I14</f>
        <v>Consent.Date</v>
      </c>
      <c r="C20" s="12" t="str">
        <f>ConvertOsiris!J14</f>
        <v>Date [C72]</v>
      </c>
      <c r="D20" s="12" t="str">
        <f>ConvertOsiris!K14</f>
        <v>Date of consent signature
_x000D_mandatory</v>
      </c>
      <c r="E20" s="12" t="str">
        <f>ConvertOsiris!L14</f>
        <v>1</v>
      </c>
      <c r="F20" s="11" t="s">
        <v>9</v>
      </c>
      <c r="G20" s="11" t="str">
        <f>ConvertOsiris!M14</f>
        <v>date</v>
      </c>
      <c r="H20" s="26"/>
      <c r="I20" s="12" t="str">
        <f t="shared" si="0"/>
        <v>* Consent.Date 1..* date ##34#Date [C72]##34# ##334#Date of consent signature
_x000D_mandatory##334#</v>
      </c>
    </row>
    <row r="21" spans="1:9" ht="59">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9</v>
      </c>
      <c r="G21" s="11" t="str">
        <f>ConvertOsiris!M15</f>
        <v>string</v>
      </c>
      <c r="H21" s="26"/>
      <c r="I21" s="12" t="str">
        <f t="shared" si="0"/>
        <v>* Consent.GeneticAnalysisAuthorization 1..* string ##34#Genetic Analysis Authorization [C79]##34# ##334#Consent for genetic analysis
_x000D_ConceptualDomain: OSIRIS:Boolean
_x000D_mandatory##334#</v>
      </c>
    </row>
    <row r="22" spans="1:9" ht="29.5">
      <c r="A22" s="11">
        <v>15</v>
      </c>
      <c r="B22" s="11" t="str">
        <f>ConvertOsiris!I16</f>
        <v>RelatedPathology</v>
      </c>
      <c r="C22" s="12" t="str">
        <f>ConvertOsiris!J16</f>
        <v>RelatedPathology</v>
      </c>
      <c r="D22" s="12" t="str">
        <f>ConvertOsiris!K16</f>
        <v>RelatedPathology</v>
      </c>
      <c r="E22" s="12">
        <f>ConvertOsiris!L16</f>
        <v>0</v>
      </c>
      <c r="F22" s="11" t="s">
        <v>9</v>
      </c>
      <c r="G22" s="11" t="str">
        <f>ConvertOsiris!M16</f>
        <v>BackboneElement</v>
      </c>
      <c r="H22" s="26"/>
      <c r="I22" s="12" t="str">
        <f t="shared" si="0"/>
        <v>* RelatedPathology 0..* BackboneElement ##34#RelatedPathology##34# ##334#RelatedPathology##334#</v>
      </c>
    </row>
    <row r="23" spans="1:9" ht="73.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9</v>
      </c>
      <c r="G23" s="11" t="str">
        <f>ConvertOsiris!M17</f>
        <v>string</v>
      </c>
      <c r="H23" s="26"/>
      <c r="I23" s="12" t="str">
        <f t="shared" si="0"/>
        <v>* RelatedPathology.PathologyCode 0..* string ##34#Pathology Code [C13]##34# ##334#International code for the related disease (other than cancer). 3 characters.
_x000D_ConceptualDomain: ICD10
_x000D_mandatory if ObjectClass is set##334#</v>
      </c>
    </row>
    <row r="24" spans="1:9" ht="44.2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9</v>
      </c>
      <c r="G24" s="11" t="str">
        <f>ConvertOsiris!M18</f>
        <v>date</v>
      </c>
      <c r="H24" s="26"/>
      <c r="I24" s="12" t="str">
        <f t="shared" si="0"/>
        <v>* RelatedPathology.DiagnosisDate 0..* date ##34#Diagnosis Date [C14]##34# ##334#Date of diagnosis for the related disease.
_x000D_mandatory if ObjectClass is set##334#</v>
      </c>
    </row>
    <row r="25" spans="1:9" ht="59">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9</v>
      </c>
      <c r="G25" s="11" t="str">
        <f>ConvertOsiris!M19</f>
        <v>date</v>
      </c>
      <c r="H25" s="26"/>
      <c r="I25" s="12" t="str">
        <f t="shared" si="0"/>
        <v>* RelatedPathology.PathologyEndDate 0..* date ##34#Pathology End Date [C15]##34# ##334#Date of the end of the related disease (if occuring and known)
_x000D_optional##334#</v>
      </c>
    </row>
    <row r="26" spans="1:9" ht="29.5">
      <c r="A26" s="11">
        <v>19</v>
      </c>
      <c r="B26" s="11" t="str">
        <f>ConvertOsiris!I20</f>
        <v>FamilyCancerHistory</v>
      </c>
      <c r="C26" s="12" t="str">
        <f>ConvertOsiris!J20</f>
        <v>FamilyCancerHistory</v>
      </c>
      <c r="D26" s="12" t="str">
        <f>ConvertOsiris!K20</f>
        <v>FamilyCancerHistory</v>
      </c>
      <c r="E26" s="12">
        <f>ConvertOsiris!L20</f>
        <v>0</v>
      </c>
      <c r="F26" s="11" t="s">
        <v>9</v>
      </c>
      <c r="G26" s="11" t="str">
        <f>ConvertOsiris!M20</f>
        <v>BackboneElement</v>
      </c>
      <c r="H26" s="26"/>
      <c r="I26" s="12" t="str">
        <f t="shared" si="0"/>
        <v>* FamilyCancerHistory 0..* BackboneElement ##34#FamilyCancerHistory##34# ##334#FamilyCancerHistory##334#</v>
      </c>
    </row>
    <row r="27" spans="1:9" ht="73.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9</v>
      </c>
      <c r="G27" s="11" t="str">
        <f>ConvertOsiris!M21</f>
        <v>string</v>
      </c>
      <c r="H27" s="26"/>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9</v>
      </c>
      <c r="G28" s="11" t="str">
        <f>ConvertOsiris!M22</f>
        <v>string</v>
      </c>
      <c r="H28" s="26"/>
      <c r="I28" s="12" t="str">
        <f t="shared" si="0"/>
        <v>* FamilyCancerHistory.Parentage 0..* string ##34#Parentage [C77]##34# ##334#Family relationship
_x000D_ConceptualDomain: OSIRIS:FamilyCancerHistoryParentage
_x000D_mandatory if ObjectClass is set##334#</v>
      </c>
    </row>
    <row r="29" spans="1:9" ht="29.5">
      <c r="A29" s="11">
        <v>22</v>
      </c>
      <c r="B29" s="11" t="str">
        <f>ConvertOsiris!I23</f>
        <v>TumorPathologyEvent</v>
      </c>
      <c r="C29" s="12" t="str">
        <f>ConvertOsiris!J23</f>
        <v>TumorPathologyEvent</v>
      </c>
      <c r="D29" s="12" t="str">
        <f>ConvertOsiris!K23</f>
        <v>TumorPathologyEvent</v>
      </c>
      <c r="E29" s="12">
        <f>ConvertOsiris!L23</f>
        <v>1</v>
      </c>
      <c r="F29" s="11" t="s">
        <v>9</v>
      </c>
      <c r="G29" s="11" t="str">
        <f>ConvertOsiris!M23</f>
        <v>BackboneElement</v>
      </c>
      <c r="H29" s="26"/>
      <c r="I29" s="12" t="str">
        <f t="shared" si="0"/>
        <v>* TumorPathologyEvent 1..* BackboneElement ##34#TumorPathologyEvent##34# ##334#TumorPathologyEvent##334#</v>
      </c>
    </row>
    <row r="30" spans="1:9" ht="88.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9</v>
      </c>
      <c r="G30" s="11" t="str">
        <f>ConvertOsiris!M24</f>
        <v>string</v>
      </c>
      <c r="H30" s="26"/>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9</v>
      </c>
      <c r="G31" s="11" t="str">
        <f>ConvertOsiris!M25</f>
        <v>date</v>
      </c>
      <c r="H31" s="26"/>
      <c r="I31" s="12" t="str">
        <f t="shared" si="0"/>
        <v>* TumorPathologyEvent.StartDate 1..* date ##34#Start Date [C21]##34# ##334#Date of start of cancer event or disease
_x000D_mandatory##334#</v>
      </c>
    </row>
    <row r="32" spans="1:9" ht="44.2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9</v>
      </c>
      <c r="G32" s="11" t="str">
        <f>ConvertOsiris!M26</f>
        <v>date</v>
      </c>
      <c r="H32" s="26"/>
      <c r="I32" s="12" t="str">
        <f t="shared" si="0"/>
        <v>* TumorPathologyEvent.EndDate 0..* date ##34#End Date [C82]##34# ##334#Date of end of cancer event or disease
_x000D_optional##334#</v>
      </c>
    </row>
    <row r="33" spans="1:9" ht="73.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9</v>
      </c>
      <c r="G33" s="11" t="str">
        <f>ConvertOsiris!M27</f>
        <v>string</v>
      </c>
      <c r="H33" s="26"/>
      <c r="I33" s="12" t="str">
        <f t="shared" si="0"/>
        <v>* TumorPathologyEvent.PerformanceStatus 0..* string ##34#Performance Status [C22]##34# ##334#Definition of the autonomy scale (Karnofsky scale or OMS)
_x000D_ConceptualDomain: OMS:PerformanceStatus
_x000D_optional##334#</v>
      </c>
    </row>
    <row r="34" spans="1:9" ht="44.2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9</v>
      </c>
      <c r="G34" s="11" t="str">
        <f>ConvertOsiris!M28</f>
        <v>integer</v>
      </c>
      <c r="H34" s="26"/>
      <c r="I34" s="12" t="str">
        <f t="shared" si="0"/>
        <v>* TumorPathologyEvent.G8 0..* integer ##34#G8 score [C23]##34# ##334#Tool for the evaluation of the general condition of the patient
_x000D_optional##334#</v>
      </c>
    </row>
    <row r="35" spans="1:9" ht="59">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9</v>
      </c>
      <c r="G35" s="11" t="str">
        <f>ConvertOsiris!M29</f>
        <v>string</v>
      </c>
      <c r="H35" s="26"/>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9</v>
      </c>
      <c r="G36" s="11" t="str">
        <f>ConvertOsiris!M30</f>
        <v>string</v>
      </c>
      <c r="H36" s="26"/>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9</v>
      </c>
      <c r="G37" s="11" t="str">
        <f>ConvertOsiris!M31</f>
        <v>string</v>
      </c>
      <c r="H37" s="26"/>
      <c r="I37" s="12" t="str">
        <f t="shared" si="0"/>
        <v>* TumorPathologyEvent.StadeType 0..* string ##34#Stade Type [C31]##34# ##334#List of stage scales
_x000D_ConceptualDomain: OSIRIS:StadeType
_x000D_optional, mandatory if StadeValue is set##334#</v>
      </c>
    </row>
    <row r="38" spans="1:9" ht="59">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9</v>
      </c>
      <c r="G38" s="11" t="str">
        <f>ConvertOsiris!M32</f>
        <v>string</v>
      </c>
      <c r="H38" s="26"/>
      <c r="I38" s="12" t="str">
        <f t="shared" si="0"/>
        <v>* TumorPathologyEvent.StadeValue 0..* string ##34#Stade Value [C32]##34# ##334#Stage value
_x000D_ConceptualDomain: OSIRIS:StadeValue
_x000D_optional, mandatory if StadeType is set##334#</v>
      </c>
    </row>
    <row r="39" spans="1:9" ht="44.2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9</v>
      </c>
      <c r="G39" s="11" t="str">
        <f>ConvertOsiris!M33</f>
        <v>date</v>
      </c>
      <c r="H39" s="26"/>
      <c r="I39" s="12" t="str">
        <f t="shared" si="0"/>
        <v>* TumorPathologyEvent.DiagnosisDate 1..* date ##34#Diagnosis Date [C33]##34# ##334#Date of diagnosis of the tumor event
_x000D_mandatory##334#</v>
      </c>
    </row>
    <row r="40" spans="1:9" ht="59">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9</v>
      </c>
      <c r="G40" s="11" t="str">
        <f>ConvertOsiris!M34</f>
        <v>string</v>
      </c>
      <c r="H40" s="26"/>
      <c r="I40" s="12" t="str">
        <f t="shared" si="0"/>
        <v>* TumorPathologyEvent.TopographyCode 1..* string ##34#Topography Code [C34]##34# ##334#Localisation of the primary tumor
_x000D_ConceptualDomain: ICDO3:Topography
_x000D_mandatory##334#</v>
      </c>
    </row>
    <row r="41" spans="1:9" ht="73.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9</v>
      </c>
      <c r="G41" s="11" t="str">
        <f>ConvertOsiris!M35</f>
        <v>string</v>
      </c>
      <c r="H41" s="26"/>
      <c r="I41" s="12" t="str">
        <f t="shared" si="0"/>
        <v>* TumorPathologyEvent.MorphologyCode 1..* string ##34#Morphology Code [C35]##34# ##334#International code of lesion / histological type / tumor morphology of the tumoral event
_x000D_ConceptualDomain: ICDO3:Morphology
_x000D_mandatory##334#</v>
      </c>
    </row>
    <row r="42" spans="1:9" ht="59">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9</v>
      </c>
      <c r="G42" s="11" t="str">
        <f>ConvertOsiris!M36</f>
        <v>string</v>
      </c>
      <c r="H42" s="26"/>
      <c r="I42" s="12" t="str">
        <f t="shared" si="0"/>
        <v>* TumorPathologyEvent.Laterality 0..* string ##34#Laterality [C36]##34# ##334#Laterality of location (if it exists)
_x000D_ConceptualDomain: OSIRIS:Laterality
_x000D_optional##334#</v>
      </c>
    </row>
    <row r="43" spans="1:9">
      <c r="A43" s="11">
        <v>36</v>
      </c>
      <c r="B43" s="11" t="str">
        <f>ConvertOsiris!I37</f>
        <v>TNM</v>
      </c>
      <c r="C43" s="12" t="str">
        <f>ConvertOsiris!J37</f>
        <v>TNM</v>
      </c>
      <c r="D43" s="12" t="str">
        <f>ConvertOsiris!K37</f>
        <v>TNM</v>
      </c>
      <c r="E43" s="12">
        <f>ConvertOsiris!L37</f>
        <v>0</v>
      </c>
      <c r="F43" s="11" t="s">
        <v>9</v>
      </c>
      <c r="G43" s="11" t="str">
        <f>ConvertOsiris!M37</f>
        <v>BackboneElement</v>
      </c>
      <c r="H43" s="26"/>
      <c r="I43" s="12" t="str">
        <f t="shared" si="0"/>
        <v>* TNM 0..* BackboneElement ##34#TNM##34# ##334#TNM##334#</v>
      </c>
    </row>
    <row r="44" spans="1:9" ht="59">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9</v>
      </c>
      <c r="G44" s="11" t="str">
        <f>ConvertOsiris!M38</f>
        <v>string</v>
      </c>
      <c r="H44" s="26"/>
      <c r="I44" s="12" t="str">
        <f t="shared" si="0"/>
        <v>* TNM.T 0..* string ##34#T [C83]##34# ##334#Size of the tumor, propagation the site of the primary tumor
_x000D_ConceptualDomain: OSIRIS:T_TNM
_x000D_optional, mandatory if either N, M or TNMType is set##334#</v>
      </c>
    </row>
    <row r="45" spans="1:9" ht="59">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9</v>
      </c>
      <c r="G45" s="11" t="str">
        <f>ConvertOsiris!M39</f>
        <v>string</v>
      </c>
      <c r="H45" s="26"/>
      <c r="I45" s="12" t="str">
        <f t="shared" si="0"/>
        <v>* TNM.N 0..* string ##34#N [C84]##34# ##334#Propagation at the ganglion level
_x000D_ConceptualDomain: OSIRIS:N_TNM
_x000D_optional, mandatory if either T, M or TNMType is set##334#</v>
      </c>
    </row>
    <row r="46" spans="1:9" ht="59">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9</v>
      </c>
      <c r="G46" s="11" t="str">
        <f>ConvertOsiris!M40</f>
        <v>string</v>
      </c>
      <c r="H46" s="26"/>
      <c r="I46" s="12" t="str">
        <f t="shared" si="0"/>
        <v>* TNM.M 0..* string ##34#M [C85]##34# ##334#Remote propagation, presence of metastases
_x000D_ConceptualDomain: OSIRIS:M_TNM
_x000D_optional, mandatory if either T, N or TNMType is set##334#</v>
      </c>
    </row>
    <row r="47" spans="1:9" ht="59">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9</v>
      </c>
      <c r="G47" s="11" t="str">
        <f>ConvertOsiris!M41</f>
        <v>string</v>
      </c>
      <c r="H47" s="26"/>
      <c r="I47" s="12" t="str">
        <f t="shared" si="0"/>
        <v>* TNM.Version 0..* string ##34#TNM Version [C86]##34# ##334#TNM classification version
_x000D_ConceptualDomain: OSIRIS:TNMVersion
_x000D_optional##334#</v>
      </c>
    </row>
    <row r="48" spans="1:9" ht="44.2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9</v>
      </c>
      <c r="G48" s="11" t="str">
        <f>ConvertOsiris!M42</f>
        <v>string</v>
      </c>
      <c r="H48" s="26"/>
      <c r="I48" s="12" t="str">
        <f t="shared" si="0"/>
        <v>* TNM.Type 0..* string ##34#TNM Type [C87]##34# ##334#c, p, r,...
_x000D_ConceptualDomain: OSIRIS:TNMType
_x000D_optional, mandatory if either T, N or M is set##334#</v>
      </c>
    </row>
    <row r="49" spans="1:9">
      <c r="A49" s="11">
        <v>42</v>
      </c>
      <c r="B49" s="11" t="str">
        <f>ConvertOsiris!I43</f>
        <v>Analysis</v>
      </c>
      <c r="C49" s="12" t="str">
        <f>ConvertOsiris!J43</f>
        <v>Analysis</v>
      </c>
      <c r="D49" s="12" t="str">
        <f>ConvertOsiris!K43</f>
        <v>Analysis</v>
      </c>
      <c r="E49" s="12">
        <f>ConvertOsiris!L43</f>
        <v>0</v>
      </c>
      <c r="F49" s="11" t="s">
        <v>9</v>
      </c>
      <c r="G49" s="11" t="str">
        <f>ConvertOsiris!M43</f>
        <v>BackboneElement</v>
      </c>
      <c r="H49" s="26"/>
      <c r="I49" s="12" t="str">
        <f t="shared" si="0"/>
        <v>* Analysis 0..* BackboneElement ##34#Analysis##34# ##334#Analysis##334#</v>
      </c>
    </row>
    <row r="50" spans="1:9" ht="29.5">
      <c r="A50" s="11">
        <v>43</v>
      </c>
      <c r="B50" s="11" t="str">
        <f>ConvertOsiris!I44</f>
        <v>Analysis.Code</v>
      </c>
      <c r="C50" s="12" t="str">
        <f>ConvertOsiris!J44</f>
        <v>Code [C70]</v>
      </c>
      <c r="D50" s="12" t="str">
        <f>ConvertOsiris!K44</f>
        <v>Code of analysis
_x000D_optional</v>
      </c>
      <c r="E50" s="12" t="str">
        <f>ConvertOsiris!L44</f>
        <v>0</v>
      </c>
      <c r="F50" s="11" t="s">
        <v>9</v>
      </c>
      <c r="G50" s="11" t="str">
        <f>ConvertOsiris!M44</f>
        <v>string</v>
      </c>
      <c r="H50" s="26"/>
      <c r="I50" s="12" t="str">
        <f t="shared" si="0"/>
        <v>* Analysis.Code 0..* string ##34#Code [C70]##34# ##334#Code of analysis
_x000D_optional##334#</v>
      </c>
    </row>
    <row r="51" spans="1:9" ht="44.2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9</v>
      </c>
      <c r="G51" s="11" t="str">
        <f>ConvertOsiris!M45</f>
        <v>string</v>
      </c>
      <c r="H51" s="26"/>
      <c r="I51" s="12" t="str">
        <f t="shared" si="0"/>
        <v>* Analysis.Type 0..* string ##34#Type [C37]##34# ##334#Type of analysis
_x000D_ConceptualDomain: OSIRIS:AnalysisType
_x000D_mandatory if ObjectClass is set##334#</v>
      </c>
    </row>
    <row r="52" spans="1:9" ht="29.5">
      <c r="A52" s="11">
        <v>45</v>
      </c>
      <c r="B52" s="11" t="str">
        <f>ConvertOsiris!I46</f>
        <v>Analysis.Date</v>
      </c>
      <c r="C52" s="12" t="str">
        <f>ConvertOsiris!J46</f>
        <v>Date [C38]</v>
      </c>
      <c r="D52" s="12" t="str">
        <f>ConvertOsiris!K46</f>
        <v>Date of analysis
_x000D_mandatory if ObjectClass is set</v>
      </c>
      <c r="E52" s="12" t="str">
        <f>ConvertOsiris!L46</f>
        <v>0</v>
      </c>
      <c r="F52" s="11" t="s">
        <v>9</v>
      </c>
      <c r="G52" s="11" t="str">
        <f>ConvertOsiris!M46</f>
        <v>date</v>
      </c>
      <c r="H52" s="26"/>
      <c r="I52" s="12" t="str">
        <f t="shared" si="0"/>
        <v>* Analysis.Date 0..* date ##34#Date [C38]##34# ##334#Date of analysis
_x000D_mandatory if ObjectClass is set##334#</v>
      </c>
    </row>
    <row r="53" spans="1:9" ht="29.5">
      <c r="A53" s="11">
        <v>46</v>
      </c>
      <c r="B53" s="11" t="str">
        <f>ConvertOsiris!I47</f>
        <v>ResponseEvaluation</v>
      </c>
      <c r="C53" s="12" t="str">
        <f>ConvertOsiris!J47</f>
        <v>ResponseEvaluation</v>
      </c>
      <c r="D53" s="12" t="str">
        <f>ConvertOsiris!K47</f>
        <v>ResponseEvaluation</v>
      </c>
      <c r="E53" s="12">
        <f>ConvertOsiris!L47</f>
        <v>0</v>
      </c>
      <c r="F53" s="11" t="s">
        <v>9</v>
      </c>
      <c r="G53" s="11" t="str">
        <f>ConvertOsiris!M47</f>
        <v>BackboneElement</v>
      </c>
      <c r="H53" s="26"/>
      <c r="I53" s="12" t="str">
        <f t="shared" si="0"/>
        <v>* ResponseEvaluation 0..* BackboneElement ##34#ResponseEvaluation##34# ##334#ResponseEvaluation##334#</v>
      </c>
    </row>
    <row r="54" spans="1:9" ht="44.2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9</v>
      </c>
      <c r="G54" s="11" t="str">
        <f>ConvertOsiris!M48</f>
        <v>date</v>
      </c>
      <c r="H54" s="26"/>
      <c r="I54" s="12" t="str">
        <f t="shared" si="0"/>
        <v>* ResponseEvaluation.Date 0..* date ##34#Date [C78]##34# ##334#Date of assessment of treatment response
_x000D_mandatory if ObjectClass is set##334#</v>
      </c>
    </row>
    <row r="55" spans="1:9" ht="59">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9</v>
      </c>
      <c r="G55" s="11" t="str">
        <f>ConvertOsiris!M49</f>
        <v>string</v>
      </c>
      <c r="H55" s="26"/>
      <c r="I55" s="12" t="str">
        <f t="shared" si="0"/>
        <v>* ResponseEvaluation.Status 0..* string ##34#Status [C73]##34# ##334#Assessment of treatment response
_x000D_ConceptualDomain: OSIRIS:RECIST
_x000D_mandatory if ObjectClass is set##334#</v>
      </c>
    </row>
    <row r="56" spans="1:9" ht="29.5">
      <c r="A56" s="11">
        <v>49</v>
      </c>
      <c r="B56" s="11" t="str">
        <f>ConvertOsiris!I50</f>
        <v>Biomarker</v>
      </c>
      <c r="C56" s="12" t="str">
        <f>ConvertOsiris!J50</f>
        <v>Biomarker</v>
      </c>
      <c r="D56" s="12" t="str">
        <f>ConvertOsiris!K50</f>
        <v>Biomarker</v>
      </c>
      <c r="E56" s="12">
        <f>ConvertOsiris!L50</f>
        <v>0</v>
      </c>
      <c r="F56" s="11" t="s">
        <v>9</v>
      </c>
      <c r="G56" s="11" t="str">
        <f>ConvertOsiris!M50</f>
        <v>BackboneElement</v>
      </c>
      <c r="H56" s="26"/>
      <c r="I56" s="12" t="str">
        <f t="shared" si="0"/>
        <v>* Biomarker 0..* BackboneElement ##34#Biomarker##34# ##334#Biomarker##334#</v>
      </c>
    </row>
    <row r="57" spans="1:9" ht="44.2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9</v>
      </c>
      <c r="G57" s="11" t="str">
        <f>ConvertOsiris!M51</f>
        <v>string</v>
      </c>
      <c r="H57" s="26"/>
      <c r="I57" s="12" t="str">
        <f t="shared" si="0"/>
        <v>* Biomarker.Code 0..* string ##34#Code [C39]##34# ##334#Biomarker name
_x000D_ConceptualDomain: OSIRIS:BiomarkerCode
_x000D_mandatory if ObjectClass is set##334#</v>
      </c>
    </row>
    <row r="58" spans="1:9" ht="29.5">
      <c r="A58" s="11">
        <v>51</v>
      </c>
      <c r="B58" s="11" t="str">
        <f>ConvertOsiris!I52</f>
        <v>Biomarker.Value</v>
      </c>
      <c r="C58" s="12" t="str">
        <f>ConvertOsiris!J52</f>
        <v>Value [C40]</v>
      </c>
      <c r="D58" s="12" t="str">
        <f>ConvertOsiris!K52</f>
        <v>Biomarker value
_x000D_mandatory if ObjectClass is set</v>
      </c>
      <c r="E58" s="12" t="str">
        <f>ConvertOsiris!L52</f>
        <v>0</v>
      </c>
      <c r="F58" s="11" t="s">
        <v>9</v>
      </c>
      <c r="G58" s="11" t="str">
        <f>ConvertOsiris!M52</f>
        <v>string</v>
      </c>
      <c r="H58" s="26"/>
      <c r="I58" s="12" t="str">
        <f t="shared" si="0"/>
        <v>* Biomarker.Value 0..* string ##34#Value [C40]##34# ##334#Biomarker value
_x000D_mandatory if ObjectClass is set##334#</v>
      </c>
    </row>
    <row r="59" spans="1:9" ht="29.5">
      <c r="A59" s="11">
        <v>52</v>
      </c>
      <c r="B59" s="11" t="str">
        <f>ConvertOsiris!I53</f>
        <v>Biomarker.Unit</v>
      </c>
      <c r="C59" s="12" t="str">
        <f>ConvertOsiris!J53</f>
        <v>Unit [C81]</v>
      </c>
      <c r="D59" s="12" t="str">
        <f>ConvertOsiris!K53</f>
        <v>Biomarker unit
_x000D_optional</v>
      </c>
      <c r="E59" s="12" t="str">
        <f>ConvertOsiris!L53</f>
        <v>0</v>
      </c>
      <c r="F59" s="11" t="s">
        <v>9</v>
      </c>
      <c r="G59" s="11" t="str">
        <f>ConvertOsiris!M53</f>
        <v>string</v>
      </c>
      <c r="H59" s="26"/>
      <c r="I59" s="12" t="str">
        <f t="shared" si="0"/>
        <v>* Biomarker.Unit 0..* string ##34#Unit [C81]##34# ##334#Biomarker unit
_x000D_optional##334#</v>
      </c>
    </row>
    <row r="60" spans="1:9" ht="29.5">
      <c r="A60" s="11">
        <v>53</v>
      </c>
      <c r="B60" s="11" t="str">
        <f>ConvertOsiris!I54</f>
        <v>Treatment</v>
      </c>
      <c r="C60" s="12" t="str">
        <f>ConvertOsiris!J54</f>
        <v>Treatment</v>
      </c>
      <c r="D60" s="12" t="str">
        <f>ConvertOsiris!K54</f>
        <v>Treatment</v>
      </c>
      <c r="E60" s="12">
        <f>ConvertOsiris!L54</f>
        <v>0</v>
      </c>
      <c r="F60" s="11" t="s">
        <v>9</v>
      </c>
      <c r="G60" s="11" t="str">
        <f>ConvertOsiris!M54</f>
        <v>BackboneElement</v>
      </c>
      <c r="H60" s="26"/>
      <c r="I60" s="12" t="str">
        <f t="shared" si="0"/>
        <v>* Treatment 0..* BackboneElement ##34#Treatment##34# ##334#Treatment##334#</v>
      </c>
    </row>
    <row r="61" spans="1:9" ht="44.2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9</v>
      </c>
      <c r="G61" s="11" t="str">
        <f>ConvertOsiris!M55</f>
        <v>string</v>
      </c>
      <c r="H61" s="26"/>
      <c r="I61" s="12" t="str">
        <f t="shared" si="0"/>
        <v>* Treatment.Type 0..* string ##34#Type [C41]##34# ##334#Type of treatment
_x000D_ConceptualDomain: OSIRIS:TreatmentType
_x000D_mandatory if ObjectClass is set##334#</v>
      </c>
    </row>
    <row r="62" spans="1:9" ht="44.25">
      <c r="A62" s="11">
        <v>55</v>
      </c>
      <c r="B62" s="11" t="str">
        <f>ConvertOsiris!I56</f>
        <v>Treatment.LineNumber</v>
      </c>
      <c r="C62" s="12" t="str">
        <f>ConvertOsiris!J56</f>
        <v>Line Number [C74]</v>
      </c>
      <c r="D62" s="12" t="str">
        <f>ConvertOsiris!K56</f>
        <v>Line of treatment
_x000D_optional</v>
      </c>
      <c r="E62" s="12" t="str">
        <f>ConvertOsiris!L56</f>
        <v>0</v>
      </c>
      <c r="F62" s="11" t="s">
        <v>9</v>
      </c>
      <c r="G62" s="11" t="str">
        <f>ConvertOsiris!M56</f>
        <v>string</v>
      </c>
      <c r="H62" s="26"/>
      <c r="I62" s="12" t="str">
        <f t="shared" si="0"/>
        <v>* Treatment.LineNumber 0..* string ##34#Line Number [C74]##34# ##334#Line of treatment
_x000D_optional##334#</v>
      </c>
    </row>
    <row r="63" spans="1:9" ht="59">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9</v>
      </c>
      <c r="G63" s="11" t="str">
        <f>ConvertOsiris!M57</f>
        <v>string</v>
      </c>
      <c r="H63" s="26"/>
      <c r="I63" s="12" t="str">
        <f t="shared" si="0"/>
        <v>* Treatment.ActivityCode 0..* string ##34#Activity Code [C42]##34# ##334#CCAM code of the medical act
_x000D_ConceptualDomain: CCAM
_x000D_optional##334#</v>
      </c>
    </row>
    <row r="64" spans="1:9" ht="44.2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9</v>
      </c>
      <c r="G64" s="11" t="str">
        <f>ConvertOsiris!M58</f>
        <v>date</v>
      </c>
      <c r="H64" s="26"/>
      <c r="I64" s="12" t="str">
        <f t="shared" si="0"/>
        <v>* Treatment.StartDate 0..* date ##34#Start Date [C43]##34# ##334#Date of treatment start
_x000D_mandatory if ObjectClass is set##334#</v>
      </c>
    </row>
    <row r="65" spans="1:9" ht="44.2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9</v>
      </c>
      <c r="G65" s="11" t="str">
        <f>ConvertOsiris!M59</f>
        <v>date</v>
      </c>
      <c r="H65" s="26"/>
      <c r="I65" s="12" t="str">
        <f t="shared" si="0"/>
        <v>* Treatment.EndDate 0..* date ##34#End Date [C44]##34# ##334#Date of treatment end
_x000D_mandatory if ObjectClass is set##334#</v>
      </c>
    </row>
    <row r="66" spans="1:9" ht="59">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9</v>
      </c>
      <c r="G66" s="11" t="str">
        <f>ConvertOsiris!M60</f>
        <v>string</v>
      </c>
      <c r="H66" s="26"/>
      <c r="I66" s="12" t="str">
        <f t="shared" si="0"/>
        <v>* Treatment.ClinicalTrialContext 0..* string ##34#Clinical Trial Context [C45]##34# ##334#Treatment performed in a clinical study setting
_x000D_ConceptualDomain: OSIRIS:Boolean
_x000D_optional##334#</v>
      </c>
    </row>
    <row r="67" spans="1:9" ht="44.2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9</v>
      </c>
      <c r="G67" s="11" t="str">
        <f>ConvertOsiris!M61</f>
        <v>string</v>
      </c>
      <c r="H67" s="26"/>
      <c r="I67" s="12" t="str">
        <f t="shared" si="0"/>
        <v>* Treatment.ClinicalTrialName 0..* string ##34#Clinical Trial Name [C75]##34# ##334#Name of the clinical study
_x000D_optional, mandatory if ClinicalTrialContext is 'Yes'##334#</v>
      </c>
    </row>
    <row r="68" spans="1:9" ht="44.2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9</v>
      </c>
      <c r="G68" s="11" t="str">
        <f>ConvertOsiris!M62</f>
        <v>string</v>
      </c>
      <c r="H68" s="26"/>
      <c r="I68" s="12" t="str">
        <f t="shared" si="0"/>
        <v>* Treatment.ClinicalTrialId 0..* string ##34#Clinical Trial Id [C76]##34# ##334#NCT identifier of the clinical study
_x000D_optional, mandatory if ClinicalTrialContext is 'Yes'##334#</v>
      </c>
    </row>
    <row r="69" spans="1:9" ht="59">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9</v>
      </c>
      <c r="G69" s="11" t="str">
        <f>ConvertOsiris!M63</f>
        <v>string</v>
      </c>
      <c r="H69" s="26"/>
      <c r="I69" s="12" t="str">
        <f t="shared" si="0"/>
        <v>* Treatment.SurgeryResectionQuality 0..* string ##34#Surgery Resection Quality [C46]##34# ##334#Quality of resection (anapath)
_x000D_ConceptualDomain: OSIRIS:SurgeryResectionQuality
_x000D_optional##334#</v>
      </c>
    </row>
    <row r="70" spans="1:9" ht="44.25">
      <c r="A70" s="11">
        <v>63</v>
      </c>
      <c r="B70" s="11" t="str">
        <f>ConvertOsiris!I64</f>
        <v>Treatment.SurgeryNature</v>
      </c>
      <c r="C70" s="12" t="str">
        <f>ConvertOsiris!J64</f>
        <v>Surgery Nature [C47]</v>
      </c>
      <c r="D70" s="12" t="str">
        <f>ConvertOsiris!K64</f>
        <v>Nature of the surgery
_x000D_optional</v>
      </c>
      <c r="E70" s="12" t="str">
        <f>ConvertOsiris!L64</f>
        <v>0</v>
      </c>
      <c r="F70" s="11" t="s">
        <v>9</v>
      </c>
      <c r="G70" s="11" t="str">
        <f>ConvertOsiris!M64</f>
        <v>string</v>
      </c>
      <c r="H70" s="26"/>
      <c r="I70" s="12" t="str">
        <f t="shared" si="0"/>
        <v>* Treatment.SurgeryNature 0..* string ##34#Surgery Nature [C47]##34# ##334#Nature of the surgery
_x000D_optional##334#</v>
      </c>
    </row>
    <row r="71" spans="1:9" ht="29.5">
      <c r="A71" s="11">
        <v>64</v>
      </c>
      <c r="B71" s="11" t="str">
        <f>ConvertOsiris!I65</f>
        <v>AdverseEvent</v>
      </c>
      <c r="C71" s="12" t="str">
        <f>ConvertOsiris!J65</f>
        <v>AdverseEvent</v>
      </c>
      <c r="D71" s="12" t="str">
        <f>ConvertOsiris!K65</f>
        <v>AdverseEvent</v>
      </c>
      <c r="E71" s="12">
        <f>ConvertOsiris!L65</f>
        <v>0</v>
      </c>
      <c r="F71" s="11" t="s">
        <v>9</v>
      </c>
      <c r="G71" s="11" t="str">
        <f>ConvertOsiris!M65</f>
        <v>BackboneElement</v>
      </c>
      <c r="H71" s="26"/>
      <c r="I71" s="12" t="str">
        <f t="shared" si="0"/>
        <v>* AdverseEvent 0..* BackboneElement ##34#AdverseEvent##34# ##334#AdverseEvent##334#</v>
      </c>
    </row>
    <row r="72" spans="1:9" ht="73.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9</v>
      </c>
      <c r="G72" s="11" t="str">
        <f>ConvertOsiris!M66</f>
        <v>string</v>
      </c>
      <c r="H72" s="26"/>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9</v>
      </c>
      <c r="G73" s="11" t="str">
        <f>ConvertOsiris!M67</f>
        <v>date</v>
      </c>
      <c r="H73" s="26"/>
      <c r="I73" s="12" t="str">
        <f t="shared" si="1"/>
        <v>* AdverseEvent.Date 0..* date ##34#Date [C49]##34# ##334#Date of the diagnosis of the adverse event
_x000D_mandatory if ObjectClass is set##334#</v>
      </c>
    </row>
    <row r="74" spans="1:9" ht="44.2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9</v>
      </c>
      <c r="G74" s="11" t="str">
        <f>ConvertOsiris!M68</f>
        <v>date</v>
      </c>
      <c r="H74" s="26"/>
      <c r="I74" s="12" t="str">
        <f t="shared" si="1"/>
        <v>* AdverseEvent.EndDate 0..* date ##34#End Date [C50]##34# ##334#End date of the adverse event (if known)
_x000D_optional##334#</v>
      </c>
    </row>
    <row r="75" spans="1:9" ht="44.2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9</v>
      </c>
      <c r="G75" s="11" t="str">
        <f>ConvertOsiris!M69</f>
        <v>string</v>
      </c>
      <c r="H75" s="26"/>
      <c r="I75" s="12" t="str">
        <f t="shared" si="1"/>
        <v>* AdverseEvent.Grade 0..* string ##34#Grade [C80]##34# ##334#Grade of the adverse event
_x000D_mandatory if ObjectClass is set##334#</v>
      </c>
    </row>
    <row r="76" spans="1:9">
      <c r="A76" s="11">
        <v>69</v>
      </c>
      <c r="B76" s="11" t="str">
        <f>ConvertOsiris!I70</f>
        <v>Drug</v>
      </c>
      <c r="C76" s="12" t="str">
        <f>ConvertOsiris!J70</f>
        <v>Drug</v>
      </c>
      <c r="D76" s="12" t="str">
        <f>ConvertOsiris!K70</f>
        <v>Drug</v>
      </c>
      <c r="E76" s="12">
        <f>ConvertOsiris!L70</f>
        <v>0</v>
      </c>
      <c r="F76" s="11" t="s">
        <v>9</v>
      </c>
      <c r="G76" s="11" t="str">
        <f>ConvertOsiris!M70</f>
        <v>BackboneElement</v>
      </c>
      <c r="H76" s="26"/>
      <c r="I76" s="12" t="str">
        <f t="shared" si="1"/>
        <v>* Drug 0..* BackboneElement ##34#Drug##34# ##334#Drug##334#</v>
      </c>
    </row>
    <row r="77" spans="1:9" ht="59">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9</v>
      </c>
      <c r="G77" s="11" t="str">
        <f>ConvertOsiris!M71</f>
        <v>string</v>
      </c>
      <c r="H77" s="26"/>
      <c r="I77" s="12" t="str">
        <f t="shared" si="1"/>
        <v>* Drug.Code 0..* string ##34#Code [C51]##34# ##334#Therapeutic classification code (5th level if possible)
_x000D_ConceptualDomain: ATC
_x000D_mandatory if ObjectClass is set##334#</v>
      </c>
    </row>
    <row r="78" spans="1:9" ht="29.5">
      <c r="A78" s="11">
        <v>71</v>
      </c>
      <c r="B78" s="11" t="str">
        <f>ConvertOsiris!I72</f>
        <v>Drug.Name</v>
      </c>
      <c r="C78" s="12" t="str">
        <f>ConvertOsiris!J72</f>
        <v>Name [C52]</v>
      </c>
      <c r="D78" s="12" t="str">
        <f>ConvertOsiris!K72</f>
        <v>Name of the molecule
_x000D_mandatory if ObjectClass is set</v>
      </c>
      <c r="E78" s="12" t="str">
        <f>ConvertOsiris!L72</f>
        <v>0</v>
      </c>
      <c r="F78" s="11" t="s">
        <v>9</v>
      </c>
      <c r="G78" s="11" t="str">
        <f>ConvertOsiris!M72</f>
        <v>string</v>
      </c>
      <c r="H78" s="26"/>
      <c r="I78" s="12" t="str">
        <f t="shared" si="1"/>
        <v>* Drug.Name 0..* string ##34#Name [C52]##34# ##334#Name of the molecule
_x000D_mandatory if ObjectClass is set##334#</v>
      </c>
    </row>
    <row r="79" spans="1:9" ht="29.5">
      <c r="A79" s="11">
        <v>72</v>
      </c>
      <c r="B79" s="11" t="str">
        <f>ConvertOsiris!I73</f>
        <v>BiologicalSample</v>
      </c>
      <c r="C79" s="12" t="str">
        <f>ConvertOsiris!J73</f>
        <v>BiologicalSample</v>
      </c>
      <c r="D79" s="12" t="str">
        <f>ConvertOsiris!K73</f>
        <v>BiologicalSample</v>
      </c>
      <c r="E79" s="12">
        <f>ConvertOsiris!L73</f>
        <v>0</v>
      </c>
      <c r="F79" s="11" t="s">
        <v>9</v>
      </c>
      <c r="G79" s="11" t="str">
        <f>ConvertOsiris!M73</f>
        <v>BackboneElement</v>
      </c>
      <c r="H79" s="26"/>
      <c r="I79" s="12" t="str">
        <f t="shared" si="1"/>
        <v>* BiologicalSample 0..* BackboneElement ##34#BiologicalSample##34# ##334#BiologicalSample##334#</v>
      </c>
    </row>
    <row r="80" spans="1:9" ht="44.2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9</v>
      </c>
      <c r="G80" s="11" t="str">
        <f>ConvertOsiris!M74</f>
        <v>string</v>
      </c>
      <c r="H80" s="26"/>
      <c r="I80" s="12" t="str">
        <f t="shared" si="1"/>
        <v>* BiologicalSample.ExternalAccession 0..* string ##34#Sample External Accession [C53]##34# ##334#Unique identifier of the sample
_x000D_mandatory if ObjectClass is set##334#</v>
      </c>
    </row>
    <row r="81" spans="1:9" ht="59">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9</v>
      </c>
      <c r="G81" s="11" t="str">
        <f>ConvertOsiris!M75</f>
        <v>string</v>
      </c>
      <c r="H81" s="26"/>
      <c r="I81" s="12" t="str">
        <f t="shared" si="1"/>
        <v>* BiologicalSample.ParentExternalAccession 0..* string ##34#Parent sample External Accession [C54]##34# ##334#Unique identifier of the parent sample (if there is one, example histo#)
_x000D_optional##334#</v>
      </c>
    </row>
    <row r="82" spans="1:9" ht="44.2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9</v>
      </c>
      <c r="G82" s="11" t="str">
        <f>ConvertOsiris!M76</f>
        <v>date</v>
      </c>
      <c r="H82" s="26"/>
      <c r="I82" s="12" t="str">
        <f t="shared" si="1"/>
        <v>* BiologicalSample.CollectDate 0..* date ##34#Collect Date [C56]##34# ##334#Date of sampling
_x000D_mandatory if ObjectClass is set##334#</v>
      </c>
    </row>
    <row r="83" spans="1:9" ht="59">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9</v>
      </c>
      <c r="G83" s="11" t="str">
        <f>ConvertOsiris!M77</f>
        <v>string</v>
      </c>
      <c r="H83" s="26"/>
      <c r="I83" s="12" t="str">
        <f t="shared" si="1"/>
        <v>* BiologicalSample.TopographyCode 0..* string ##34#Topography Code [C57]##34# ##334#Code of tumor localization
_x000D_ConceptualDomain: ICDO3:Topography
_x000D_mandatory if ObjectClass is set##334#</v>
      </c>
    </row>
    <row r="84" spans="1:9" ht="59">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9</v>
      </c>
      <c r="G84" s="11" t="str">
        <f>ConvertOsiris!M78</f>
        <v>string</v>
      </c>
      <c r="H84" s="26"/>
      <c r="I84" s="12" t="str">
        <f t="shared" si="1"/>
        <v>* BiologicalSample.Nature 0..* string ##34#Nature [C58]##34# ##334#Nature of the sample
_x000D_ConceptualDomain: OSIRIS:SampleNature
_x000D_mandatory if ObjectClass is set##334#</v>
      </c>
    </row>
    <row r="85" spans="1:9" ht="59">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9</v>
      </c>
      <c r="G85" s="11" t="str">
        <f>ConvertOsiris!M79</f>
        <v>string</v>
      </c>
      <c r="H85" s="26"/>
      <c r="I85" s="12" t="str">
        <f t="shared" si="1"/>
        <v>* BiologicalSample.Origin 0..* string ##34#Origin [C59]##34# ##334#Nature of the original sample (Healthy or Tumoral)
_x000D_ConceptualDomain: OSIRIS:SampleOrigin
_x000D_mandatory if ObjectClass is set##334#</v>
      </c>
    </row>
    <row r="86" spans="1:9" ht="59">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9</v>
      </c>
      <c r="G86" s="11" t="str">
        <f>ConvertOsiris!M80</f>
        <v>string</v>
      </c>
      <c r="H86" s="26"/>
      <c r="I86" s="12" t="str">
        <f t="shared" si="1"/>
        <v>* BiologicalSample.StorageTemperature 0..* string ##34#Storage Temperature [C60]##34# ##334#Mode of preservation
_x000D_ConceptualDomain: OSIRIS:StorageTemperature
_x000D_optional##334#</v>
      </c>
    </row>
    <row r="87" spans="1:9" ht="44.2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9</v>
      </c>
      <c r="G87" s="11" t="str">
        <f>ConvertOsiris!M81</f>
        <v>integer</v>
      </c>
      <c r="H87" s="26"/>
      <c r="I87" s="12" t="str">
        <f t="shared" si="1"/>
        <v>* BiologicalSample.TumorCellularity 0..* integer ##34#Tumor Cellularity [C61]##34# ##334#Percentage of tumor cells quantified in the sample
_x000D_optional##334#</v>
      </c>
    </row>
    <row r="88" spans="1:9" ht="29.5">
      <c r="A88" s="11">
        <v>81</v>
      </c>
      <c r="B88" s="11" t="str">
        <f>ConvertOsiris!I82</f>
        <v>Technology</v>
      </c>
      <c r="C88" s="12" t="str">
        <f>ConvertOsiris!J82</f>
        <v>Technology</v>
      </c>
      <c r="D88" s="12" t="str">
        <f>ConvertOsiris!K82</f>
        <v>Technology</v>
      </c>
      <c r="E88" s="12">
        <f>ConvertOsiris!L82</f>
        <v>1</v>
      </c>
      <c r="F88" s="11" t="s">
        <v>9</v>
      </c>
      <c r="G88" s="11" t="str">
        <f>ConvertOsiris!M82</f>
        <v>BackboneElement</v>
      </c>
      <c r="H88" s="26"/>
      <c r="I88" s="12" t="str">
        <f t="shared" si="1"/>
        <v>* Technology 1..* BackboneElement ##34#Technology##34# ##334#Technology##334#</v>
      </c>
    </row>
    <row r="89" spans="1:9" ht="59">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9</v>
      </c>
      <c r="G89" s="11" t="str">
        <f>ConvertOsiris!M83</f>
        <v>string</v>
      </c>
      <c r="H89" s="26"/>
      <c r="I89" s="12" t="str">
        <f t="shared" si="1"/>
        <v>* Technology.TechnicalProtocol 1..* string ##34#Technical Protocol [O6]##34# ##334#Protocol used for the experiment
_x000D_ConceptualDomain: OSIRIS:TechnicalProtocol
_x000D_mandatory##334#</v>
      </c>
    </row>
    <row r="90" spans="1:9" ht="59">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9</v>
      </c>
      <c r="G90" s="11" t="str">
        <f>ConvertOsiris!M84</f>
        <v>string</v>
      </c>
      <c r="H90" s="26"/>
      <c r="I90" s="12" t="str">
        <f t="shared" si="1"/>
        <v>* Technology.PlatformName 1..* string ##34#Platform Name [O7]##34# ##334#Technological platform name (provider followed by the platform name)
_x000D_ConceptualDomain: OSIRIS:PlatformName
_x000D_mandatory##334#</v>
      </c>
    </row>
    <row r="91" spans="1:9" ht="44.2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9</v>
      </c>
      <c r="G91" s="11" t="str">
        <f>ConvertOsiris!M85</f>
        <v>string</v>
      </c>
      <c r="H91" s="26"/>
      <c r="I91" s="12" t="str">
        <f t="shared" si="1"/>
        <v>* Technology.PlatformAccession 0..* string ##34#Platform Accession [O8]##34# ##334#GEO Identifier of the platform
_x000D_optional##334#</v>
      </c>
    </row>
    <row r="92" spans="1:9" ht="44.2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9</v>
      </c>
      <c r="G92" s="11" t="str">
        <f>ConvertOsiris!M86</f>
        <v>date</v>
      </c>
      <c r="H92" s="26"/>
      <c r="I92" s="12" t="str">
        <f t="shared" si="1"/>
        <v>* Technology.DateOfExperiment 0..* date ##34#Date Of Experiment [O9]##34# ##334#Date when the experiment was performed
_x000D_optional##334#</v>
      </c>
    </row>
    <row r="93" spans="1:9">
      <c r="A93" s="11">
        <v>86</v>
      </c>
      <c r="B93" s="11" t="str">
        <f>ConvertOsiris!I87</f>
        <v>Panel</v>
      </c>
      <c r="C93" s="12" t="str">
        <f>ConvertOsiris!J87</f>
        <v>Panel</v>
      </c>
      <c r="D93" s="12" t="str">
        <f>ConvertOsiris!K87</f>
        <v>Panel</v>
      </c>
      <c r="E93" s="12">
        <f>ConvertOsiris!L87</f>
        <v>0</v>
      </c>
      <c r="F93" s="11" t="s">
        <v>9</v>
      </c>
      <c r="G93" s="11" t="str">
        <f>ConvertOsiris!M87</f>
        <v>BackboneElement</v>
      </c>
      <c r="H93" s="26"/>
      <c r="I93" s="12" t="str">
        <f t="shared" si="1"/>
        <v>* Panel 0..* BackboneElement ##34#Panel##34# ##334#Panel##334#</v>
      </c>
    </row>
    <row r="94" spans="1:9" ht="59">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9</v>
      </c>
      <c r="G94" s="11" t="str">
        <f>ConvertOsiris!M88</f>
        <v>string</v>
      </c>
      <c r="H94" s="26"/>
      <c r="I94" s="12" t="str">
        <f t="shared" si="1"/>
        <v>* Panel.Name 0..* string ##34#Name [O10]##34# ##334#Name of the panel targeted by the experimental analysis (provider followed by the panel name)
_x000D_ConceptualDomain: OSIRIS:PanelName
_x000D_optional##334#</v>
      </c>
    </row>
    <row r="95" spans="1:9" ht="29.5">
      <c r="A95" s="11">
        <v>88</v>
      </c>
      <c r="B95" s="11" t="str">
        <f>ConvertOsiris!I89</f>
        <v>AnalysisProcess</v>
      </c>
      <c r="C95" s="12" t="str">
        <f>ConvertOsiris!J89</f>
        <v>AnalysisProcess</v>
      </c>
      <c r="D95" s="12" t="str">
        <f>ConvertOsiris!K89</f>
        <v>AnalysisProcess</v>
      </c>
      <c r="E95" s="12">
        <f>ConvertOsiris!L89</f>
        <v>1</v>
      </c>
      <c r="F95" s="11" t="s">
        <v>9</v>
      </c>
      <c r="G95" s="11" t="str">
        <f>ConvertOsiris!M89</f>
        <v>BackboneElement</v>
      </c>
      <c r="H95" s="26"/>
      <c r="I95" s="12" t="str">
        <f t="shared" si="1"/>
        <v>* AnalysisProcess 1..* BackboneElement ##34#AnalysisProcess##34# ##334#AnalysisProcess##334#</v>
      </c>
    </row>
    <row r="96" spans="1:9" ht="59">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9</v>
      </c>
      <c r="G96" s="11" t="str">
        <f>ConvertOsiris!M90</f>
        <v>string</v>
      </c>
      <c r="H96" s="26"/>
      <c r="I96" s="12" t="str">
        <f t="shared" si="1"/>
        <v>* AnalysisProcess.AnalyticPipelineCode 1..* string ##34#Analytic Pipeline Code [O11]##34# ##334#Identifier of the pipeline used into the analysis (unique in the center)
_x000D_mandatory##334#</v>
      </c>
    </row>
    <row r="97" spans="1:9" ht="29.5">
      <c r="A97" s="11">
        <v>90</v>
      </c>
      <c r="B97" s="11" t="str">
        <f>ConvertOsiris!I91</f>
        <v>OmicAnalysis</v>
      </c>
      <c r="C97" s="12" t="str">
        <f>ConvertOsiris!J91</f>
        <v>OmicAnalysis</v>
      </c>
      <c r="D97" s="12" t="str">
        <f>ConvertOsiris!K91</f>
        <v>OmicAnalysis</v>
      </c>
      <c r="E97" s="12">
        <f>ConvertOsiris!L91</f>
        <v>0</v>
      </c>
      <c r="F97" s="11" t="s">
        <v>9</v>
      </c>
      <c r="G97" s="11" t="str">
        <f>ConvertOsiris!M91</f>
        <v>BackboneElement</v>
      </c>
      <c r="H97" s="26"/>
      <c r="I97" s="12" t="str">
        <f t="shared" si="1"/>
        <v>* OmicAnalysis 0..* BackboneElement ##34#OmicAnalysis##34# ##334#OmicAnalysis##334#</v>
      </c>
    </row>
    <row r="98" spans="1:9" ht="44.2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9</v>
      </c>
      <c r="G98" s="11" t="str">
        <f>ConvertOsiris!M92</f>
        <v>integer</v>
      </c>
      <c r="H98" s="26"/>
      <c r="I98" s="12" t="str">
        <f t="shared" si="1"/>
        <v>* OmicAnalysis.AlgorithmicCellularity 0..* integer ##34#Algorithmic Cellularity [O12]##34# ##334#Calculated percentage of tumor cells in sample
_x000D_optional##334#</v>
      </c>
    </row>
    <row r="99" spans="1:9" ht="73.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9</v>
      </c>
      <c r="G99" s="11" t="str">
        <f>ConvertOsiris!M93</f>
        <v>string</v>
      </c>
      <c r="H99" s="26"/>
      <c r="I99" s="12" t="str">
        <f t="shared" si="1"/>
        <v>* OmicAnalysis.AlgorithmicPloidy 0..* string ##34#Algorithmic Ploidy [O13]##34# ##334#Calculated number of sets of chromosomes in a cell of the sample
_x000D_ConceptualDomain: OSIRIS:AlgorithmicPloidy
_x000D_optional##334#</v>
      </c>
    </row>
    <row r="100" spans="1:9" ht="59">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9</v>
      </c>
      <c r="G100" s="11" t="str">
        <f>ConvertOsiris!M94</f>
        <v>integer</v>
      </c>
      <c r="H100" s="26"/>
      <c r="I100" s="12" t="str">
        <f t="shared" si="1"/>
        <v>* OmicAnalysis.NumberOfBreakPoints 0..* integer ##34#Number Of Break Points [O14]##34# ##334#Calculated number of break points in genomic profile
_x000D_optional##334#</v>
      </c>
    </row>
    <row r="101" spans="1:9" ht="29.5">
      <c r="A101" s="11">
        <v>94</v>
      </c>
      <c r="B101" s="11" t="str">
        <f>ConvertOsiris!I95</f>
        <v>AlterationOnSample</v>
      </c>
      <c r="C101" s="12" t="str">
        <f>ConvertOsiris!J95</f>
        <v>AlterationOnSample</v>
      </c>
      <c r="D101" s="12" t="str">
        <f>ConvertOsiris!K95</f>
        <v>AlterationOnSample</v>
      </c>
      <c r="E101" s="12">
        <f>ConvertOsiris!L95</f>
        <v>1</v>
      </c>
      <c r="F101" s="11" t="s">
        <v>9</v>
      </c>
      <c r="G101" s="11" t="str">
        <f>ConvertOsiris!M95</f>
        <v>BackboneElement</v>
      </c>
      <c r="H101" s="26"/>
      <c r="I101" s="12" t="str">
        <f t="shared" si="1"/>
        <v>* AlterationOnSample 1..* BackboneElement ##34#AlterationOnSample##34# ##334#AlterationOnSample##334#</v>
      </c>
    </row>
    <row r="102" spans="1:9" ht="73.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9</v>
      </c>
      <c r="G102" s="11" t="str">
        <f>ConvertOsiris!M96</f>
        <v>string</v>
      </c>
      <c r="H102" s="26"/>
      <c r="I102" s="12" t="str">
        <f t="shared" si="1"/>
        <v>* AlterationOnSample.AlterationType 1..* string ##34#Alteration Type [O15]##34# ##334#General type of the detected genetic alteration (high level type)
_x000D_ConceptualDomain: OSIRIS:AlterationType
_x000D_mandatory##334#</v>
      </c>
    </row>
    <row r="103" spans="1:9" ht="73.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9</v>
      </c>
      <c r="G103" s="11" t="str">
        <f>ConvertOsiris!M97</f>
        <v>string</v>
      </c>
      <c r="H103" s="26"/>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9</v>
      </c>
      <c r="G104" s="11" t="str">
        <f>ConvertOsiris!M98</f>
        <v>string</v>
      </c>
      <c r="H104" s="26"/>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9</v>
      </c>
      <c r="G105" s="11" t="str">
        <f>ConvertOsiris!M99</f>
        <v>string</v>
      </c>
      <c r="H105" s="26"/>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c r="A106" s="11">
        <v>99</v>
      </c>
      <c r="B106" s="11" t="str">
        <f>ConvertOsiris!I100</f>
        <v>Validation</v>
      </c>
      <c r="C106" s="12" t="str">
        <f>ConvertOsiris!J100</f>
        <v>Validation</v>
      </c>
      <c r="D106" s="12" t="str">
        <f>ConvertOsiris!K100</f>
        <v>Validation</v>
      </c>
      <c r="E106" s="12">
        <f>ConvertOsiris!L100</f>
        <v>0</v>
      </c>
      <c r="F106" s="11" t="s">
        <v>9</v>
      </c>
      <c r="G106" s="11" t="str">
        <f>ConvertOsiris!M100</f>
        <v>BackboneElement</v>
      </c>
      <c r="H106" s="26"/>
      <c r="I106" s="12" t="str">
        <f t="shared" si="1"/>
        <v>* Validation 0..* BackboneElement ##34#Validation##34# ##334#Validation##334#</v>
      </c>
    </row>
    <row r="107" spans="1:9" ht="59">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9</v>
      </c>
      <c r="G107" s="11" t="str">
        <f>ConvertOsiris!M101</f>
        <v>string</v>
      </c>
      <c r="H107" s="26"/>
      <c r="I107" s="12" t="str">
        <f t="shared" si="1"/>
        <v>* Validation.Type 0..* string ##34#Type [O16]##34# ##334#Type of validation of the detected alteration
_x000D_ConceptualDomain: OSIRIS:ValidationType
_x000D_mandatory if ObjectClass is set##334#</v>
      </c>
    </row>
    <row r="108" spans="1:9" ht="44.2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9</v>
      </c>
      <c r="G108" s="11" t="str">
        <f>ConvertOsiris!M102</f>
        <v>string</v>
      </c>
      <c r="H108" s="26"/>
      <c r="I108" s="12" t="str">
        <f t="shared" si="1"/>
        <v>* Validation.Method 0..* string ##34#Method [O17]##34# ##334#Validation method depending on the type of validation
_x000D_mandatory if ObjectClass is set##334#</v>
      </c>
    </row>
    <row r="109" spans="1:9" ht="59">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9</v>
      </c>
      <c r="G109" s="11" t="str">
        <f>ConvertOsiris!M103</f>
        <v>string</v>
      </c>
      <c r="H109" s="26"/>
      <c r="I109" s="12" t="str">
        <f t="shared" si="1"/>
        <v>* Validation.Status 0..* string ##34#Status [O18]##34# ##334#Validation status of the detected alteration
_x000D_ConceptualDomain: OSIRIS:ValidationStatus
_x000D_mandatory if ObjectClass is set##334#</v>
      </c>
    </row>
    <row r="110" spans="1:9" ht="29.5">
      <c r="A110" s="11">
        <v>103</v>
      </c>
      <c r="B110" s="11" t="str">
        <f>ConvertOsiris!I104</f>
        <v>Alteration</v>
      </c>
      <c r="C110" s="12" t="str">
        <f>ConvertOsiris!J104</f>
        <v>Alteration</v>
      </c>
      <c r="D110" s="12" t="str">
        <f>ConvertOsiris!K104</f>
        <v>Alteration</v>
      </c>
      <c r="E110" s="12">
        <f>ConvertOsiris!L104</f>
        <v>1</v>
      </c>
      <c r="F110" s="11" t="s">
        <v>9</v>
      </c>
      <c r="G110" s="11" t="str">
        <f>ConvertOsiris!M104</f>
        <v>BackboneElement</v>
      </c>
      <c r="H110" s="26"/>
      <c r="I110" s="12" t="str">
        <f t="shared" si="1"/>
        <v>* Alteration 1..* BackboneElement ##34#Alteration##34# ##334#Alteration##334#</v>
      </c>
    </row>
    <row r="111" spans="1:9" ht="59">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9</v>
      </c>
      <c r="G111" s="11" t="str">
        <f>ConvertOsiris!M105</f>
        <v>string</v>
      </c>
      <c r="H111" s="26"/>
      <c r="I111" s="12" t="str">
        <f t="shared" si="1"/>
        <v>* Alteration.Chromosome 1..* string ##34#Chromosome [O19]##34# ##334#Chromosome containing the genetic finding
_x000D_ConceptualDomain: OSIRIS:Chromosome
_x000D_mandatory##334#</v>
      </c>
    </row>
    <row r="112" spans="1:9" ht="59">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9</v>
      </c>
      <c r="G112" s="11" t="str">
        <f>ConvertOsiris!M106</f>
        <v>integer</v>
      </c>
      <c r="H112" s="26"/>
      <c r="I112" s="12" t="str">
        <f t="shared" si="1"/>
        <v>* Alteration.GenomicStart 1..* integer ##34#Genomic Start [O20]##34# ##334#Nucleotide location for start of genomic finding on the positive (+) genomics strand, 1-based
_x000D_mandatory##334#</v>
      </c>
    </row>
    <row r="113" spans="1:9" ht="59">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9</v>
      </c>
      <c r="G113" s="11" t="str">
        <f>ConvertOsiris!M107</f>
        <v>integer</v>
      </c>
      <c r="H113" s="26"/>
      <c r="I113" s="12" t="str">
        <f t="shared" si="1"/>
        <v>* Alteration.GenomicStop 1..* integer ##34#Genomic Stop [O21]##34# ##334#Nucleotide location for end of genomic finding on the positive (+) genomic strand, 1-based
_x000D_mandatory##334#</v>
      </c>
    </row>
    <row r="114" spans="1:9" ht="59">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9</v>
      </c>
      <c r="G114" s="11" t="str">
        <f>ConvertOsiris!M108</f>
        <v>string</v>
      </c>
      <c r="H114" s="26"/>
      <c r="I114" s="12" t="str">
        <f t="shared" si="1"/>
        <v>* Alteration.GenomeBuild 1..* string ##34#Genome Build [O22]##34# ##334#Genome Build used for reference
_x000D_ConceptualDomain: FHIR:Sequence
_x000D_mandatory##334#</v>
      </c>
    </row>
    <row r="115" spans="1:9" ht="44.25">
      <c r="A115" s="11">
        <v>108</v>
      </c>
      <c r="B115" s="11" t="str">
        <f>ConvertOsiris!I109</f>
        <v>Alteration.Cytoband</v>
      </c>
      <c r="C115" s="12" t="str">
        <f>ConvertOsiris!J109</f>
        <v>Cytoband [O23]</v>
      </c>
      <c r="D115" s="12" t="str">
        <f>ConvertOsiris!K109</f>
        <v>Cytogenetic location
_x000D_optional</v>
      </c>
      <c r="E115" s="12" t="str">
        <f>ConvertOsiris!L109</f>
        <v>0</v>
      </c>
      <c r="F115" s="11" t="s">
        <v>9</v>
      </c>
      <c r="G115" s="11" t="str">
        <f>ConvertOsiris!M109</f>
        <v>string</v>
      </c>
      <c r="H115" s="26"/>
      <c r="I115" s="12" t="str">
        <f t="shared" si="1"/>
        <v>* Alteration.Cytoband 0..* string ##34#Cytoband [O23]##34# ##334#Cytogenetic location
_x000D_optional##334#</v>
      </c>
    </row>
    <row r="116" spans="1:9" ht="29.5">
      <c r="A116" s="11">
        <v>109</v>
      </c>
      <c r="B116" s="11" t="str">
        <f>ConvertOsiris!I110</f>
        <v>GenomeEntity</v>
      </c>
      <c r="C116" s="12" t="str">
        <f>ConvertOsiris!J110</f>
        <v>GenomeEntity</v>
      </c>
      <c r="D116" s="12" t="str">
        <f>ConvertOsiris!K110</f>
        <v>GenomeEntity</v>
      </c>
      <c r="E116" s="12">
        <f>ConvertOsiris!L110</f>
        <v>1</v>
      </c>
      <c r="F116" s="11" t="s">
        <v>9</v>
      </c>
      <c r="G116" s="11" t="str">
        <f>ConvertOsiris!M110</f>
        <v>BackboneElement</v>
      </c>
      <c r="H116" s="26"/>
      <c r="I116" s="12" t="str">
        <f t="shared" si="1"/>
        <v>* GenomeEntity 1..* BackboneElement ##34#GenomeEntity##34# ##334#GenomeEntity##334#</v>
      </c>
    </row>
    <row r="117" spans="1:9" ht="59">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9</v>
      </c>
      <c r="G117" s="11" t="str">
        <f>ConvertOsiris!M111</f>
        <v>string</v>
      </c>
      <c r="H117" s="26"/>
      <c r="I117" s="12" t="str">
        <f t="shared" si="1"/>
        <v>* GenomeEntity.Type 1..* string ##34#Type [O24]##34# ##334#Type of the genome entity. For eg: gene, mRNA, ncRNA...
_x000D_ConceptualDomain: OSIRIS:GenomeEntityType
_x000D_mandatory##334#</v>
      </c>
    </row>
    <row r="118" spans="1:9" ht="59">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9</v>
      </c>
      <c r="G118" s="11" t="str">
        <f>ConvertOsiris!M112</f>
        <v>string</v>
      </c>
      <c r="H118" s="26"/>
      <c r="I118" s="12" t="str">
        <f t="shared" si="1"/>
        <v>* GenomeEntity.Database 1..* string ##34#Database [O25]##34# ##334#Database of the genome entity
_x000D_ConceptualDomain: OSIRIS:GenomeEntityDatabase
_x000D_mandatory##334#</v>
      </c>
    </row>
    <row r="119" spans="1:9" ht="44.2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9</v>
      </c>
      <c r="G119" s="11" t="str">
        <f>ConvertOsiris!M113</f>
        <v>string</v>
      </c>
      <c r="H119" s="26"/>
      <c r="I119" s="12" t="str">
        <f t="shared" si="1"/>
        <v>* GenomeEntity.Id 1..* string ##34#Id [O26]##34# ##334#Identifier of the genome entity in the genome entity database
_x000D_mandatory##334#</v>
      </c>
    </row>
    <row r="120" spans="1:9" ht="44.25">
      <c r="A120" s="11">
        <v>113</v>
      </c>
      <c r="B120" s="11" t="str">
        <f>ConvertOsiris!I114</f>
        <v>GenomeEntity.Symbol</v>
      </c>
      <c r="C120" s="12" t="str">
        <f>ConvertOsiris!J114</f>
        <v>Symbol [O27]</v>
      </c>
      <c r="D120" s="12" t="str">
        <f>ConvertOsiris!K114</f>
        <v>Hugo gene symbol
_x000D_mandatory if Gene</v>
      </c>
      <c r="E120" s="12" t="str">
        <f>ConvertOsiris!L114</f>
        <v>0</v>
      </c>
      <c r="F120" s="11" t="s">
        <v>9</v>
      </c>
      <c r="G120" s="11" t="str">
        <f>ConvertOsiris!M114</f>
        <v>string</v>
      </c>
      <c r="H120" s="26"/>
      <c r="I120" s="12" t="str">
        <f t="shared" si="1"/>
        <v>* GenomeEntity.Symbol 0..* string ##34#Symbol [O27]##34# ##334#Hugo gene symbol
_x000D_mandatory if Gene##334#</v>
      </c>
    </row>
    <row r="121" spans="1:9">
      <c r="A121" s="11">
        <v>114</v>
      </c>
      <c r="B121" s="11" t="str">
        <f>ConvertOsiris!I115</f>
        <v>Fusion</v>
      </c>
      <c r="C121" s="12" t="str">
        <f>ConvertOsiris!J115</f>
        <v>Fusion</v>
      </c>
      <c r="D121" s="12" t="str">
        <f>ConvertOsiris!K115</f>
        <v>Fusion</v>
      </c>
      <c r="E121" s="12">
        <f>ConvertOsiris!L115</f>
        <v>1</v>
      </c>
      <c r="F121" s="11" t="s">
        <v>9</v>
      </c>
      <c r="G121" s="11" t="str">
        <f>ConvertOsiris!M115</f>
        <v>BackboneElement</v>
      </c>
      <c r="H121" s="26"/>
      <c r="I121" s="12" t="str">
        <f t="shared" si="1"/>
        <v>* Fusion 1..* BackboneElement ##34#Fusion##34# ##334#Fusion##334#</v>
      </c>
    </row>
    <row r="122" spans="1:9" ht="59">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9</v>
      </c>
      <c r="G122" s="11" t="str">
        <f>ConvertOsiris!M116</f>
        <v>string</v>
      </c>
      <c r="H122" s="26"/>
      <c r="I122" s="12" t="str">
        <f t="shared" si="1"/>
        <v>* Fusion.Type 0..* string ##34#Type [O28]##34# ##334#Type of the fusion event. For eg: translocation, readthrough
_x000D_ConceptualDomain: OSIRIS:FusionType
_x000D_optional##334#</v>
      </c>
    </row>
    <row r="123" spans="1:9" ht="44.2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9</v>
      </c>
      <c r="G123" s="11" t="str">
        <f>ConvertOsiris!M117</f>
        <v>integer</v>
      </c>
      <c r="H123" s="26"/>
      <c r="I123" s="12" t="str">
        <f t="shared" si="1"/>
        <v>* Fusion.Point5prime 1..* integer ##34#Point 5 prime [O35]##34# ##334#Position of the fusion point on the 5 prime partner
_x000D_mandatory##334#</v>
      </c>
    </row>
    <row r="124" spans="1:9" ht="59">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9</v>
      </c>
      <c r="G124" s="11" t="str">
        <f>ConvertOsiris!M118</f>
        <v>string</v>
      </c>
      <c r="H124" s="26"/>
      <c r="I124" s="12" t="str">
        <f t="shared" si="1"/>
        <v>* Fusion.Chromosome5prime 1..* string ##34#Chromosome 5 prime [O97]##34# ##334#Chromosome 5 prime
_x000D_ConceptualDomain: OSIRIS:Chromosome
_x000D_mandatory##334#</v>
      </c>
    </row>
    <row r="125" spans="1:9" ht="44.2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9</v>
      </c>
      <c r="G125" s="11" t="str">
        <f>ConvertOsiris!M119</f>
        <v>integer</v>
      </c>
      <c r="H125" s="26"/>
      <c r="I125" s="12" t="str">
        <f t="shared" si="1"/>
        <v>* Fusion.Point3prime 1..* integer ##34#Point 3 prime [O40]##34# ##334#Position of the fusion point on the 3 prime partner
_x000D_mandatory##334#</v>
      </c>
    </row>
    <row r="126" spans="1:9" ht="59">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9</v>
      </c>
      <c r="G126" s="11" t="str">
        <f>ConvertOsiris!M120</f>
        <v>string</v>
      </c>
      <c r="H126" s="26"/>
      <c r="I126" s="12" t="str">
        <f t="shared" si="1"/>
        <v>* Fusion.Chromosome3prime 1..* string ##34#Chromosome 3 prime [O98]##34# ##334#Chromosome 3 prime
_x000D_ConceptualDomain: OSIRIS:Chromosome
_x000D_mandatory##334#</v>
      </c>
    </row>
    <row r="127" spans="1:9" ht="59">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9</v>
      </c>
      <c r="G127" s="11" t="str">
        <f>ConvertOsiris!M121</f>
        <v>string</v>
      </c>
      <c r="H127" s="26"/>
      <c r="I127" s="12" t="str">
        <f t="shared" si="1"/>
        <v>* Fusion.InFrame 0..* string ##34#In Frame [O41]##34# ##334#Specify whether the fusion is in frame
_x000D_ConceptualDomain: OSIRIS:Boolean
_x000D_optional##334#</v>
      </c>
    </row>
    <row r="128" spans="1:9" ht="44.2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9</v>
      </c>
      <c r="G128" s="11" t="str">
        <f>ConvertOsiris!M122</f>
        <v>integer</v>
      </c>
      <c r="H128" s="26"/>
      <c r="I128" s="12" t="str">
        <f t="shared" si="1"/>
        <v>* Fusion.NbSpanningPair 1..* integer ##34#Nb Spanning Pair [O44]##34# ##334#Number of reads pairs spanning the fusion
_x000D_mandatory##334#</v>
      </c>
    </row>
    <row r="129" spans="1:9" ht="44.2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9</v>
      </c>
      <c r="G129" s="11" t="str">
        <f>ConvertOsiris!M123</f>
        <v>integer</v>
      </c>
      <c r="H129" s="26"/>
      <c r="I129" s="12" t="str">
        <f t="shared" si="1"/>
        <v>* Fusion.NbSplitReads 0..* integer ##34#Nb Split Reads [O46]##34# ##334#Number of reads containing the fusion point
_x000D_optional##334#</v>
      </c>
    </row>
    <row r="130" spans="1:9">
      <c r="A130" s="11">
        <v>123</v>
      </c>
      <c r="B130" s="11" t="str">
        <f>ConvertOsiris!I124</f>
        <v>CNV</v>
      </c>
      <c r="C130" s="12" t="str">
        <f>ConvertOsiris!J124</f>
        <v>CNV</v>
      </c>
      <c r="D130" s="12" t="str">
        <f>ConvertOsiris!K124</f>
        <v>CNV</v>
      </c>
      <c r="E130" s="12">
        <f>ConvertOsiris!L124</f>
        <v>1</v>
      </c>
      <c r="F130" s="11" t="s">
        <v>9</v>
      </c>
      <c r="G130" s="11" t="str">
        <f>ConvertOsiris!M124</f>
        <v>BackboneElement</v>
      </c>
      <c r="H130" s="26"/>
      <c r="I130" s="12" t="str">
        <f t="shared" si="1"/>
        <v>* CNV 1..* BackboneElement ##34#CNV##34# ##334#CNV##334#</v>
      </c>
    </row>
    <row r="131" spans="1:9" ht="44.2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9</v>
      </c>
      <c r="G131" s="11" t="str">
        <f>ConvertOsiris!M125</f>
        <v>decimal</v>
      </c>
      <c r="H131" s="26"/>
      <c r="I131" s="12" t="str">
        <f t="shared" si="1"/>
        <v>* CNV.SegmentIntensity 1..* decimal ##34#Segment Intensity [O47]##34# ##334#Intensity of the measured signal
_x000D_mandatory##334#</v>
      </c>
    </row>
    <row r="132" spans="1:9" ht="59">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9</v>
      </c>
      <c r="G132" s="11" t="str">
        <f>ConvertOsiris!M126</f>
        <v>string</v>
      </c>
      <c r="H132" s="26"/>
      <c r="I132" s="12" t="str">
        <f t="shared" si="1"/>
        <v>* CNV.SegmentGenomicStatus 1..* string ##34#Segment Genomic Status [O49]##34# ##334#Copy number status
_x000D_ConceptualDomain: OSIRIS:SegmentGenomicStatus
_x000D_mandatory##334#</v>
      </c>
    </row>
    <row r="133" spans="1:9" ht="44.25">
      <c r="A133" s="11">
        <v>126</v>
      </c>
      <c r="B133" s="11" t="str">
        <f>ConvertOsiris!I127</f>
        <v>CNV.CopyNumber</v>
      </c>
      <c r="C133" s="12" t="str">
        <f>ConvertOsiris!J127</f>
        <v>Copy Number [O50]</v>
      </c>
      <c r="D133" s="12" t="str">
        <f>ConvertOsiris!K127</f>
        <v>Estimated DNA copy number
_x000D_optional</v>
      </c>
      <c r="E133" s="12" t="str">
        <f>ConvertOsiris!L127</f>
        <v>0</v>
      </c>
      <c r="F133" s="11" t="s">
        <v>9</v>
      </c>
      <c r="G133" s="11" t="str">
        <f>ConvertOsiris!M127</f>
        <v>integer</v>
      </c>
      <c r="H133" s="26"/>
      <c r="I133" s="12" t="str">
        <f t="shared" si="1"/>
        <v>* CNV.CopyNumber 0..* integer ##34#Copy Number [O50]##34# ##334#Estimated DNA copy number
_x000D_optional##334#</v>
      </c>
    </row>
    <row r="134" spans="1:9" ht="73.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9</v>
      </c>
      <c r="G134" s="11" t="str">
        <f>ConvertOsiris!M128</f>
        <v>string</v>
      </c>
      <c r="H134" s="26"/>
      <c r="I134" s="12" t="str">
        <f t="shared" si="1"/>
        <v>* CNV.LOH 0..* string ##34#LOH [O51]##34# ##334#Is the segment located in a region of loss of heterozygosity ? (can be independant from copy number information
_x000D_ConceptualDomain: OSIRIS:Boolean
_x000D_optional##334#</v>
      </c>
    </row>
    <row r="135" spans="1:9" ht="44.25">
      <c r="A135" s="11">
        <v>128</v>
      </c>
      <c r="B135" s="11" t="str">
        <f>ConvertOsiris!I129</f>
        <v>CNV.SegmentSize</v>
      </c>
      <c r="C135" s="12" t="str">
        <f>ConvertOsiris!J129</f>
        <v>SegmentSize []</v>
      </c>
      <c r="D135" s="12" t="str">
        <f>ConvertOsiris!K129</f>
        <v>SegmentSize
_x000D_optional</v>
      </c>
      <c r="E135" s="12" t="str">
        <f>ConvertOsiris!L129</f>
        <v>0</v>
      </c>
      <c r="F135" s="11" t="s">
        <v>9</v>
      </c>
      <c r="G135" s="11" t="str">
        <f>ConvertOsiris!M129</f>
        <v>integer</v>
      </c>
      <c r="H135" s="26"/>
      <c r="I135" s="12" t="str">
        <f t="shared" si="1"/>
        <v>* CNV.SegmentSize 0..* integer ##34#SegmentSize []##34# ##334#SegmentSize
_x000D_optional##334#</v>
      </c>
    </row>
    <row r="136" spans="1:9">
      <c r="A136" s="11">
        <v>129</v>
      </c>
      <c r="B136" s="11" t="str">
        <f>ConvertOsiris!I130</f>
        <v>Variant</v>
      </c>
      <c r="C136" s="12" t="str">
        <f>ConvertOsiris!J130</f>
        <v>Variant</v>
      </c>
      <c r="D136" s="12" t="str">
        <f>ConvertOsiris!K130</f>
        <v>Variant</v>
      </c>
      <c r="E136" s="12">
        <f>ConvertOsiris!L130</f>
        <v>1</v>
      </c>
      <c r="F136" s="11" t="s">
        <v>9</v>
      </c>
      <c r="G136" s="11" t="str">
        <f>ConvertOsiris!M130</f>
        <v>BackboneElement</v>
      </c>
      <c r="H136" s="26"/>
      <c r="I136" s="12" t="str">
        <f t="shared" ref="I136:I199" si="2">IF(B136=0,"//---- END",CONCATENATE("* ",B136, " ",E136,"..",F136," ",G136," ##34#",C136,"##34# ##334#",D136,"##334#"))</f>
        <v>* Variant 1..* BackboneElement ##34#Variant##34# ##334#Variant##334#</v>
      </c>
    </row>
    <row r="137" spans="1:9" ht="59">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9</v>
      </c>
      <c r="G137" s="11" t="str">
        <f>ConvertOsiris!M131</f>
        <v>string</v>
      </c>
      <c r="H137" s="26"/>
      <c r="I137" s="12" t="str">
        <f t="shared" si="2"/>
        <v>* Variant.ReferenceAllele 1..* string ##34#Reference Allele [O53]##34# ##334#Plus strand reference allele at this position. Include the sequence deleted for a deletion, or '-' for an insertion.
_x000D_mandatory##334#</v>
      </c>
    </row>
    <row r="138" spans="1:9" ht="59">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9</v>
      </c>
      <c r="G138" s="11" t="str">
        <f>ConvertOsiris!M132</f>
        <v>string</v>
      </c>
      <c r="H138" s="26"/>
      <c r="I138" s="12" t="str">
        <f t="shared" si="2"/>
        <v>* Variant.AlternativeAllele 1..* string ##34#Alternative Allele [O54]##34# ##334#Plus strand observed alternative allele at this position. Include the sequence inserted for a insertion, or '-' for a deletion.
_x000D_mandatory##334#</v>
      </c>
    </row>
    <row r="139" spans="1:9" ht="59">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9</v>
      </c>
      <c r="G139" s="11" t="str">
        <f>ConvertOsiris!M133</f>
        <v>string</v>
      </c>
      <c r="H139" s="26"/>
      <c r="I139" s="12" t="str">
        <f t="shared" si="2"/>
        <v>* Variant.DNASequenceVariationType 1..* string ##34#DNA Sequence Variation Type [O55]##34# ##334#Codified type of the DNA sequence variation
_x000D_ConceptualDomain: LOINC:48019-4
_x000D_mandatory##334#</v>
      </c>
    </row>
    <row r="140" spans="1:9" ht="29.5">
      <c r="A140" s="11">
        <v>133</v>
      </c>
      <c r="B140" s="11" t="str">
        <f>ConvertOsiris!I134</f>
        <v>Annotation</v>
      </c>
      <c r="C140" s="12" t="str">
        <f>ConvertOsiris!J134</f>
        <v>Annotation</v>
      </c>
      <c r="D140" s="12" t="str">
        <f>ConvertOsiris!K134</f>
        <v>Annotation</v>
      </c>
      <c r="E140" s="12">
        <f>ConvertOsiris!L134</f>
        <v>0</v>
      </c>
      <c r="F140" s="11" t="s">
        <v>9</v>
      </c>
      <c r="G140" s="11" t="str">
        <f>ConvertOsiris!M134</f>
        <v>BackboneElement</v>
      </c>
      <c r="H140" s="26"/>
      <c r="I140" s="12" t="str">
        <f t="shared" si="2"/>
        <v>* Annotation 0..* BackboneElement ##34#Annotation##34# ##334#Annotation##334#</v>
      </c>
    </row>
    <row r="141" spans="1:9" ht="59">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9</v>
      </c>
      <c r="G141" s="11" t="str">
        <f>ConvertOsiris!M135</f>
        <v>string</v>
      </c>
      <c r="H141" s="26"/>
      <c r="I141" s="12" t="str">
        <f t="shared" si="2"/>
        <v>* Annotation.ReferenceType 0..* string ##34#Reference Type [O90]##34# ##334#Reference Type
_x000D_ConceptualDomain: OSIRIS:Annotation_ReferenceType
_x000D_mandatory if DNASequenceVariation is set##334#</v>
      </c>
    </row>
    <row r="142" spans="1:9" ht="59">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9</v>
      </c>
      <c r="G142" s="11" t="str">
        <f>ConvertOsiris!M136</f>
        <v>string</v>
      </c>
      <c r="H142" s="26"/>
      <c r="I142" s="12" t="str">
        <f t="shared" si="2"/>
        <v>* Annotation.ReferenceDatabase 0..* string ##34#Reference Database [O91]##34# ##334#Reference Database
_x000D_ConceptualDomain: OSIRIS:Annotation_ReferenceDatabase
_x000D_mandatory if DNASequenceVariation is set##334#</v>
      </c>
    </row>
    <row r="143" spans="1:9" ht="44.2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9</v>
      </c>
      <c r="G143" s="11" t="str">
        <f>ConvertOsiris!M137</f>
        <v>string</v>
      </c>
      <c r="H143" s="26"/>
      <c r="I143" s="12" t="str">
        <f t="shared" si="2"/>
        <v>* Annotation.ReferenceValue 0..* string ##34#Reference Value [O92]##34# ##334#Reference Value
_x000D_optional##334#</v>
      </c>
    </row>
    <row r="144" spans="1:9" ht="73.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9</v>
      </c>
      <c r="G144" s="11" t="str">
        <f>ConvertOsiris!M138</f>
        <v>string</v>
      </c>
      <c r="H144" s="26"/>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9</v>
      </c>
      <c r="G145" s="11" t="str">
        <f>ConvertOsiris!M139</f>
        <v>string</v>
      </c>
      <c r="H145" s="26"/>
      <c r="I145" s="12" t="str">
        <f t="shared" si="2"/>
        <v>* Annotation.MutationPredictionValue 0..* string ##34#Mutation Prediction Value [O64]##34# ##334#Prediction of the variation effect over the protein
_x000D_optional##334#</v>
      </c>
    </row>
    <row r="146" spans="1:9" ht="59">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9</v>
      </c>
      <c r="G146" s="11" t="str">
        <f>ConvertOsiris!M140</f>
        <v>decimal</v>
      </c>
      <c r="H146" s="26"/>
      <c r="I146" s="12" t="str">
        <f t="shared" si="2"/>
        <v>* Annotation.MutationPredictionScore 0..* decimal ##34#Mutation Prediction Score [O65]##34# ##334#Level of confidence of the prediction of the variation effect over the protein
_x000D_optional##334#</v>
      </c>
    </row>
    <row r="147" spans="1:9" ht="44.2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9</v>
      </c>
      <c r="G147" s="11" t="str">
        <f>ConvertOsiris!M141</f>
        <v>string</v>
      </c>
      <c r="H147" s="26"/>
      <c r="I147" s="12" t="str">
        <f t="shared" si="2"/>
        <v>* Annotation.PfamDomain 0..* string ##34#Pfam Domain [O58]##34# ##334#Pfams domains related to alteration position
_x000D_optional##334#</v>
      </c>
    </row>
    <row r="148" spans="1:9" ht="44.2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9</v>
      </c>
      <c r="G148" s="11" t="str">
        <f>ConvertOsiris!M142</f>
        <v>string</v>
      </c>
      <c r="H148" s="26"/>
      <c r="I148" s="12" t="str">
        <f t="shared" si="2"/>
        <v>* Annotation.PfamId 0..* string ##34#Pfam Id [O59]##34# ##334#Identifier of Pfams domains related to alteration position
_x000D_optional##334#</v>
      </c>
    </row>
    <row r="149" spans="1:9" ht="59">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9</v>
      </c>
      <c r="G149" s="11" t="str">
        <f>ConvertOsiris!M143</f>
        <v>string</v>
      </c>
      <c r="H149" s="26"/>
      <c r="I149" s="12" t="str">
        <f t="shared" si="2"/>
        <v>* Annotation.DNARegionName 0..* string ##34#DNA Region Name [O66]##34# ##334#Human readable name for the region of interest related to the transcript (eg: exon1, intron1, UTR3')
_x000D_optional##334#</v>
      </c>
    </row>
    <row r="150" spans="1:9" ht="44.2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9</v>
      </c>
      <c r="G150" s="11" t="str">
        <f>ConvertOsiris!M144</f>
        <v>string</v>
      </c>
      <c r="H150" s="26"/>
      <c r="I150" s="12" t="str">
        <f t="shared" si="2"/>
        <v>* Annotation.DNASequenceVariation 1..* string ##34#DNA Sequence Variation [O71]##34# ##334#HGVS nomenclature on the chosen transcript
_x000D_mandatory##334#</v>
      </c>
    </row>
    <row r="151" spans="1:9" ht="44.2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9</v>
      </c>
      <c r="G151" s="11" t="str">
        <f>ConvertOsiris!M145</f>
        <v>string</v>
      </c>
      <c r="H151" s="26"/>
      <c r="I151" s="12" t="str">
        <f t="shared" si="2"/>
        <v>* Annotation.AminoAcidChange 0..* string ##34#Amino Acid Change [O72]##34# ##334#HGVS nomenclature on the chosen protein transcript
_x000D_optional##334#</v>
      </c>
    </row>
    <row r="152" spans="1:9" ht="59">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9</v>
      </c>
      <c r="G152" s="11" t="str">
        <f>ConvertOsiris!M146</f>
        <v>string</v>
      </c>
      <c r="H152" s="26"/>
      <c r="I152" s="12" t="str">
        <f t="shared" si="2"/>
        <v>* Annotation.GenomicSequenceVariation 0..* string ##34#Genomic Sequence Variation [O73]##34# ##334#HGVS nomenclature on the given GenomeReferenceSequenceId.
_x000D_optional##334#</v>
      </c>
    </row>
    <row r="153" spans="1:9" ht="59">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9</v>
      </c>
      <c r="G153" s="11" t="str">
        <f>ConvertOsiris!M147</f>
        <v>string</v>
      </c>
      <c r="H153" s="26"/>
      <c r="I153" s="12" t="str">
        <f t="shared" si="2"/>
        <v>* Annotation.RNASequenceVariation 0..* string ##34#RNA Sequence Variation [O74]##34# ##334#HGVS nomenclature on the given TranscriptReferenceSequenceId and experimentely observed on RNA.
_x000D_optional##334#</v>
      </c>
    </row>
    <row r="154" spans="1:9" ht="59">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9</v>
      </c>
      <c r="G154" s="11" t="str">
        <f>ConvertOsiris!M148</f>
        <v>string</v>
      </c>
      <c r="H154" s="26"/>
      <c r="I154" s="12" t="str">
        <f t="shared" si="2"/>
        <v>* Annotation.AminoAcidChangeType 0..* string ##34#Amino Acid Change Type [O75]##34# ##334#nomenclature of changes at protein-level
_x000D_ConceptualDomain: OSIRIS:AminoAcidChangeType
_x000D_optional##334#</v>
      </c>
    </row>
    <row r="155" spans="1:9" ht="59">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9</v>
      </c>
      <c r="G155" s="11" t="str">
        <f>ConvertOsiris!M149</f>
        <v>string</v>
      </c>
      <c r="H155" s="26"/>
      <c r="I155" s="12" t="str">
        <f t="shared" si="2"/>
        <v>* Annotation.FusionPrimeEnd 0..* string ##34#Fusion Prime End [O93]##34# ##334#Prime end of the fusion partner
_x000D_ConceptualDomain: OSIRIS:Annotation_FusionPrimeEnd
_x000D_optional##334#</v>
      </c>
    </row>
    <row r="156" spans="1:9" ht="44.2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9</v>
      </c>
      <c r="G156" s="11" t="str">
        <f>ConvertOsiris!M150</f>
        <v>string</v>
      </c>
      <c r="H156" s="26"/>
      <c r="I156" s="12" t="str">
        <f t="shared" si="2"/>
        <v>* Annotation.Strand 0..* string ##34#Strand [O94]##34# ##334#Strand
_x000D_ConceptualDomain: OSIRIS:Strand
_x000D_optional##334#</v>
      </c>
    </row>
    <row r="157" spans="1:9" ht="59">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9</v>
      </c>
      <c r="G157" s="11" t="str">
        <f>ConvertOsiris!M151</f>
        <v>string</v>
      </c>
      <c r="H157" s="26"/>
      <c r="I157" s="12" t="str">
        <f t="shared" si="2"/>
        <v>* Annotation.OnSplicingSite 0..* string ##34#OnSplicingSite [O95]##34# ##334#Indicate wether the variant is on a splicing site
_x000D_ConceptualDomain: OSIRIS:Boolean
_x000D_optional##334#</v>
      </c>
    </row>
    <row r="158" spans="1:9" ht="29.5">
      <c r="A158" s="11">
        <v>151</v>
      </c>
      <c r="B158" s="11" t="str">
        <f>ConvertOsiris!I152</f>
        <v>VariantInSample</v>
      </c>
      <c r="C158" s="12" t="str">
        <f>ConvertOsiris!J152</f>
        <v>VariantInSample</v>
      </c>
      <c r="D158" s="12" t="str">
        <f>ConvertOsiris!K152</f>
        <v>VariantInSample</v>
      </c>
      <c r="E158" s="12">
        <f>ConvertOsiris!L152</f>
        <v>1</v>
      </c>
      <c r="F158" s="11" t="s">
        <v>9</v>
      </c>
      <c r="G158" s="11" t="str">
        <f>ConvertOsiris!M152</f>
        <v>BackboneElement</v>
      </c>
      <c r="H158" s="26"/>
      <c r="I158" s="12" t="str">
        <f t="shared" si="2"/>
        <v>* VariantInSample 1..* BackboneElement ##34#VariantInSample##34# ##334#VariantInSample##334#</v>
      </c>
    </row>
    <row r="159" spans="1:9" ht="59">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9</v>
      </c>
      <c r="G159" s="11" t="str">
        <f>ConvertOsiris!M153</f>
        <v>integer</v>
      </c>
      <c r="H159" s="26"/>
      <c r="I159" s="12" t="str">
        <f t="shared" si="2"/>
        <v>* VariantInSample.PositionReadDepth 1..* integer ##34#Position Read Depth [O76]##34# ##334#Total sequencing depth at the variant position observed in the specimen
_x000D_mandatory##334#</v>
      </c>
    </row>
    <row r="160" spans="1:9" ht="59">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9</v>
      </c>
      <c r="G160" s="11" t="str">
        <f>ConvertOsiris!M154</f>
        <v>integer</v>
      </c>
      <c r="H160" s="26"/>
      <c r="I160" s="12" t="str">
        <f t="shared" si="2"/>
        <v>* VariantInSample.VariantReadDepth 1..* integer ##34#Variant Read Depth [O77]##34# ##334#Sequencing depth of the alternative allele at the variant position observed in the specimen
_x000D_mandatory##334#</v>
      </c>
    </row>
    <row r="161" spans="1:9" ht="59">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9</v>
      </c>
      <c r="G161" s="11" t="str">
        <f>ConvertOsiris!M155</f>
        <v>string</v>
      </c>
      <c r="H161" s="26"/>
      <c r="I161" s="12" t="str">
        <f t="shared" si="2"/>
        <v>* VariantInSample.StrandBias 0..* string ##34#Strand Bias [O78]##34# ##334#Indication of the existence of strand bias at the variant position
_x000D_ConceptualDomain: OSIRIS:Boolean
_x000D_optional##334#</v>
      </c>
    </row>
    <row r="162" spans="1:9" ht="73.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9</v>
      </c>
      <c r="G162" s="11" t="str">
        <f>ConvertOsiris!M156</f>
        <v>string</v>
      </c>
      <c r="H162" s="26"/>
      <c r="I162" s="12" t="str">
        <f t="shared" si="2"/>
        <v>* VariantInSample.GenomicSourceClass 1..* string ##34#Genomic Source Class [O79]##34# ##334#Genomic class of the variant (eg: germline, somatic, and prenatal)
_x000D_ConceptualDomain: LOINC:LL378-1
_x000D_mandatory##334#</v>
      </c>
    </row>
    <row r="163" spans="1:9" ht="59">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9</v>
      </c>
      <c r="G163" s="11" t="str">
        <f>ConvertOsiris!M157</f>
        <v>BackboneElement</v>
      </c>
      <c r="H163" s="26"/>
      <c r="I163" s="12" t="str">
        <f t="shared" si="2"/>
        <v>* VariantInSample.AllelicState 0..* BackboneElement ##34#Allelic State [O80]##34# ##334#Level of allelic occurrence of a DNA Sequence Variation
_x000D_ConceptualDomain: LOINC:LL381-5
_x000D_optional##334#</v>
      </c>
    </row>
    <row r="164" spans="1:9" ht="29.5">
      <c r="A164" s="11">
        <v>157</v>
      </c>
      <c r="B164" s="11" t="str">
        <f>ConvertOsiris!I158</f>
        <v>GeneExpression</v>
      </c>
      <c r="C164" s="12" t="str">
        <f>ConvertOsiris!J158</f>
        <v>GeneExpression</v>
      </c>
      <c r="D164" s="12" t="str">
        <f>ConvertOsiris!K158</f>
        <v>GeneExpression</v>
      </c>
      <c r="E164" s="12">
        <f>ConvertOsiris!L158</f>
        <v>1</v>
      </c>
      <c r="F164" s="11" t="s">
        <v>9</v>
      </c>
      <c r="G164" s="11" t="str">
        <f>ConvertOsiris!M158</f>
        <v>BackboneElement</v>
      </c>
      <c r="H164" s="26"/>
      <c r="I164" s="12" t="str">
        <f t="shared" si="2"/>
        <v>* GeneExpression 1..* BackboneElement ##34#GeneExpression##34# ##334#GeneExpression##334#</v>
      </c>
    </row>
    <row r="165" spans="1:9" ht="73.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9</v>
      </c>
      <c r="G165" s="11" t="str">
        <f>ConvertOsiris!M159</f>
        <v>BackboneElement</v>
      </c>
      <c r="H165" s="26"/>
      <c r="I165" s="12" t="str">
        <f t="shared" si="2"/>
        <v>* GeneExpression.DataType 1..* BackboneElement ##34#Data Type [O84]##34# ##334#Type of the expression value corresponding to the level of data processing
_x000D_ConceptualDomain: OSIRIS:ExpressionDataType
_x000D_mandatory##334#</v>
      </c>
    </row>
    <row r="166" spans="1:9" ht="44.2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9</v>
      </c>
      <c r="G166" s="11" t="str">
        <f>ConvertOsiris!M160</f>
        <v>BackboneElement</v>
      </c>
      <c r="H166" s="26"/>
      <c r="I166" s="12" t="str">
        <f t="shared" si="2"/>
        <v>* GeneExpression.Value 1..* BackboneElement ##34#Value [O85]##34# ##334#Numerical value for expression
_x000D_mandatory##334#</v>
      </c>
    </row>
    <row r="167" spans="1:9" ht="29.5">
      <c r="A167" s="11">
        <v>160</v>
      </c>
      <c r="B167" s="11" t="str">
        <f>ConvertOsiris!I161</f>
        <v>Equipment</v>
      </c>
      <c r="C167" s="12" t="str">
        <f>ConvertOsiris!J161</f>
        <v>Equipment</v>
      </c>
      <c r="D167" s="12" t="str">
        <f>ConvertOsiris!K161</f>
        <v>Equipment</v>
      </c>
      <c r="E167" s="12">
        <f>ConvertOsiris!L161</f>
        <v>0</v>
      </c>
      <c r="F167" s="11" t="s">
        <v>9</v>
      </c>
      <c r="G167" s="11" t="str">
        <f>ConvertOsiris!M161</f>
        <v>BackboneElement</v>
      </c>
      <c r="H167" s="26"/>
      <c r="I167" s="12" t="str">
        <f t="shared" si="2"/>
        <v>* Equipment 0..* BackboneElement ##34#Equipment##34# ##334#Equipment##334#</v>
      </c>
    </row>
    <row r="168" spans="1:9" ht="59">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9</v>
      </c>
      <c r="G168" s="11" t="str">
        <f>ConvertOsiris!M162</f>
        <v>BackboneElement</v>
      </c>
      <c r="H168" s="26"/>
      <c r="I168" s="12" t="str">
        <f t="shared" si="2"/>
        <v>* Equipment.ModelName 0..* BackboneElement ##34#Manufacturer's model name [I1]##34# ##334#Manufacturer's model name
_x000D_ConceptualDomain: DICOM
_x000D_##334#</v>
      </c>
    </row>
    <row r="169" spans="1:9" ht="59">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9</v>
      </c>
      <c r="G169" s="11" t="str">
        <f>ConvertOsiris!M163</f>
        <v>BackboneElement</v>
      </c>
      <c r="H169" s="26"/>
      <c r="I169" s="12" t="str">
        <f t="shared" si="2"/>
        <v>* Equipment.Manufacturer 0..* BackboneElement ##34#Manufacturer's name [I2]##34# ##334#Manufacturer's name
_x000D_ConceptualDomain: DICOM
_x000D_##334#</v>
      </c>
    </row>
    <row r="170" spans="1:9">
      <c r="A170" s="11">
        <v>163</v>
      </c>
      <c r="B170" s="11" t="str">
        <f>ConvertOsiris!I164</f>
        <v>Study</v>
      </c>
      <c r="C170" s="12" t="str">
        <f>ConvertOsiris!J164</f>
        <v>Study</v>
      </c>
      <c r="D170" s="12" t="str">
        <f>ConvertOsiris!K164</f>
        <v>Study</v>
      </c>
      <c r="E170" s="12">
        <f>ConvertOsiris!L164</f>
        <v>0</v>
      </c>
      <c r="F170" s="11" t="s">
        <v>9</v>
      </c>
      <c r="G170" s="11" t="str">
        <f>ConvertOsiris!M164</f>
        <v>BackboneElement</v>
      </c>
      <c r="H170" s="26"/>
      <c r="I170" s="12" t="str">
        <f t="shared" si="2"/>
        <v>* Study 0..* BackboneElement ##34#Study##34# ##334#Study##334#</v>
      </c>
    </row>
    <row r="171" spans="1:9" ht="59">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9</v>
      </c>
      <c r="G171" s="11" t="str">
        <f>ConvertOsiris!M165</f>
        <v>BackboneElement</v>
      </c>
      <c r="H171" s="26"/>
      <c r="I171" s="12" t="str">
        <f t="shared" si="2"/>
        <v>* Study.StudyInstanceUID 0..* BackboneElement ##34#Study Instance UID [I3]##34# ##334#Study Instance UID
_x000D_ConceptualDomain: DICOM
_x000D_##334#</v>
      </c>
    </row>
    <row r="172" spans="1:9" ht="59">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9</v>
      </c>
      <c r="G172" s="11" t="str">
        <f>ConvertOsiris!M166</f>
        <v>BackboneElement</v>
      </c>
      <c r="H172" s="26"/>
      <c r="I172" s="12" t="str">
        <f t="shared" si="2"/>
        <v>* Study.StudyDescription 0..* BackboneElement ##34#Study description [I4]##34# ##334#Study description
_x000D_ConceptualDomain: DICOM
_x000D_##334#</v>
      </c>
    </row>
    <row r="173" spans="1:9" ht="59">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9</v>
      </c>
      <c r="G173" s="11" t="str">
        <f>ConvertOsiris!M167</f>
        <v>BackboneElement</v>
      </c>
      <c r="H173" s="26"/>
      <c r="I173" s="12" t="str">
        <f t="shared" si="2"/>
        <v>* Study.AcquisitionDate 0..* BackboneElement ##34#Acquisition date [I5]##34# ##334#Acquisition date
_x000D_ConceptualDomain: DICOM
_x000D_##334#</v>
      </c>
    </row>
    <row r="174" spans="1:9" ht="44.25">
      <c r="A174" s="11">
        <v>167</v>
      </c>
      <c r="B174" s="11" t="str">
        <f>ConvertOsiris!I168</f>
        <v>Study.Location</v>
      </c>
      <c r="C174" s="12" t="str">
        <f>ConvertOsiris!J168</f>
        <v>Location [I6]</v>
      </c>
      <c r="D174" s="12" t="str">
        <f>ConvertOsiris!K168</f>
        <v>Location
_x000D_</v>
      </c>
      <c r="E174" s="12" t="str">
        <f>ConvertOsiris!L168</f>
        <v>0</v>
      </c>
      <c r="F174" s="11" t="s">
        <v>9</v>
      </c>
      <c r="G174" s="11" t="str">
        <f>ConvertOsiris!M168</f>
        <v>BackboneElement</v>
      </c>
      <c r="H174" s="26"/>
      <c r="I174" s="12" t="str">
        <f t="shared" si="2"/>
        <v>* Study.Location 0..* BackboneElement ##34#Location [I6]##34# ##334#Location
_x000D_##334#</v>
      </c>
    </row>
    <row r="175" spans="1:9" ht="59">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9</v>
      </c>
      <c r="G175" s="11" t="str">
        <f>ConvertOsiris!M169</f>
        <v>BackboneElement</v>
      </c>
      <c r="H175" s="26"/>
      <c r="I175" s="12" t="str">
        <f t="shared" si="2"/>
        <v>* Study.InstitutionName 0..* BackboneElement ##34#Institution's name [I7]##34# ##334#Institution's name
_x000D_ConceptualDomain: DICOM
_x000D_##334#</v>
      </c>
    </row>
    <row r="176" spans="1:9" ht="59">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9</v>
      </c>
      <c r="G176" s="11" t="str">
        <f>ConvertOsiris!M170</f>
        <v>BackboneElement</v>
      </c>
      <c r="H176" s="26"/>
      <c r="I176" s="12" t="str">
        <f t="shared" si="2"/>
        <v>* Study.ModalitiesInStudy 0..* BackboneElement ##34#Modalities in study [I8]##34# ##334#Modalities in study
_x000D_ConceptualDomain: DICOM
_x000D_##334#</v>
      </c>
    </row>
    <row r="177" spans="1:9" ht="59">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9</v>
      </c>
      <c r="G177" s="11" t="str">
        <f>ConvertOsiris!M171</f>
        <v>BackboneElement</v>
      </c>
      <c r="H177" s="26"/>
      <c r="I177" s="12" t="str">
        <f t="shared" si="2"/>
        <v>* Study.NbStudyRelatedSeries 0..* BackboneElement ##34#Number of Study Related Series [I9]##34# ##334#Number of Study Related Series
_x000D_ConceptualDomain: DICOM
_x000D_##334#</v>
      </c>
    </row>
    <row r="178" spans="1:9">
      <c r="A178" s="11">
        <v>171</v>
      </c>
      <c r="B178" s="11" t="str">
        <f>ConvertOsiris!I172</f>
        <v>Series</v>
      </c>
      <c r="C178" s="12" t="str">
        <f>ConvertOsiris!J172</f>
        <v>Series</v>
      </c>
      <c r="D178" s="12" t="str">
        <f>ConvertOsiris!K172</f>
        <v>Series</v>
      </c>
      <c r="E178" s="12">
        <f>ConvertOsiris!L172</f>
        <v>0</v>
      </c>
      <c r="F178" s="11" t="s">
        <v>9</v>
      </c>
      <c r="G178" s="11" t="str">
        <f>ConvertOsiris!M172</f>
        <v>BackboneElement</v>
      </c>
      <c r="H178" s="26"/>
      <c r="I178" s="12" t="str">
        <f t="shared" si="2"/>
        <v>* Series 0..* BackboneElement ##34#Series##34# ##334#Series##334#</v>
      </c>
    </row>
    <row r="179" spans="1:9" ht="59">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9</v>
      </c>
      <c r="G179" s="11" t="str">
        <f>ConvertOsiris!M173</f>
        <v>BackboneElement</v>
      </c>
      <c r="H179" s="26"/>
      <c r="I179" s="12" t="str">
        <f t="shared" si="2"/>
        <v>* Series.SeriesNumber 0..* BackboneElement ##34#Series Number [I10]##34# ##334#Series Number
_x000D_ConceptualDomain: DICOM
_x000D_##334#</v>
      </c>
    </row>
    <row r="180" spans="1:9" ht="59">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9</v>
      </c>
      <c r="G180" s="11" t="str">
        <f>ConvertOsiris!M174</f>
        <v>BackboneElement</v>
      </c>
      <c r="H180" s="26"/>
      <c r="I180" s="12" t="str">
        <f t="shared" si="2"/>
        <v>* Series.SeriesInstanceUID 0..* BackboneElement ##34#Series Instance UID [I11]##34# ##334#Series Instance UID
_x000D_ConceptualDomain: DICOM
_x000D_##334#</v>
      </c>
    </row>
    <row r="181" spans="1:9" ht="59">
      <c r="A181" s="11">
        <v>174</v>
      </c>
      <c r="B181" s="11" t="str">
        <f>ConvertOsiris!I175</f>
        <v>Series.Modality</v>
      </c>
      <c r="C181" s="12" t="str">
        <f>ConvertOsiris!J175</f>
        <v>Modality [I12]</v>
      </c>
      <c r="D181" s="12" t="str">
        <f>ConvertOsiris!K175</f>
        <v>Modality
_x000D_ConceptualDomain: DICOM
_x000D_</v>
      </c>
      <c r="E181" s="12" t="str">
        <f>ConvertOsiris!L175</f>
        <v>0</v>
      </c>
      <c r="F181" s="11" t="s">
        <v>9</v>
      </c>
      <c r="G181" s="11" t="str">
        <f>ConvertOsiris!M175</f>
        <v>BackboneElement</v>
      </c>
      <c r="H181" s="26"/>
      <c r="I181" s="12" t="str">
        <f t="shared" si="2"/>
        <v>* Series.Modality 0..* BackboneElement ##34#Modality [I12]##34# ##334#Modality
_x000D_ConceptualDomain: DICOM
_x000D_##334#</v>
      </c>
    </row>
    <row r="182" spans="1:9" ht="59">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9</v>
      </c>
      <c r="G182" s="11" t="str">
        <f>ConvertOsiris!M176</f>
        <v>BackboneElement</v>
      </c>
      <c r="H182" s="26"/>
      <c r="I182" s="12" t="str">
        <f t="shared" si="2"/>
        <v>* Series.Description 0..* BackboneElement ##34#Description [I13]##34# ##334#Description
_x000D_ConceptualDomain: DICOM
_x000D_##334#</v>
      </c>
    </row>
    <row r="183" spans="1:9" ht="59">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9</v>
      </c>
      <c r="G183" s="11" t="str">
        <f>ConvertOsiris!M177</f>
        <v>BackboneElement</v>
      </c>
      <c r="H183" s="26"/>
      <c r="I183" s="12" t="str">
        <f t="shared" si="2"/>
        <v>* Series.BodyPartExamined 0..* BackboneElement ##34#Body Part Examined [I14]##34# ##334#Body Part Examined
_x000D_ConceptualDomain: DICOM
_x000D_##334#</v>
      </c>
    </row>
    <row r="184" spans="1:9" ht="59">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9</v>
      </c>
      <c r="G184" s="11" t="str">
        <f>ConvertOsiris!M178</f>
        <v>BackboneElement</v>
      </c>
      <c r="H184" s="26"/>
      <c r="I184" s="12" t="str">
        <f t="shared" si="2"/>
        <v>* Series.NbSeriesRelatedInstances 0..* BackboneElement ##34#Number of Series Related Instances [I15]##34# ##334#Number of Series Related Instances
_x000D_ConceptualDomain: DICOM
_x000D_##334#</v>
      </c>
    </row>
    <row r="185" spans="1:9" ht="59">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9</v>
      </c>
      <c r="G185" s="11" t="str">
        <f>ConvertOsiris!M179</f>
        <v>BackboneElement</v>
      </c>
      <c r="H185" s="26"/>
      <c r="I185" s="12" t="str">
        <f t="shared" si="2"/>
        <v>* Series.SoftwareVersion 0..* BackboneElement ##34#Software's version [I16]##34# ##334#Software's version
_x000D_ConceptualDomain: DICOM
_x000D_##334#</v>
      </c>
    </row>
    <row r="186" spans="1:9">
      <c r="A186" s="11">
        <v>179</v>
      </c>
      <c r="B186" s="11" t="str">
        <f>ConvertOsiris!I180</f>
        <v>Injection</v>
      </c>
      <c r="C186" s="12" t="str">
        <f>ConvertOsiris!J180</f>
        <v>Injection</v>
      </c>
      <c r="D186" s="12" t="str">
        <f>ConvertOsiris!K180</f>
        <v>Injection</v>
      </c>
      <c r="E186" s="12">
        <f>ConvertOsiris!L180</f>
        <v>0</v>
      </c>
      <c r="F186" s="11" t="s">
        <v>9</v>
      </c>
      <c r="G186" s="11" t="str">
        <f>ConvertOsiris!M180</f>
        <v>BackboneElement</v>
      </c>
      <c r="H186" s="26"/>
      <c r="I186" s="12" t="str">
        <f t="shared" si="2"/>
        <v>* Injection 0..* BackboneElement ##34#Injection##34# ##334#Injection##334#</v>
      </c>
    </row>
    <row r="187" spans="1:9" ht="59">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9</v>
      </c>
      <c r="G187" s="11" t="str">
        <f>ConvertOsiris!M181</f>
        <v>BackboneElement</v>
      </c>
      <c r="H187" s="26"/>
      <c r="I187" s="12" t="str">
        <f t="shared" si="2"/>
        <v>* Injection.Radiopharmaceutical 0..* BackboneElement ##34#Radiopharmaceutical [I17]##34# ##334#Radiopharmaceutical
_x000D_ConceptualDomain: DICOM
_x000D_##334#</v>
      </c>
    </row>
    <row r="188" spans="1:9" ht="59">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9</v>
      </c>
      <c r="G188" s="11" t="str">
        <f>ConvertOsiris!M182</f>
        <v>BackboneElement</v>
      </c>
      <c r="H188" s="26"/>
      <c r="I188" s="12" t="str">
        <f t="shared" si="2"/>
        <v>* Injection.ContrastBolusAgent 0..* BackboneElement ##34#Contrast/bolus agent [I18]##34# ##334#Contrast/bolus agent
_x000D_ConceptualDomain: DICOM
_x000D_##334#</v>
      </c>
    </row>
    <row r="189" spans="1:9" ht="59">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9</v>
      </c>
      <c r="G189" s="11" t="str">
        <f>ConvertOsiris!M183</f>
        <v>BackboneElement</v>
      </c>
      <c r="H189" s="26"/>
      <c r="I189" s="12" t="str">
        <f t="shared" si="2"/>
        <v>* Injection.ContrastBolusStartTime 0..* BackboneElement ##34#Contrast/bolus start time [I19]##34# ##334#Contrast/bolus start time
_x000D_ConceptualDomain: DICOM
_x000D_##334#</v>
      </c>
    </row>
    <row r="190" spans="1:9" ht="59">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9</v>
      </c>
      <c r="G190" s="11" t="str">
        <f>ConvertOsiris!M184</f>
        <v>BackboneElement</v>
      </c>
      <c r="H190" s="26"/>
      <c r="I190" s="12" t="str">
        <f t="shared" si="2"/>
        <v>* Injection.ContrastBolusStopTime 0..* BackboneElement ##34#Contrast/bolus stop time [I20]##34# ##334#Contrast/bolus stop time
_x000D_ConceptualDomain: DICOM
_x000D_##334#</v>
      </c>
    </row>
    <row r="191" spans="1:9" ht="73.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9</v>
      </c>
      <c r="G191" s="11" t="str">
        <f>ConvertOsiris!M185</f>
        <v>BackboneElement</v>
      </c>
      <c r="H191" s="26"/>
      <c r="I191" s="12" t="str">
        <f t="shared" si="2"/>
        <v>* Injection.RadiopharmaceuticalStartTime 0..* BackboneElement ##34#Radiopharmaceutical start time [I21]##34# ##334#Radiopharmaceutical start time
_x000D_ConceptualDomain: DICOM
_x000D_##334#</v>
      </c>
    </row>
    <row r="192" spans="1:9" ht="59">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9</v>
      </c>
      <c r="G192" s="11" t="str">
        <f>ConvertOsiris!M186</f>
        <v>BackboneElement</v>
      </c>
      <c r="H192" s="26"/>
      <c r="I192" s="12" t="str">
        <f t="shared" si="2"/>
        <v>* Injection.RadionuclideTotalDose 0..* BackboneElement ##34#Radionuclide total dose [I22]##34# ##334#Radionuclide total dose
_x000D_ConceptualDomain: DICOM
_x000D_##334#</v>
      </c>
    </row>
    <row r="193" spans="1:9" ht="29.5">
      <c r="A193" s="11">
        <v>186</v>
      </c>
      <c r="B193" s="11" t="str">
        <f>ConvertOsiris!I187</f>
        <v>CommonImage</v>
      </c>
      <c r="C193" s="12" t="str">
        <f>ConvertOsiris!J187</f>
        <v>CommonImage</v>
      </c>
      <c r="D193" s="12" t="str">
        <f>ConvertOsiris!K187</f>
        <v>CommonImage</v>
      </c>
      <c r="E193" s="12">
        <f>ConvertOsiris!L187</f>
        <v>0</v>
      </c>
      <c r="F193" s="11" t="s">
        <v>9</v>
      </c>
      <c r="G193" s="11" t="str">
        <f>ConvertOsiris!M187</f>
        <v>BackboneElement</v>
      </c>
      <c r="H193" s="26"/>
      <c r="I193" s="12" t="str">
        <f t="shared" si="2"/>
        <v>* CommonImage 0..* BackboneElement ##34#CommonImage##34# ##334#CommonImage##334#</v>
      </c>
    </row>
    <row r="194" spans="1:9" ht="59">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9</v>
      </c>
      <c r="G194" s="11" t="str">
        <f>ConvertOsiris!M188</f>
        <v>BackboneElement</v>
      </c>
      <c r="H194" s="26"/>
      <c r="I194" s="12" t="str">
        <f t="shared" si="2"/>
        <v>* CommonImage.SOPInstanceUID 0..* BackboneElement ##34#SOP Instance UID [I23]##34# ##334#SOP Instance UID
_x000D_ConceptualDomain: DICOM
_x000D_##334#</v>
      </c>
    </row>
    <row r="195" spans="1:9" ht="59">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9</v>
      </c>
      <c r="G195" s="11" t="str">
        <f>ConvertOsiris!M189</f>
        <v>BackboneElement</v>
      </c>
      <c r="H195" s="26"/>
      <c r="I195" s="12" t="str">
        <f t="shared" si="2"/>
        <v>* CommonImage.SliceThickness 0..* BackboneElement ##34#Slice thickness [I24]##34# ##334#Slice thickness
_x000D_ConceptualDomain: DICOM
_x000D_##334#</v>
      </c>
    </row>
    <row r="196" spans="1:9" ht="59">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9</v>
      </c>
      <c r="G196" s="11" t="str">
        <f>ConvertOsiris!M190</f>
        <v>BackboneElement</v>
      </c>
      <c r="H196" s="26"/>
      <c r="I196" s="12" t="str">
        <f t="shared" si="2"/>
        <v>* CommonImage.PixelSpacing 0..* BackboneElement ##34#Pixel spacing [I25]##34# ##334#Pixel spacing
_x000D_ConceptualDomain: DICOM
_x000D_##334#</v>
      </c>
    </row>
    <row r="197" spans="1:9" ht="44.25">
      <c r="A197" s="11">
        <v>190</v>
      </c>
      <c r="B197" s="11" t="str">
        <f>ConvertOsiris!I191</f>
        <v>CommonImage.FieldOfView</v>
      </c>
      <c r="C197" s="12" t="str">
        <f>ConvertOsiris!J191</f>
        <v>Field of view [I26]</v>
      </c>
      <c r="D197" s="12" t="str">
        <f>ConvertOsiris!K191</f>
        <v>Field of view
_x000D_</v>
      </c>
      <c r="E197" s="12" t="str">
        <f>ConvertOsiris!L191</f>
        <v>0</v>
      </c>
      <c r="F197" s="11" t="s">
        <v>9</v>
      </c>
      <c r="G197" s="11" t="str">
        <f>ConvertOsiris!M191</f>
        <v>BackboneElement</v>
      </c>
      <c r="H197" s="26"/>
      <c r="I197" s="12" t="str">
        <f t="shared" si="2"/>
        <v>* CommonImage.FieldOfView 0..* BackboneElement ##34#Field of view [I26]##34# ##334#Field of view
_x000D_##334#</v>
      </c>
    </row>
    <row r="198" spans="1:9" ht="59">
      <c r="A198" s="11">
        <v>191</v>
      </c>
      <c r="B198" s="11" t="str">
        <f>ConvertOsiris!I192</f>
        <v>CommonImage.Rows</v>
      </c>
      <c r="C198" s="12" t="str">
        <f>ConvertOsiris!J192</f>
        <v>rows [I27]</v>
      </c>
      <c r="D198" s="12" t="str">
        <f>ConvertOsiris!K192</f>
        <v>rows
_x000D_ConceptualDomain: DICOM
_x000D_</v>
      </c>
      <c r="E198" s="12" t="str">
        <f>ConvertOsiris!L192</f>
        <v>0</v>
      </c>
      <c r="F198" s="11" t="s">
        <v>9</v>
      </c>
      <c r="G198" s="11" t="str">
        <f>ConvertOsiris!M192</f>
        <v>BackboneElement</v>
      </c>
      <c r="H198" s="26"/>
      <c r="I198" s="12" t="str">
        <f t="shared" si="2"/>
        <v>* CommonImage.Rows 0..* BackboneElement ##34#rows [I27]##34# ##334#rows
_x000D_ConceptualDomain: DICOM
_x000D_##334#</v>
      </c>
    </row>
    <row r="199" spans="1:9" ht="59">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9</v>
      </c>
      <c r="G199" s="11" t="str">
        <f>ConvertOsiris!M193</f>
        <v>BackboneElement</v>
      </c>
      <c r="H199" s="26"/>
      <c r="I199" s="12" t="str">
        <f t="shared" si="2"/>
        <v>* CommonImage.Columns 0..* BackboneElement ##34#columns [I28]##34# ##334#columns
_x000D_ConceptualDomain: DICOM
_x000D_##334#</v>
      </c>
    </row>
    <row r="200" spans="1:9" ht="29.5">
      <c r="A200" s="11">
        <v>193</v>
      </c>
      <c r="B200" s="11" t="str">
        <f>ConvertOsiris!I194</f>
        <v>MRImage</v>
      </c>
      <c r="C200" s="12" t="str">
        <f>ConvertOsiris!J194</f>
        <v>MRImage</v>
      </c>
      <c r="D200" s="12" t="str">
        <f>ConvertOsiris!K194</f>
        <v>MRImage</v>
      </c>
      <c r="E200" s="12">
        <f>ConvertOsiris!L194</f>
        <v>0</v>
      </c>
      <c r="F200" s="11" t="s">
        <v>9</v>
      </c>
      <c r="G200" s="11" t="str">
        <f>ConvertOsiris!M194</f>
        <v>BackboneElement</v>
      </c>
      <c r="H200" s="26"/>
      <c r="I200" s="12" t="str">
        <f t="shared" ref="I200:I262" si="3">IF(B200=0,"//---- END",CONCATENATE("* ",B200, " ",E200,"..",F200," ",G200," ##34#",C200,"##34# ##334#",D200,"##334#"))</f>
        <v>* MRImage 0..* BackboneElement ##34#MRImage##34# ##334#MRImage##334#</v>
      </c>
    </row>
    <row r="201" spans="1:9" ht="59">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9</v>
      </c>
      <c r="G201" s="11" t="str">
        <f>ConvertOsiris!M195</f>
        <v>BackboneElement</v>
      </c>
      <c r="H201" s="26"/>
      <c r="I201" s="12" t="str">
        <f t="shared" si="3"/>
        <v>* MRImage.SequenceName 0..* BackboneElement ##34#Sequence's name [I29]##34# ##334#Sequence's name
_x000D_ConceptualDomain: DICOM
_x000D_##334#</v>
      </c>
    </row>
    <row r="202" spans="1:9" ht="59">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9</v>
      </c>
      <c r="G202" s="11" t="str">
        <f>ConvertOsiris!M196</f>
        <v>BackboneElement</v>
      </c>
      <c r="H202" s="26"/>
      <c r="I202" s="12" t="str">
        <f t="shared" si="3"/>
        <v>* MRImage.MagneticFieldStrength 0..* BackboneElement ##34#Magnetic field strength [I30]##34# ##334#Magnetic field strength
_x000D_ConceptualDomain: DICOM
_x000D_##334#</v>
      </c>
    </row>
    <row r="203" spans="1:9" ht="59">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9</v>
      </c>
      <c r="G203" s="11" t="str">
        <f>ConvertOsiris!M197</f>
        <v>BackboneElement</v>
      </c>
      <c r="H203" s="26"/>
      <c r="I203" s="12" t="str">
        <f t="shared" si="3"/>
        <v>* MRImage.MRAcquisitionType 0..* BackboneElement ##34#MR acquisition type [I31]##34# ##334#MR acquisition type
_x000D_ConceptualDomain: DICOM
_x000D_##334#</v>
      </c>
    </row>
    <row r="204" spans="1:9" ht="59">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9</v>
      </c>
      <c r="G204" s="11" t="str">
        <f>ConvertOsiris!M198</f>
        <v>BackboneElement</v>
      </c>
      <c r="H204" s="26"/>
      <c r="I204" s="12" t="str">
        <f t="shared" si="3"/>
        <v>* MRImage.RepetitionTime 0..* BackboneElement ##34#Repetition time [I32]##34# ##334#Repetition time
_x000D_ConceptualDomain: DICOM
_x000D_##334#</v>
      </c>
    </row>
    <row r="205" spans="1:9" ht="59">
      <c r="A205" s="11">
        <v>198</v>
      </c>
      <c r="B205" s="11" t="str">
        <f>ConvertOsiris!I199</f>
        <v>MRImage.EchoTime</v>
      </c>
      <c r="C205" s="12" t="str">
        <f>ConvertOsiris!J199</f>
        <v>EchoTime [I33]</v>
      </c>
      <c r="D205" s="12" t="str">
        <f>ConvertOsiris!K199</f>
        <v>EchoTime
_x000D_ConceptualDomain: DICOM
_x000D_</v>
      </c>
      <c r="E205" s="12" t="str">
        <f>ConvertOsiris!L199</f>
        <v>0</v>
      </c>
      <c r="F205" s="11" t="s">
        <v>9</v>
      </c>
      <c r="G205" s="11" t="str">
        <f>ConvertOsiris!M199</f>
        <v>BackboneElement</v>
      </c>
      <c r="H205" s="26"/>
      <c r="I205" s="12" t="str">
        <f t="shared" si="3"/>
        <v>* MRImage.EchoTime 0..* BackboneElement ##34#EchoTime [I33]##34# ##334#EchoTime
_x000D_ConceptualDomain: DICOM
_x000D_##334#</v>
      </c>
    </row>
    <row r="206" spans="1:9" ht="59">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9</v>
      </c>
      <c r="G206" s="11" t="str">
        <f>ConvertOsiris!M200</f>
        <v>BackboneElement</v>
      </c>
      <c r="H206" s="26"/>
      <c r="I206" s="12" t="str">
        <f t="shared" si="3"/>
        <v>* MRImage.ImagingFrequency 0..* BackboneElement ##34#ImagingFrequency [I34]##34# ##334#ImagingFrequency
_x000D_ConceptualDomain: DICOM
_x000D_##334#</v>
      </c>
    </row>
    <row r="207" spans="1:9" ht="59">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9</v>
      </c>
      <c r="G207" s="11" t="str">
        <f>ConvertOsiris!M201</f>
        <v>BackboneElement</v>
      </c>
      <c r="H207" s="26"/>
      <c r="I207" s="12" t="str">
        <f t="shared" si="3"/>
        <v>* MRImage.FlipAngle 0..* BackboneElement ##34#FlipAngle [I35]##34# ##334#FlipAngle
_x000D_ConceptualDomain: DICOM
_x000D_##334#</v>
      </c>
    </row>
    <row r="208" spans="1:9" ht="59">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9</v>
      </c>
      <c r="G208" s="11" t="str">
        <f>ConvertOsiris!M202</f>
        <v>BackboneElement</v>
      </c>
      <c r="H208" s="26"/>
      <c r="I208" s="12" t="str">
        <f t="shared" si="3"/>
        <v>* MRImage.InversionTime 0..* BackboneElement ##34#InversionTime [I36]##34# ##334#InversionTime
_x000D_ConceptualDomain: DICOM
_x000D_##334#</v>
      </c>
    </row>
    <row r="209" spans="1:9" ht="59">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9</v>
      </c>
      <c r="G209" s="11" t="str">
        <f>ConvertOsiris!M203</f>
        <v>BackboneElement</v>
      </c>
      <c r="H209" s="26"/>
      <c r="I209" s="12" t="str">
        <f t="shared" si="3"/>
        <v>* MRImage.ReceiveCoilName 0..* BackboneElement ##34#ReceiveCoilName [I37]##34# ##334#ReceiveCoilName
_x000D_ConceptualDomain: DICOM
_x000D_##334#</v>
      </c>
    </row>
    <row r="210" spans="1:9">
      <c r="A210" s="11">
        <v>203</v>
      </c>
      <c r="B210" s="11" t="str">
        <f>ConvertOsiris!I204</f>
        <v>CTImage</v>
      </c>
      <c r="C210" s="12" t="str">
        <f>ConvertOsiris!J204</f>
        <v>CTImage</v>
      </c>
      <c r="D210" s="12" t="str">
        <f>ConvertOsiris!K204</f>
        <v>CTImage</v>
      </c>
      <c r="E210" s="12">
        <f>ConvertOsiris!L204</f>
        <v>0</v>
      </c>
      <c r="F210" s="11" t="s">
        <v>9</v>
      </c>
      <c r="G210" s="11" t="str">
        <f>ConvertOsiris!M204</f>
        <v>BackboneElement</v>
      </c>
      <c r="H210" s="26"/>
      <c r="I210" s="12" t="str">
        <f t="shared" si="3"/>
        <v>* CTImage 0..* BackboneElement ##34#CTImage##34# ##334#CTImage##334#</v>
      </c>
    </row>
    <row r="211" spans="1:9" ht="44.25">
      <c r="A211" s="11">
        <v>204</v>
      </c>
      <c r="B211" s="11" t="str">
        <f>ConvertOsiris!I205</f>
        <v>CTImage.KVp</v>
      </c>
      <c r="C211" s="12" t="str">
        <f>ConvertOsiris!J205</f>
        <v>KVp [I38]</v>
      </c>
      <c r="D211" s="12" t="str">
        <f>ConvertOsiris!K205</f>
        <v>KVp
_x000D_ConceptualDomain: DICOM
_x000D_</v>
      </c>
      <c r="E211" s="12" t="str">
        <f>ConvertOsiris!L205</f>
        <v>0</v>
      </c>
      <c r="F211" s="11" t="s">
        <v>9</v>
      </c>
      <c r="G211" s="11" t="str">
        <f>ConvertOsiris!M205</f>
        <v>BackboneElement</v>
      </c>
      <c r="H211" s="26"/>
      <c r="I211" s="12" t="str">
        <f t="shared" si="3"/>
        <v>* CTImage.KVp 0..* BackboneElement ##34#KVp [I38]##34# ##334#KVp
_x000D_ConceptualDomain: DICOM
_x000D_##334#</v>
      </c>
    </row>
    <row r="212" spans="1:9" ht="59">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9</v>
      </c>
      <c r="G212" s="11" t="str">
        <f>ConvertOsiris!M206</f>
        <v>BackboneElement</v>
      </c>
      <c r="H212" s="26"/>
      <c r="I212" s="12" t="str">
        <f t="shared" si="3"/>
        <v>* CTImage.XRayTubeCurrent 0..* BackboneElement ##34#XRayTubeCurrent [I39]##34# ##334#XRayTubeCurrent
_x000D_ConceptualDomain: DICOM
_x000D_##334#</v>
      </c>
    </row>
    <row r="213" spans="1:9" ht="59">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9</v>
      </c>
      <c r="G213" s="11" t="str">
        <f>ConvertOsiris!M207</f>
        <v>BackboneElement</v>
      </c>
      <c r="H213" s="26"/>
      <c r="I213" s="12" t="str">
        <f t="shared" si="3"/>
        <v>* CTImage.ExposureTime 0..* BackboneElement ##34#ExposureTime [I40]##34# ##334#ExposureTime
_x000D_ConceptualDomain: DICOM
_x000D_##334#</v>
      </c>
    </row>
    <row r="214" spans="1:9" ht="59">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9</v>
      </c>
      <c r="G214" s="11" t="str">
        <f>ConvertOsiris!M208</f>
        <v>BackboneElement</v>
      </c>
      <c r="H214" s="26"/>
      <c r="I214" s="12" t="str">
        <f t="shared" si="3"/>
        <v>* CTImage.SpiralPitchFactor 0..* BackboneElement ##34#SpiralPitchFactor [I41]##34# ##334#SpiralPitchFactor
_x000D_ConceptualDomain: DICOM
_x000D_##334#</v>
      </c>
    </row>
    <row r="215" spans="1:9" ht="59">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9</v>
      </c>
      <c r="G215" s="11" t="str">
        <f>ConvertOsiris!M209</f>
        <v>BackboneElement</v>
      </c>
      <c r="H215" s="26"/>
      <c r="I215" s="12" t="str">
        <f t="shared" si="3"/>
        <v>* CTImage.FilterType 0..* BackboneElement ##34#FilterType [I42]##34# ##334#FilterType
_x000D_ConceptualDomain: DICOM
_x000D_##334#</v>
      </c>
    </row>
    <row r="216" spans="1:9" ht="59">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9</v>
      </c>
      <c r="G216" s="11" t="str">
        <f>ConvertOsiris!M210</f>
        <v>BackboneElement</v>
      </c>
      <c r="H216" s="26"/>
      <c r="I216" s="12" t="str">
        <f t="shared" si="3"/>
        <v>* CTImage.ConvolutionKernel 0..* BackboneElement ##34#ConvolutionKernel [I43]##34# ##334#ConvolutionKernel
_x000D_ConceptualDomain: DICOM
_x000D_##334#</v>
      </c>
    </row>
    <row r="217" spans="1:9">
      <c r="A217" s="11">
        <v>210</v>
      </c>
      <c r="B217" s="11" t="str">
        <f>ConvertOsiris!I211</f>
        <v>PTImage</v>
      </c>
      <c r="C217" s="12" t="str">
        <f>ConvertOsiris!J211</f>
        <v>PTImage</v>
      </c>
      <c r="D217" s="12" t="str">
        <f>ConvertOsiris!K211</f>
        <v>PTImage</v>
      </c>
      <c r="E217" s="12">
        <f>ConvertOsiris!L211</f>
        <v>0</v>
      </c>
      <c r="F217" s="11" t="s">
        <v>9</v>
      </c>
      <c r="G217" s="11" t="str">
        <f>ConvertOsiris!M211</f>
        <v>BackboneElement</v>
      </c>
      <c r="H217" s="26"/>
      <c r="I217" s="12" t="str">
        <f t="shared" si="3"/>
        <v>* PTImage 0..* BackboneElement ##34#PTImage##34# ##334#PTImage##334#</v>
      </c>
    </row>
    <row r="218" spans="1:9" ht="73.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9</v>
      </c>
      <c r="G218" s="11" t="str">
        <f>ConvertOsiris!M212</f>
        <v>BackboneElement</v>
      </c>
      <c r="H218" s="26"/>
      <c r="I218" s="12" t="str">
        <f t="shared" si="3"/>
        <v>* PTImage.AttenuationCorrectionMethod 0..* BackboneElement ##34#AttenuationCorrectionMethod [I44]##34# ##334#AttenuationCorrectionMethod
_x000D_ConceptualDomain: DICOM
_x000D_##334#</v>
      </c>
    </row>
    <row r="219" spans="1:9" ht="59">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9</v>
      </c>
      <c r="G219" s="11" t="str">
        <f>ConvertOsiris!M213</f>
        <v>BackboneElement</v>
      </c>
      <c r="H219" s="26"/>
      <c r="I219" s="12" t="str">
        <f t="shared" si="3"/>
        <v>* PTImage.ReconstructionMethod 0..* BackboneElement ##34#ReconstructionMethod [I45]##34# ##334#ReconstructionMethod
_x000D_ConceptualDomain: DICOM
_x000D_##334#</v>
      </c>
    </row>
    <row r="220" spans="1:9" ht="59">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9</v>
      </c>
      <c r="G220" s="11" t="str">
        <f>ConvertOsiris!M214</f>
        <v>BackboneElement</v>
      </c>
      <c r="H220" s="26"/>
      <c r="I220" s="12" t="str">
        <f t="shared" si="3"/>
        <v>* PTImage.ScatterCorrectionMethod 0..* BackboneElement ##34#ScatterCorrectionMethod [I46]##34# ##334#ScatterCorrectionMethod
_x000D_ConceptualDomain: DICOM
_x000D_##334#</v>
      </c>
    </row>
    <row r="221" spans="1:9" ht="29.5">
      <c r="A221" s="11">
        <v>214</v>
      </c>
      <c r="B221" s="11" t="str">
        <f>ConvertOsiris!I215</f>
        <v>NMImage</v>
      </c>
      <c r="C221" s="12" t="str">
        <f>ConvertOsiris!J215</f>
        <v>NMImage</v>
      </c>
      <c r="D221" s="12" t="str">
        <f>ConvertOsiris!K215</f>
        <v>NMImage</v>
      </c>
      <c r="E221" s="12">
        <f>ConvertOsiris!L215</f>
        <v>0</v>
      </c>
      <c r="F221" s="11" t="s">
        <v>9</v>
      </c>
      <c r="G221" s="11" t="str">
        <f>ConvertOsiris!M215</f>
        <v>BackboneElement</v>
      </c>
      <c r="H221" s="26"/>
      <c r="I221" s="12" t="str">
        <f t="shared" si="3"/>
        <v>* NMImage 0..* BackboneElement ##34#NMImage##34# ##334#NMImage##334#</v>
      </c>
    </row>
    <row r="222" spans="1:9" ht="73.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9</v>
      </c>
      <c r="G222" s="11" t="str">
        <f>ConvertOsiris!M216</f>
        <v>BackboneElement</v>
      </c>
      <c r="H222" s="26"/>
      <c r="I222" s="12" t="str">
        <f t="shared" si="3"/>
        <v>* NMImage.AttenuationCorrectionMethod 0..* BackboneElement ##34#AttenuationCorrectionMethod [I47]##34# ##334#AttenuationCorrectionMethod
_x000D_ConceptualDomain: DICOM
_x000D_##334#</v>
      </c>
    </row>
    <row r="223" spans="1:9" ht="59">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9</v>
      </c>
      <c r="G223" s="11" t="str">
        <f>ConvertOsiris!M217</f>
        <v>BackboneElement</v>
      </c>
      <c r="H223" s="26"/>
      <c r="I223" s="12" t="str">
        <f t="shared" si="3"/>
        <v>* NMImage.ReconstructionMethod 0..* BackboneElement ##34#ReconstructionMethod [I48]##34# ##334#ReconstructionMethod
_x000D_ConceptualDomain: DICOM
_x000D_##334#</v>
      </c>
    </row>
    <row r="224" spans="1:9" ht="59">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9</v>
      </c>
      <c r="G224" s="11" t="str">
        <f>ConvertOsiris!M218</f>
        <v>BackboneElement</v>
      </c>
      <c r="H224" s="26"/>
      <c r="I224" s="12" t="str">
        <f t="shared" si="3"/>
        <v>* NMImage.ScatterCorrectionMethod 0..* BackboneElement ##34#ScatterCorrectionMethod [I49]##34# ##334#ScatterCorrectionMethod
_x000D_ConceptualDomain: DICOM
_x000D_##334#</v>
      </c>
    </row>
    <row r="225" spans="1:9" ht="29.5">
      <c r="A225" s="11">
        <v>218</v>
      </c>
      <c r="B225" s="11" t="str">
        <f>ConvertOsiris!I219</f>
        <v>DXImage</v>
      </c>
      <c r="C225" s="12" t="str">
        <f>ConvertOsiris!J219</f>
        <v>DXImage</v>
      </c>
      <c r="D225" s="12" t="str">
        <f>ConvertOsiris!K219</f>
        <v>DXImage</v>
      </c>
      <c r="E225" s="12">
        <f>ConvertOsiris!L219</f>
        <v>0</v>
      </c>
      <c r="F225" s="11" t="s">
        <v>9</v>
      </c>
      <c r="G225" s="11" t="str">
        <f>ConvertOsiris!M219</f>
        <v>BackboneElement</v>
      </c>
      <c r="H225" s="26"/>
      <c r="I225" s="12" t="str">
        <f t="shared" si="3"/>
        <v>* DXImage 0..* BackboneElement ##34#DXImage##34# ##334#DXImage##334#</v>
      </c>
    </row>
    <row r="226" spans="1:9" ht="59">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9</v>
      </c>
      <c r="G226" s="11" t="str">
        <f>ConvertOsiris!M220</f>
        <v>BackboneElement</v>
      </c>
      <c r="H226" s="26"/>
      <c r="I226" s="12" t="str">
        <f t="shared" si="3"/>
        <v>* DXImage.ImageLaterality 0..* BackboneElement ##34#ImageLaterality [I50]##34# ##334#ImageLaterality
_x000D_ConceptualDomain: DICOM
_x000D_##334#</v>
      </c>
    </row>
    <row r="227" spans="1:9" ht="59">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9</v>
      </c>
      <c r="G227" s="11" t="str">
        <f>ConvertOsiris!M221</f>
        <v>BackboneElement</v>
      </c>
      <c r="H227" s="26"/>
      <c r="I227" s="12" t="str">
        <f t="shared" si="3"/>
        <v>* DXImage.PatientOrientation 0..* BackboneElement ##34#PatientOrientation [I51]##34# ##334#PatientOrientation
_x000D_ConceptualDomain: DICOM
_x000D_##334#</v>
      </c>
    </row>
    <row r="228" spans="1:9" ht="73.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9</v>
      </c>
      <c r="G228" s="11" t="str">
        <f>ConvertOsiris!M222</f>
        <v>BackboneElement</v>
      </c>
      <c r="H228" s="26"/>
      <c r="I228" s="12" t="str">
        <f t="shared" si="3"/>
        <v>* DXImage.AnatomicRegionSequenceCodeMeaning 0..* BackboneElement ##34#AnatomicRegionSequenceCodeMeaning [I52]##34# ##334#AnatomicRegionSequenceCodeMeaning
_x000D_ConceptualDomain: DICOM
_x000D_##334#</v>
      </c>
    </row>
    <row r="229" spans="1:9" ht="73.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9</v>
      </c>
      <c r="G229" s="11" t="str">
        <f>ConvertOsiris!M223</f>
        <v>BackboneElement</v>
      </c>
      <c r="H229" s="26"/>
      <c r="I229" s="12" t="str">
        <f t="shared" si="3"/>
        <v>* DXImage.AnatomicRegionSequenceCodeValue 0..* BackboneElement ##34#Anatomic Region SequenceCodeValue [I53]##34# ##334#Anatomic Region SequenceCodeValue
_x000D_ConceptualDomain: DICOM
_x000D_##334#</v>
      </c>
    </row>
    <row r="230" spans="1:9" ht="44.25">
      <c r="A230" s="11">
        <v>223</v>
      </c>
      <c r="B230" s="11" t="str">
        <f>ConvertOsiris!I224</f>
        <v>DXImage.KVP</v>
      </c>
      <c r="C230" s="12" t="str">
        <f>ConvertOsiris!J224</f>
        <v>KVP [I54]</v>
      </c>
      <c r="D230" s="12" t="str">
        <f>ConvertOsiris!K224</f>
        <v>KVP
_x000D_ConceptualDomain: DICOM
_x000D_</v>
      </c>
      <c r="E230" s="12" t="str">
        <f>ConvertOsiris!L224</f>
        <v>0</v>
      </c>
      <c r="F230" s="11" t="s">
        <v>9</v>
      </c>
      <c r="G230" s="11" t="str">
        <f>ConvertOsiris!M224</f>
        <v>BackboneElement</v>
      </c>
      <c r="H230" s="26"/>
      <c r="I230" s="12" t="str">
        <f t="shared" si="3"/>
        <v>* DXImage.KVP 0..* BackboneElement ##34#KVP [I54]##34# ##334#KVP
_x000D_ConceptualDomain: DICOM
_x000D_##334#</v>
      </c>
    </row>
    <row r="231" spans="1:9" ht="59">
      <c r="A231" s="11">
        <v>224</v>
      </c>
      <c r="B231" s="11" t="str">
        <f>ConvertOsiris!I225</f>
        <v>DXImage.Exposure</v>
      </c>
      <c r="C231" s="12" t="str">
        <f>ConvertOsiris!J225</f>
        <v>Exposure [I55]</v>
      </c>
      <c r="D231" s="12" t="str">
        <f>ConvertOsiris!K225</f>
        <v>Exposure
_x000D_ConceptualDomain: DICOM
_x000D_</v>
      </c>
      <c r="E231" s="12" t="str">
        <f>ConvertOsiris!L225</f>
        <v>0</v>
      </c>
      <c r="F231" s="11" t="s">
        <v>9</v>
      </c>
      <c r="G231" s="11" t="str">
        <f>ConvertOsiris!M225</f>
        <v>BackboneElement</v>
      </c>
      <c r="H231" s="26"/>
      <c r="I231" s="12" t="str">
        <f t="shared" si="3"/>
        <v>* DXImage.Exposure 0..* BackboneElement ##34#Exposure [I55]##34# ##334#Exposure
_x000D_ConceptualDomain: DICOM
_x000D_##334#</v>
      </c>
    </row>
    <row r="232" spans="1:9" ht="59">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9</v>
      </c>
      <c r="G232" s="11" t="str">
        <f>ConvertOsiris!M226</f>
        <v>BackboneElement</v>
      </c>
      <c r="H232" s="26"/>
      <c r="I232" s="12" t="str">
        <f t="shared" si="3"/>
        <v>* DXImage.ExposureTime 0..* BackboneElement ##34#ExposureTime [I56]##34# ##334#ExposureTime
_x000D_ConceptualDomain: DICOM
_x000D_##334#</v>
      </c>
    </row>
    <row r="233" spans="1:9" ht="59">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9</v>
      </c>
      <c r="G233" s="11" t="str">
        <f>ConvertOsiris!M227</f>
        <v>BackboneElement</v>
      </c>
      <c r="H233" s="26"/>
      <c r="I233" s="12" t="str">
        <f t="shared" si="3"/>
        <v>* DXImage.ContrastBolusAgent 0..* BackboneElement ##34#ContrastBolusAgent [I57]##34# ##334#ContrastBolusAgent
_x000D_ConceptualDomain: DICOM
_x000D_##334#</v>
      </c>
    </row>
    <row r="234" spans="1:9" ht="29.5">
      <c r="A234" s="11">
        <v>227</v>
      </c>
      <c r="B234" s="11" t="str">
        <f>ConvertOsiris!I228</f>
        <v>ROISegmentation</v>
      </c>
      <c r="C234" s="12" t="str">
        <f>ConvertOsiris!J228</f>
        <v>ROISegmentation</v>
      </c>
      <c r="D234" s="12" t="str">
        <f>ConvertOsiris!K228</f>
        <v>ROISegmentation</v>
      </c>
      <c r="E234" s="12">
        <f>ConvertOsiris!L228</f>
        <v>0</v>
      </c>
      <c r="F234" s="11" t="s">
        <v>9</v>
      </c>
      <c r="G234" s="11" t="str">
        <f>ConvertOsiris!M228</f>
        <v>BackboneElement</v>
      </c>
      <c r="H234" s="26"/>
      <c r="I234" s="12" t="str">
        <f t="shared" si="3"/>
        <v>* ROISegmentation 0..* BackboneElement ##34#ROISegmentation##34# ##334#ROISegmentation##334#</v>
      </c>
    </row>
    <row r="235" spans="1:9" ht="73.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9</v>
      </c>
      <c r="G235" s="11" t="str">
        <f>ConvertOsiris!M229</f>
        <v>BackboneElement</v>
      </c>
      <c r="H235" s="26"/>
      <c r="I235" s="12" t="str">
        <f t="shared" si="3"/>
        <v>* ROISegmentation.ReferencedSOPInstanceUID 0..* BackboneElement ##34#ReferencedSOPInstanceUID [I58]##34# ##334#ReferencedSOPInstanceUID
_x000D_ConceptualDomain: DICOM
_x000D_##334#</v>
      </c>
    </row>
    <row r="236" spans="1:9" ht="59">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9</v>
      </c>
      <c r="G236" s="11" t="str">
        <f>ConvertOsiris!M230</f>
        <v>BackboneElement</v>
      </c>
      <c r="H236" s="26"/>
      <c r="I236" s="12" t="str">
        <f t="shared" si="3"/>
        <v>* ROISegmentation.ROINumber 0..* BackboneElement ##34#ROINumber [I59]##34# ##334#ROINumber
_x000D_ConceptualDomain: DICOM
_x000D_##334#</v>
      </c>
    </row>
    <row r="237" spans="1:9" ht="59">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9</v>
      </c>
      <c r="G237" s="11" t="str">
        <f>ConvertOsiris!M231</f>
        <v>BackboneElement</v>
      </c>
      <c r="H237" s="26"/>
      <c r="I237" s="12" t="str">
        <f t="shared" si="3"/>
        <v>* ROISegmentation.ROIName 0..* BackboneElement ##34#ROIName [I60]##34# ##334#ROIName
_x000D_ConceptualDomain: DICOM
_x000D_##334#</v>
      </c>
    </row>
    <row r="238" spans="1:9" ht="59">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9</v>
      </c>
      <c r="G238" s="11" t="str">
        <f>ConvertOsiris!M232</f>
        <v>BackboneElement</v>
      </c>
      <c r="H238" s="26"/>
      <c r="I238" s="12" t="str">
        <f t="shared" si="3"/>
        <v>* ROISegmentation.ROIDescription 0..* BackboneElement ##34#ROIDescription [I61]##34# ##334#ROIDescription
_x000D_ConceptualDomain: DICOM
_x000D_##334#</v>
      </c>
    </row>
    <row r="239" spans="1:9" ht="44.25">
      <c r="A239" s="11">
        <v>232</v>
      </c>
      <c r="B239" s="11" t="str">
        <f>ConvertOsiris!I233</f>
        <v>ROISegmentation.ROIType</v>
      </c>
      <c r="C239" s="12" t="str">
        <f>ConvertOsiris!J233</f>
        <v>ROIType [I62]</v>
      </c>
      <c r="D239" s="12" t="str">
        <f>ConvertOsiris!K233</f>
        <v>ROIType
_x000D_</v>
      </c>
      <c r="E239" s="12" t="str">
        <f>ConvertOsiris!L233</f>
        <v>0</v>
      </c>
      <c r="F239" s="11" t="s">
        <v>9</v>
      </c>
      <c r="G239" s="11" t="str">
        <f>ConvertOsiris!M233</f>
        <v>BackboneElement</v>
      </c>
      <c r="H239" s="26"/>
      <c r="I239" s="12" t="str">
        <f t="shared" si="3"/>
        <v>* ROISegmentation.ROIType 0..* BackboneElement ##34#ROIType [I62]##34# ##334#ROIType
_x000D_##334#</v>
      </c>
    </row>
    <row r="240" spans="1:9" ht="44.25">
      <c r="A240" s="11">
        <v>233</v>
      </c>
      <c r="B240" s="11" t="str">
        <f>ConvertOsiris!I234</f>
        <v>ROISegmentation.ROIFilename</v>
      </c>
      <c r="C240" s="12" t="str">
        <f>ConvertOsiris!J234</f>
        <v>ROIFilename [I63]</v>
      </c>
      <c r="D240" s="12" t="str">
        <f>ConvertOsiris!K234</f>
        <v>ROIFilename
_x000D_</v>
      </c>
      <c r="E240" s="12" t="str">
        <f>ConvertOsiris!L234</f>
        <v>0</v>
      </c>
      <c r="F240" s="11" t="s">
        <v>9</v>
      </c>
      <c r="G240" s="11" t="str">
        <f>ConvertOsiris!M234</f>
        <v>BackboneElement</v>
      </c>
      <c r="H240" s="26"/>
      <c r="I240" s="12" t="str">
        <f t="shared" si="3"/>
        <v>* ROISegmentation.ROIFilename 0..* BackboneElement ##34#ROIFilename [I63]##34# ##334#ROIFilename
_x000D_##334#</v>
      </c>
    </row>
    <row r="241" spans="1:9" ht="29.5">
      <c r="A241" s="11">
        <v>234</v>
      </c>
      <c r="B241" s="11" t="str">
        <f>ConvertOsiris!I235</f>
        <v>RadiomicsCriteria</v>
      </c>
      <c r="C241" s="12" t="str">
        <f>ConvertOsiris!J235</f>
        <v>RadiomicsCriteria</v>
      </c>
      <c r="D241" s="12" t="str">
        <f>ConvertOsiris!K235</f>
        <v>RadiomicsCriteria</v>
      </c>
      <c r="E241" s="12">
        <f>ConvertOsiris!L235</f>
        <v>0</v>
      </c>
      <c r="F241" s="11" t="s">
        <v>9</v>
      </c>
      <c r="G241" s="11" t="str">
        <f>ConvertOsiris!M235</f>
        <v>BackboneElement</v>
      </c>
      <c r="H241" s="26"/>
      <c r="I241" s="12" t="str">
        <f t="shared" si="3"/>
        <v>* RadiomicsCriteria 0..* BackboneElement ##34#RadiomicsCriteria##34# ##334#RadiomicsCriteria##334#</v>
      </c>
    </row>
    <row r="242" spans="1:9" ht="59">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9</v>
      </c>
      <c r="G242" s="11" t="str">
        <f>ConvertOsiris!M236</f>
        <v>BackboneElement</v>
      </c>
      <c r="H242" s="26"/>
      <c r="I242" s="12" t="str">
        <f t="shared" si="3"/>
        <v>* RadiomicsCriteria.SoftwareName 0..* BackboneElement ##34#SoftwareName [I64]##34# ##334#SoftwareName
_x000D_ConceptualDomain: IBSI?
_x000D_##334#</v>
      </c>
    </row>
    <row r="243" spans="1:9" ht="59">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9</v>
      </c>
      <c r="G243" s="11" t="str">
        <f>ConvertOsiris!M237</f>
        <v>BackboneElement</v>
      </c>
      <c r="H243" s="26"/>
      <c r="I243" s="12" t="str">
        <f t="shared" si="3"/>
        <v>* RadiomicsCriteria.SoftwareVersion 0..* BackboneElement ##34#SoftwareVersion [I65]##34# ##334#SoftwareVersion
_x000D_ConceptualDomain: IBSI?
_x000D_##334#</v>
      </c>
    </row>
    <row r="244" spans="1:9" ht="59">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9</v>
      </c>
      <c r="G244" s="11" t="str">
        <f>ConvertOsiris!M238</f>
        <v>BackboneElement</v>
      </c>
      <c r="H244" s="26"/>
      <c r="I244" s="12" t="str">
        <f t="shared" si="3"/>
        <v>* RadiomicsCriteria.Method 0..* BackboneElement ##34#Method [I66]##34# ##334#Method
_x000D_ConceptualDomain: IBSI?
_x000D_##334#</v>
      </c>
    </row>
    <row r="245" spans="1:9" ht="59">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9</v>
      </c>
      <c r="G245" s="11" t="str">
        <f>ConvertOsiris!M239</f>
        <v>BackboneElement</v>
      </c>
      <c r="H245" s="26"/>
      <c r="I245" s="12" t="str">
        <f t="shared" si="3"/>
        <v>* RadiomicsCriteria.UsedImageFilter 0..* BackboneElement ##34#UsedImageFilter [I67]##34# ##334#UsedImageFilter
_x000D_ConceptualDomain: IBSI?
_x000D_##334#</v>
      </c>
    </row>
    <row r="246" spans="1:9" ht="59">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9</v>
      </c>
      <c r="G246" s="11" t="str">
        <f>ConvertOsiris!M240</f>
        <v>BackboneElement</v>
      </c>
      <c r="H246" s="26"/>
      <c r="I246" s="12" t="str">
        <f t="shared" si="3"/>
        <v>* RadiomicsCriteria.DistanceWeighting 0..* BackboneElement ##34#DistanceWeighting [I68]##34# ##334#DistanceWeighting
_x000D_ConceptualDomain: IBSI?
_x000D_##334#</v>
      </c>
    </row>
    <row r="247" spans="1:9" ht="59">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9</v>
      </c>
      <c r="G247" s="11" t="str">
        <f>ConvertOsiris!M241</f>
        <v>BackboneElement</v>
      </c>
      <c r="H247" s="26"/>
      <c r="I247" s="12" t="str">
        <f t="shared" si="3"/>
        <v>* RadiomicsCriteria.NumberOfGreyLevels 0..* BackboneElement ##34#NumberOfGreyLevels [I69]##34# ##334#NumberOfGreyLevels
_x000D_ConceptualDomain: IBSI?
_x000D_##334#</v>
      </c>
    </row>
    <row r="248" spans="1:9" ht="59">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9</v>
      </c>
      <c r="G248" s="11" t="str">
        <f>ConvertOsiris!M242</f>
        <v>BackboneElement</v>
      </c>
      <c r="H248" s="26"/>
      <c r="I248" s="12" t="str">
        <f t="shared" si="3"/>
        <v>* RadiomicsCriteria.BinSize 0..* BackboneElement ##34#BinSize [I70]##34# ##334#BinSize
_x000D_ConceptualDomain: IBSI?
_x000D_##334#</v>
      </c>
    </row>
    <row r="249" spans="1:9" ht="59">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9</v>
      </c>
      <c r="G249" s="11" t="str">
        <f>ConvertOsiris!M243</f>
        <v>BackboneElement</v>
      </c>
      <c r="H249" s="26"/>
      <c r="I249" s="12" t="str">
        <f t="shared" si="3"/>
        <v>* RadiomicsCriteria.IntensityResampling 0..* BackboneElement ##34#IntensityResampling [I71]##34# ##334#IntensityResampling
_x000D_ConceptualDomain: IBSI?
_x000D_##334#</v>
      </c>
    </row>
    <row r="250" spans="1:9" ht="59">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9</v>
      </c>
      <c r="G250" s="11" t="str">
        <f>ConvertOsiris!M244</f>
        <v>BackboneElement</v>
      </c>
      <c r="H250" s="26"/>
      <c r="I250" s="12" t="str">
        <f t="shared" si="3"/>
        <v>* RadiomicsCriteria.LowestIntensity 0..* BackboneElement ##34#LowestIntensity [I72]##34# ##334#LowestIntensity
_x000D_ConceptualDomain: IBSI?
_x000D_##334#</v>
      </c>
    </row>
    <row r="251" spans="1:9" ht="73.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9</v>
      </c>
      <c r="G251" s="11" t="str">
        <f>ConvertOsiris!M245</f>
        <v>BackboneElement</v>
      </c>
      <c r="H251" s="26"/>
      <c r="I251" s="12" t="str">
        <f t="shared" si="3"/>
        <v>* RadiomicsCriteria.BoundsRangeOfValueAfterDiscretisation 0..* BackboneElement ##34#BoundsRangeOfValueAfterDiscretisation [I73]##34# ##334#BoundsRangeOfValueAfterDiscretisation
_x000D_ConceptualDomain: IBSI?
_x000D_##334#</v>
      </c>
    </row>
    <row r="252" spans="1:9" ht="59">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9</v>
      </c>
      <c r="G252" s="11" t="str">
        <f>ConvertOsiris!M246</f>
        <v>BackboneElement</v>
      </c>
      <c r="H252" s="26"/>
      <c r="I252" s="12" t="str">
        <f t="shared" si="3"/>
        <v>* RadiomicsCriteria.SpatialResamplingMethod 0..* BackboneElement ##34#SpatialResamplingMethod [I74]##34# ##334#SpatialResamplingMethod
_x000D_ConceptualDomain: IBSI?
_x000D_##334#</v>
      </c>
    </row>
    <row r="253" spans="1:9" ht="59">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9</v>
      </c>
      <c r="G253" s="11" t="str">
        <f>ConvertOsiris!M247</f>
        <v>BackboneElement</v>
      </c>
      <c r="H253" s="26"/>
      <c r="I253" s="12" t="str">
        <f t="shared" si="3"/>
        <v>* RadiomicsCriteria.SpatialResamplingValues 0..* BackboneElement ##34#SpatialResamplingValues [I75]##34# ##334#SpatialResamplingValues
_x000D_ConceptualDomain: IBSI?
_x000D_##334#</v>
      </c>
    </row>
    <row r="254" spans="1:9" ht="59">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9</v>
      </c>
      <c r="G254" s="11" t="str">
        <f>ConvertOsiris!M248</f>
        <v>BackboneElement</v>
      </c>
      <c r="H254" s="26"/>
      <c r="I254" s="12" t="str">
        <f t="shared" si="3"/>
        <v>* RadiomicsCriteria.TextureMatrixAggregation 0..* BackboneElement ##34#TextureMatrixAggregation [I76]##34# ##334#TextureMatrixAggregation
_x000D_ConceptualDomain: IBSI?
_x000D_##334#</v>
      </c>
    </row>
    <row r="255" spans="1:9" ht="29.5">
      <c r="A255" s="11">
        <v>248</v>
      </c>
      <c r="B255" s="11" t="str">
        <f>ConvertOsiris!I249</f>
        <v>RadiomicsImageFilter</v>
      </c>
      <c r="C255" s="12" t="str">
        <f>ConvertOsiris!J249</f>
        <v>RadiomicsImageFilter</v>
      </c>
      <c r="D255" s="12" t="str">
        <f>ConvertOsiris!K249</f>
        <v>RadiomicsImageFilter</v>
      </c>
      <c r="E255" s="12">
        <f>ConvertOsiris!L249</f>
        <v>0</v>
      </c>
      <c r="F255" s="11" t="s">
        <v>9</v>
      </c>
      <c r="G255" s="11" t="str">
        <f>ConvertOsiris!M249</f>
        <v>BackboneElement</v>
      </c>
      <c r="H255" s="26"/>
      <c r="I255" s="12" t="str">
        <f t="shared" si="3"/>
        <v>* RadiomicsImageFilter 0..* BackboneElement ##34#RadiomicsImageFilter##34# ##334#RadiomicsImageFilter##334#</v>
      </c>
    </row>
    <row r="256" spans="1:9" ht="59">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9</v>
      </c>
      <c r="G256" s="11" t="str">
        <f>ConvertOsiris!M250</f>
        <v>BackboneElement</v>
      </c>
      <c r="H256" s="26"/>
      <c r="I256" s="12" t="str">
        <f t="shared" si="3"/>
        <v>* RadiomicsImageFilter.SoftwareName 0..* BackboneElement ##34#SoftwareName [I77]##34# ##334#SoftwareName
_x000D_ConceptualDomain: IBSI?
_x000D_##334#</v>
      </c>
    </row>
    <row r="257" spans="1:9" ht="59">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9</v>
      </c>
      <c r="G257" s="11" t="str">
        <f>ConvertOsiris!M251</f>
        <v>BackboneElement</v>
      </c>
      <c r="H257" s="26"/>
      <c r="I257" s="12" t="str">
        <f t="shared" si="3"/>
        <v>* RadiomicsImageFilter.SoftwareVersion 0..* BackboneElement ##34#SoftwareVersion [I78]##34# ##334#SoftwareVersion
_x000D_ConceptualDomain: IBSI?
_x000D_##334#</v>
      </c>
    </row>
    <row r="258" spans="1:9" ht="59">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9</v>
      </c>
      <c r="G258" s="11" t="str">
        <f>ConvertOsiris!M252</f>
        <v>BackboneElement</v>
      </c>
      <c r="H258" s="26"/>
      <c r="I258" s="12" t="str">
        <f t="shared" si="3"/>
        <v>* RadiomicsImageFilter.FilterName 0..* BackboneElement ##34#FilterName [I79]##34# ##334#FilterName
_x000D_ConceptualDomain: IBSI?
_x000D_##334#</v>
      </c>
    </row>
    <row r="259" spans="1:9" ht="59">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9</v>
      </c>
      <c r="G259" s="11" t="str">
        <f>ConvertOsiris!M253</f>
        <v>BackboneElement</v>
      </c>
      <c r="H259" s="26"/>
      <c r="I259" s="12" t="str">
        <f t="shared" si="3"/>
        <v>* RadiomicsImageFilter.FilterType 0..* BackboneElement ##34#FilterType [I80]##34# ##334#FilterType
_x000D_ConceptualDomain: IBSI?
_x000D_##334#</v>
      </c>
    </row>
    <row r="260" spans="1:9" ht="59">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9</v>
      </c>
      <c r="G260" s="11" t="str">
        <f>ConvertOsiris!M254</f>
        <v>BackboneElement</v>
      </c>
      <c r="H260" s="26"/>
      <c r="I260" s="12" t="str">
        <f t="shared" si="3"/>
        <v>* RadiomicsImageFilter.FilterInterpolation 0..* BackboneElement ##34#FilterInterpolation [I81]##34# ##334#FilterInterpolation
_x000D_ConceptualDomain: IBSI?
_x000D_##334#</v>
      </c>
    </row>
    <row r="261" spans="1:9" ht="59">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9</v>
      </c>
      <c r="G261" s="11" t="str">
        <f>ConvertOsiris!M255</f>
        <v>BackboneElement</v>
      </c>
      <c r="H261" s="26"/>
      <c r="I261" s="12" t="str">
        <f t="shared" si="3"/>
        <v>* RadiomicsImageFilter.IntensityRounding 0..* BackboneElement ##34#IntensityRounding [I82]##34# ##334#IntensityRounding
_x000D_ConceptualDomain: IBSI?
_x000D_##334#</v>
      </c>
    </row>
    <row r="262" spans="1:9" ht="59">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9</v>
      </c>
      <c r="G262" s="11" t="str">
        <f>ConvertOsiris!M256</f>
        <v>BackboneElement</v>
      </c>
      <c r="H262" s="26"/>
      <c r="I262" s="12" t="str">
        <f t="shared" si="3"/>
        <v>* RadiomicsImageFilter.BoundaryCondition 0..* BackboneElement ##34#BoundaryCondition [I83]##34# ##334#BoundaryCondition
_x000D_ConceptualDomain: IBSI?
_x000D_##334#</v>
      </c>
    </row>
    <row r="263" spans="1:9" ht="29.5">
      <c r="A263" s="11">
        <v>256</v>
      </c>
      <c r="B263" s="11" t="str">
        <f>ConvertOsiris!I257</f>
        <v>RadiomicsFeature</v>
      </c>
      <c r="C263" s="12" t="str">
        <f>ConvertOsiris!J257</f>
        <v>RadiomicsFeature</v>
      </c>
      <c r="D263" s="12" t="str">
        <f>ConvertOsiris!K257</f>
        <v>RadiomicsFeature</v>
      </c>
      <c r="E263" s="12">
        <f>ConvertOsiris!L257</f>
        <v>0</v>
      </c>
      <c r="F263" s="11" t="s">
        <v>9</v>
      </c>
      <c r="G263" s="11" t="str">
        <f>ConvertOsiris!M257</f>
        <v>BackboneElement</v>
      </c>
      <c r="H263" s="26"/>
      <c r="I263" s="12" t="str">
        <f>IF(B263=0,"//---- END",CONCATENATE("* ",B263, " ",E263,"..",F263," ",G263," ##34#",C263,"##34# ##334#",D263,"##334#"))</f>
        <v>* RadiomicsFeature 0..* BackboneElement ##34#RadiomicsFeature##34# ##334#RadiomicsFeature##334#</v>
      </c>
    </row>
    <row r="264" spans="1:9" ht="44.25">
      <c r="A264" s="11">
        <v>257</v>
      </c>
      <c r="B264" s="11" t="str">
        <f>ConvertOsiris!I258</f>
        <v>RadiomicsFeature.Id</v>
      </c>
      <c r="C264" s="12" t="str">
        <f>ConvertOsiris!J258</f>
        <v>Id [I84]</v>
      </c>
      <c r="D264" s="12" t="str">
        <f>ConvertOsiris!K258</f>
        <v>Id
_x000D_ConceptualDomain: IBSI?
_x000D_</v>
      </c>
      <c r="E264" s="12" t="str">
        <f>ConvertOsiris!L258</f>
        <v>0</v>
      </c>
      <c r="F264" s="11" t="s">
        <v>9</v>
      </c>
      <c r="G264" s="11" t="str">
        <f>ConvertOsiris!M258</f>
        <v>BackboneElement</v>
      </c>
      <c r="H264" s="26"/>
      <c r="I264" s="12" t="str">
        <f t="shared" ref="I264:I270" si="4">IF(B264=0,"//---- END",CONCATENATE("* ",B264, " ",E264,"..",F264," ",G264," ##34#",C264,"##34# ##334#",D264,"##334#"))</f>
        <v>* RadiomicsFeature.Id 0..* BackboneElement ##34#Id [I84]##34# ##334#Id
_x000D_ConceptualDomain: IBSI?
_x000D_##334#</v>
      </c>
    </row>
    <row r="265" spans="1:9" ht="59">
      <c r="A265" s="11">
        <v>258</v>
      </c>
      <c r="B265" s="11" t="str">
        <f>ConvertOsiris!I259</f>
        <v>RadiomicsFeature.Name</v>
      </c>
      <c r="C265" s="12" t="str">
        <f>ConvertOsiris!J259</f>
        <v>Name [I85]</v>
      </c>
      <c r="D265" s="12" t="str">
        <f>ConvertOsiris!K259</f>
        <v>Name
_x000D_ConceptualDomain: IBSI?
_x000D_</v>
      </c>
      <c r="E265" s="12" t="str">
        <f>ConvertOsiris!L259</f>
        <v>0</v>
      </c>
      <c r="F265" s="11" t="s">
        <v>9</v>
      </c>
      <c r="G265" s="11" t="str">
        <f>ConvertOsiris!M259</f>
        <v>BackboneElement</v>
      </c>
      <c r="H265" s="26"/>
      <c r="I265" s="12" t="str">
        <f t="shared" si="4"/>
        <v>* RadiomicsFeature.Name 0..* BackboneElement ##34#Name [I85]##34# ##334#Name
_x000D_ConceptualDomain: IBSI?
_x000D_##334#</v>
      </c>
    </row>
    <row r="266" spans="1:9" ht="59">
      <c r="A266" s="11">
        <v>259</v>
      </c>
      <c r="B266" s="11" t="str">
        <f>ConvertOsiris!I260</f>
        <v>RadiomicsFeature.Value</v>
      </c>
      <c r="C266" s="12" t="str">
        <f>ConvertOsiris!J260</f>
        <v>Value [I86]</v>
      </c>
      <c r="D266" s="12" t="str">
        <f>ConvertOsiris!K260</f>
        <v>Value
_x000D_ConceptualDomain: IBSI?
_x000D_</v>
      </c>
      <c r="E266" s="12" t="str">
        <f>ConvertOsiris!L260</f>
        <v>0</v>
      </c>
      <c r="F266" s="11" t="s">
        <v>9</v>
      </c>
      <c r="G266" s="11" t="str">
        <f>ConvertOsiris!M260</f>
        <v>BackboneElement</v>
      </c>
      <c r="H266" s="26"/>
      <c r="I266" s="12" t="str">
        <f t="shared" si="4"/>
        <v>* RadiomicsFeature.Value 0..* BackboneElement ##34#Value [I86]##34# ##334#Value
_x000D_ConceptualDomain: IBSI?
_x000D_##334#</v>
      </c>
    </row>
    <row r="267" spans="1:9">
      <c r="A267" s="11">
        <v>260</v>
      </c>
      <c r="B267" s="11">
        <f>ConvertOsiris!I261</f>
        <v>0</v>
      </c>
      <c r="C267" s="12">
        <f>ConvertOsiris!J261</f>
        <v>0</v>
      </c>
      <c r="D267" s="12">
        <f>ConvertOsiris!K261</f>
        <v>0</v>
      </c>
      <c r="E267" s="12">
        <f>ConvertOsiris!L261</f>
        <v>0</v>
      </c>
      <c r="F267" s="11" t="s">
        <v>9</v>
      </c>
      <c r="G267" s="11">
        <f>ConvertOsiris!M261</f>
        <v>0</v>
      </c>
      <c r="H267" s="26"/>
      <c r="I267" s="12" t="str">
        <f t="shared" si="4"/>
        <v>//---- END</v>
      </c>
    </row>
    <row r="268" spans="1:9">
      <c r="A268" s="11">
        <v>261</v>
      </c>
      <c r="B268" s="11">
        <f>ConvertOsiris!I262</f>
        <v>0</v>
      </c>
      <c r="C268" s="12">
        <f>ConvertOsiris!J262</f>
        <v>0</v>
      </c>
      <c r="D268" s="12">
        <f>ConvertOsiris!K262</f>
        <v>0</v>
      </c>
      <c r="E268" s="12">
        <f>ConvertOsiris!L262</f>
        <v>0</v>
      </c>
      <c r="F268" s="11" t="s">
        <v>9</v>
      </c>
      <c r="G268" s="11">
        <f>ConvertOsiris!M262</f>
        <v>0</v>
      </c>
      <c r="H268" s="26"/>
      <c r="I268" s="12" t="str">
        <f t="shared" si="4"/>
        <v>//---- END</v>
      </c>
    </row>
    <row r="269" spans="1:9">
      <c r="A269" s="11">
        <v>262</v>
      </c>
      <c r="B269" s="11">
        <f>ConvertOsiris!I263</f>
        <v>0</v>
      </c>
      <c r="C269" s="12">
        <f>ConvertOsiris!J263</f>
        <v>0</v>
      </c>
      <c r="D269" s="12">
        <f>ConvertOsiris!K263</f>
        <v>0</v>
      </c>
      <c r="E269" s="12">
        <f>ConvertOsiris!L263</f>
        <v>0</v>
      </c>
      <c r="F269" s="11" t="s">
        <v>9</v>
      </c>
      <c r="G269" s="11">
        <f>ConvertOsiris!M263</f>
        <v>0</v>
      </c>
      <c r="H269" s="26"/>
      <c r="I269" s="12" t="str">
        <f t="shared" si="4"/>
        <v>//---- END</v>
      </c>
    </row>
    <row r="270" spans="1:9">
      <c r="A270" s="11">
        <v>263</v>
      </c>
      <c r="B270" s="11">
        <f>ConvertOsiris!I264</f>
        <v>0</v>
      </c>
      <c r="C270" s="12">
        <f>ConvertOsiris!J264</f>
        <v>0</v>
      </c>
      <c r="D270" s="12">
        <f>ConvertOsiris!K264</f>
        <v>0</v>
      </c>
      <c r="E270" s="12">
        <f>ConvertOsiris!L264</f>
        <v>0</v>
      </c>
      <c r="F270" s="11" t="s">
        <v>9</v>
      </c>
      <c r="G270" s="11">
        <f>ConvertOsiris!M264</f>
        <v>0</v>
      </c>
      <c r="H270" s="26"/>
      <c r="I270" s="12" t="str">
        <f t="shared" si="4"/>
        <v>//---- END</v>
      </c>
    </row>
    <row r="271" spans="1:9">
      <c r="B271" s="11"/>
      <c r="C271" s="12"/>
      <c r="D271" s="12"/>
      <c r="E271" s="12"/>
      <c r="F271" s="11"/>
      <c r="G271" s="11"/>
      <c r="H271" s="26"/>
      <c r="I271" s="12"/>
    </row>
    <row r="272" spans="1:9">
      <c r="B272" s="11"/>
      <c r="C272" s="12"/>
      <c r="D272" s="12"/>
      <c r="E272" s="12"/>
      <c r="F272" s="11"/>
      <c r="G272" s="11"/>
      <c r="H272" s="26"/>
      <c r="I272" s="12"/>
    </row>
    <row r="273" spans="9:9">
      <c r="I273" s="12"/>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6" t="s">
        <v>21</v>
      </c>
      <c r="H1" s="7"/>
      <c r="I1" s="7"/>
      <c r="J1" s="7"/>
      <c r="K1" s="7"/>
      <c r="L1" s="7"/>
      <c r="M1" s="7"/>
      <c r="N1" s="7"/>
      <c r="O1" s="7"/>
    </row>
    <row r="2" spans="1:15">
      <c r="E2" s="23" t="s">
        <v>22</v>
      </c>
      <c r="H2" s="7"/>
      <c r="I2" s="7"/>
      <c r="J2" s="7"/>
      <c r="K2" s="7"/>
      <c r="L2" s="7"/>
      <c r="M2" s="7"/>
      <c r="N2" s="7"/>
      <c r="O2" s="7"/>
    </row>
    <row r="3" spans="1:15" ht="15.5" thickBot="1">
      <c r="E3" s="23" t="str">
        <f>E1</f>
        <v>// -------------------------------------------------------------------------------</v>
      </c>
      <c r="H3" s="7"/>
      <c r="I3" s="7"/>
      <c r="J3" s="7"/>
      <c r="K3" s="7"/>
      <c r="L3" s="7"/>
      <c r="M3" s="7"/>
      <c r="N3" s="7"/>
      <c r="O3" s="7"/>
    </row>
    <row r="4" spans="1:15" ht="15.5" thickBot="1">
      <c r="B4" s="10" t="s">
        <v>18</v>
      </c>
      <c r="C4" s="29" t="s">
        <v>1469</v>
      </c>
      <c r="E4" s="20" t="str">
        <f>CONCATENATE("Mapping: ",C4)</f>
        <v>Mapping: xxxxxxxxx</v>
      </c>
      <c r="H4" s="7"/>
      <c r="I4" s="7"/>
      <c r="J4" s="7"/>
      <c r="K4" s="7"/>
      <c r="L4" s="7"/>
      <c r="M4" s="7"/>
      <c r="N4" s="7"/>
      <c r="O4" s="7"/>
    </row>
    <row r="5" spans="1:15" ht="15.5" thickBot="1">
      <c r="B5" s="10" t="s">
        <v>17</v>
      </c>
      <c r="C5" s="13" t="s">
        <v>14</v>
      </c>
      <c r="E5" s="21" t="str">
        <f>CONCATENATE("Id: ",C5)</f>
        <v>Id: fhir</v>
      </c>
      <c r="H5" s="7"/>
      <c r="I5" s="7"/>
      <c r="J5" s="7"/>
      <c r="K5" s="7"/>
      <c r="L5" s="7"/>
      <c r="M5" s="7"/>
      <c r="N5" s="7"/>
      <c r="O5" s="7"/>
    </row>
    <row r="6" spans="1:15" ht="15.5" thickBot="1">
      <c r="B6" s="10" t="s">
        <v>11</v>
      </c>
      <c r="C6" s="7" t="s">
        <v>168</v>
      </c>
      <c r="E6" s="21" t="str">
        <f>CONCATENATE("Title: ##34#",C6,"##34#")</f>
        <v>Title: ##34#Idea4RC Subject model to FHIR R4 Map##34#</v>
      </c>
      <c r="H6" s="7"/>
      <c r="I6" s="7"/>
      <c r="J6" s="7"/>
      <c r="K6" s="7"/>
      <c r="L6" s="7"/>
      <c r="M6" s="7"/>
      <c r="N6" s="7"/>
      <c r="O6" s="7"/>
    </row>
    <row r="7" spans="1:15" ht="15.5" thickBot="1">
      <c r="B7" s="10" t="s">
        <v>19</v>
      </c>
      <c r="C7" s="8" t="str">
        <f>B9</f>
        <v>Osiris</v>
      </c>
      <c r="E7" s="21" t="str">
        <f>CONCATENATE("Source: ",C7)</f>
        <v>Source: Osiris</v>
      </c>
      <c r="H7" s="7"/>
      <c r="I7" s="7"/>
      <c r="J7" s="7"/>
      <c r="K7" s="7"/>
      <c r="L7" s="7"/>
      <c r="M7" s="7"/>
      <c r="N7" s="7"/>
      <c r="O7" s="7"/>
    </row>
    <row r="8" spans="1:15" ht="15.5" thickBot="1">
      <c r="B8" s="19" t="s">
        <v>16</v>
      </c>
      <c r="C8" t="s">
        <v>13</v>
      </c>
      <c r="E8" s="22" t="str">
        <f>CONCATENATE("Target: ##34#",C8,"##34#")</f>
        <v>Target: ##34#hl7.org/fhir/r4##34#</v>
      </c>
      <c r="H8" s="7"/>
      <c r="I8" s="7"/>
      <c r="J8" s="7"/>
      <c r="K8" s="7"/>
      <c r="L8" s="7"/>
      <c r="M8" s="7"/>
      <c r="N8" s="7"/>
      <c r="O8" s="7"/>
    </row>
    <row r="9" spans="1:15">
      <c r="A9" s="11"/>
      <c r="B9" s="6" t="str">
        <f>Osiris!B5</f>
        <v>Osiris</v>
      </c>
      <c r="C9" s="6"/>
      <c r="E9" s="28" t="str">
        <f>CONCATENATE("* -&gt; ##34#",C9,"##34#")</f>
        <v>* -&gt; ##34###34#</v>
      </c>
      <c r="H9" s="7"/>
      <c r="I9" s="7"/>
      <c r="J9" s="7"/>
      <c r="K9" s="7"/>
      <c r="L9" s="7"/>
      <c r="M9" s="7"/>
      <c r="N9" s="7"/>
      <c r="O9" s="7"/>
    </row>
    <row r="10" spans="1:15">
      <c r="A10" s="11"/>
      <c r="B10" s="11" t="str">
        <f>Osiris!B8</f>
        <v>Patient</v>
      </c>
      <c r="C10" s="11" t="s">
        <v>169</v>
      </c>
      <c r="E10" s="12" t="str">
        <f t="shared" ref="E10:E25" si="0">IF(B10=0,"*  -&gt; ##34###34#",CONCATENATE("* ",B10," -&gt; ##34#",C10,"##34#"))</f>
        <v>* Patient -&gt; ##34#.birthDate##34#</v>
      </c>
      <c r="H10" s="7"/>
      <c r="I10" s="7"/>
      <c r="J10" s="7"/>
      <c r="K10" s="7"/>
      <c r="L10" s="7"/>
      <c r="M10" s="7"/>
      <c r="N10" s="7"/>
      <c r="O10" s="7"/>
    </row>
    <row r="11" spans="1:15">
      <c r="A11" s="11"/>
      <c r="B11" s="11" t="str">
        <f>Osiris!B9</f>
        <v>Patient.Id</v>
      </c>
      <c r="C11" s="11" t="s">
        <v>169</v>
      </c>
      <c r="E11" s="12" t="str">
        <f t="shared" si="0"/>
        <v>* Patient.Id -&gt; ##34#.birthDate##34#</v>
      </c>
      <c r="H11" s="7"/>
      <c r="I11" s="7"/>
      <c r="J11" s="7"/>
      <c r="K11" s="7"/>
      <c r="L11" s="7"/>
      <c r="M11" s="7"/>
      <c r="N11" s="7"/>
      <c r="O11" s="7"/>
    </row>
    <row r="12" spans="1:15">
      <c r="A12" s="11"/>
      <c r="B12" s="11" t="str">
        <f>Osiris!B10</f>
        <v>Patient.Gender</v>
      </c>
      <c r="C12" s="11" t="s">
        <v>170</v>
      </c>
      <c r="E12" s="12" t="str">
        <f t="shared" si="0"/>
        <v>* Patient.Gender -&gt; ##34#.birthDate.extension('data-absent-reason').where(valueCode = 'unknown')##34#</v>
      </c>
      <c r="H12" s="7"/>
      <c r="I12" s="7"/>
      <c r="J12" s="7"/>
      <c r="K12" s="7"/>
      <c r="L12" s="7"/>
      <c r="M12" s="7"/>
      <c r="N12" s="7"/>
      <c r="O12" s="7"/>
    </row>
    <row r="13" spans="1:15">
      <c r="A13" s="11"/>
      <c r="B13" s="11" t="str">
        <f>Osiris!B11</f>
        <v>Patient.Ethnicity</v>
      </c>
      <c r="C13" s="11" t="s">
        <v>171</v>
      </c>
      <c r="E13" s="12" t="str">
        <f t="shared" si="0"/>
        <v>* Patient.Ethnicity -&gt; ##34#.maritalStatus##34#</v>
      </c>
      <c r="H13" s="7"/>
      <c r="I13" s="7"/>
      <c r="J13" s="7"/>
      <c r="K13" s="7"/>
      <c r="L13" s="7"/>
      <c r="M13" s="7"/>
      <c r="N13" s="7"/>
      <c r="O13" s="7"/>
    </row>
    <row r="14" spans="1:15">
      <c r="A14" s="11"/>
      <c r="B14" s="11" t="str">
        <f>Osiris!$B$12</f>
        <v>Patient.BirthDate</v>
      </c>
      <c r="C14" s="11" t="s">
        <v>172</v>
      </c>
      <c r="E14" s="12" t="str">
        <f t="shared" si="0"/>
        <v>* Patient.BirthDate -&gt; ##34#.gender##34#</v>
      </c>
      <c r="H14" s="7"/>
      <c r="I14" s="7"/>
      <c r="J14" s="7"/>
      <c r="K14" s="7"/>
      <c r="L14" s="7"/>
      <c r="M14" s="7"/>
      <c r="N14" s="7"/>
      <c r="O14" s="7"/>
    </row>
    <row r="15" spans="1:15">
      <c r="A15" s="11"/>
      <c r="B15" s="11" t="str">
        <f>Osiris!$B$12</f>
        <v>Patient.BirthDate</v>
      </c>
      <c r="C15" s="11" t="s">
        <v>173</v>
      </c>
      <c r="E15" s="12" t="str">
        <f t="shared" si="0"/>
        <v>* Patient.BirthDate -&gt; ##34#.extension('individual-recordedSexOrGender').value##34#</v>
      </c>
      <c r="H15" s="7"/>
      <c r="I15" s="7"/>
      <c r="J15" s="7"/>
      <c r="K15" s="7"/>
      <c r="L15" s="7"/>
      <c r="M15" s="7"/>
      <c r="N15" s="7"/>
      <c r="O15" s="7"/>
    </row>
    <row r="16" spans="1:15">
      <c r="A16" s="11"/>
      <c r="B16" s="11" t="str">
        <f>Osiris!$B$12</f>
        <v>Patient.BirthDate</v>
      </c>
      <c r="C16" s="11" t="s">
        <v>174</v>
      </c>
      <c r="E16" s="12" t="str">
        <f t="shared" si="0"/>
        <v>* Patient.BirthDate -&gt; ##34#.extension('patient-sexForClinicalUse').value##34#</v>
      </c>
      <c r="H16" s="7"/>
      <c r="I16" s="7"/>
      <c r="J16" s="7"/>
      <c r="K16" s="7"/>
      <c r="L16" s="7"/>
      <c r="M16" s="7"/>
      <c r="N16" s="7"/>
      <c r="O16" s="7"/>
    </row>
    <row r="17" spans="1:5">
      <c r="A17" s="11"/>
      <c r="B17" s="11" t="str">
        <f>Osiris!B13</f>
        <v>Patient.DeathDate</v>
      </c>
      <c r="C17" s="11" t="s">
        <v>23</v>
      </c>
      <c r="E17" s="12" t="str">
        <f t="shared" si="0"/>
        <v>* Patient.DeathDate -&gt; ##34#to be mapped##34#</v>
      </c>
    </row>
    <row r="18" spans="1:5">
      <c r="A18" s="11"/>
      <c r="B18" s="11" t="str">
        <f>Osiris!B14</f>
        <v>Patient.ProviderCenterId</v>
      </c>
      <c r="C18" s="11" t="s">
        <v>175</v>
      </c>
      <c r="E18" s="12" t="str">
        <f t="shared" si="0"/>
        <v>* Patient.ProviderCenterId -&gt; ##34#.address.country##34#</v>
      </c>
    </row>
    <row r="19" spans="1:5">
      <c r="A19" s="11"/>
      <c r="B19" s="11" t="str">
        <f>Osiris!B15</f>
        <v>Patient.OriginCenterId</v>
      </c>
      <c r="C19" s="12"/>
      <c r="E19" s="12" t="str">
        <f t="shared" si="0"/>
        <v>* Patient.OriginCenterId -&gt; ##34###34#</v>
      </c>
    </row>
    <row r="20" spans="1:5">
      <c r="A20" s="11"/>
      <c r="B20" s="11" t="str">
        <f>Osiris!B16</f>
        <v>Patient.CauseOfDeath</v>
      </c>
      <c r="C20" s="12"/>
      <c r="E20" s="12" t="str">
        <f t="shared" si="0"/>
        <v>* Patient.CauseOfDeath -&gt; ##34###34#</v>
      </c>
    </row>
    <row r="21" spans="1:5">
      <c r="B21" s="11" t="str">
        <f>Osiris!B17</f>
        <v>Patient.LastNewsDate</v>
      </c>
      <c r="C21" s="12"/>
      <c r="E21" s="12" t="str">
        <f t="shared" si="0"/>
        <v>* Patient.LastNewsDate -&gt; ##34###34#</v>
      </c>
    </row>
    <row r="22" spans="1:5">
      <c r="B22" s="11" t="str">
        <f>Osiris!B18</f>
        <v>Patient.LastNewsStatus</v>
      </c>
      <c r="C22" s="12"/>
      <c r="E22" s="12" t="str">
        <f t="shared" si="0"/>
        <v>* Patient.LastNewsStatus -&gt; ##34###34#</v>
      </c>
    </row>
    <row r="23" spans="1:5">
      <c r="B23" s="11" t="str">
        <f>Osiris!B19</f>
        <v>Consent</v>
      </c>
      <c r="C23" s="12"/>
      <c r="E23" s="12" t="str">
        <f t="shared" si="0"/>
        <v>* Consent -&gt; ##34###34#</v>
      </c>
    </row>
    <row r="24" spans="1:5">
      <c r="B24" s="11" t="str">
        <f>Osiris!B20</f>
        <v>Consent.Date</v>
      </c>
      <c r="C24" s="12"/>
      <c r="E24" s="12" t="str">
        <f t="shared" si="0"/>
        <v>* Consent.Date -&gt; ##34###34#</v>
      </c>
    </row>
    <row r="25" spans="1:5">
      <c r="B25" s="11" t="str">
        <f>Osiris!B21</f>
        <v>Consent.GeneticAnalysisAuthorization</v>
      </c>
      <c r="C25" s="12"/>
      <c r="E25" s="12" t="str">
        <f t="shared" si="0"/>
        <v>* Consent.GeneticAnalysisAuthorization -&gt; ##34###34#</v>
      </c>
    </row>
    <row r="26" spans="1:5">
      <c r="B26" s="11" t="str">
        <f>Osiris!B22</f>
        <v>RelatedPathology</v>
      </c>
      <c r="C26" s="12"/>
      <c r="E26" s="12"/>
    </row>
    <row r="27" spans="1:5">
      <c r="B27" s="11" t="str">
        <f>Osiris!B23</f>
        <v>RelatedPathology.PathologyCode</v>
      </c>
      <c r="C27" s="12"/>
      <c r="E27" s="12"/>
    </row>
    <row r="28" spans="1:5">
      <c r="B28" s="11" t="str">
        <f>Osiris!B24</f>
        <v>RelatedPathology.DiagnosisDate</v>
      </c>
      <c r="E28" s="12"/>
    </row>
    <row r="29" spans="1:5">
      <c r="B29" s="11" t="str">
        <f>Osiris!B25</f>
        <v>RelatedPathology.PathologyEndDate</v>
      </c>
      <c r="C29" s="12"/>
      <c r="E29" s="12"/>
    </row>
    <row r="30" spans="1:5">
      <c r="B30" s="11" t="str">
        <f>Osiris!B26</f>
        <v>FamilyCancerHistory</v>
      </c>
      <c r="E30" s="12"/>
    </row>
    <row r="31" spans="1:5">
      <c r="B31" s="11" t="str">
        <f>Osiris!B27</f>
        <v>FamilyCancerHistory.TopographyCode</v>
      </c>
      <c r="E31" s="12"/>
    </row>
    <row r="32" spans="1:5">
      <c r="B32" s="11" t="str">
        <f>Osiris!B28</f>
        <v>FamilyCancerHistory.Parentage</v>
      </c>
      <c r="E32" s="12"/>
    </row>
    <row r="33" spans="2:2">
      <c r="B33" s="11" t="str">
        <f>Osiris!B29</f>
        <v>TumorPathologyEvent</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cols>
    <col min="3" max="3" width="108.2265625" style="12" customWidth="1"/>
    <col min="7" max="7" width="29.54296875" customWidth="1"/>
    <col min="8" max="8" width="54.90625" customWidth="1"/>
  </cols>
  <sheetData>
    <row r="1" spans="3:7" ht="15.5" thickBot="1">
      <c r="C1" s="24" t="str">
        <f>Osiris!I1</f>
        <v>// -------------------------------------------------------------------------------</v>
      </c>
    </row>
    <row r="2" spans="3:7" ht="16.75" thickBot="1">
      <c r="C2" s="25" t="str">
        <f>Osiris!I2</f>
        <v>//  Logical Model</v>
      </c>
      <c r="G2" s="30" t="s">
        <v>1411</v>
      </c>
    </row>
    <row r="3" spans="3:7">
      <c r="C3" s="25" t="str">
        <f>Osiris!I3</f>
        <v>// -------------------------------------------------------------------------------</v>
      </c>
    </row>
    <row r="4" spans="3:7">
      <c r="C4" s="17" t="str">
        <f>Osiris!I4</f>
        <v>Logical: Osiris</v>
      </c>
    </row>
    <row r="5" spans="3:7">
      <c r="C5" s="17" t="str">
        <f>Osiris!I5</f>
        <v>Id: Osiris</v>
      </c>
    </row>
    <row r="6" spans="3:7">
      <c r="C6" s="17" t="str">
        <f>Osiris!I6</f>
        <v>Title: ##34#Osiris Model##34#</v>
      </c>
    </row>
    <row r="7" spans="3:7">
      <c r="C7" s="17" t="str">
        <f>Osiris!I7</f>
        <v>Description:  ##334#Osiris Data Element Concept##334#</v>
      </c>
    </row>
    <row r="8" spans="3:7">
      <c r="C8" s="12" t="str">
        <f>IF(Osiris!I8="//---- END","//---- END",Osiris!I8)</f>
        <v>* Patient 1..* BackboneElement ##34#Patient##34# ##334#Patient##334#</v>
      </c>
    </row>
    <row r="9" spans="3:7" ht="29.5">
      <c r="C9" s="12" t="str">
        <f>IF(Osiris!I9="//---- END","//---- END",Osiris!I9)</f>
        <v>* Patient.Id 1..* string ##34#Patient Id [C1]##34# ##334#Patient ID in the center providing the information
_x000D_mandatory##334#</v>
      </c>
    </row>
    <row r="10" spans="3:7" ht="44.25">
      <c r="C10" s="12" t="str">
        <f>IF(Osiris!I10="//---- END","//---- END",Osiris!I10)</f>
        <v>* Patient.Gender 1..* string ##34#Gender [C2]##34# ##334#Gender of the patient
_x000D_ConceptualDomain: FHIR:AdministrativeGender
_x000D_mandatory##334#</v>
      </c>
      <c r="G10" s="76"/>
    </row>
    <row r="11" spans="3:7" ht="44.25">
      <c r="C11" s="12" t="str">
        <f>IF(Osiris!I11="//---- END","//---- END",Osiris!I11)</f>
        <v>* Patient.Ethnicity 0..* string ##34#Ethnicity [C3]##34# ##334#Ethnicity of the patient
_x000D_ConceptualDomain: FHIR:Race
_x000D_optional##334#</v>
      </c>
    </row>
    <row r="12" spans="3:7" ht="29.5">
      <c r="C12" s="12" t="str">
        <f>IF(Osiris!I12="//---- END","//---- END",Osiris!I12)</f>
        <v>* Patient.BirthDate 1..* date ##34#Birth Date [C4]##34# ##334#Date of birth of the patient
_x000D_mandatory##334#</v>
      </c>
    </row>
    <row r="13" spans="3:7" ht="29.5">
      <c r="C13" s="12" t="str">
        <f>IF(Osiris!I13="//---- END","//---- END",Osiris!I13)</f>
        <v>* Patient.DeathDate 0..* date ##34#Death Date [C5]##34# ##334#Date of death of the patient
_x000D_optional##334#</v>
      </c>
    </row>
    <row r="14" spans="3:7" ht="44.25">
      <c r="C14" s="12" t="str">
        <f>IF(Osiris!I14="//---- END","//---- END",Osiris!I14)</f>
        <v>* Patient.ProviderCenterId 1..* string ##34#Provider  Center  Id [C6]##34# ##334#Center ID of the center providing the information
_x000D_mandatory##334#</v>
      </c>
    </row>
    <row r="15" spans="3:7" ht="29.5">
      <c r="C15" s="12" t="str">
        <f>IF(Osiris!I15="//---- END","//---- END",Osiris!I15)</f>
        <v>* Patient.OriginCenterId 1..* string ##34#Origin  Center  Id [C71]##34# ##334#Center ID of the center of origin of the patient
_x000D_mandatory##334#</v>
      </c>
    </row>
    <row r="16" spans="3:7" ht="44.25">
      <c r="C16" s="12" t="str">
        <f>IF(Osiris!I16="//---- END","//---- END",Osiris!I16)</f>
        <v>* Patient.CauseOfDeath 0..* string ##34#Cause of death [C7]##34# ##334#Description of the cause of death of the patient 
_x000D_ConceptualDomain: UMLS:C0007465
_x000D_mandatory if DeathDate is set##334#</v>
      </c>
    </row>
    <row r="17" spans="3:3" ht="44.25">
      <c r="C17" s="12" t="str">
        <f>IF(Osiris!I17="//---- END","//---- END",Osiris!I17)</f>
        <v>* Patient.LastNewsDate 1..* date ##34#Last News Date [C8]##34# ##334#Date of last news (= date of last patient visit if there is no other information available) (day is set to the 15th)
_x000D_mandatory##334#</v>
      </c>
    </row>
    <row r="18" spans="3:3" ht="59">
      <c r="C18" s="12" t="str">
        <f>IF(Osiris!I18="//---- END","//---- END",Osiris!I18)</f>
        <v>* Patient.LastNewsStatus 1..* string ##34#Last News Status [C9]##34# ##334#Indicator of the patient's last known vital status (alive or deceased)
_x000D_ConceptualDomain: OSIRIS:LastNewsStatus
_x000D_mandatory##334#</v>
      </c>
    </row>
    <row r="19" spans="3:3">
      <c r="C19" s="12" t="str">
        <f>IF(Osiris!I19="//---- END","//---- END",Osiris!I19)</f>
        <v>* Consent 1..* BackboneElement ##34#Consent##34# ##334#Consent##334#</v>
      </c>
    </row>
    <row r="20" spans="3:3" ht="29.5">
      <c r="C20" s="12" t="str">
        <f>IF(Osiris!I20="//---- END","//---- END",Osiris!I20)</f>
        <v>* Consent.Date 1..* date ##34#Date [C72]##34# ##334#Date of consent signature
_x000D_mandatory##334#</v>
      </c>
    </row>
    <row r="21" spans="3:3" ht="59">
      <c r="C21" s="12" t="str">
        <f>IF(Osiris!I21="//---- END","//---- END",Osiris!I21)</f>
        <v>* Consent.GeneticAnalysisAuthorization 1..* string ##34#Genetic Analysis Authorization [C79]##34# ##334#Consent for genetic analysis
_x000D_ConceptualDomain: OSIRIS:Boolean
_x000D_mandatory##334#</v>
      </c>
    </row>
    <row r="22" spans="3:3">
      <c r="C22" s="12" t="str">
        <f>IF(Osiris!I22="//---- END","//---- END",Osiris!I22)</f>
        <v>* RelatedPathology 0..* BackboneElement ##34#RelatedPathology##34# ##334#RelatedPathology##334#</v>
      </c>
    </row>
    <row r="23" spans="3:3" ht="59">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c r="C24" s="12" t="str">
        <f>IF(Osiris!I24="//---- END","//---- END",Osiris!I24)</f>
        <v>* RelatedPathology.DiagnosisDate 0..* date ##34#Diagnosis Date [C14]##34# ##334#Date of diagnosis for the related disease.
_x000D_mandatory if ObjectClass is set##334#</v>
      </c>
    </row>
    <row r="25" spans="3:3" ht="44.25">
      <c r="C25" s="12" t="str">
        <f>IF(Osiris!I25="//---- END","//---- END",Osiris!I25)</f>
        <v>* RelatedPathology.PathologyEndDate 0..* date ##34#Pathology End Date [C15]##34# ##334#Date of the end of the related disease (if occuring and known)
_x000D_optional##334#</v>
      </c>
    </row>
    <row r="26" spans="3:3">
      <c r="C26" s="12" t="str">
        <f>IF(Osiris!I26="//---- END","//---- END",Osiris!I26)</f>
        <v>* FamilyCancerHistory 0..* BackboneElement ##34#FamilyCancerHistory##34# ##334#FamilyCancerHistory##334#</v>
      </c>
    </row>
    <row r="27" spans="3:3" ht="59">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c r="C28" s="12" t="str">
        <f>IF(Osiris!I28="//---- END","//---- END",Osiris!I28)</f>
        <v>* FamilyCancerHistory.Parentage 0..* string ##34#Parentage [C77]##34# ##334#Family relationship
_x000D_ConceptualDomain: OSIRIS:FamilyCancerHistoryParentage
_x000D_mandatory if ObjectClass is set##334#</v>
      </c>
    </row>
    <row r="29" spans="3:3">
      <c r="C29" s="12" t="str">
        <f>IF(Osiris!I29="//---- END","//---- END",Osiris!I29)</f>
        <v>* TumorPathologyEvent 1..* BackboneElement ##34#TumorPathologyEvent##34# ##334#TumorPathologyEvent##334#</v>
      </c>
    </row>
    <row r="30" spans="3:3" ht="59">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c r="C31" s="12" t="str">
        <f>IF(Osiris!I31="//---- END","//---- END",Osiris!I31)</f>
        <v>* TumorPathologyEvent.StartDate 1..* date ##34#Start Date [C21]##34# ##334#Date of start of cancer event or disease
_x000D_mandatory##334#</v>
      </c>
    </row>
    <row r="32" spans="3:3" ht="29.5">
      <c r="C32" s="12" t="str">
        <f>IF(Osiris!I32="//---- END","//---- END",Osiris!I32)</f>
        <v>* TumorPathologyEvent.EndDate 0..* date ##34#End Date [C82]##34# ##334#Date of end of cancer event or disease
_x000D_optional##334#</v>
      </c>
    </row>
    <row r="33" spans="3:3" ht="59">
      <c r="C33" s="12" t="str">
        <f>IF(Osiris!I33="//---- END","//---- END",Osiris!I33)</f>
        <v>* TumorPathologyEvent.PerformanceStatus 0..* string ##34#Performance Status [C22]##34# ##334#Definition of the autonomy scale (Karnofsky scale or OMS)
_x000D_ConceptualDomain: OMS:PerformanceStatus
_x000D_optional##334#</v>
      </c>
    </row>
    <row r="34" spans="3:3" ht="44.25">
      <c r="C34" s="12" t="str">
        <f>IF(Osiris!I34="//---- END","//---- END",Osiris!I34)</f>
        <v>* TumorPathologyEvent.G8 0..* integer ##34#G8 score [C23]##34# ##334#Tool for the evaluation of the general condition of the patient
_x000D_optional##334#</v>
      </c>
    </row>
    <row r="35" spans="3:3" ht="59">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c r="C37" s="12" t="str">
        <f>IF(Osiris!I37="//---- END","//---- END",Osiris!I37)</f>
        <v>* TumorPathologyEvent.StadeType 0..* string ##34#Stade Type [C31]##34# ##334#List of stage scales
_x000D_ConceptualDomain: OSIRIS:StadeType
_x000D_optional, mandatory if StadeValue is set##334#</v>
      </c>
    </row>
    <row r="38" spans="3:3" ht="44.25">
      <c r="C38" s="12" t="str">
        <f>IF(Osiris!I38="//---- END","//---- END",Osiris!I38)</f>
        <v>* TumorPathologyEvent.StadeValue 0..* string ##34#Stade Value [C32]##34# ##334#Stage value
_x000D_ConceptualDomain: OSIRIS:StadeValue
_x000D_optional, mandatory if StadeType is set##334#</v>
      </c>
    </row>
    <row r="39" spans="3:3" ht="29.5">
      <c r="C39" s="12" t="str">
        <f>IF(Osiris!I39="//---- END","//---- END",Osiris!I39)</f>
        <v>* TumorPathologyEvent.DiagnosisDate 1..* date ##34#Diagnosis Date [C33]##34# ##334#Date of diagnosis of the tumor event
_x000D_mandatory##334#</v>
      </c>
    </row>
    <row r="40" spans="3:3" ht="59">
      <c r="C40" s="12" t="str">
        <f>IF(Osiris!I40="//---- END","//---- END",Osiris!I40)</f>
        <v>* TumorPathologyEvent.TopographyCode 1..* string ##34#Topography Code [C34]##34# ##334#Localisation of the primary tumor
_x000D_ConceptualDomain: ICDO3:Topography
_x000D_mandatory##334#</v>
      </c>
    </row>
    <row r="41" spans="3:3" ht="59">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c r="C42" s="12" t="str">
        <f>IF(Osiris!I42="//---- END","//---- END",Osiris!I42)</f>
        <v>* TumorPathologyEvent.Laterality 0..* string ##34#Laterality [C36]##34# ##334#Laterality of location (if it exists)
_x000D_ConceptualDomain: OSIRIS:Laterality
_x000D_optional##334#</v>
      </c>
    </row>
    <row r="43" spans="3:3">
      <c r="C43" s="12" t="str">
        <f>IF(Osiris!I43="//---- END","//---- END",Osiris!I43)</f>
        <v>* TNM 0..* BackboneElement ##34#TNM##34# ##334#TNM##334#</v>
      </c>
    </row>
    <row r="44" spans="3:3" ht="44.25">
      <c r="C44" s="12" t="str">
        <f>IF(Osiris!I44="//---- END","//---- END",Osiris!I44)</f>
        <v>* TNM.T 0..* string ##34#T [C83]##34# ##334#Size of the tumor, propagation the site of the primary tumor
_x000D_ConceptualDomain: OSIRIS:T_TNM
_x000D_optional, mandatory if either N, M or TNMType is set##334#</v>
      </c>
    </row>
    <row r="45" spans="3:3" ht="44.25">
      <c r="C45" s="12" t="str">
        <f>IF(Osiris!I45="//---- END","//---- END",Osiris!I45)</f>
        <v>* TNM.N 0..* string ##34#N [C84]##34# ##334#Propagation at the ganglion level
_x000D_ConceptualDomain: OSIRIS:N_TNM
_x000D_optional, mandatory if either T, M or TNMType is set##334#</v>
      </c>
    </row>
    <row r="46" spans="3:3" ht="44.25">
      <c r="C46" s="12" t="str">
        <f>IF(Osiris!I46="//---- END","//---- END",Osiris!I46)</f>
        <v>* TNM.M 0..* string ##34#M [C85]##34# ##334#Remote propagation, presence of metastases
_x000D_ConceptualDomain: OSIRIS:M_TNM
_x000D_optional, mandatory if either T, N or TNMType is set##334#</v>
      </c>
    </row>
    <row r="47" spans="3:3" ht="44.25">
      <c r="C47" s="12" t="str">
        <f>IF(Osiris!I47="//---- END","//---- END",Osiris!I47)</f>
        <v>* TNM.Version 0..* string ##34#TNM Version [C86]##34# ##334#TNM classification version
_x000D_ConceptualDomain: OSIRIS:TNMVersion
_x000D_optional##334#</v>
      </c>
    </row>
    <row r="48" spans="3:3" ht="44.25">
      <c r="C48" s="12" t="str">
        <f>IF(Osiris!I48="//---- END","//---- END",Osiris!I48)</f>
        <v>* TNM.Type 0..* string ##34#TNM Type [C87]##34# ##334#c, p, r,...
_x000D_ConceptualDomain: OSIRIS:TNMType
_x000D_optional, mandatory if either T, N or M is set##334#</v>
      </c>
    </row>
    <row r="49" spans="3:3">
      <c r="C49" s="12" t="str">
        <f>IF(Osiris!I49="//---- END","//---- END",Osiris!I49)</f>
        <v>* Analysis 0..* BackboneElement ##34#Analysis##34# ##334#Analysis##334#</v>
      </c>
    </row>
    <row r="50" spans="3:3" ht="29.5">
      <c r="C50" s="12" t="str">
        <f>IF(Osiris!I50="//---- END","//---- END",Osiris!I50)</f>
        <v>* Analysis.Code 0..* string ##34#Code [C70]##34# ##334#Code of analysis
_x000D_optional##334#</v>
      </c>
    </row>
    <row r="51" spans="3:3" ht="44.25">
      <c r="C51" s="12" t="str">
        <f>IF(Osiris!I51="//---- END","//---- END",Osiris!I51)</f>
        <v>* Analysis.Type 0..* string ##34#Type [C37]##34# ##334#Type of analysis
_x000D_ConceptualDomain: OSIRIS:AnalysisType
_x000D_mandatory if ObjectClass is set##334#</v>
      </c>
    </row>
    <row r="52" spans="3:3" ht="29.5">
      <c r="C52" s="12" t="str">
        <f>IF(Osiris!I52="//---- END","//---- END",Osiris!I52)</f>
        <v>* Analysis.Date 0..* date ##34#Date [C38]##34# ##334#Date of analysis
_x000D_mandatory if ObjectClass is set##334#</v>
      </c>
    </row>
    <row r="53" spans="3:3">
      <c r="C53" s="12" t="str">
        <f>IF(Osiris!I53="//---- END","//---- END",Osiris!I53)</f>
        <v>* ResponseEvaluation 0..* BackboneElement ##34#ResponseEvaluation##34# ##334#ResponseEvaluation##334#</v>
      </c>
    </row>
    <row r="54" spans="3:3" ht="29.5">
      <c r="C54" s="12" t="str">
        <f>IF(Osiris!I54="//---- END","//---- END",Osiris!I54)</f>
        <v>* ResponseEvaluation.Date 0..* date ##34#Date [C78]##34# ##334#Date of assessment of treatment response
_x000D_mandatory if ObjectClass is set##334#</v>
      </c>
    </row>
    <row r="55" spans="3:3" ht="44.25">
      <c r="C55" s="12" t="str">
        <f>IF(Osiris!I55="//---- END","//---- END",Osiris!I55)</f>
        <v>* ResponseEvaluation.Status 0..* string ##34#Status [C73]##34# ##334#Assessment of treatment response
_x000D_ConceptualDomain: OSIRIS:RECIST
_x000D_mandatory if ObjectClass is set##334#</v>
      </c>
    </row>
    <row r="56" spans="3:3">
      <c r="C56" s="12" t="str">
        <f>IF(Osiris!I56="//---- END","//---- END",Osiris!I56)</f>
        <v>* Biomarker 0..* BackboneElement ##34#Biomarker##34# ##334#Biomarker##334#</v>
      </c>
    </row>
    <row r="57" spans="3:3" ht="44.25">
      <c r="C57" s="12" t="str">
        <f>IF(Osiris!I57="//---- END","//---- END",Osiris!I57)</f>
        <v>* Biomarker.Code 0..* string ##34#Code [C39]##34# ##334#Biomarker name
_x000D_ConceptualDomain: OSIRIS:BiomarkerCode
_x000D_mandatory if ObjectClass is set##334#</v>
      </c>
    </row>
    <row r="58" spans="3:3" ht="29.5">
      <c r="C58" s="12" t="str">
        <f>IF(Osiris!I58="//---- END","//---- END",Osiris!I58)</f>
        <v>* Biomarker.Value 0..* string ##34#Value [C40]##34# ##334#Biomarker value
_x000D_mandatory if ObjectClass is set##334#</v>
      </c>
    </row>
    <row r="59" spans="3:3" ht="29.5">
      <c r="C59" s="12" t="str">
        <f>IF(Osiris!I59="//---- END","//---- END",Osiris!I59)</f>
        <v>* Biomarker.Unit 0..* string ##34#Unit [C81]##34# ##334#Biomarker unit
_x000D_optional##334#</v>
      </c>
    </row>
    <row r="60" spans="3:3">
      <c r="C60" s="12" t="str">
        <f>IF(Osiris!I60="//---- END","//---- END",Osiris!I60)</f>
        <v>* Treatment 0..* BackboneElement ##34#Treatment##34# ##334#Treatment##334#</v>
      </c>
    </row>
    <row r="61" spans="3:3" ht="44.25">
      <c r="C61" s="12" t="str">
        <f>IF(Osiris!I61="//---- END","//---- END",Osiris!I61)</f>
        <v>* Treatment.Type 0..* string ##34#Type [C41]##34# ##334#Type of treatment
_x000D_ConceptualDomain: OSIRIS:TreatmentType
_x000D_mandatory if ObjectClass is set##334#</v>
      </c>
    </row>
    <row r="62" spans="3:3" ht="29.5">
      <c r="C62" s="12" t="str">
        <f>IF(Osiris!I62="//---- END","//---- END",Osiris!I62)</f>
        <v>* Treatment.LineNumber 0..* string ##34#Line Number [C74]##34# ##334#Line of treatment
_x000D_optional##334#</v>
      </c>
    </row>
    <row r="63" spans="3:3" ht="44.25">
      <c r="C63" s="12" t="str">
        <f>IF(Osiris!I63="//---- END","//---- END",Osiris!I63)</f>
        <v>* Treatment.ActivityCode 0..* string ##34#Activity Code [C42]##34# ##334#CCAM code of the medical act
_x000D_ConceptualDomain: CCAM
_x000D_optional##334#</v>
      </c>
    </row>
    <row r="64" spans="3:3" ht="29.5">
      <c r="C64" s="12" t="str">
        <f>IF(Osiris!I64="//---- END","//---- END",Osiris!I64)</f>
        <v>* Treatment.StartDate 0..* date ##34#Start Date [C43]##34# ##334#Date of treatment start
_x000D_mandatory if ObjectClass is set##334#</v>
      </c>
    </row>
    <row r="65" spans="3:3" ht="29.5">
      <c r="C65" s="12" t="str">
        <f>IF(Osiris!I65="//---- END","//---- END",Osiris!I65)</f>
        <v>* Treatment.EndDate 0..* date ##34#End Date [C44]##34# ##334#Date of treatment end
_x000D_mandatory if ObjectClass is set##334#</v>
      </c>
    </row>
    <row r="66" spans="3:3" ht="59">
      <c r="C66" s="12" t="str">
        <f>IF(Osiris!I66="//---- END","//---- END",Osiris!I66)</f>
        <v>* Treatment.ClinicalTrialContext 0..* string ##34#Clinical Trial Context [C45]##34# ##334#Treatment performed in a clinical study setting
_x000D_ConceptualDomain: OSIRIS:Boolean
_x000D_optional##334#</v>
      </c>
    </row>
    <row r="67" spans="3:3" ht="29.5">
      <c r="C67" s="12" t="str">
        <f>IF(Osiris!I67="//---- END","//---- END",Osiris!I67)</f>
        <v>* Treatment.ClinicalTrialName 0..* string ##34#Clinical Trial Name [C75]##34# ##334#Name of the clinical study
_x000D_optional, mandatory if ClinicalTrialContext is 'Yes'##334#</v>
      </c>
    </row>
    <row r="68" spans="3:3" ht="29.5">
      <c r="C68" s="12" t="str">
        <f>IF(Osiris!I68="//---- END","//---- END",Osiris!I68)</f>
        <v>* Treatment.ClinicalTrialId 0..* string ##34#Clinical Trial Id [C76]##34# ##334#NCT identifier of the clinical study
_x000D_optional, mandatory if ClinicalTrialContext is 'Yes'##334#</v>
      </c>
    </row>
    <row r="69" spans="3:3" ht="59">
      <c r="C69" s="12" t="str">
        <f>IF(Osiris!I69="//---- END","//---- END",Osiris!I69)</f>
        <v>* Treatment.SurgeryResectionQuality 0..* string ##34#Surgery Resection Quality [C46]##34# ##334#Quality of resection (anapath)
_x000D_ConceptualDomain: OSIRIS:SurgeryResectionQuality
_x000D_optional##334#</v>
      </c>
    </row>
    <row r="70" spans="3:3" ht="29.5">
      <c r="C70" s="12" t="str">
        <f>IF(Osiris!I70="//---- END","//---- END",Osiris!I70)</f>
        <v>* Treatment.SurgeryNature 0..* string ##34#Surgery Nature [C47]##34# ##334#Nature of the surgery
_x000D_optional##334#</v>
      </c>
    </row>
    <row r="71" spans="3:3">
      <c r="C71" s="12" t="str">
        <f>IF(Osiris!I71="//---- END","//---- END",Osiris!I71)</f>
        <v>* AdverseEvent 0..* BackboneElement ##34#AdverseEvent##34# ##334#AdverseEvent##334#</v>
      </c>
    </row>
    <row r="72" spans="3:3" ht="59">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c r="C73" s="12" t="str">
        <f>IF(Osiris!I73="//---- END","//---- END",Osiris!I73)</f>
        <v>* AdverseEvent.Date 0..* date ##34#Date [C49]##34# ##334#Date of the diagnosis of the adverse event
_x000D_mandatory if ObjectClass is set##334#</v>
      </c>
    </row>
    <row r="74" spans="3:3" ht="29.5">
      <c r="C74" s="12" t="str">
        <f>IF(Osiris!I74="//---- END","//---- END",Osiris!I74)</f>
        <v>* AdverseEvent.EndDate 0..* date ##34#End Date [C50]##34# ##334#End date of the adverse event (if known)
_x000D_optional##334#</v>
      </c>
    </row>
    <row r="75" spans="3:3" ht="29.5">
      <c r="C75" s="12" t="str">
        <f>IF(Osiris!I75="//---- END","//---- END",Osiris!I75)</f>
        <v>* AdverseEvent.Grade 0..* string ##34#Grade [C80]##34# ##334#Grade of the adverse event
_x000D_mandatory if ObjectClass is set##334#</v>
      </c>
    </row>
    <row r="76" spans="3:3">
      <c r="C76" s="12" t="str">
        <f>IF(Osiris!I76="//---- END","//---- END",Osiris!I76)</f>
        <v>* Drug 0..* BackboneElement ##34#Drug##34# ##334#Drug##334#</v>
      </c>
    </row>
    <row r="77" spans="3:3" ht="44.25">
      <c r="C77" s="12" t="str">
        <f>IF(Osiris!I77="//---- END","//---- END",Osiris!I77)</f>
        <v>* Drug.Code 0..* string ##34#Code [C51]##34# ##334#Therapeutic classification code (5th level if possible)
_x000D_ConceptualDomain: ATC
_x000D_mandatory if ObjectClass is set##334#</v>
      </c>
    </row>
    <row r="78" spans="3:3" ht="29.5">
      <c r="C78" s="12" t="str">
        <f>IF(Osiris!I78="//---- END","//---- END",Osiris!I78)</f>
        <v>* Drug.Name 0..* string ##34#Name [C52]##34# ##334#Name of the molecule
_x000D_mandatory if ObjectClass is set##334#</v>
      </c>
    </row>
    <row r="79" spans="3:3">
      <c r="C79" s="12" t="str">
        <f>IF(Osiris!I79="//---- END","//---- END",Osiris!I79)</f>
        <v>* BiologicalSample 0..* BackboneElement ##34#BiologicalSample##34# ##334#BiologicalSample##334#</v>
      </c>
    </row>
    <row r="80" spans="3:3" ht="44.25">
      <c r="C80" s="12" t="str">
        <f>IF(Osiris!I80="//---- END","//---- END",Osiris!I80)</f>
        <v>* BiologicalSample.ExternalAccession 0..* string ##34#Sample External Accession [C53]##34# ##334#Unique identifier of the sample
_x000D_mandatory if ObjectClass is set##334#</v>
      </c>
    </row>
    <row r="81" spans="3:3" ht="44.25">
      <c r="C81" s="12" t="str">
        <f>IF(Osiris!I81="//---- END","//---- END",Osiris!I81)</f>
        <v>* BiologicalSample.ParentExternalAccession 0..* string ##34#Parent sample External Accession [C54]##34# ##334#Unique identifier of the parent sample (if there is one, example histo#)
_x000D_optional##334#</v>
      </c>
    </row>
    <row r="82" spans="3:3" ht="29.5">
      <c r="C82" s="12" t="str">
        <f>IF(Osiris!I82="//---- END","//---- END",Osiris!I82)</f>
        <v>* BiologicalSample.CollectDate 0..* date ##34#Collect Date [C56]##34# ##334#Date of sampling
_x000D_mandatory if ObjectClass is set##334#</v>
      </c>
    </row>
    <row r="83" spans="3:3" ht="44.25">
      <c r="C83" s="12" t="str">
        <f>IF(Osiris!I83="//---- END","//---- END",Osiris!I83)</f>
        <v>* BiologicalSample.TopographyCode 0..* string ##34#Topography Code [C57]##34# ##334#Code of tumor localization
_x000D_ConceptualDomain: ICDO3:Topography
_x000D_mandatory if ObjectClass is set##334#</v>
      </c>
    </row>
    <row r="84" spans="3:3" ht="44.25">
      <c r="C84" s="12" t="str">
        <f>IF(Osiris!I84="//---- END","//---- END",Osiris!I84)</f>
        <v>* BiologicalSample.Nature 0..* string ##34#Nature [C58]##34# ##334#Nature of the sample
_x000D_ConceptualDomain: OSIRIS:SampleNature
_x000D_mandatory if ObjectClass is set##334#</v>
      </c>
    </row>
    <row r="85" spans="3:3" ht="44.25">
      <c r="C85" s="12" t="str">
        <f>IF(Osiris!I85="//---- END","//---- END",Osiris!I85)</f>
        <v>* BiologicalSample.Origin 0..* string ##34#Origin [C59]##34# ##334#Nature of the original sample (Healthy or Tumoral)
_x000D_ConceptualDomain: OSIRIS:SampleOrigin
_x000D_mandatory if ObjectClass is set##334#</v>
      </c>
    </row>
    <row r="86" spans="3:3" ht="44.25">
      <c r="C86" s="12" t="str">
        <f>IF(Osiris!I86="//---- END","//---- END",Osiris!I86)</f>
        <v>* BiologicalSample.StorageTemperature 0..* string ##34#Storage Temperature [C60]##34# ##334#Mode of preservation
_x000D_ConceptualDomain: OSIRIS:StorageTemperature
_x000D_optional##334#</v>
      </c>
    </row>
    <row r="87" spans="3:3" ht="44.25">
      <c r="C87" s="12" t="str">
        <f>IF(Osiris!I87="//---- END","//---- END",Osiris!I87)</f>
        <v>* BiologicalSample.TumorCellularity 0..* integer ##34#Tumor Cellularity [C61]##34# ##334#Percentage of tumor cells quantified in the sample
_x000D_optional##334#</v>
      </c>
    </row>
    <row r="88" spans="3:3">
      <c r="C88" s="12" t="str">
        <f>IF(Osiris!I88="//---- END","//---- END",Osiris!I88)</f>
        <v>* Technology 1..* BackboneElement ##34#Technology##34# ##334#Technology##334#</v>
      </c>
    </row>
    <row r="89" spans="3:3" ht="44.25">
      <c r="C89" s="12" t="str">
        <f>IF(Osiris!I89="//---- END","//---- END",Osiris!I89)</f>
        <v>* Technology.TechnicalProtocol 1..* string ##34#Technical Protocol [O6]##34# ##334#Protocol used for the experiment
_x000D_ConceptualDomain: OSIRIS:TechnicalProtocol
_x000D_mandatory##334#</v>
      </c>
    </row>
    <row r="90" spans="3:3" ht="59">
      <c r="C90" s="12" t="str">
        <f>IF(Osiris!I90="//---- END","//---- END",Osiris!I90)</f>
        <v>* Technology.PlatformName 1..* string ##34#Platform Name [O7]##34# ##334#Technological platform name (provider followed by the platform name)
_x000D_ConceptualDomain: OSIRIS:PlatformName
_x000D_mandatory##334#</v>
      </c>
    </row>
    <row r="91" spans="3:3" ht="29.5">
      <c r="C91" s="12" t="str">
        <f>IF(Osiris!I91="//---- END","//---- END",Osiris!I91)</f>
        <v>* Technology.PlatformAccession 0..* string ##34#Platform Accession [O8]##34# ##334#GEO Identifier of the platform
_x000D_optional##334#</v>
      </c>
    </row>
    <row r="92" spans="3:3" ht="44.25">
      <c r="C92" s="12" t="str">
        <f>IF(Osiris!I92="//---- END","//---- END",Osiris!I92)</f>
        <v>* Technology.DateOfExperiment 0..* date ##34#Date Of Experiment [O9]##34# ##334#Date when the experiment was performed
_x000D_optional##334#</v>
      </c>
    </row>
    <row r="93" spans="3:3">
      <c r="C93" s="12" t="str">
        <f>IF(Osiris!I93="//---- END","//---- END",Osiris!I93)</f>
        <v>* Panel 0..* BackboneElement ##34#Panel##34# ##334#Panel##334#</v>
      </c>
    </row>
    <row r="94" spans="3:3" ht="59">
      <c r="C94" s="12" t="str">
        <f>IF(Osiris!I94="//---- END","//---- END",Osiris!I94)</f>
        <v>* Panel.Name 0..* string ##34#Name [O10]##34# ##334#Name of the panel targeted by the experimental analysis (provider followed by the panel name)
_x000D_ConceptualDomain: OSIRIS:PanelName
_x000D_optional##334#</v>
      </c>
    </row>
    <row r="95" spans="3:3">
      <c r="C95" s="12" t="str">
        <f>IF(Osiris!I95="//---- END","//---- END",Osiris!I95)</f>
        <v>* AnalysisProcess 1..* BackboneElement ##34#AnalysisProcess##34# ##334#AnalysisProcess##334#</v>
      </c>
    </row>
    <row r="96" spans="3:3" ht="44.25">
      <c r="C96" s="12" t="str">
        <f>IF(Osiris!I96="//---- END","//---- END",Osiris!I96)</f>
        <v>* AnalysisProcess.AnalyticPipelineCode 1..* string ##34#Analytic Pipeline Code [O11]##34# ##334#Identifier of the pipeline used into the analysis (unique in the center)
_x000D_mandatory##334#</v>
      </c>
    </row>
    <row r="97" spans="3:3">
      <c r="C97" s="12" t="str">
        <f>IF(Osiris!I97="//---- END","//---- END",Osiris!I97)</f>
        <v>* OmicAnalysis 0..* BackboneElement ##34#OmicAnalysis##34# ##334#OmicAnalysis##334#</v>
      </c>
    </row>
    <row r="98" spans="3:3" ht="44.25">
      <c r="C98" s="12" t="str">
        <f>IF(Osiris!I98="//---- END","//---- END",Osiris!I98)</f>
        <v>* OmicAnalysis.AlgorithmicCellularity 0..* integer ##34#Algorithmic Cellularity [O12]##34# ##334#Calculated percentage of tumor cells in sample
_x000D_optional##334#</v>
      </c>
    </row>
    <row r="99" spans="3:3" ht="59">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c r="C100" s="12" t="str">
        <f>IF(Osiris!I100="//---- END","//---- END",Osiris!I100)</f>
        <v>* OmicAnalysis.NumberOfBreakPoints 0..* integer ##34#Number Of Break Points [O14]##34# ##334#Calculated number of break points in genomic profile
_x000D_optional##334#</v>
      </c>
    </row>
    <row r="101" spans="3:3">
      <c r="C101" s="12" t="str">
        <f>IF(Osiris!I101="//---- END","//---- END",Osiris!I101)</f>
        <v>* AlterationOnSample 1..* BackboneElement ##34#AlterationOnSample##34# ##334#AlterationOnSample##334#</v>
      </c>
    </row>
    <row r="102" spans="3:3" ht="59">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c r="C106" s="12" t="str">
        <f>IF(Osiris!I106="//---- END","//---- END",Osiris!I106)</f>
        <v>* Validation 0..* BackboneElement ##34#Validation##34# ##334#Validation##334#</v>
      </c>
    </row>
    <row r="107" spans="3:3" ht="44.25">
      <c r="C107" s="12" t="str">
        <f>IF(Osiris!I107="//---- END","//---- END",Osiris!I107)</f>
        <v>* Validation.Type 0..* string ##34#Type [O16]##34# ##334#Type of validation of the detected alteration
_x000D_ConceptualDomain: OSIRIS:ValidationType
_x000D_mandatory if ObjectClass is set##334#</v>
      </c>
    </row>
    <row r="108" spans="3:3" ht="29.5">
      <c r="C108" s="12" t="str">
        <f>IF(Osiris!I108="//---- END","//---- END",Osiris!I108)</f>
        <v>* Validation.Method 0..* string ##34#Method [O17]##34# ##334#Validation method depending on the type of validation
_x000D_mandatory if ObjectClass is set##334#</v>
      </c>
    </row>
    <row r="109" spans="3:3" ht="44.25">
      <c r="C109" s="12" t="str">
        <f>IF(Osiris!I109="//---- END","//---- END",Osiris!I109)</f>
        <v>* Validation.Status 0..* string ##34#Status [O18]##34# ##334#Validation status of the detected alteration
_x000D_ConceptualDomain: OSIRIS:ValidationStatus
_x000D_mandatory if ObjectClass is set##334#</v>
      </c>
    </row>
    <row r="110" spans="3:3">
      <c r="C110" s="12" t="str">
        <f>IF(Osiris!I110="//---- END","//---- END",Osiris!I110)</f>
        <v>* Alteration 1..* BackboneElement ##34#Alteration##34# ##334#Alteration##334#</v>
      </c>
    </row>
    <row r="111" spans="3:3" ht="44.25">
      <c r="C111" s="12" t="str">
        <f>IF(Osiris!I111="//---- END","//---- END",Osiris!I111)</f>
        <v>* Alteration.Chromosome 1..* string ##34#Chromosome [O19]##34# ##334#Chromosome containing the genetic finding
_x000D_ConceptualDomain: OSIRIS:Chromosome
_x000D_mandatory##334#</v>
      </c>
    </row>
    <row r="112" spans="3:3" ht="44.25">
      <c r="C112" s="12" t="str">
        <f>IF(Osiris!I112="//---- END","//---- END",Osiris!I112)</f>
        <v>* Alteration.GenomicStart 1..* integer ##34#Genomic Start [O20]##34# ##334#Nucleotide location for start of genomic finding on the positive (+) genomics strand, 1-based
_x000D_mandatory##334#</v>
      </c>
    </row>
    <row r="113" spans="3:3" ht="44.25">
      <c r="C113" s="12" t="str">
        <f>IF(Osiris!I113="//---- END","//---- END",Osiris!I113)</f>
        <v>* Alteration.GenomicStop 1..* integer ##34#Genomic Stop [O21]##34# ##334#Nucleotide location for end of genomic finding on the positive (+) genomic strand, 1-based
_x000D_mandatory##334#</v>
      </c>
    </row>
    <row r="114" spans="3:3" ht="44.25">
      <c r="C114" s="12" t="str">
        <f>IF(Osiris!I114="//---- END","//---- END",Osiris!I114)</f>
        <v>* Alteration.GenomeBuild 1..* string ##34#Genome Build [O22]##34# ##334#Genome Build used for reference
_x000D_ConceptualDomain: FHIR:Sequence
_x000D_mandatory##334#</v>
      </c>
    </row>
    <row r="115" spans="3:3" ht="29.5">
      <c r="C115" s="12" t="str">
        <f>IF(Osiris!I115="//---- END","//---- END",Osiris!I115)</f>
        <v>* Alteration.Cytoband 0..* string ##34#Cytoband [O23]##34# ##334#Cytogenetic location
_x000D_optional##334#</v>
      </c>
    </row>
    <row r="116" spans="3:3">
      <c r="C116" s="12" t="str">
        <f>IF(Osiris!I116="//---- END","//---- END",Osiris!I116)</f>
        <v>* GenomeEntity 1..* BackboneElement ##34#GenomeEntity##34# ##334#GenomeEntity##334#</v>
      </c>
    </row>
    <row r="117" spans="3:3" ht="44.25">
      <c r="C117" s="12" t="str">
        <f>IF(Osiris!I117="//---- END","//---- END",Osiris!I117)</f>
        <v>* GenomeEntity.Type 1..* string ##34#Type [O24]##34# ##334#Type of the genome entity. For eg: gene, mRNA, ncRNA...
_x000D_ConceptualDomain: OSIRIS:GenomeEntityType
_x000D_mandatory##334#</v>
      </c>
    </row>
    <row r="118" spans="3:3" ht="44.25">
      <c r="C118" s="12" t="str">
        <f>IF(Osiris!I118="//---- END","//---- END",Osiris!I118)</f>
        <v>* GenomeEntity.Database 1..* string ##34#Database [O25]##34# ##334#Database of the genome entity
_x000D_ConceptualDomain: OSIRIS:GenomeEntityDatabase
_x000D_mandatory##334#</v>
      </c>
    </row>
    <row r="119" spans="3:3" ht="29.5">
      <c r="C119" s="12" t="str">
        <f>IF(Osiris!I119="//---- END","//---- END",Osiris!I119)</f>
        <v>* GenomeEntity.Id 1..* string ##34#Id [O26]##34# ##334#Identifier of the genome entity in the genome entity database
_x000D_mandatory##334#</v>
      </c>
    </row>
    <row r="120" spans="3:3" ht="29.5">
      <c r="C120" s="12" t="str">
        <f>IF(Osiris!I120="//---- END","//---- END",Osiris!I120)</f>
        <v>* GenomeEntity.Symbol 0..* string ##34#Symbol [O27]##34# ##334#Hugo gene symbol
_x000D_mandatory if Gene##334#</v>
      </c>
    </row>
    <row r="121" spans="3:3">
      <c r="C121" s="12" t="str">
        <f>IF(Osiris!I121="//---- END","//---- END",Osiris!I121)</f>
        <v>* Fusion 1..* BackboneElement ##34#Fusion##34# ##334#Fusion##334#</v>
      </c>
    </row>
    <row r="122" spans="3:3" ht="44.25">
      <c r="C122" s="12" t="str">
        <f>IF(Osiris!I122="//---- END","//---- END",Osiris!I122)</f>
        <v>* Fusion.Type 0..* string ##34#Type [O28]##34# ##334#Type of the fusion event. For eg: translocation, readthrough
_x000D_ConceptualDomain: OSIRIS:FusionType
_x000D_optional##334#</v>
      </c>
    </row>
    <row r="123" spans="3:3" ht="29.5">
      <c r="C123" s="12" t="str">
        <f>IF(Osiris!I123="//---- END","//---- END",Osiris!I123)</f>
        <v>* Fusion.Point5prime 1..* integer ##34#Point 5 prime [O35]##34# ##334#Position of the fusion point on the 5 prime partner
_x000D_mandatory##334#</v>
      </c>
    </row>
    <row r="124" spans="3:3" ht="44.25">
      <c r="C124" s="12" t="str">
        <f>IF(Osiris!I124="//---- END","//---- END",Osiris!I124)</f>
        <v>* Fusion.Chromosome5prime 1..* string ##34#Chromosome 5 prime [O97]##34# ##334#Chromosome 5 prime
_x000D_ConceptualDomain: OSIRIS:Chromosome
_x000D_mandatory##334#</v>
      </c>
    </row>
    <row r="125" spans="3:3" ht="29.5">
      <c r="C125" s="12" t="str">
        <f>IF(Osiris!I125="//---- END","//---- END",Osiris!I125)</f>
        <v>* Fusion.Point3prime 1..* integer ##34#Point 3 prime [O40]##34# ##334#Position of the fusion point on the 3 prime partner
_x000D_mandatory##334#</v>
      </c>
    </row>
    <row r="126" spans="3:3" ht="44.25">
      <c r="C126" s="12" t="str">
        <f>IF(Osiris!I126="//---- END","//---- END",Osiris!I126)</f>
        <v>* Fusion.Chromosome3prime 1..* string ##34#Chromosome 3 prime [O98]##34# ##334#Chromosome 3 prime
_x000D_ConceptualDomain: OSIRIS:Chromosome
_x000D_mandatory##334#</v>
      </c>
    </row>
    <row r="127" spans="3:3" ht="44.25">
      <c r="C127" s="12" t="str">
        <f>IF(Osiris!I127="//---- END","//---- END",Osiris!I127)</f>
        <v>* Fusion.InFrame 0..* string ##34#In Frame [O41]##34# ##334#Specify whether the fusion is in frame
_x000D_ConceptualDomain: OSIRIS:Boolean
_x000D_optional##334#</v>
      </c>
    </row>
    <row r="128" spans="3:3" ht="29.5">
      <c r="C128" s="12" t="str">
        <f>IF(Osiris!I128="//---- END","//---- END",Osiris!I128)</f>
        <v>* Fusion.NbSpanningPair 1..* integer ##34#Nb Spanning Pair [O44]##34# ##334#Number of reads pairs spanning the fusion
_x000D_mandatory##334#</v>
      </c>
    </row>
    <row r="129" spans="3:3" ht="29.5">
      <c r="C129" s="12" t="str">
        <f>IF(Osiris!I129="//---- END","//---- END",Osiris!I129)</f>
        <v>* Fusion.NbSplitReads 0..* integer ##34#Nb Split Reads [O46]##34# ##334#Number of reads containing the fusion point
_x000D_optional##334#</v>
      </c>
    </row>
    <row r="130" spans="3:3">
      <c r="C130" s="12" t="str">
        <f>IF(Osiris!I130="//---- END","//---- END",Osiris!I130)</f>
        <v>* CNV 1..* BackboneElement ##34#CNV##34# ##334#CNV##334#</v>
      </c>
    </row>
    <row r="131" spans="3:3" ht="29.5">
      <c r="C131" s="12" t="str">
        <f>IF(Osiris!I131="//---- END","//---- END",Osiris!I131)</f>
        <v>* CNV.SegmentIntensity 1..* decimal ##34#Segment Intensity [O47]##34# ##334#Intensity of the measured signal
_x000D_mandatory##334#</v>
      </c>
    </row>
    <row r="132" spans="3:3" ht="44.25">
      <c r="C132" s="12" t="str">
        <f>IF(Osiris!I132="//---- END","//---- END",Osiris!I132)</f>
        <v>* CNV.SegmentGenomicStatus 1..* string ##34#Segment Genomic Status [O49]##34# ##334#Copy number status
_x000D_ConceptualDomain: OSIRIS:SegmentGenomicStatus
_x000D_mandatory##334#</v>
      </c>
    </row>
    <row r="133" spans="3:3" ht="29.5">
      <c r="C133" s="12" t="str">
        <f>IF(Osiris!I133="//---- END","//---- END",Osiris!I133)</f>
        <v>* CNV.CopyNumber 0..* integer ##34#Copy Number [O50]##34# ##334#Estimated DNA copy number
_x000D_optional##334#</v>
      </c>
    </row>
    <row r="134" spans="3:3" ht="59">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c r="C135" s="12" t="str">
        <f>IF(Osiris!I135="//---- END","//---- END",Osiris!I135)</f>
        <v>* CNV.SegmentSize 0..* integer ##34#SegmentSize []##34# ##334#SegmentSize
_x000D_optional##334#</v>
      </c>
    </row>
    <row r="136" spans="3:3">
      <c r="C136" s="12" t="str">
        <f>IF(Osiris!I136="//---- END","//---- END",Osiris!I136)</f>
        <v>* Variant 1..* BackboneElement ##34#Variant##34# ##334#Variant##334#</v>
      </c>
    </row>
    <row r="137" spans="3:3" ht="44.25">
      <c r="C137" s="12" t="str">
        <f>IF(Osiris!I137="//---- END","//---- END",Osiris!I137)</f>
        <v>* Variant.ReferenceAllele 1..* string ##34#Reference Allele [O53]##34# ##334#Plus strand reference allele at this position. Include the sequence deleted for a deletion, or '-' for an insertion.
_x000D_mandatory##334#</v>
      </c>
    </row>
    <row r="138" spans="3:3" ht="44.2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c r="C139" s="12" t="str">
        <f>IF(Osiris!I139="//---- END","//---- END",Osiris!I139)</f>
        <v>* Variant.DNASequenceVariationType 1..* string ##34#DNA Sequence Variation Type [O55]##34# ##334#Codified type of the DNA sequence variation
_x000D_ConceptualDomain: LOINC:48019-4
_x000D_mandatory##334#</v>
      </c>
    </row>
    <row r="140" spans="3:3">
      <c r="C140" s="12" t="str">
        <f>IF(Osiris!I140="//---- END","//---- END",Osiris!I140)</f>
        <v>* Annotation 0..* BackboneElement ##34#Annotation##34# ##334#Annotation##334#</v>
      </c>
    </row>
    <row r="141" spans="3:3" ht="44.25">
      <c r="C141" s="12" t="str">
        <f>IF(Osiris!I141="//---- END","//---- END",Osiris!I141)</f>
        <v>* Annotation.ReferenceType 0..* string ##34#Reference Type [O90]##34# ##334#Reference Type
_x000D_ConceptualDomain: OSIRIS:Annotation_ReferenceType
_x000D_mandatory if DNASequenceVariation is set##334#</v>
      </c>
    </row>
    <row r="142" spans="3:3" ht="44.2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c r="C143" s="12" t="str">
        <f>IF(Osiris!I143="//---- END","//---- END",Osiris!I143)</f>
        <v>* Annotation.ReferenceValue 0..* string ##34#Reference Value [O92]##34# ##334#Reference Value
_x000D_optional##334#</v>
      </c>
    </row>
    <row r="144" spans="3:3" ht="59">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c r="C145" s="12" t="str">
        <f>IF(Osiris!I145="//---- END","//---- END",Osiris!I145)</f>
        <v>* Annotation.MutationPredictionValue 0..* string ##34#Mutation Prediction Value [O64]##34# ##334#Prediction of the variation effect over the protein
_x000D_optional##334#</v>
      </c>
    </row>
    <row r="146" spans="3:3" ht="44.25">
      <c r="C146" s="12" t="str">
        <f>IF(Osiris!I146="//---- END","//---- END",Osiris!I146)</f>
        <v>* Annotation.MutationPredictionScore 0..* decimal ##34#Mutation Prediction Score [O65]##34# ##334#Level of confidence of the prediction of the variation effect over the protein
_x000D_optional##334#</v>
      </c>
    </row>
    <row r="147" spans="3:3" ht="29.5">
      <c r="C147" s="12" t="str">
        <f>IF(Osiris!I147="//---- END","//---- END",Osiris!I147)</f>
        <v>* Annotation.PfamDomain 0..* string ##34#Pfam Domain [O58]##34# ##334#Pfams domains related to alteration position
_x000D_optional##334#</v>
      </c>
    </row>
    <row r="148" spans="3:3" ht="29.5">
      <c r="C148" s="12" t="str">
        <f>IF(Osiris!I148="//---- END","//---- END",Osiris!I148)</f>
        <v>* Annotation.PfamId 0..* string ##34#Pfam Id [O59]##34# ##334#Identifier of Pfams domains related to alteration position
_x000D_optional##334#</v>
      </c>
    </row>
    <row r="149" spans="3:3" ht="44.25">
      <c r="C149" s="12" t="str">
        <f>IF(Osiris!I149="//---- END","//---- END",Osiris!I149)</f>
        <v>* Annotation.DNARegionName 0..* string ##34#DNA Region Name [O66]##34# ##334#Human readable name for the region of interest related to the transcript (eg: exon1, intron1, UTR3')
_x000D_optional##334#</v>
      </c>
    </row>
    <row r="150" spans="3:3" ht="44.25">
      <c r="C150" s="12" t="str">
        <f>IF(Osiris!I150="//---- END","//---- END",Osiris!I150)</f>
        <v>* Annotation.DNASequenceVariation 1..* string ##34#DNA Sequence Variation [O71]##34# ##334#HGVS nomenclature on the chosen transcript
_x000D_mandatory##334#</v>
      </c>
    </row>
    <row r="151" spans="3:3" ht="44.25">
      <c r="C151" s="12" t="str">
        <f>IF(Osiris!I151="//---- END","//---- END",Osiris!I151)</f>
        <v>* Annotation.AminoAcidChange 0..* string ##34#Amino Acid Change [O72]##34# ##334#HGVS nomenclature on the chosen protein transcript
_x000D_optional##334#</v>
      </c>
    </row>
    <row r="152" spans="3:3" ht="44.25">
      <c r="C152" s="12" t="str">
        <f>IF(Osiris!I152="//---- END","//---- END",Osiris!I152)</f>
        <v>* Annotation.GenomicSequenceVariation 0..* string ##34#Genomic Sequence Variation [O73]##34# ##334#HGVS nomenclature on the given GenomeReferenceSequenceId.
_x000D_optional##334#</v>
      </c>
    </row>
    <row r="153" spans="3:3" ht="44.25">
      <c r="C153" s="12" t="str">
        <f>IF(Osiris!I153="//---- END","//---- END",Osiris!I153)</f>
        <v>* Annotation.RNASequenceVariation 0..* string ##34#RNA Sequence Variation [O74]##34# ##334#HGVS nomenclature on the given TranscriptReferenceSequenceId and experimentely observed on RNA.
_x000D_optional##334#</v>
      </c>
    </row>
    <row r="154" spans="3:3" ht="59">
      <c r="C154" s="12" t="str">
        <f>IF(Osiris!I154="//---- END","//---- END",Osiris!I154)</f>
        <v>* Annotation.AminoAcidChangeType 0..* string ##34#Amino Acid Change Type [O75]##34# ##334#nomenclature of changes at protein-level
_x000D_ConceptualDomain: OSIRIS:AminoAcidChangeType
_x000D_optional##334#</v>
      </c>
    </row>
    <row r="155" spans="3:3" ht="44.25">
      <c r="C155" s="12" t="str">
        <f>IF(Osiris!I155="//---- END","//---- END",Osiris!I155)</f>
        <v>* Annotation.FusionPrimeEnd 0..* string ##34#Fusion Prime End [O93]##34# ##334#Prime end of the fusion partner
_x000D_ConceptualDomain: OSIRIS:Annotation_FusionPrimeEnd
_x000D_optional##334#</v>
      </c>
    </row>
    <row r="156" spans="3:3" ht="44.25">
      <c r="C156" s="12" t="str">
        <f>IF(Osiris!I156="//---- END","//---- END",Osiris!I156)</f>
        <v>* Annotation.Strand 0..* string ##34#Strand [O94]##34# ##334#Strand
_x000D_ConceptualDomain: OSIRIS:Strand
_x000D_optional##334#</v>
      </c>
    </row>
    <row r="157" spans="3:3" ht="44.25">
      <c r="C157" s="12" t="str">
        <f>IF(Osiris!I157="//---- END","//---- END",Osiris!I157)</f>
        <v>* Annotation.OnSplicingSite 0..* string ##34#OnSplicingSite [O95]##34# ##334#Indicate wether the variant is on a splicing site
_x000D_ConceptualDomain: OSIRIS:Boolean
_x000D_optional##334#</v>
      </c>
    </row>
    <row r="158" spans="3:3">
      <c r="C158" s="12" t="str">
        <f>IF(Osiris!I158="//---- END","//---- END",Osiris!I158)</f>
        <v>* VariantInSample 1..* BackboneElement ##34#VariantInSample##34# ##334#VariantInSample##334#</v>
      </c>
    </row>
    <row r="159" spans="3:3" ht="44.25">
      <c r="C159" s="12" t="str">
        <f>IF(Osiris!I159="//---- END","//---- END",Osiris!I159)</f>
        <v>* VariantInSample.PositionReadDepth 1..* integer ##34#Position Read Depth [O76]##34# ##334#Total sequencing depth at the variant position observed in the specimen
_x000D_mandatory##334#</v>
      </c>
    </row>
    <row r="160" spans="3:3" ht="44.25">
      <c r="C160" s="12" t="str">
        <f>IF(Osiris!I160="//---- END","//---- END",Osiris!I160)</f>
        <v>* VariantInSample.VariantReadDepth 1..* integer ##34#Variant Read Depth [O77]##34# ##334#Sequencing depth of the alternative allele at the variant position observed in the specimen
_x000D_mandatory##334#</v>
      </c>
    </row>
    <row r="161" spans="3:3" ht="59">
      <c r="C161" s="12" t="str">
        <f>IF(Osiris!I161="//---- END","//---- END",Osiris!I161)</f>
        <v>* VariantInSample.StrandBias 0..* string ##34#Strand Bias [O78]##34# ##334#Indication of the existence of strand bias at the variant position
_x000D_ConceptualDomain: OSIRIS:Boolean
_x000D_optional##334#</v>
      </c>
    </row>
    <row r="162" spans="3:3" ht="59">
      <c r="C162" s="12" t="str">
        <f>IF(Osiris!I162="//---- END","//---- END",Osiris!I162)</f>
        <v>* VariantInSample.GenomicSourceClass 1..* string ##34#Genomic Source Class [O79]##34# ##334#Genomic class of the variant (eg: germline, somatic, and prenatal)
_x000D_ConceptualDomain: LOINC:LL378-1
_x000D_mandatory##334#</v>
      </c>
    </row>
    <row r="163" spans="3:3" ht="59">
      <c r="C163" s="12" t="str">
        <f>IF(Osiris!I163="//---- END","//---- END",Osiris!I163)</f>
        <v>* VariantInSample.AllelicState 0..* BackboneElement ##34#Allelic State [O80]##34# ##334#Level of allelic occurrence of a DNA Sequence Variation
_x000D_ConceptualDomain: LOINC:LL381-5
_x000D_optional##334#</v>
      </c>
    </row>
    <row r="164" spans="3:3">
      <c r="C164" s="12" t="str">
        <f>IF(Osiris!I164="//---- END","//---- END",Osiris!I164)</f>
        <v>* GeneExpression 1..* BackboneElement ##34#GeneExpression##34# ##334#GeneExpression##334#</v>
      </c>
    </row>
    <row r="165" spans="3:3" ht="59">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c r="C166" s="12" t="str">
        <f>IF(Osiris!I166="//---- END","//---- END",Osiris!I166)</f>
        <v>* GeneExpression.Value 1..* BackboneElement ##34#Value [O85]##34# ##334#Numerical value for expression
_x000D_mandatory##334#</v>
      </c>
    </row>
    <row r="167" spans="3:3">
      <c r="C167" s="12" t="str">
        <f>IF(Osiris!I167="//---- END","//---- END",Osiris!I167)</f>
        <v>* Equipment 0..* BackboneElement ##34#Equipment##34# ##334#Equipment##334#</v>
      </c>
    </row>
    <row r="168" spans="3:3" ht="59">
      <c r="C168" s="12" t="str">
        <f>IF(Osiris!I168="//---- END","//---- END",Osiris!I168)</f>
        <v>* Equipment.ModelName 0..* BackboneElement ##34#Manufacturer's model name [I1]##34# ##334#Manufacturer's model name
_x000D_ConceptualDomain: DICOM
_x000D_##334#</v>
      </c>
    </row>
    <row r="169" spans="3:3" ht="44.25">
      <c r="C169" s="12" t="str">
        <f>IF(Osiris!I169="//---- END","//---- END",Osiris!I169)</f>
        <v>* Equipment.Manufacturer 0..* BackboneElement ##34#Manufacturer's name [I2]##34# ##334#Manufacturer's name
_x000D_ConceptualDomain: DICOM
_x000D_##334#</v>
      </c>
    </row>
    <row r="170" spans="3:3">
      <c r="C170" s="12" t="str">
        <f>IF(Osiris!I170="//---- END","//---- END",Osiris!I170)</f>
        <v>* Study 0..* BackboneElement ##34#Study##34# ##334#Study##334#</v>
      </c>
    </row>
    <row r="171" spans="3:3" ht="44.25">
      <c r="C171" s="12" t="str">
        <f>IF(Osiris!I171="//---- END","//---- END",Osiris!I171)</f>
        <v>* Study.StudyInstanceUID 0..* BackboneElement ##34#Study Instance UID [I3]##34# ##334#Study Instance UID
_x000D_ConceptualDomain: DICOM
_x000D_##334#</v>
      </c>
    </row>
    <row r="172" spans="3:3" ht="44.25">
      <c r="C172" s="12" t="str">
        <f>IF(Osiris!I172="//---- END","//---- END",Osiris!I172)</f>
        <v>* Study.StudyDescription 0..* BackboneElement ##34#Study description [I4]##34# ##334#Study description
_x000D_ConceptualDomain: DICOM
_x000D_##334#</v>
      </c>
    </row>
    <row r="173" spans="3:3" ht="44.25">
      <c r="C173" s="12" t="str">
        <f>IF(Osiris!I173="//---- END","//---- END",Osiris!I173)</f>
        <v>* Study.AcquisitionDate 0..* BackboneElement ##34#Acquisition date [I5]##34# ##334#Acquisition date
_x000D_ConceptualDomain: DICOM
_x000D_##334#</v>
      </c>
    </row>
    <row r="174" spans="3:3" ht="29.5">
      <c r="C174" s="12" t="str">
        <f>IF(Osiris!I174="//---- END","//---- END",Osiris!I174)</f>
        <v>* Study.Location 0..* BackboneElement ##34#Location [I6]##34# ##334#Location
_x000D_##334#</v>
      </c>
    </row>
    <row r="175" spans="3:3" ht="44.25">
      <c r="C175" s="12" t="str">
        <f>IF(Osiris!I175="//---- END","//---- END",Osiris!I175)</f>
        <v>* Study.InstitutionName 0..* BackboneElement ##34#Institution's name [I7]##34# ##334#Institution's name
_x000D_ConceptualDomain: DICOM
_x000D_##334#</v>
      </c>
    </row>
    <row r="176" spans="3:3" ht="44.25">
      <c r="C176" s="12" t="str">
        <f>IF(Osiris!I176="//---- END","//---- END",Osiris!I176)</f>
        <v>* Study.ModalitiesInStudy 0..* BackboneElement ##34#Modalities in study [I8]##34# ##334#Modalities in study
_x000D_ConceptualDomain: DICOM
_x000D_##334#</v>
      </c>
    </row>
    <row r="177" spans="3:3" ht="59">
      <c r="C177" s="12" t="str">
        <f>IF(Osiris!I177="//---- END","//---- END",Osiris!I177)</f>
        <v>* Study.NbStudyRelatedSeries 0..* BackboneElement ##34#Number of Study Related Series [I9]##34# ##334#Number of Study Related Series
_x000D_ConceptualDomain: DICOM
_x000D_##334#</v>
      </c>
    </row>
    <row r="178" spans="3:3">
      <c r="C178" s="12" t="str">
        <f>IF(Osiris!I178="//---- END","//---- END",Osiris!I178)</f>
        <v>* Series 0..* BackboneElement ##34#Series##34# ##334#Series##334#</v>
      </c>
    </row>
    <row r="179" spans="3:3" ht="44.25">
      <c r="C179" s="12" t="str">
        <f>IF(Osiris!I179="//---- END","//---- END",Osiris!I179)</f>
        <v>* Series.SeriesNumber 0..* BackboneElement ##34#Series Number [I10]##34# ##334#Series Number
_x000D_ConceptualDomain: DICOM
_x000D_##334#</v>
      </c>
    </row>
    <row r="180" spans="3:3" ht="44.25">
      <c r="C180" s="12" t="str">
        <f>IF(Osiris!I180="//---- END","//---- END",Osiris!I180)</f>
        <v>* Series.SeriesInstanceUID 0..* BackboneElement ##34#Series Instance UID [I11]##34# ##334#Series Instance UID
_x000D_ConceptualDomain: DICOM
_x000D_##334#</v>
      </c>
    </row>
    <row r="181" spans="3:3" ht="44.25">
      <c r="C181" s="12" t="str">
        <f>IF(Osiris!I181="//---- END","//---- END",Osiris!I181)</f>
        <v>* Series.Modality 0..* BackboneElement ##34#Modality [I12]##34# ##334#Modality
_x000D_ConceptualDomain: DICOM
_x000D_##334#</v>
      </c>
    </row>
    <row r="182" spans="3:3" ht="44.25">
      <c r="C182" s="12" t="str">
        <f>IF(Osiris!I182="//---- END","//---- END",Osiris!I182)</f>
        <v>* Series.Description 0..* BackboneElement ##34#Description [I13]##34# ##334#Description
_x000D_ConceptualDomain: DICOM
_x000D_##334#</v>
      </c>
    </row>
    <row r="183" spans="3:3" ht="44.25">
      <c r="C183" s="12" t="str">
        <f>IF(Osiris!I183="//---- END","//---- END",Osiris!I183)</f>
        <v>* Series.BodyPartExamined 0..* BackboneElement ##34#Body Part Examined [I14]##34# ##334#Body Part Examined
_x000D_ConceptualDomain: DICOM
_x000D_##334#</v>
      </c>
    </row>
    <row r="184" spans="3:3" ht="59">
      <c r="C184" s="12" t="str">
        <f>IF(Osiris!I184="//---- END","//---- END",Osiris!I184)</f>
        <v>* Series.NbSeriesRelatedInstances 0..* BackboneElement ##34#Number of Series Related Instances [I15]##34# ##334#Number of Series Related Instances
_x000D_ConceptualDomain: DICOM
_x000D_##334#</v>
      </c>
    </row>
    <row r="185" spans="3:3" ht="44.25">
      <c r="C185" s="12" t="str">
        <f>IF(Osiris!I185="//---- END","//---- END",Osiris!I185)</f>
        <v>* Series.SoftwareVersion 0..* BackboneElement ##34#Software's version [I16]##34# ##334#Software's version
_x000D_ConceptualDomain: DICOM
_x000D_##334#</v>
      </c>
    </row>
    <row r="186" spans="3:3">
      <c r="C186" s="12" t="str">
        <f>IF(Osiris!I186="//---- END","//---- END",Osiris!I186)</f>
        <v>* Injection 0..* BackboneElement ##34#Injection##34# ##334#Injection##334#</v>
      </c>
    </row>
    <row r="187" spans="3:3" ht="44.25">
      <c r="C187" s="12" t="str">
        <f>IF(Osiris!I187="//---- END","//---- END",Osiris!I187)</f>
        <v>* Injection.Radiopharmaceutical 0..* BackboneElement ##34#Radiopharmaceutical [I17]##34# ##334#Radiopharmaceutical
_x000D_ConceptualDomain: DICOM
_x000D_##334#</v>
      </c>
    </row>
    <row r="188" spans="3:3" ht="44.25">
      <c r="C188" s="12" t="str">
        <f>IF(Osiris!I188="//---- END","//---- END",Osiris!I188)</f>
        <v>* Injection.ContrastBolusAgent 0..* BackboneElement ##34#Contrast/bolus agent [I18]##34# ##334#Contrast/bolus agent
_x000D_ConceptualDomain: DICOM
_x000D_##334#</v>
      </c>
    </row>
    <row r="189" spans="3:3" ht="59">
      <c r="C189" s="12" t="str">
        <f>IF(Osiris!I189="//---- END","//---- END",Osiris!I189)</f>
        <v>* Injection.ContrastBolusStartTime 0..* BackboneElement ##34#Contrast/bolus start time [I19]##34# ##334#Contrast/bolus start time
_x000D_ConceptualDomain: DICOM
_x000D_##334#</v>
      </c>
    </row>
    <row r="190" spans="3:3" ht="59">
      <c r="C190" s="12" t="str">
        <f>IF(Osiris!I190="//---- END","//---- END",Osiris!I190)</f>
        <v>* Injection.ContrastBolusStopTime 0..* BackboneElement ##34#Contrast/bolus stop time [I20]##34# ##334#Contrast/bolus stop time
_x000D_ConceptualDomain: DICOM
_x000D_##334#</v>
      </c>
    </row>
    <row r="191" spans="3:3" ht="59">
      <c r="C191" s="12" t="str">
        <f>IF(Osiris!I191="//---- END","//---- END",Osiris!I191)</f>
        <v>* Injection.RadiopharmaceuticalStartTime 0..* BackboneElement ##34#Radiopharmaceutical start time [I21]##34# ##334#Radiopharmaceutical start time
_x000D_ConceptualDomain: DICOM
_x000D_##334#</v>
      </c>
    </row>
    <row r="192" spans="3:3" ht="59">
      <c r="C192" s="12" t="str">
        <f>IF(Osiris!I192="//---- END","//---- END",Osiris!I192)</f>
        <v>* Injection.RadionuclideTotalDose 0..* BackboneElement ##34#Radionuclide total dose [I22]##34# ##334#Radionuclide total dose
_x000D_ConceptualDomain: DICOM
_x000D_##334#</v>
      </c>
    </row>
    <row r="193" spans="3:3">
      <c r="C193" s="12" t="str">
        <f>IF(Osiris!I193="//---- END","//---- END",Osiris!I193)</f>
        <v>* CommonImage 0..* BackboneElement ##34#CommonImage##34# ##334#CommonImage##334#</v>
      </c>
    </row>
    <row r="194" spans="3:3" ht="44.25">
      <c r="C194" s="12" t="str">
        <f>IF(Osiris!I194="//---- END","//---- END",Osiris!I194)</f>
        <v>* CommonImage.SOPInstanceUID 0..* BackboneElement ##34#SOP Instance UID [I23]##34# ##334#SOP Instance UID
_x000D_ConceptualDomain: DICOM
_x000D_##334#</v>
      </c>
    </row>
    <row r="195" spans="3:3" ht="44.25">
      <c r="C195" s="12" t="str">
        <f>IF(Osiris!I195="//---- END","//---- END",Osiris!I195)</f>
        <v>* CommonImage.SliceThickness 0..* BackboneElement ##34#Slice thickness [I24]##34# ##334#Slice thickness
_x000D_ConceptualDomain: DICOM
_x000D_##334#</v>
      </c>
    </row>
    <row r="196" spans="3:3" ht="44.25">
      <c r="C196" s="12" t="str">
        <f>IF(Osiris!I196="//---- END","//---- END",Osiris!I196)</f>
        <v>* CommonImage.PixelSpacing 0..* BackboneElement ##34#Pixel spacing [I25]##34# ##334#Pixel spacing
_x000D_ConceptualDomain: DICOM
_x000D_##334#</v>
      </c>
    </row>
    <row r="197" spans="3:3" ht="29.5">
      <c r="C197" s="12" t="str">
        <f>IF(Osiris!I197="//---- END","//---- END",Osiris!I197)</f>
        <v>* CommonImage.FieldOfView 0..* BackboneElement ##34#Field of view [I26]##34# ##334#Field of view
_x000D_##334#</v>
      </c>
    </row>
    <row r="198" spans="3:3" ht="44.25">
      <c r="C198" s="12" t="str">
        <f>IF(Osiris!I198="//---- END","//---- END",Osiris!I198)</f>
        <v>* CommonImage.Rows 0..* BackboneElement ##34#rows [I27]##34# ##334#rows
_x000D_ConceptualDomain: DICOM
_x000D_##334#</v>
      </c>
    </row>
    <row r="199" spans="3:3" ht="44.25">
      <c r="C199" s="12" t="str">
        <f>IF(Osiris!I199="//---- END","//---- END",Osiris!I199)</f>
        <v>* CommonImage.Columns 0..* BackboneElement ##34#columns [I28]##34# ##334#columns
_x000D_ConceptualDomain: DICOM
_x000D_##334#</v>
      </c>
    </row>
    <row r="200" spans="3:3">
      <c r="C200" s="12" t="str">
        <f>IF(Osiris!I200="//---- END","//---- END",Osiris!I200)</f>
        <v>* MRImage 0..* BackboneElement ##34#MRImage##34# ##334#MRImage##334#</v>
      </c>
    </row>
    <row r="201" spans="3:3" ht="44.25">
      <c r="C201" s="12" t="str">
        <f>IF(Osiris!I201="//---- END","//---- END",Osiris!I201)</f>
        <v>* MRImage.SequenceName 0..* BackboneElement ##34#Sequence's name [I29]##34# ##334#Sequence's name
_x000D_ConceptualDomain: DICOM
_x000D_##334#</v>
      </c>
    </row>
    <row r="202" spans="3:3" ht="59">
      <c r="C202" s="12" t="str">
        <f>IF(Osiris!I202="//---- END","//---- END",Osiris!I202)</f>
        <v>* MRImage.MagneticFieldStrength 0..* BackboneElement ##34#Magnetic field strength [I30]##34# ##334#Magnetic field strength
_x000D_ConceptualDomain: DICOM
_x000D_##334#</v>
      </c>
    </row>
    <row r="203" spans="3:3" ht="44.25">
      <c r="C203" s="12" t="str">
        <f>IF(Osiris!I203="//---- END","//---- END",Osiris!I203)</f>
        <v>* MRImage.MRAcquisitionType 0..* BackboneElement ##34#MR acquisition type [I31]##34# ##334#MR acquisition type
_x000D_ConceptualDomain: DICOM
_x000D_##334#</v>
      </c>
    </row>
    <row r="204" spans="3:3" ht="44.25">
      <c r="C204" s="12" t="str">
        <f>IF(Osiris!I204="//---- END","//---- END",Osiris!I204)</f>
        <v>* MRImage.RepetitionTime 0..* BackboneElement ##34#Repetition time [I32]##34# ##334#Repetition time
_x000D_ConceptualDomain: DICOM
_x000D_##334#</v>
      </c>
    </row>
    <row r="205" spans="3:3" ht="44.25">
      <c r="C205" s="12" t="str">
        <f>IF(Osiris!I205="//---- END","//---- END",Osiris!I205)</f>
        <v>* MRImage.EchoTime 0..* BackboneElement ##34#EchoTime [I33]##34# ##334#EchoTime
_x000D_ConceptualDomain: DICOM
_x000D_##334#</v>
      </c>
    </row>
    <row r="206" spans="3:3" ht="44.25">
      <c r="C206" s="12" t="str">
        <f>IF(Osiris!I206="//---- END","//---- END",Osiris!I206)</f>
        <v>* MRImage.ImagingFrequency 0..* BackboneElement ##34#ImagingFrequency [I34]##34# ##334#ImagingFrequency
_x000D_ConceptualDomain: DICOM
_x000D_##334#</v>
      </c>
    </row>
    <row r="207" spans="3:3" ht="44.25">
      <c r="C207" s="12" t="str">
        <f>IF(Osiris!I207="//---- END","//---- END",Osiris!I207)</f>
        <v>* MRImage.FlipAngle 0..* BackboneElement ##34#FlipAngle [I35]##34# ##334#FlipAngle
_x000D_ConceptualDomain: DICOM
_x000D_##334#</v>
      </c>
    </row>
    <row r="208" spans="3:3" ht="44.25">
      <c r="C208" s="12" t="str">
        <f>IF(Osiris!I208="//---- END","//---- END",Osiris!I208)</f>
        <v>* MRImage.InversionTime 0..* BackboneElement ##34#InversionTime [I36]##34# ##334#InversionTime
_x000D_ConceptualDomain: DICOM
_x000D_##334#</v>
      </c>
    </row>
    <row r="209" spans="3:3" ht="44.25">
      <c r="C209" s="12" t="str">
        <f>IF(Osiris!I209="//---- END","//---- END",Osiris!I209)</f>
        <v>* MRImage.ReceiveCoilName 0..* BackboneElement ##34#ReceiveCoilName [I37]##34# ##334#ReceiveCoilName
_x000D_ConceptualDomain: DICOM
_x000D_##334#</v>
      </c>
    </row>
    <row r="210" spans="3:3">
      <c r="C210" s="12" t="str">
        <f>IF(Osiris!I210="//---- END","//---- END",Osiris!I210)</f>
        <v>* CTImage 0..* BackboneElement ##34#CTImage##34# ##334#CTImage##334#</v>
      </c>
    </row>
    <row r="211" spans="3:3" ht="44.25">
      <c r="C211" s="12" t="str">
        <f>IF(Osiris!I211="//---- END","//---- END",Osiris!I211)</f>
        <v>* CTImage.KVp 0..* BackboneElement ##34#KVp [I38]##34# ##334#KVp
_x000D_ConceptualDomain: DICOM
_x000D_##334#</v>
      </c>
    </row>
    <row r="212" spans="3:3" ht="44.25">
      <c r="C212" s="12" t="str">
        <f>IF(Osiris!I212="//---- END","//---- END",Osiris!I212)</f>
        <v>* CTImage.XRayTubeCurrent 0..* BackboneElement ##34#XRayTubeCurrent [I39]##34# ##334#XRayTubeCurrent
_x000D_ConceptualDomain: DICOM
_x000D_##334#</v>
      </c>
    </row>
    <row r="213" spans="3:3" ht="44.25">
      <c r="C213" s="12" t="str">
        <f>IF(Osiris!I213="//---- END","//---- END",Osiris!I213)</f>
        <v>* CTImage.ExposureTime 0..* BackboneElement ##34#ExposureTime [I40]##34# ##334#ExposureTime
_x000D_ConceptualDomain: DICOM
_x000D_##334#</v>
      </c>
    </row>
    <row r="214" spans="3:3" ht="44.25">
      <c r="C214" s="12" t="str">
        <f>IF(Osiris!I214="//---- END","//---- END",Osiris!I214)</f>
        <v>* CTImage.SpiralPitchFactor 0..* BackboneElement ##34#SpiralPitchFactor [I41]##34# ##334#SpiralPitchFactor
_x000D_ConceptualDomain: DICOM
_x000D_##334#</v>
      </c>
    </row>
    <row r="215" spans="3:3" ht="44.25">
      <c r="C215" s="12" t="str">
        <f>IF(Osiris!I215="//---- END","//---- END",Osiris!I215)</f>
        <v>* CTImage.FilterType 0..* BackboneElement ##34#FilterType [I42]##34# ##334#FilterType
_x000D_ConceptualDomain: DICOM
_x000D_##334#</v>
      </c>
    </row>
    <row r="216" spans="3:3" ht="44.25">
      <c r="C216" s="12" t="str">
        <f>IF(Osiris!I216="//---- END","//---- END",Osiris!I216)</f>
        <v>* CTImage.ConvolutionKernel 0..* BackboneElement ##34#ConvolutionKernel [I43]##34# ##334#ConvolutionKernel
_x000D_ConceptualDomain: DICOM
_x000D_##334#</v>
      </c>
    </row>
    <row r="217" spans="3:3">
      <c r="C217" s="12" t="str">
        <f>IF(Osiris!I217="//---- END","//---- END",Osiris!I217)</f>
        <v>* PTImage 0..* BackboneElement ##34#PTImage##34# ##334#PTImage##334#</v>
      </c>
    </row>
    <row r="218" spans="3:3" ht="59">
      <c r="C218" s="12" t="str">
        <f>IF(Osiris!I218="//---- END","//---- END",Osiris!I218)</f>
        <v>* PTImage.AttenuationCorrectionMethod 0..* BackboneElement ##34#AttenuationCorrectionMethod [I44]##34# ##334#AttenuationCorrectionMethod
_x000D_ConceptualDomain: DICOM
_x000D_##334#</v>
      </c>
    </row>
    <row r="219" spans="3:3" ht="59">
      <c r="C219" s="12" t="str">
        <f>IF(Osiris!I219="//---- END","//---- END",Osiris!I219)</f>
        <v>* PTImage.ReconstructionMethod 0..* BackboneElement ##34#ReconstructionMethod [I45]##34# ##334#ReconstructionMethod
_x000D_ConceptualDomain: DICOM
_x000D_##334#</v>
      </c>
    </row>
    <row r="220" spans="3:3" ht="59">
      <c r="C220" s="12" t="str">
        <f>IF(Osiris!I220="//---- END","//---- END",Osiris!I220)</f>
        <v>* PTImage.ScatterCorrectionMethod 0..* BackboneElement ##34#ScatterCorrectionMethod [I46]##34# ##334#ScatterCorrectionMethod
_x000D_ConceptualDomain: DICOM
_x000D_##334#</v>
      </c>
    </row>
    <row r="221" spans="3:3">
      <c r="C221" s="12" t="str">
        <f>IF(Osiris!I221="//---- END","//---- END",Osiris!I221)</f>
        <v>* NMImage 0..* BackboneElement ##34#NMImage##34# ##334#NMImage##334#</v>
      </c>
    </row>
    <row r="222" spans="3:3" ht="59">
      <c r="C222" s="12" t="str">
        <f>IF(Osiris!I222="//---- END","//---- END",Osiris!I222)</f>
        <v>* NMImage.AttenuationCorrectionMethod 0..* BackboneElement ##34#AttenuationCorrectionMethod [I47]##34# ##334#AttenuationCorrectionMethod
_x000D_ConceptualDomain: DICOM
_x000D_##334#</v>
      </c>
    </row>
    <row r="223" spans="3:3" ht="59">
      <c r="C223" s="12" t="str">
        <f>IF(Osiris!I223="//---- END","//---- END",Osiris!I223)</f>
        <v>* NMImage.ReconstructionMethod 0..* BackboneElement ##34#ReconstructionMethod [I48]##34# ##334#ReconstructionMethod
_x000D_ConceptualDomain: DICOM
_x000D_##334#</v>
      </c>
    </row>
    <row r="224" spans="3:3" ht="59">
      <c r="C224" s="12" t="str">
        <f>IF(Osiris!I224="//---- END","//---- END",Osiris!I224)</f>
        <v>* NMImage.ScatterCorrectionMethod 0..* BackboneElement ##34#ScatterCorrectionMethod [I49]##34# ##334#ScatterCorrectionMethod
_x000D_ConceptualDomain: DICOM
_x000D_##334#</v>
      </c>
    </row>
    <row r="225" spans="3:3">
      <c r="C225" s="12" t="str">
        <f>IF(Osiris!I225="//---- END","//---- END",Osiris!I225)</f>
        <v>* DXImage 0..* BackboneElement ##34#DXImage##34# ##334#DXImage##334#</v>
      </c>
    </row>
    <row r="226" spans="3:3" ht="44.25">
      <c r="C226" s="12" t="str">
        <f>IF(Osiris!I226="//---- END","//---- END",Osiris!I226)</f>
        <v>* DXImage.ImageLaterality 0..* BackboneElement ##34#ImageLaterality [I50]##34# ##334#ImageLaterality
_x000D_ConceptualDomain: DICOM
_x000D_##334#</v>
      </c>
    </row>
    <row r="227" spans="3:3" ht="44.25">
      <c r="C227" s="12" t="str">
        <f>IF(Osiris!I227="//---- END","//---- END",Osiris!I227)</f>
        <v>* DXImage.PatientOrientation 0..* BackboneElement ##34#PatientOrientation [I51]##34# ##334#PatientOrientation
_x000D_ConceptualDomain: DICOM
_x000D_##334#</v>
      </c>
    </row>
    <row r="228" spans="3:3" ht="59">
      <c r="C228" s="12" t="str">
        <f>IF(Osiris!I228="//---- END","//---- END",Osiris!I228)</f>
        <v>* DXImage.AnatomicRegionSequenceCodeMeaning 0..* BackboneElement ##34#AnatomicRegionSequenceCodeMeaning [I52]##34# ##334#AnatomicRegionSequenceCodeMeaning
_x000D_ConceptualDomain: DICOM
_x000D_##334#</v>
      </c>
    </row>
    <row r="229" spans="3:3" ht="59">
      <c r="C229" s="12" t="str">
        <f>IF(Osiris!I229="//---- END","//---- END",Osiris!I229)</f>
        <v>* DXImage.AnatomicRegionSequenceCodeValue 0..* BackboneElement ##34#Anatomic Region SequenceCodeValue [I53]##34# ##334#Anatomic Region SequenceCodeValue
_x000D_ConceptualDomain: DICOM
_x000D_##334#</v>
      </c>
    </row>
    <row r="230" spans="3:3" ht="44.25">
      <c r="C230" s="12" t="str">
        <f>IF(Osiris!I230="//---- END","//---- END",Osiris!I230)</f>
        <v>* DXImage.KVP 0..* BackboneElement ##34#KVP [I54]##34# ##334#KVP
_x000D_ConceptualDomain: DICOM
_x000D_##334#</v>
      </c>
    </row>
    <row r="231" spans="3:3" ht="44.25">
      <c r="C231" s="12" t="str">
        <f>IF(Osiris!I231="//---- END","//---- END",Osiris!I231)</f>
        <v>* DXImage.Exposure 0..* BackboneElement ##34#Exposure [I55]##34# ##334#Exposure
_x000D_ConceptualDomain: DICOM
_x000D_##334#</v>
      </c>
    </row>
    <row r="232" spans="3:3" ht="44.25">
      <c r="C232" s="12" t="str">
        <f>IF(Osiris!I232="//---- END","//---- END",Osiris!I232)</f>
        <v>* DXImage.ExposureTime 0..* BackboneElement ##34#ExposureTime [I56]##34# ##334#ExposureTime
_x000D_ConceptualDomain: DICOM
_x000D_##334#</v>
      </c>
    </row>
    <row r="233" spans="3:3" ht="44.25">
      <c r="C233" s="12" t="str">
        <f>IF(Osiris!I233="//---- END","//---- END",Osiris!I233)</f>
        <v>* DXImage.ContrastBolusAgent 0..* BackboneElement ##34#ContrastBolusAgent [I57]##34# ##334#ContrastBolusAgent
_x000D_ConceptualDomain: DICOM
_x000D_##334#</v>
      </c>
    </row>
    <row r="234" spans="3:3">
      <c r="C234" s="12" t="str">
        <f>IF(Osiris!I234="//---- END","//---- END",Osiris!I234)</f>
        <v>* ROISegmentation 0..* BackboneElement ##34#ROISegmentation##34# ##334#ROISegmentation##334#</v>
      </c>
    </row>
    <row r="235" spans="3:3" ht="59">
      <c r="C235" s="12" t="str">
        <f>IF(Osiris!I235="//---- END","//---- END",Osiris!I235)</f>
        <v>* ROISegmentation.ReferencedSOPInstanceUID 0..* BackboneElement ##34#ReferencedSOPInstanceUID [I58]##34# ##334#ReferencedSOPInstanceUID
_x000D_ConceptualDomain: DICOM
_x000D_##334#</v>
      </c>
    </row>
    <row r="236" spans="3:3" ht="44.25">
      <c r="C236" s="12" t="str">
        <f>IF(Osiris!I236="//---- END","//---- END",Osiris!I236)</f>
        <v>* ROISegmentation.ROINumber 0..* BackboneElement ##34#ROINumber [I59]##34# ##334#ROINumber
_x000D_ConceptualDomain: DICOM
_x000D_##334#</v>
      </c>
    </row>
    <row r="237" spans="3:3" ht="44.25">
      <c r="C237" s="12" t="str">
        <f>IF(Osiris!I237="//---- END","//---- END",Osiris!I237)</f>
        <v>* ROISegmentation.ROIName 0..* BackboneElement ##34#ROIName [I60]##34# ##334#ROIName
_x000D_ConceptualDomain: DICOM
_x000D_##334#</v>
      </c>
    </row>
    <row r="238" spans="3:3" ht="44.25">
      <c r="C238" s="12" t="str">
        <f>IF(Osiris!I238="//---- END","//---- END",Osiris!I238)</f>
        <v>* ROISegmentation.ROIDescription 0..* BackboneElement ##34#ROIDescription [I61]##34# ##334#ROIDescription
_x000D_ConceptualDomain: DICOM
_x000D_##334#</v>
      </c>
    </row>
    <row r="239" spans="3:3" ht="29.5">
      <c r="C239" s="12" t="str">
        <f>IF(Osiris!I239="//---- END","//---- END",Osiris!I239)</f>
        <v>* ROISegmentation.ROIType 0..* BackboneElement ##34#ROIType [I62]##34# ##334#ROIType
_x000D_##334#</v>
      </c>
    </row>
    <row r="240" spans="3:3" ht="29.5">
      <c r="C240" s="12" t="str">
        <f>IF(Osiris!I240="//---- END","//---- END",Osiris!I240)</f>
        <v>* ROISegmentation.ROIFilename 0..* BackboneElement ##34#ROIFilename [I63]##34# ##334#ROIFilename
_x000D_##334#</v>
      </c>
    </row>
    <row r="241" spans="3:3">
      <c r="C241" s="12" t="str">
        <f>IF(Osiris!I241="//---- END","//---- END",Osiris!I241)</f>
        <v>* RadiomicsCriteria 0..* BackboneElement ##34#RadiomicsCriteria##34# ##334#RadiomicsCriteria##334#</v>
      </c>
    </row>
    <row r="242" spans="3:3" ht="44.25">
      <c r="C242" s="12" t="str">
        <f>IF(Osiris!I242="//---- END","//---- END",Osiris!I242)</f>
        <v>* RadiomicsCriteria.SoftwareName 0..* BackboneElement ##34#SoftwareName [I64]##34# ##334#SoftwareName
_x000D_ConceptualDomain: IBSI?
_x000D_##334#</v>
      </c>
    </row>
    <row r="243" spans="3:3" ht="44.25">
      <c r="C243" s="12" t="str">
        <f>IF(Osiris!I243="//---- END","//---- END",Osiris!I243)</f>
        <v>* RadiomicsCriteria.SoftwareVersion 0..* BackboneElement ##34#SoftwareVersion [I65]##34# ##334#SoftwareVersion
_x000D_ConceptualDomain: IBSI?
_x000D_##334#</v>
      </c>
    </row>
    <row r="244" spans="3:3" ht="44.25">
      <c r="C244" s="12" t="str">
        <f>IF(Osiris!I244="//---- END","//---- END",Osiris!I244)</f>
        <v>* RadiomicsCriteria.Method 0..* BackboneElement ##34#Method [I66]##34# ##334#Method
_x000D_ConceptualDomain: IBSI?
_x000D_##334#</v>
      </c>
    </row>
    <row r="245" spans="3:3" ht="44.25">
      <c r="C245" s="12" t="str">
        <f>IF(Osiris!I245="//---- END","//---- END",Osiris!I245)</f>
        <v>* RadiomicsCriteria.UsedImageFilter 0..* BackboneElement ##34#UsedImageFilter [I67]##34# ##334#UsedImageFilter
_x000D_ConceptualDomain: IBSI?
_x000D_##334#</v>
      </c>
    </row>
    <row r="246" spans="3:3" ht="44.25">
      <c r="C246" s="12" t="str">
        <f>IF(Osiris!I246="//---- END","//---- END",Osiris!I246)</f>
        <v>* RadiomicsCriteria.DistanceWeighting 0..* BackboneElement ##34#DistanceWeighting [I68]##34# ##334#DistanceWeighting
_x000D_ConceptualDomain: IBSI?
_x000D_##334#</v>
      </c>
    </row>
    <row r="247" spans="3:3" ht="59">
      <c r="C247" s="12" t="str">
        <f>IF(Osiris!I247="//---- END","//---- END",Osiris!I247)</f>
        <v>* RadiomicsCriteria.NumberOfGreyLevels 0..* BackboneElement ##34#NumberOfGreyLevels [I69]##34# ##334#NumberOfGreyLevels
_x000D_ConceptualDomain: IBSI?
_x000D_##334#</v>
      </c>
    </row>
    <row r="248" spans="3:3" ht="44.25">
      <c r="C248" s="12" t="str">
        <f>IF(Osiris!I248="//---- END","//---- END",Osiris!I248)</f>
        <v>* RadiomicsCriteria.BinSize 0..* BackboneElement ##34#BinSize [I70]##34# ##334#BinSize
_x000D_ConceptualDomain: IBSI?
_x000D_##334#</v>
      </c>
    </row>
    <row r="249" spans="3:3" ht="59">
      <c r="C249" s="12" t="str">
        <f>IF(Osiris!I249="//---- END","//---- END",Osiris!I249)</f>
        <v>* RadiomicsCriteria.IntensityResampling 0..* BackboneElement ##34#IntensityResampling [I71]##34# ##334#IntensityResampling
_x000D_ConceptualDomain: IBSI?
_x000D_##334#</v>
      </c>
    </row>
    <row r="250" spans="3:3" ht="44.25">
      <c r="C250" s="12" t="str">
        <f>IF(Osiris!I250="//---- END","//---- END",Osiris!I250)</f>
        <v>* RadiomicsCriteria.LowestIntensity 0..* BackboneElement ##34#LowestIntensity [I72]##34# ##334#LowestIntensity
_x000D_ConceptualDomain: IBSI?
_x000D_##334#</v>
      </c>
    </row>
    <row r="251" spans="3:3" ht="59">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c r="C252" s="12" t="str">
        <f>IF(Osiris!I252="//---- END","//---- END",Osiris!I252)</f>
        <v>* RadiomicsCriteria.SpatialResamplingMethod 0..* BackboneElement ##34#SpatialResamplingMethod [I74]##34# ##334#SpatialResamplingMethod
_x000D_ConceptualDomain: IBSI?
_x000D_##334#</v>
      </c>
    </row>
    <row r="253" spans="3:3" ht="59">
      <c r="C253" s="12" t="str">
        <f>IF(Osiris!I253="//---- END","//---- END",Osiris!I253)</f>
        <v>* RadiomicsCriteria.SpatialResamplingValues 0..* BackboneElement ##34#SpatialResamplingValues [I75]##34# ##334#SpatialResamplingValues
_x000D_ConceptualDomain: IBSI?
_x000D_##334#</v>
      </c>
    </row>
    <row r="254" spans="3:3" ht="59">
      <c r="C254" s="12" t="str">
        <f>IF(Osiris!I254="//---- END","//---- END",Osiris!I254)</f>
        <v>* RadiomicsCriteria.TextureMatrixAggregation 0..* BackboneElement ##34#TextureMatrixAggregation [I76]##34# ##334#TextureMatrixAggregation
_x000D_ConceptualDomain: IBSI?
_x000D_##334#</v>
      </c>
    </row>
    <row r="255" spans="3:3">
      <c r="C255" s="12" t="str">
        <f>IF(Osiris!I255="//---- END","//---- END",Osiris!I255)</f>
        <v>* RadiomicsImageFilter 0..* BackboneElement ##34#RadiomicsImageFilter##34# ##334#RadiomicsImageFilter##334#</v>
      </c>
    </row>
    <row r="256" spans="3:3" ht="44.25">
      <c r="C256" s="12" t="str">
        <f>IF(Osiris!I256="//---- END","//---- END",Osiris!I256)</f>
        <v>* RadiomicsImageFilter.SoftwareName 0..* BackboneElement ##34#SoftwareName [I77]##34# ##334#SoftwareName
_x000D_ConceptualDomain: IBSI?
_x000D_##334#</v>
      </c>
    </row>
    <row r="257" spans="3:3" ht="44.25">
      <c r="C257" s="12" t="str">
        <f>IF(Osiris!I257="//---- END","//---- END",Osiris!I257)</f>
        <v>* RadiomicsImageFilter.SoftwareVersion 0..* BackboneElement ##34#SoftwareVersion [I78]##34# ##334#SoftwareVersion
_x000D_ConceptualDomain: IBSI?
_x000D_##334#</v>
      </c>
    </row>
    <row r="258" spans="3:3" ht="44.25">
      <c r="C258" s="12" t="str">
        <f>IF(Osiris!I258="//---- END","//---- END",Osiris!I258)</f>
        <v>* RadiomicsImageFilter.FilterName 0..* BackboneElement ##34#FilterName [I79]##34# ##334#FilterName
_x000D_ConceptualDomain: IBSI?
_x000D_##334#</v>
      </c>
    </row>
    <row r="259" spans="3:3" ht="44.25">
      <c r="C259" s="12" t="str">
        <f>IF(Osiris!I259="//---- END","//---- END",Osiris!I259)</f>
        <v>* RadiomicsImageFilter.FilterType 0..* BackboneElement ##34#FilterType [I80]##34# ##334#FilterType
_x000D_ConceptualDomain: IBSI?
_x000D_##334#</v>
      </c>
    </row>
    <row r="260" spans="3:3" ht="44.25">
      <c r="C260" s="12" t="str">
        <f>IF(Osiris!I260="//---- END","//---- END",Osiris!I260)</f>
        <v>* RadiomicsImageFilter.FilterInterpolation 0..* BackboneElement ##34#FilterInterpolation [I81]##34# ##334#FilterInterpolation
_x000D_ConceptualDomain: IBSI?
_x000D_##334#</v>
      </c>
    </row>
    <row r="261" spans="3:3" ht="44.25">
      <c r="C261" s="12" t="str">
        <f>IF(Osiris!I261="//---- END","//---- END",Osiris!I261)</f>
        <v>* RadiomicsImageFilter.IntensityRounding 0..* BackboneElement ##34#IntensityRounding [I82]##34# ##334#IntensityRounding
_x000D_ConceptualDomain: IBSI?
_x000D_##334#</v>
      </c>
    </row>
    <row r="262" spans="3:3" ht="59">
      <c r="C262" s="12" t="str">
        <f>IF(Osiris!I262="//---- END","//---- END",Osiris!I262)</f>
        <v>* RadiomicsImageFilter.BoundaryCondition 0..* BackboneElement ##34#BoundaryCondition [I83]##34# ##334#BoundaryCondition
_x000D_ConceptualDomain: IBSI?
_x000D_##334#</v>
      </c>
    </row>
    <row r="263" spans="3:3">
      <c r="C263" s="12" t="str">
        <f>IF(Osiris!I263="//---- END","//---- END",Osiris!I263)</f>
        <v>* RadiomicsFeature 0..* BackboneElement ##34#RadiomicsFeature##34# ##334#RadiomicsFeature##334#</v>
      </c>
    </row>
    <row r="264" spans="3:3" ht="44.25">
      <c r="C264" s="12" t="str">
        <f>IF(Osiris!I264="//---- END","//---- END",Osiris!I264)</f>
        <v>* RadiomicsFeature.Id 0..* BackboneElement ##34#Id [I84]##34# ##334#Id
_x000D_ConceptualDomain: IBSI?
_x000D_##334#</v>
      </c>
    </row>
    <row r="265" spans="3:3" ht="44.25">
      <c r="C265" s="12" t="str">
        <f>IF(Osiris!I265="//---- END","//---- END",Osiris!I265)</f>
        <v>* RadiomicsFeature.Name 0..* BackboneElement ##34#Name [I85]##34# ##334#Name
_x000D_ConceptualDomain: IBSI?
_x000D_##334#</v>
      </c>
    </row>
    <row r="266" spans="3:3" ht="44.25">
      <c r="C266" s="12" t="str">
        <f>IF(Osiris!I266="//---- END","//---- END",Osiris!I266)</f>
        <v>* RadiomicsFeature.Value 0..* BackboneElement ##34#Value [I86]##34# ##334#Value
_x000D_ConceptualDomain: IBSI?
_x000D_##334#</v>
      </c>
    </row>
    <row r="267" spans="3:3">
      <c r="C267" s="12" t="str">
        <f>IF(Osiris!I267="//---- END","//---- END",Osiris!I267)</f>
        <v>//---- END</v>
      </c>
    </row>
    <row r="268" spans="3:3">
      <c r="C268" s="12" t="str">
        <f>IF(Osiris!I268="//---- END","//---- END",Osiris!I268)</f>
        <v>//---- END</v>
      </c>
    </row>
    <row r="269" spans="3:3">
      <c r="C269" s="12" t="str">
        <f>IF(Osiris!I269="//---- END","//---- END",Osiris!I269)</f>
        <v>//---- END</v>
      </c>
    </row>
    <row r="270" spans="3:3">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4" t="str">
        <f>Osiris!I1</f>
        <v>// -------------------------------------------------------------------------------</v>
      </c>
    </row>
    <row r="2" spans="3:7" ht="16.75" thickBot="1">
      <c r="C2" s="25" t="str">
        <f>Osiris!I2</f>
        <v>//  Logical Model</v>
      </c>
      <c r="G2" s="30" t="s">
        <v>1470</v>
      </c>
    </row>
    <row r="3" spans="3:7">
      <c r="C3" s="25" t="str">
        <f>Osiris!I3</f>
        <v>// -------------------------------------------------------------------------------</v>
      </c>
    </row>
    <row r="4" spans="3:7">
      <c r="C4" s="17" t="str">
        <f>Osiris!I4</f>
        <v>Logical: Osiris</v>
      </c>
    </row>
    <row r="5" spans="3:7">
      <c r="C5" s="17" t="str">
        <f>Osiris!I5</f>
        <v>Id: Osiris</v>
      </c>
    </row>
    <row r="6" spans="3:7">
      <c r="C6" s="17" t="str">
        <f>Osiris!I6</f>
        <v>Title: ##34#Osiris Model##34#</v>
      </c>
    </row>
    <row r="7" spans="3:7">
      <c r="C7" s="17" t="str">
        <f>Osiris!I7</f>
        <v>Description:  ##334#Osiris Data Element Concept##334#</v>
      </c>
    </row>
    <row r="8" spans="3:7">
      <c r="C8" s="12" t="str">
        <f>IF(Osiris!I8="*  ..  ##34###34# ##334###334#","//--- END",Osiris!I8)</f>
        <v>* Patient 1..* BackboneElement ##34#Patient##34# ##334#Patient##334#</v>
      </c>
    </row>
    <row r="9" spans="3:7" ht="29.5">
      <c r="C9" s="12" t="str">
        <f>IF(Osiris!I9="*  ..  ##34###34# ##334###334#","//--- END",Osiris!I9)</f>
        <v>* Patient.Id 1..* string ##34#Patient Id [C1]##34# ##334#Patient ID in the center providing the information
_x000D_mandatory##334#</v>
      </c>
    </row>
    <row r="10" spans="3:7" ht="44.25">
      <c r="C10" s="12" t="str">
        <f>IF(Osiris!I10="*  ..  ##34###34# ##334###334#","//--- END",Osiris!I10)</f>
        <v>* Patient.Gender 1..* string ##34#Gender [C2]##34# ##334#Gender of the patient
_x000D_ConceptualDomain: FHIR:AdministrativeGender
_x000D_mandatory##334#</v>
      </c>
    </row>
    <row r="11" spans="3:7" ht="44.25">
      <c r="C11" s="12" t="str">
        <f>IF(Osiris!I11="*  ..  ##34###34# ##334###334#","//--- END",Osiris!I11)</f>
        <v>* Patient.Ethnicity 0..* string ##34#Ethnicity [C3]##34# ##334#Ethnicity of the patient
_x000D_ConceptualDomain: FHIR:Race
_x000D_optional##334#</v>
      </c>
    </row>
    <row r="12" spans="3:7" ht="29.5">
      <c r="C12" s="12" t="str">
        <f>IF(Osiris!I12="*  ..  ##34###34# ##334###334#","//--- END",Osiris!I12)</f>
        <v>* Patient.BirthDate 1..* date ##34#Birth Date [C4]##34# ##334#Date of birth of the patient
_x000D_mandatory##334#</v>
      </c>
    </row>
    <row r="13" spans="3:7" ht="29.5">
      <c r="C13" s="12" t="str">
        <f>IF(Osiris!I13="*  ..  ##34###34# ##334###334#","//--- END",Osiris!I13)</f>
        <v>* Patient.DeathDate 0..* date ##34#Death Date [C5]##34# ##334#Date of death of the patient
_x000D_optional##334#</v>
      </c>
    </row>
    <row r="14" spans="3:7" ht="44.25">
      <c r="C14" s="12" t="str">
        <f>IF(Osiris!I14="*  ..  ##34###34# ##334###334#","//--- END",Osiris!I14)</f>
        <v>* Patient.ProviderCenterId 1..* string ##34#Provider  Center  Id [C6]##34# ##334#Center ID of the center providing the information
_x000D_mandatory##334#</v>
      </c>
    </row>
    <row r="15" spans="3:7" ht="29.5">
      <c r="C15" s="12" t="str">
        <f>IF(Osiris!I15="*  ..  ##34###34# ##334###334#","//--- END",Osiris!I15)</f>
        <v>* Patient.OriginCenterId 1..* string ##34#Origin  Center  Id [C71]##34# ##334#Center ID of the center of origin of the patient
_x000D_mandatory##334#</v>
      </c>
    </row>
    <row r="16" spans="3:7" ht="44.25">
      <c r="C16" s="12" t="str">
        <f>IF(Osiris!I16="*  ..  ##34###34# ##334###334#","//--- END",Osiris!I16)</f>
        <v>* Patient.CauseOfDeath 0..* string ##34#Cause of death [C7]##34# ##334#Description of the cause of death of the patient 
_x000D_ConceptualDomain: UMLS:C0007465
_x000D_mandatory if DeathDate is set##334#</v>
      </c>
    </row>
    <row r="17" spans="3:3" ht="44.25">
      <c r="C17" s="12" t="str">
        <f>IF(Osiris!I17="*  ..  ##34###34# ##334###334#","//--- END",Osiris!I17)</f>
        <v>* Patient.LastNewsDate 1..* date ##34#Last News Date [C8]##34# ##334#Date of last news (= date of last patient visit if there is no other information available) (day is set to the 15th)
_x000D_mandatory##334#</v>
      </c>
    </row>
    <row r="30" spans="3:3">
      <c r="C30" s="24" t="str">
        <f>'Osiris-Map'!E1</f>
        <v>// -------------------------------------------------------------------------------</v>
      </c>
    </row>
    <row r="31" spans="3:3">
      <c r="C31" s="25" t="str">
        <f>'Osiris-Map'!E2</f>
        <v>//  Map to FHIR R4</v>
      </c>
    </row>
    <row r="32" spans="3:3">
      <c r="C32" s="25" t="str">
        <f>'Osiris-Map'!E3</f>
        <v>// -------------------------------------------------------------------------------</v>
      </c>
    </row>
    <row r="33" spans="3:3">
      <c r="C33" s="12" t="str">
        <f>'Osiris-Map'!E4</f>
        <v>Mapping: xxxxxxxxx</v>
      </c>
    </row>
    <row r="34" spans="3:3">
      <c r="C34" s="12" t="str">
        <f>'Osiris-Map'!E5</f>
        <v>Id: fhir</v>
      </c>
    </row>
    <row r="35" spans="3:3">
      <c r="C35" s="12" t="str">
        <f>'Osiris-Map'!E6</f>
        <v>Title: ##34#Idea4RC Subject model to FHIR R4 Map##34#</v>
      </c>
    </row>
    <row r="36" spans="3:3">
      <c r="C36" s="12" t="str">
        <f>'Osiris-Map'!E7</f>
        <v>Source: Osiris</v>
      </c>
    </row>
    <row r="37" spans="3:3">
      <c r="C37" s="12" t="str">
        <f>'Osiris-Map'!E8</f>
        <v>Target: ##34#hl7.org/fhir/r4##34#</v>
      </c>
    </row>
    <row r="39" spans="3:3">
      <c r="C39" s="4" t="str">
        <f>'Osiris-Map'!E9</f>
        <v>* -&gt; ##34###34#</v>
      </c>
    </row>
    <row r="40" spans="3:3">
      <c r="C40" s="12" t="str">
        <f>IF('Osiris-Map'!E10="*  -&gt; ##34###34#","// --END",'Osiris-Map'!E10)</f>
        <v>* Patient -&gt; ##34#.birthDate##34#</v>
      </c>
    </row>
    <row r="41" spans="3:3">
      <c r="C41" s="12" t="str">
        <f>IF('Osiris-Map'!E11="*  -&gt; ##34###34#","// --END",'Osiris-Map'!E11)</f>
        <v>* Patient.Id -&gt; ##34#.birthDate##34#</v>
      </c>
    </row>
    <row r="42" spans="3:3">
      <c r="C42" s="12" t="str">
        <f>IF('Osiris-Map'!E12="*  -&gt; ##34###34#","// --END",'Osiris-Map'!E12)</f>
        <v>* Patient.Gender -&gt; ##34#.birthDate.extension('data-absent-reason').where(valueCode = 'unknown')##34#</v>
      </c>
    </row>
    <row r="43" spans="3:3">
      <c r="C43" s="12" t="str">
        <f>IF('Osiris-Map'!E13="*  -&gt; ##34###34#","// --END",'Osiris-Map'!E13)</f>
        <v>* Patient.Ethnicity -&gt; ##34#.maritalStatus##34#</v>
      </c>
    </row>
    <row r="44" spans="3:3">
      <c r="C44" s="12" t="str">
        <f>IF('Osiris-Map'!E14="*  -&gt; ##34###34#","// --END",'Osiris-Map'!E14)</f>
        <v>* Patient.BirthDate -&gt; ##34#.gender##34#</v>
      </c>
    </row>
    <row r="45" spans="3:3">
      <c r="C45" s="12" t="str">
        <f>IF('Osiris-Map'!E15="*  -&gt; ##34###34#","// --END",'Osiris-Map'!E15)</f>
        <v>* Patient.BirthDate -&gt; ##34#.extension('individual-recordedSexOrGender').value##34#</v>
      </c>
    </row>
    <row r="46" spans="3:3">
      <c r="C46" s="12" t="str">
        <f>IF('Osiris-Map'!E16="*  -&gt; ##34###34#","// --END",'Osiris-Map'!E16)</f>
        <v>* Patient.BirthDate -&gt; ##34#.extension('patient-sexForClinicalUse').value##34#</v>
      </c>
    </row>
    <row r="47" spans="3:3">
      <c r="C47" s="12" t="str">
        <f>IF('Osiris-Map'!E17="*  -&gt; ##34###34#","// --END",'Osiris-Map'!E17)</f>
        <v>* Patient.DeathDate -&gt; ##34#to be mapped##34#</v>
      </c>
    </row>
    <row r="48" spans="3:3">
      <c r="C48" s="12" t="str">
        <f>IF('Osiris-Map'!E18="*  -&gt; ##34###34#","// --END",'Osiris-Map'!E18)</f>
        <v>* Patient.ProviderCenterId -&gt; ##34#.address.country##34#</v>
      </c>
    </row>
    <row r="49" spans="3:3">
      <c r="C49" s="12" t="str">
        <f>IF('Osiris-Map'!E19="*  -&gt; ##34###34#","// --END",'Osiris-Map'!E19)</f>
        <v>* Patient.OriginCenterId -&gt; ##34###34#</v>
      </c>
    </row>
    <row r="50" spans="3:3">
      <c r="C50" s="12" t="str">
        <f>IF('Osiris-Map'!E20="*  -&gt; ##34###34#","// --END",'Osiris-Map'!E20)</f>
        <v>* Patient.CauseOfDeath -&gt; ##34###34#</v>
      </c>
    </row>
    <row r="51" spans="3:3">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1412</v>
      </c>
      <c r="I3" s="12" t="s">
        <v>1413</v>
      </c>
      <c r="J3" s="12" t="s">
        <v>1414</v>
      </c>
      <c r="K3" s="12" t="s">
        <v>1415</v>
      </c>
      <c r="L3" s="11" t="s">
        <v>1416</v>
      </c>
      <c r="N3" s="53" t="s">
        <v>1451</v>
      </c>
      <c r="O3" s="53">
        <v>5</v>
      </c>
    </row>
    <row r="4" spans="1:17" ht="15.5" thickBot="1">
      <c r="B4" s="10" t="s">
        <v>18</v>
      </c>
      <c r="C4" s="29" t="s">
        <v>176</v>
      </c>
      <c r="E4" s="58"/>
      <c r="H4" s="12"/>
      <c r="I4" s="11"/>
      <c r="J4" s="11"/>
      <c r="K4" s="11"/>
      <c r="L4" s="11"/>
    </row>
    <row r="5" spans="1:17" ht="15.5" thickBot="1">
      <c r="B5" s="10" t="s">
        <v>17</v>
      </c>
      <c r="C5" s="13" t="s">
        <v>14</v>
      </c>
      <c r="E5" s="59"/>
      <c r="H5" s="12"/>
      <c r="I5" s="11"/>
      <c r="J5" s="11"/>
      <c r="K5" s="11"/>
      <c r="L5" s="11"/>
    </row>
    <row r="6" spans="1:17" ht="15.5" thickBot="1">
      <c r="B6" s="10" t="s">
        <v>11</v>
      </c>
      <c r="C6" s="7" t="s">
        <v>168</v>
      </c>
      <c r="E6" s="7"/>
      <c r="H6" s="17" t="s">
        <v>1454</v>
      </c>
      <c r="I6" s="71" t="s">
        <v>1455</v>
      </c>
      <c r="J6" s="17" t="s">
        <v>1452</v>
      </c>
      <c r="K6" s="71" t="s">
        <v>1453</v>
      </c>
      <c r="L6" s="67" t="s">
        <v>1447</v>
      </c>
    </row>
    <row r="7" spans="1:17">
      <c r="B7" s="64" t="s">
        <v>19</v>
      </c>
      <c r="C7" s="60" t="str">
        <f>B9</f>
        <v>Osiris</v>
      </c>
      <c r="E7" s="60"/>
      <c r="H7" s="12"/>
      <c r="I7" s="11"/>
      <c r="J7" s="11"/>
      <c r="K7" s="11"/>
      <c r="L7" s="11"/>
    </row>
    <row r="8" spans="1:17">
      <c r="B8" s="66" t="s">
        <v>16</v>
      </c>
      <c r="C8" s="11" t="s">
        <v>13</v>
      </c>
      <c r="D8" s="12"/>
      <c r="E8" s="11"/>
      <c r="F8" s="67" t="s">
        <v>1447</v>
      </c>
      <c r="G8" s="70"/>
      <c r="H8" s="12"/>
      <c r="I8" s="11"/>
      <c r="J8" s="67"/>
      <c r="K8" s="67"/>
      <c r="L8" s="67"/>
    </row>
    <row r="9" spans="1:17">
      <c r="A9" s="63"/>
      <c r="B9" s="6" t="str">
        <f>Osiris!B5</f>
        <v>Osiris</v>
      </c>
      <c r="C9" s="11"/>
      <c r="D9" s="6"/>
      <c r="E9" s="6"/>
      <c r="F9" s="11"/>
      <c r="H9" s="12"/>
      <c r="I9" s="11"/>
      <c r="J9" s="11"/>
      <c r="K9" s="11"/>
      <c r="L9" s="67"/>
    </row>
    <row r="10" spans="1:17" ht="44.25">
      <c r="A10" s="63"/>
      <c r="B10" s="11" t="str">
        <f>Osiris!B8</f>
        <v>Patient</v>
      </c>
      <c r="C10" s="11" t="str">
        <f>Osiris!C8</f>
        <v>Patient</v>
      </c>
      <c r="D10" s="61" t="str">
        <f>Subject!B5</f>
        <v>Subject</v>
      </c>
      <c r="E10" s="61" t="str">
        <f>Subject!B6</f>
        <v>Subject of care</v>
      </c>
      <c r="F10" s="68" t="s">
        <v>1439</v>
      </c>
      <c r="G10" s="62"/>
      <c r="H10" s="12" t="str">
        <f>"* group[=].element[+].code = #"&amp;$B$9&amp;"."&amp;B10</f>
        <v>* group[=].element[+].code = #Osiris.Patient</v>
      </c>
      <c r="I10" s="12" t="str">
        <f>"* group[=].element[=].display = ##34#"&amp;C10&amp;"##34#"</f>
        <v>* group[=].element[=].display = ##34#Patient##34#</v>
      </c>
      <c r="J10" s="12" t="str">
        <f>IF(F10="unmatched","//-- unmatched","* group[=].element[=].target.code = #"&amp;D10)</f>
        <v>* group[=].element[=].target.code = #Subject</v>
      </c>
      <c r="K10" s="12" t="str">
        <f>IF(F10="unmatched","//-- unmatched","* group[=].element[=].target.display = ##34#"&amp;E10&amp;"##34#")</f>
        <v>* group[=].element[=].target.display = ##34#Subject of care##34#</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c r="A11" s="63"/>
      <c r="B11" s="11" t="str">
        <f>Osiris!B9</f>
        <v>Patient.Id</v>
      </c>
      <c r="C11" s="11" t="str">
        <f>Osiris!C9</f>
        <v>Patient Id [C1]</v>
      </c>
      <c r="D11" s="11"/>
      <c r="E11" s="11"/>
      <c r="F11" s="68" t="s">
        <v>1434</v>
      </c>
      <c r="G11" s="62"/>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c r="A12" s="63"/>
      <c r="B12" s="11" t="str">
        <f>Osiris!B10</f>
        <v>Patient.Gender</v>
      </c>
      <c r="C12" s="11" t="str">
        <f>Osiris!C10</f>
        <v>Gender [C2]</v>
      </c>
      <c r="D12" s="11" t="str">
        <f>$D$10&amp;"."&amp;Subject!B12</f>
        <v>Subject.sexOrGender</v>
      </c>
      <c r="E12" s="11" t="str">
        <f>Subject!C12</f>
        <v>Gender/Sex</v>
      </c>
      <c r="F12" s="68" t="s">
        <v>1441</v>
      </c>
      <c r="G12" s="62"/>
      <c r="H12" s="12" t="str">
        <f t="shared" si="0"/>
        <v>* group[=].element[+].code = #Osiris.Patient.Gender</v>
      </c>
      <c r="I12" s="12" t="str">
        <f t="shared" si="1"/>
        <v>* group[=].element[=].display = ##34#Gender [C2]##34#</v>
      </c>
      <c r="J12" s="12" t="str">
        <f t="shared" si="2"/>
        <v>* group[=].element[=].target.code = #Subject.sexOrGender</v>
      </c>
      <c r="K12" s="12" t="str">
        <f t="shared" si="3"/>
        <v>* group[=].element[=].target.display = ##34#Gender/Sex##34#</v>
      </c>
      <c r="L12" s="12" t="str">
        <f t="shared" si="4"/>
        <v>* group[=].element[=].target.equivalence = #wider</v>
      </c>
      <c r="N12" s="11">
        <v>3</v>
      </c>
      <c r="O12" s="11">
        <f t="shared" si="5"/>
        <v>0</v>
      </c>
      <c r="P12" s="11">
        <f t="shared" si="6"/>
        <v>3</v>
      </c>
      <c r="Q12" s="12" t="str" cm="1">
        <f t="array" ref="Q12">INDEX('Osiris-ConceptMap'!$H$10:$L$264,O12+1,P12)</f>
        <v>* group[=].element[=].target.code = #Subject</v>
      </c>
    </row>
    <row r="13" spans="1:17" ht="44.25">
      <c r="A13" s="63"/>
      <c r="B13" s="11" t="str">
        <f>Osiris!B11</f>
        <v>Patient.Ethnicity</v>
      </c>
      <c r="C13" s="11" t="str">
        <f>Osiris!C11</f>
        <v>Ethnicity [C3]</v>
      </c>
      <c r="D13" s="11" t="str">
        <f>$D$10&amp;"."&amp;Subject!B13</f>
        <v>Subject.race</v>
      </c>
      <c r="E13" s="11" t="str">
        <f>Subject!C13</f>
        <v>Race</v>
      </c>
      <c r="F13" s="68" t="s">
        <v>1417</v>
      </c>
      <c r="G13" s="62"/>
      <c r="H13" s="12" t="str">
        <f t="shared" si="0"/>
        <v>* group[=].element[+].code = #Osiris.Patient.Ethnicity</v>
      </c>
      <c r="I13" s="12" t="str">
        <f t="shared" si="1"/>
        <v>* group[=].element[=].display = ##34#Ethnicity [C3]##34#</v>
      </c>
      <c r="J13" s="12" t="str">
        <f t="shared" si="2"/>
        <v>* group[=].element[=].target.code = #Subject.race</v>
      </c>
      <c r="K13" s="12" t="str">
        <f t="shared" si="3"/>
        <v>* group[=].element[=].target.display = ##34#Race##34#</v>
      </c>
      <c r="L13" s="12" t="str">
        <f t="shared" si="4"/>
        <v>* group[=].element[=].target.equivalence = #relatedto</v>
      </c>
      <c r="N13" s="11">
        <v>4</v>
      </c>
      <c r="O13" s="11">
        <f t="shared" si="5"/>
        <v>0</v>
      </c>
      <c r="P13" s="11">
        <f t="shared" si="6"/>
        <v>4</v>
      </c>
      <c r="Q13" s="12" t="str" cm="1">
        <f t="array" ref="Q13">INDEX('Osiris-ConceptMap'!$H$10:$L$264,O13+1,P13)</f>
        <v>* group[=].element[=].target.display = ##34#Subject of care##34#</v>
      </c>
    </row>
    <row r="14" spans="1:17" ht="44.25">
      <c r="A14" s="63"/>
      <c r="B14" s="11" t="str">
        <f>Osiris!$B$12</f>
        <v>Patient.BirthDate</v>
      </c>
      <c r="C14" s="11" t="str">
        <f>Osiris!C12</f>
        <v>Birth Date [C4]</v>
      </c>
      <c r="D14" s="11" t="str">
        <f>$D$10&amp;"."&amp;Subject!B9</f>
        <v>Subject.dateOfBirth.date</v>
      </c>
      <c r="E14" s="11" t="str">
        <f>Subject!C9</f>
        <v>Date of birth</v>
      </c>
      <c r="F14" s="68" t="s">
        <v>1439</v>
      </c>
      <c r="G14" s="62"/>
      <c r="H14" s="12" t="str">
        <f t="shared" si="0"/>
        <v>* group[=].element[+].code = #Osiris.Patient.BirthDate</v>
      </c>
      <c r="I14" s="12" t="str">
        <f t="shared" si="1"/>
        <v>* group[=].element[=].display = ##34#Birth Date [C4]##34#</v>
      </c>
      <c r="J14" s="12" t="str">
        <f t="shared" si="2"/>
        <v>* group[=].element[=].target.code = #Subject.dateOfBirth.date</v>
      </c>
      <c r="K14" s="12" t="str">
        <f t="shared" si="3"/>
        <v>* group[=].element[=].target.display = ##34#Date of birth##34#</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c r="A15" s="63"/>
      <c r="B15" s="11" t="str">
        <f>Osiris!B13</f>
        <v>Patient.DeathDate</v>
      </c>
      <c r="C15" s="11" t="str">
        <f>Osiris!C13</f>
        <v>Death Date [C5]</v>
      </c>
      <c r="D15" s="11"/>
      <c r="E15" s="11"/>
      <c r="F15" s="68" t="s">
        <v>1434</v>
      </c>
      <c r="G15" s="62"/>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c r="A16" s="63"/>
      <c r="B16" s="11" t="str">
        <f>Osiris!B14</f>
        <v>Patient.ProviderCenterId</v>
      </c>
      <c r="C16" s="11" t="str">
        <f>Osiris!C14</f>
        <v>Provider  Center  Id [C6]</v>
      </c>
      <c r="D16" s="11"/>
      <c r="E16" s="11"/>
      <c r="F16" s="68" t="s">
        <v>1434</v>
      </c>
      <c r="G16" s="62"/>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c r="A17" s="63"/>
      <c r="B17" s="11" t="str">
        <f>Osiris!B15</f>
        <v>Patient.OriginCenterId</v>
      </c>
      <c r="C17" s="11" t="str">
        <f>Osiris!C15</f>
        <v>Origin  Center  Id [C71]</v>
      </c>
      <c r="D17" s="11"/>
      <c r="E17" s="12"/>
      <c r="F17" s="68" t="s">
        <v>1434</v>
      </c>
      <c r="G17" s="62"/>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c r="A18" s="63"/>
      <c r="B18" s="11" t="str">
        <f>Osiris!B16</f>
        <v>Patient.CauseOfDeath</v>
      </c>
      <c r="C18" s="11" t="str">
        <f>Osiris!C16</f>
        <v>Cause of death [C7]</v>
      </c>
      <c r="D18" s="11"/>
      <c r="E18" s="12"/>
      <c r="F18" s="68" t="s">
        <v>1434</v>
      </c>
      <c r="G18" s="62"/>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c r="B19" s="11" t="str">
        <f>Osiris!B17</f>
        <v>Patient.LastNewsDate</v>
      </c>
      <c r="C19" s="11" t="str">
        <f>Osiris!C17</f>
        <v>Last News Date [C8]</v>
      </c>
      <c r="D19" s="11"/>
      <c r="E19" s="12"/>
      <c r="F19" s="68" t="s">
        <v>1434</v>
      </c>
      <c r="G19" s="62"/>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c r="B20" s="11" t="str">
        <f>Osiris!B18</f>
        <v>Patient.LastNewsStatus</v>
      </c>
      <c r="C20" s="11" t="str">
        <f>Osiris!C18</f>
        <v>Last News Status [C9]</v>
      </c>
      <c r="D20" s="11"/>
      <c r="E20" s="12"/>
      <c r="F20" s="68" t="s">
        <v>1434</v>
      </c>
      <c r="G20" s="62"/>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c r="B21" s="11"/>
      <c r="C21" s="11"/>
      <c r="D21" s="11"/>
      <c r="E21" s="12"/>
      <c r="F21" s="68"/>
      <c r="G21" s="62"/>
      <c r="J21" s="62"/>
      <c r="K21" s="62"/>
      <c r="L21" s="70"/>
      <c r="N21" s="11">
        <v>12</v>
      </c>
      <c r="O21" s="11">
        <f t="shared" si="5"/>
        <v>2</v>
      </c>
      <c r="P21" s="11">
        <f t="shared" si="6"/>
        <v>2</v>
      </c>
      <c r="Q21" s="12" t="str" cm="1">
        <f t="array" ref="Q21">INDEX('Osiris-ConceptMap'!$H$10:$L$264,O21+1,P21)</f>
        <v>* group[=].element[=].display = ##34#Gender [C2]##34#</v>
      </c>
    </row>
    <row r="22" spans="1:17">
      <c r="B22" s="11"/>
      <c r="C22" s="11"/>
      <c r="D22" s="11"/>
      <c r="E22" s="12"/>
      <c r="F22" s="68"/>
      <c r="G22" s="62"/>
      <c r="J22" s="62"/>
      <c r="K22" s="62"/>
      <c r="L22" s="70"/>
      <c r="N22" s="11">
        <v>13</v>
      </c>
      <c r="O22" s="11">
        <f t="shared" si="5"/>
        <v>2</v>
      </c>
      <c r="P22" s="11">
        <f t="shared" si="6"/>
        <v>3</v>
      </c>
      <c r="Q22" s="12" t="str" cm="1">
        <f t="array" ref="Q22">INDEX('Osiris-ConceptMap'!$H$10:$L$264,O22+1,P22)</f>
        <v>* group[=].element[=].target.code = #Subject.sexOrGender</v>
      </c>
    </row>
    <row r="23" spans="1:17">
      <c r="B23" s="11"/>
      <c r="C23" s="11"/>
      <c r="D23" s="11"/>
      <c r="E23" s="12"/>
      <c r="F23" s="68"/>
      <c r="G23" s="62"/>
      <c r="J23" s="62"/>
      <c r="K23" s="62"/>
      <c r="L23" s="70"/>
      <c r="N23" s="11">
        <v>14</v>
      </c>
      <c r="O23" s="11">
        <f t="shared" si="5"/>
        <v>2</v>
      </c>
      <c r="P23" s="11">
        <f t="shared" si="6"/>
        <v>4</v>
      </c>
      <c r="Q23" s="12" t="str" cm="1">
        <f t="array" ref="Q23">INDEX('Osiris-ConceptMap'!$H$10:$L$264,O23+1,P23)</f>
        <v>* group[=].element[=].target.display = ##34#Gender/Sex##34#</v>
      </c>
    </row>
    <row r="24" spans="1:17">
      <c r="B24" s="11"/>
      <c r="C24" s="11"/>
      <c r="D24" s="11"/>
      <c r="E24" s="12"/>
      <c r="F24" s="68"/>
      <c r="G24" s="62"/>
      <c r="J24" s="62"/>
      <c r="K24" s="62"/>
      <c r="L24" s="70"/>
      <c r="N24" s="11">
        <v>15</v>
      </c>
      <c r="O24" s="11">
        <f t="shared" si="5"/>
        <v>2</v>
      </c>
      <c r="P24" s="11">
        <f t="shared" si="6"/>
        <v>5</v>
      </c>
      <c r="Q24" s="12" t="str" cm="1">
        <f t="array" ref="Q24">INDEX('Osiris-ConceptMap'!$H$10:$L$264,O24+1,P24)</f>
        <v>* group[=].element[=].target.equivalence = #wider</v>
      </c>
    </row>
    <row r="25" spans="1:17">
      <c r="B25" s="11"/>
      <c r="C25" s="11"/>
      <c r="D25" s="11"/>
      <c r="E25" s="12"/>
      <c r="F25" s="68"/>
      <c r="G25" s="62"/>
      <c r="J25" s="62"/>
      <c r="K25" s="62"/>
      <c r="L25" s="70"/>
      <c r="N25" s="11">
        <v>16</v>
      </c>
      <c r="O25" s="11">
        <f t="shared" si="5"/>
        <v>3</v>
      </c>
      <c r="P25" s="11">
        <f t="shared" si="6"/>
        <v>1</v>
      </c>
      <c r="Q25" s="12" t="str" cm="1">
        <f t="array" ref="Q25">INDEX('Osiris-ConceptMap'!$H$10:$L$264,O25+1,P25)</f>
        <v>* group[=].element[+].code = #Osiris.Patient.Ethnicity</v>
      </c>
    </row>
    <row r="26" spans="1:17">
      <c r="B26" s="11"/>
      <c r="C26" s="11"/>
      <c r="D26" s="11"/>
      <c r="E26" s="12"/>
      <c r="F26" s="68"/>
      <c r="G26" s="62"/>
      <c r="J26" s="62"/>
      <c r="K26" s="62"/>
      <c r="L26" s="70"/>
      <c r="N26" s="11">
        <v>17</v>
      </c>
      <c r="O26" s="11">
        <f t="shared" si="5"/>
        <v>3</v>
      </c>
      <c r="P26" s="11">
        <f t="shared" si="6"/>
        <v>2</v>
      </c>
      <c r="Q26" s="12" t="str" cm="1">
        <f t="array" ref="Q26">INDEX('Osiris-ConceptMap'!$H$10:$L$264,O26+1,P26)</f>
        <v>* group[=].element[=].display = ##34#Ethnicity [C3]##34#</v>
      </c>
    </row>
    <row r="27" spans="1:17">
      <c r="B27" s="11"/>
      <c r="C27" s="11"/>
      <c r="D27" s="11"/>
      <c r="E27" s="12"/>
      <c r="F27" s="68"/>
      <c r="G27" s="62"/>
      <c r="J27" s="62"/>
      <c r="K27" s="62"/>
      <c r="L27" s="70"/>
      <c r="N27" s="11">
        <v>18</v>
      </c>
      <c r="O27" s="11">
        <f t="shared" si="5"/>
        <v>3</v>
      </c>
      <c r="P27" s="11">
        <f t="shared" si="6"/>
        <v>3</v>
      </c>
      <c r="Q27" s="12" t="str" cm="1">
        <f t="array" ref="Q27">INDEX('Osiris-ConceptMap'!$H$10:$L$264,O27+1,P27)</f>
        <v>* group[=].element[=].target.code = #Subject.race</v>
      </c>
    </row>
    <row r="28" spans="1:17">
      <c r="B28" s="11"/>
      <c r="C28" s="11"/>
      <c r="D28" s="11"/>
      <c r="E28" s="12"/>
      <c r="F28" s="68"/>
      <c r="G28" s="62"/>
      <c r="J28" s="62"/>
      <c r="K28" s="62"/>
      <c r="L28" s="70"/>
      <c r="N28" s="11">
        <v>19</v>
      </c>
      <c r="O28" s="11">
        <f t="shared" si="5"/>
        <v>3</v>
      </c>
      <c r="P28" s="11">
        <f t="shared" si="6"/>
        <v>4</v>
      </c>
      <c r="Q28" s="12" t="str" cm="1">
        <f t="array" ref="Q28">INDEX('Osiris-ConceptMap'!$H$10:$L$264,O28+1,P28)</f>
        <v>* group[=].element[=].target.display = ##34#Race##34#</v>
      </c>
    </row>
    <row r="29" spans="1:17">
      <c r="B29" s="11"/>
      <c r="C29" s="11"/>
      <c r="D29" s="11"/>
      <c r="E29" s="12"/>
      <c r="F29" s="68"/>
      <c r="G29" s="62"/>
      <c r="J29" s="62"/>
      <c r="K29" s="62"/>
      <c r="L29" s="70"/>
      <c r="N29" s="11">
        <v>20</v>
      </c>
      <c r="O29" s="11">
        <f t="shared" si="5"/>
        <v>3</v>
      </c>
      <c r="P29" s="11">
        <f t="shared" si="6"/>
        <v>5</v>
      </c>
      <c r="Q29" s="12" t="str" cm="1">
        <f t="array" ref="Q29">INDEX('Osiris-ConceptMap'!$H$10:$L$264,O29+1,P29)</f>
        <v>* group[=].element[=].target.equivalence = #relatedto</v>
      </c>
    </row>
    <row r="30" spans="1:17">
      <c r="B30" s="11"/>
      <c r="C30" s="11"/>
      <c r="D30" s="11"/>
      <c r="E30" s="12"/>
      <c r="F30" s="68"/>
      <c r="G30" s="62"/>
      <c r="J30" s="62"/>
      <c r="K30" s="62"/>
      <c r="L30" s="70"/>
      <c r="N30" s="11">
        <v>21</v>
      </c>
      <c r="O30" s="11">
        <f t="shared" si="5"/>
        <v>4</v>
      </c>
      <c r="P30" s="11">
        <f t="shared" si="6"/>
        <v>1</v>
      </c>
      <c r="Q30" s="12" t="str" cm="1">
        <f t="array" ref="Q30">INDEX('Osiris-ConceptMap'!$H$10:$L$264,O30+1,P30)</f>
        <v>* group[=].element[+].code = #Osiris.Patient.BirthDate</v>
      </c>
    </row>
    <row r="31" spans="1:17" s="2" customFormat="1">
      <c r="A31"/>
      <c r="B31" s="11"/>
      <c r="C31" s="11"/>
      <c r="D31" s="11"/>
      <c r="E31" s="12"/>
      <c r="F31" s="68"/>
      <c r="G31" s="62"/>
      <c r="I31"/>
      <c r="J31" s="62"/>
      <c r="K31" s="62"/>
      <c r="L31" s="70"/>
      <c r="N31" s="11">
        <v>22</v>
      </c>
      <c r="O31" s="11">
        <f t="shared" si="5"/>
        <v>4</v>
      </c>
      <c r="P31" s="11">
        <f t="shared" si="6"/>
        <v>2</v>
      </c>
      <c r="Q31" s="12" t="str" cm="1">
        <f t="array" ref="Q31">INDEX('Osiris-ConceptMap'!$H$10:$L$264,O31+1,P31)</f>
        <v>* group[=].element[=].display = ##34#Birth Date [C4]##34#</v>
      </c>
    </row>
    <row r="32" spans="1:17" s="2" customFormat="1">
      <c r="A32"/>
      <c r="B32" s="65"/>
      <c r="C32" s="65"/>
      <c r="D32" s="65"/>
      <c r="F32" s="62"/>
      <c r="G32" s="62"/>
      <c r="I32"/>
      <c r="J32" s="62"/>
      <c r="K32" s="62"/>
      <c r="L32" s="70"/>
      <c r="N32" s="11">
        <v>23</v>
      </c>
      <c r="O32" s="11">
        <f t="shared" si="5"/>
        <v>4</v>
      </c>
      <c r="P32" s="11">
        <f t="shared" si="6"/>
        <v>3</v>
      </c>
      <c r="Q32" s="12" t="str" cm="1">
        <f t="array" ref="Q32">INDEX('Osiris-ConceptMap'!$H$10:$L$264,O32+1,P32)</f>
        <v>* group[=].element[=].target.code = #Subject.dateOfBirth.date</v>
      </c>
    </row>
    <row r="33" spans="1:17" s="2" customFormat="1">
      <c r="A33"/>
      <c r="B33" s="11"/>
      <c r="C33" s="11"/>
      <c r="F33" s="62"/>
      <c r="G33" s="62"/>
      <c r="I33"/>
      <c r="J33" s="62"/>
      <c r="K33" s="62"/>
      <c r="L33" s="70"/>
      <c r="N33" s="11">
        <v>24</v>
      </c>
      <c r="O33" s="11">
        <f t="shared" si="5"/>
        <v>4</v>
      </c>
      <c r="P33" s="11">
        <f t="shared" si="6"/>
        <v>4</v>
      </c>
      <c r="Q33" s="12" t="str" cm="1">
        <f t="array" ref="Q33">INDEX('Osiris-ConceptMap'!$H$10:$L$264,O33+1,P33)</f>
        <v>* group[=].element[=].target.display = ##34#Date of birth##34#</v>
      </c>
    </row>
    <row r="34" spans="1:17" s="2" customFormat="1">
      <c r="A34"/>
      <c r="B34" s="11"/>
      <c r="C34"/>
      <c r="F34" s="62"/>
      <c r="G34" s="62"/>
      <c r="I34" s="62"/>
      <c r="J34" s="62"/>
      <c r="K34" s="62"/>
      <c r="L34" s="70"/>
      <c r="N34" s="11">
        <v>25</v>
      </c>
      <c r="O34" s="11">
        <f t="shared" si="5"/>
        <v>4</v>
      </c>
      <c r="P34" s="11">
        <f t="shared" si="6"/>
        <v>5</v>
      </c>
      <c r="Q34" s="12" t="str" cm="1">
        <f t="array" ref="Q34">INDEX('Osiris-ConceptMap'!$H$10:$L$264,O34+1,P34)</f>
        <v>* group[=].element[=].target.equivalence = #equivalent</v>
      </c>
    </row>
    <row r="35" spans="1:17" s="2" customFormat="1">
      <c r="A35"/>
      <c r="B35" s="11"/>
      <c r="C35"/>
      <c r="F35" s="62"/>
      <c r="G35" s="62"/>
      <c r="I35" s="62"/>
      <c r="J35" s="62"/>
      <c r="K35" s="62"/>
      <c r="L35" s="70"/>
      <c r="N35" s="11">
        <v>26</v>
      </c>
      <c r="O35" s="11">
        <f t="shared" si="5"/>
        <v>5</v>
      </c>
      <c r="P35" s="11">
        <f t="shared" si="6"/>
        <v>1</v>
      </c>
      <c r="Q35" s="12" t="str" cm="1">
        <f t="array" ref="Q35">INDEX('Osiris-ConceptMap'!$H$10:$L$264,O35+1,P35)</f>
        <v>* group[=].element[+].code = #Osiris.Patient.DeathDate</v>
      </c>
    </row>
    <row r="36" spans="1:17" s="2" customFormat="1">
      <c r="A36"/>
      <c r="B36" s="11"/>
      <c r="C36"/>
      <c r="F36" s="62"/>
      <c r="G36" s="62"/>
      <c r="I36" s="62"/>
      <c r="J36" s="62"/>
      <c r="K36" s="62"/>
      <c r="L36" s="70"/>
      <c r="N36" s="11">
        <v>27</v>
      </c>
      <c r="O36" s="11">
        <f t="shared" si="5"/>
        <v>5</v>
      </c>
      <c r="P36" s="11">
        <f t="shared" si="6"/>
        <v>2</v>
      </c>
      <c r="Q36" s="12" t="str" cm="1">
        <f t="array" ref="Q36">INDEX('Osiris-ConceptMap'!$H$10:$L$264,O36+1,P36)</f>
        <v>* group[=].element[=].display = ##34#Death Date [C5]##34#</v>
      </c>
    </row>
    <row r="37" spans="1:17" s="2" customFormat="1">
      <c r="A37"/>
      <c r="B37" s="11"/>
      <c r="C37"/>
      <c r="F37" s="62"/>
      <c r="G37" s="62"/>
      <c r="I37" s="62"/>
      <c r="J37" s="62"/>
      <c r="K37" s="62"/>
      <c r="L37" s="62"/>
      <c r="N37" s="11">
        <v>28</v>
      </c>
      <c r="O37" s="11">
        <f t="shared" si="5"/>
        <v>5</v>
      </c>
      <c r="P37" s="11">
        <f t="shared" si="6"/>
        <v>3</v>
      </c>
      <c r="Q37" s="12" t="str" cm="1">
        <f t="array" ref="Q37">INDEX('Osiris-ConceptMap'!$H$10:$L$264,O37+1,P37)</f>
        <v>//-- unmatched</v>
      </c>
    </row>
    <row r="38" spans="1:17" s="2" customFormat="1">
      <c r="A38"/>
      <c r="B38" s="11"/>
      <c r="C38"/>
      <c r="F38" s="62"/>
      <c r="G38" s="62"/>
      <c r="I38" s="62"/>
      <c r="J38" s="62"/>
      <c r="K38" s="62"/>
      <c r="L38" s="62"/>
      <c r="N38" s="11">
        <v>29</v>
      </c>
      <c r="O38" s="11">
        <f t="shared" si="5"/>
        <v>5</v>
      </c>
      <c r="P38" s="11">
        <f t="shared" si="6"/>
        <v>4</v>
      </c>
      <c r="Q38" s="12" t="str" cm="1">
        <f t="array" ref="Q38">INDEX('Osiris-ConceptMap'!$H$10:$L$264,O38+1,P38)</f>
        <v>//-- unmatched</v>
      </c>
    </row>
    <row r="39" spans="1:17" s="2" customFormat="1">
      <c r="A39"/>
      <c r="B39" s="11"/>
      <c r="C39"/>
      <c r="F39" s="62"/>
      <c r="G39" s="62"/>
      <c r="I39" s="62"/>
      <c r="J39" s="62"/>
      <c r="K39" s="62"/>
      <c r="L39" s="62"/>
      <c r="N39" s="11">
        <v>30</v>
      </c>
      <c r="O39" s="11">
        <f t="shared" si="5"/>
        <v>5</v>
      </c>
      <c r="P39" s="11">
        <f t="shared" si="6"/>
        <v>5</v>
      </c>
      <c r="Q39" s="12" t="str" cm="1">
        <f t="array" ref="Q39">INDEX('Osiris-ConceptMap'!$H$10:$L$264,O39+1,P39)</f>
        <v>* group[=].element[=].target.equivalence = #unmatched</v>
      </c>
    </row>
    <row r="40" spans="1:17" s="2" customFormat="1">
      <c r="A40"/>
      <c r="B40" s="11"/>
      <c r="C40"/>
      <c r="F40" s="62"/>
      <c r="G40" s="62"/>
      <c r="I40" s="62"/>
      <c r="J40" s="62"/>
      <c r="K40" s="62"/>
      <c r="L40" s="62"/>
      <c r="N40" s="11">
        <v>31</v>
      </c>
      <c r="O40" s="11">
        <f t="shared" si="5"/>
        <v>6</v>
      </c>
      <c r="P40" s="11">
        <f t="shared" si="6"/>
        <v>1</v>
      </c>
      <c r="Q40" s="12" t="str" cm="1">
        <f t="array" ref="Q40">INDEX('Osiris-ConceptMap'!$H$10:$L$264,O40+1,P40)</f>
        <v>* group[=].element[+].code = #Osiris.Patient.ProviderCenterId</v>
      </c>
    </row>
    <row r="41" spans="1:17" s="2" customFormat="1">
      <c r="A41"/>
      <c r="B41" s="11"/>
      <c r="C41"/>
      <c r="F41" s="62"/>
      <c r="G41" s="62"/>
      <c r="I41" s="62"/>
      <c r="J41" s="62"/>
      <c r="K41" s="62"/>
      <c r="L41" s="62"/>
      <c r="N41" s="11">
        <v>32</v>
      </c>
      <c r="O41" s="11">
        <f t="shared" si="5"/>
        <v>6</v>
      </c>
      <c r="P41" s="11">
        <f t="shared" si="6"/>
        <v>2</v>
      </c>
      <c r="Q41" s="12" t="str" cm="1">
        <f t="array" ref="Q41">INDEX('Osiris-ConceptMap'!$H$10:$L$264,O41+1,P41)</f>
        <v>* group[=].element[=].display = ##34#Provider  Center  Id [C6]##34#</v>
      </c>
    </row>
    <row r="42" spans="1:17" s="2" customFormat="1">
      <c r="A42"/>
      <c r="B42" s="11"/>
      <c r="C42"/>
      <c r="F42" s="62"/>
      <c r="G42" s="62"/>
      <c r="I42" s="62"/>
      <c r="J42" s="62"/>
      <c r="K42" s="62"/>
      <c r="L42" s="62"/>
      <c r="N42" s="11">
        <v>33</v>
      </c>
      <c r="O42" s="11">
        <f t="shared" si="5"/>
        <v>6</v>
      </c>
      <c r="P42" s="11">
        <f t="shared" si="6"/>
        <v>3</v>
      </c>
      <c r="Q42" s="12" t="str" cm="1">
        <f t="array" ref="Q42">INDEX('Osiris-ConceptMap'!$H$10:$L$264,O42+1,P42)</f>
        <v>//-- unmatched</v>
      </c>
    </row>
    <row r="43" spans="1:17">
      <c r="F43" s="62"/>
      <c r="G43" s="62"/>
      <c r="I43" s="62"/>
      <c r="J43" s="62"/>
      <c r="K43" s="62"/>
      <c r="L43" s="62"/>
      <c r="N43" s="11">
        <v>34</v>
      </c>
      <c r="O43" s="11">
        <f t="shared" si="5"/>
        <v>6</v>
      </c>
      <c r="P43" s="11">
        <f t="shared" si="6"/>
        <v>4</v>
      </c>
      <c r="Q43" s="12" t="str" cm="1">
        <f t="array" ref="Q43">INDEX('Osiris-ConceptMap'!$H$10:$L$264,O43+1,P43)</f>
        <v>//-- unmatched</v>
      </c>
    </row>
    <row r="44" spans="1:17">
      <c r="F44" s="62"/>
      <c r="G44" s="62"/>
      <c r="I44" s="62"/>
      <c r="J44" s="62"/>
      <c r="K44" s="62"/>
      <c r="L44" s="62"/>
      <c r="N44" s="11">
        <v>35</v>
      </c>
      <c r="O44" s="11">
        <f t="shared" si="5"/>
        <v>6</v>
      </c>
      <c r="P44" s="11">
        <f t="shared" si="6"/>
        <v>5</v>
      </c>
      <c r="Q44" s="12" t="str" cm="1">
        <f t="array" ref="Q44">INDEX('Osiris-ConceptMap'!$H$10:$L$264,O44+1,P44)</f>
        <v>* group[=].element[=].target.equivalence = #unmatched</v>
      </c>
    </row>
    <row r="45" spans="1:17">
      <c r="F45" s="62"/>
      <c r="G45" s="62"/>
      <c r="I45" s="62"/>
      <c r="J45" s="62"/>
      <c r="K45" s="62"/>
      <c r="L45" s="62"/>
      <c r="N45" s="11">
        <v>36</v>
      </c>
      <c r="O45" s="11">
        <f t="shared" si="5"/>
        <v>7</v>
      </c>
      <c r="P45" s="11">
        <f t="shared" si="6"/>
        <v>1</v>
      </c>
      <c r="Q45" s="12" t="str" cm="1">
        <f t="array" ref="Q45">INDEX('Osiris-ConceptMap'!$H$10:$L$264,O45+1,P45)</f>
        <v>* group[=].element[+].code = #Osiris.Patient.OriginCenterId</v>
      </c>
    </row>
    <row r="46" spans="1:17">
      <c r="F46" s="62"/>
      <c r="G46" s="62"/>
      <c r="I46" s="62"/>
      <c r="J46" s="62"/>
      <c r="K46" s="62"/>
      <c r="L46" s="62"/>
      <c r="N46" s="11">
        <v>37</v>
      </c>
      <c r="O46" s="11">
        <f t="shared" si="5"/>
        <v>7</v>
      </c>
      <c r="P46" s="11">
        <f t="shared" si="6"/>
        <v>2</v>
      </c>
      <c r="Q46" s="12" t="str" cm="1">
        <f t="array" ref="Q46">INDEX('Osiris-ConceptMap'!$H$10:$L$264,O46+1,P46)</f>
        <v>* group[=].element[=].display = ##34#Origin  Center  Id [C71]##34#</v>
      </c>
    </row>
    <row r="47" spans="1:17">
      <c r="B47" t="s">
        <v>1412</v>
      </c>
      <c r="C47" t="s">
        <v>1413</v>
      </c>
      <c r="D47" t="s">
        <v>1414</v>
      </c>
      <c r="E47" t="s">
        <v>1415</v>
      </c>
      <c r="N47" s="11">
        <v>38</v>
      </c>
      <c r="O47" s="11">
        <f t="shared" si="5"/>
        <v>7</v>
      </c>
      <c r="P47" s="11">
        <f t="shared" si="6"/>
        <v>3</v>
      </c>
      <c r="Q47" s="12" t="str" cm="1">
        <f t="array" ref="Q47">INDEX('Osiris-ConceptMap'!$H$10:$L$264,O47+1,P47)</f>
        <v>//-- unmatched</v>
      </c>
    </row>
    <row r="48" spans="1:17">
      <c r="N48" s="11">
        <v>39</v>
      </c>
      <c r="O48" s="11">
        <f t="shared" si="5"/>
        <v>7</v>
      </c>
      <c r="P48" s="11">
        <f t="shared" si="6"/>
        <v>4</v>
      </c>
      <c r="Q48" s="12" t="str" cm="1">
        <f t="array" ref="Q48">INDEX('Osiris-ConceptMap'!$H$10:$L$264,O48+1,P48)</f>
        <v>//-- unmatched</v>
      </c>
    </row>
    <row r="49" spans="14:17">
      <c r="N49" s="11">
        <v>40</v>
      </c>
      <c r="O49" s="11">
        <f t="shared" si="5"/>
        <v>7</v>
      </c>
      <c r="P49" s="11">
        <f t="shared" si="6"/>
        <v>5</v>
      </c>
      <c r="Q49" s="12" t="str" cm="1">
        <f t="array" ref="Q49">INDEX('Osiris-ConceptMap'!$H$10:$L$264,O49+1,P49)</f>
        <v>* group[=].element[=].target.equivalence = #unmatched</v>
      </c>
    </row>
    <row r="50" spans="14:17">
      <c r="N50" s="11">
        <v>41</v>
      </c>
      <c r="O50" s="11">
        <f t="shared" si="5"/>
        <v>8</v>
      </c>
      <c r="P50" s="11">
        <f t="shared" si="6"/>
        <v>1</v>
      </c>
      <c r="Q50" s="12" t="str" cm="1">
        <f t="array" ref="Q50">INDEX('Osiris-ConceptMap'!$H$10:$L$264,O50+1,P50)</f>
        <v>* group[=].element[+].code = #Osiris.Patient.CauseOfDeath</v>
      </c>
    </row>
    <row r="51" spans="14:17">
      <c r="N51" s="11">
        <v>42</v>
      </c>
      <c r="O51" s="11">
        <f t="shared" si="5"/>
        <v>8</v>
      </c>
      <c r="P51" s="11">
        <f t="shared" si="6"/>
        <v>2</v>
      </c>
      <c r="Q51" s="12" t="str" cm="1">
        <f t="array" ref="Q51">INDEX('Osiris-ConceptMap'!$H$10:$L$264,O51+1,P51)</f>
        <v>* group[=].element[=].display = ##34#Cause of death [C7]##34#</v>
      </c>
    </row>
    <row r="52" spans="14:17">
      <c r="N52" s="11">
        <v>43</v>
      </c>
      <c r="O52" s="11">
        <f t="shared" si="5"/>
        <v>8</v>
      </c>
      <c r="P52" s="11">
        <f t="shared" si="6"/>
        <v>3</v>
      </c>
      <c r="Q52" s="12" t="str" cm="1">
        <f t="array" ref="Q52">INDEX('Osiris-ConceptMap'!$H$10:$L$264,O52+1,P52)</f>
        <v>//-- unmatched</v>
      </c>
    </row>
    <row r="53" spans="14:17">
      <c r="N53" s="11">
        <v>44</v>
      </c>
      <c r="O53" s="11">
        <f t="shared" si="5"/>
        <v>8</v>
      </c>
      <c r="P53" s="11">
        <f t="shared" si="6"/>
        <v>4</v>
      </c>
      <c r="Q53" s="12" t="str" cm="1">
        <f t="array" ref="Q53">INDEX('Osiris-ConceptMap'!$H$10:$L$264,O53+1,P53)</f>
        <v>//-- unmatched</v>
      </c>
    </row>
    <row r="54" spans="14:17">
      <c r="N54" s="11">
        <v>45</v>
      </c>
      <c r="O54" s="11">
        <f t="shared" si="5"/>
        <v>8</v>
      </c>
      <c r="P54" s="11">
        <f t="shared" si="6"/>
        <v>5</v>
      </c>
      <c r="Q54" s="12" t="str" cm="1">
        <f t="array" ref="Q54">INDEX('Osiris-ConceptMap'!$H$10:$L$264,O54+1,P54)</f>
        <v>* group[=].element[=].target.equivalence = #unmatched</v>
      </c>
    </row>
    <row r="55" spans="14:17">
      <c r="N55" s="11">
        <v>46</v>
      </c>
      <c r="O55" s="11">
        <f t="shared" si="5"/>
        <v>9</v>
      </c>
      <c r="P55" s="11">
        <f t="shared" si="6"/>
        <v>1</v>
      </c>
      <c r="Q55" s="12" t="str" cm="1">
        <f t="array" ref="Q55">INDEX('Osiris-ConceptMap'!$H$10:$L$264,O55+1,P55)</f>
        <v>* group[=].element[+].code = #Osiris.Patient.LastNewsDate</v>
      </c>
    </row>
    <row r="56" spans="14:17">
      <c r="N56" s="11">
        <v>47</v>
      </c>
      <c r="O56" s="11">
        <f t="shared" si="5"/>
        <v>9</v>
      </c>
      <c r="P56" s="11">
        <f t="shared" si="6"/>
        <v>2</v>
      </c>
      <c r="Q56" s="12" t="str" cm="1">
        <f t="array" ref="Q56">INDEX('Osiris-ConceptMap'!$H$10:$L$264,O56+1,P56)</f>
        <v>* group[=].element[=].display = ##34#Last News Date [C8]##34#</v>
      </c>
    </row>
    <row r="57" spans="14:17">
      <c r="N57" s="11">
        <v>48</v>
      </c>
      <c r="O57" s="11">
        <f t="shared" si="5"/>
        <v>9</v>
      </c>
      <c r="P57" s="11">
        <f t="shared" si="6"/>
        <v>3</v>
      </c>
      <c r="Q57" s="12" t="str" cm="1">
        <f t="array" ref="Q57">INDEX('Osiris-ConceptMap'!$H$10:$L$264,O57+1,P57)</f>
        <v>//-- unmatched</v>
      </c>
    </row>
    <row r="58" spans="14:17">
      <c r="N58" s="11">
        <v>49</v>
      </c>
      <c r="O58" s="11">
        <f t="shared" si="5"/>
        <v>9</v>
      </c>
      <c r="P58" s="11">
        <f t="shared" si="6"/>
        <v>4</v>
      </c>
      <c r="Q58" s="12" t="str" cm="1">
        <f t="array" ref="Q58">INDEX('Osiris-ConceptMap'!$H$10:$L$264,O58+1,P58)</f>
        <v>//-- unmatched</v>
      </c>
    </row>
    <row r="59" spans="14:17">
      <c r="N59" s="11">
        <v>50</v>
      </c>
      <c r="O59" s="11">
        <f t="shared" si="5"/>
        <v>9</v>
      </c>
      <c r="P59" s="11">
        <f t="shared" si="6"/>
        <v>5</v>
      </c>
      <c r="Q59" s="12" t="str" cm="1">
        <f t="array" ref="Q59">INDEX('Osiris-ConceptMap'!$H$10:$L$264,O59+1,P59)</f>
        <v>* group[=].element[=].target.equivalence = #unmatched</v>
      </c>
    </row>
    <row r="60" spans="14:17">
      <c r="N60" s="11">
        <v>51</v>
      </c>
      <c r="O60" s="11">
        <f t="shared" si="5"/>
        <v>10</v>
      </c>
      <c r="P60" s="11">
        <f t="shared" si="6"/>
        <v>1</v>
      </c>
      <c r="Q60" s="12" t="str" cm="1">
        <f t="array" ref="Q60">INDEX('Osiris-ConceptMap'!$H$10:$L$264,O60+1,P60)</f>
        <v>* group[=].element[+].code = #Osiris.Patient.LastNewsStatus</v>
      </c>
    </row>
    <row r="61" spans="14:17">
      <c r="N61" s="11">
        <v>52</v>
      </c>
      <c r="O61" s="11">
        <f t="shared" si="5"/>
        <v>10</v>
      </c>
      <c r="P61" s="11">
        <f t="shared" si="6"/>
        <v>2</v>
      </c>
      <c r="Q61" s="12" t="str" cm="1">
        <f t="array" ref="Q61">INDEX('Osiris-ConceptMap'!$H$10:$L$264,O61+1,P61)</f>
        <v>* group[=].element[=].display = ##34#Last News Status [C9]##34#</v>
      </c>
    </row>
    <row r="62" spans="14:17">
      <c r="N62" s="11">
        <v>53</v>
      </c>
      <c r="O62" s="11">
        <f t="shared" si="5"/>
        <v>10</v>
      </c>
      <c r="P62" s="11">
        <f t="shared" si="6"/>
        <v>3</v>
      </c>
      <c r="Q62" s="12" t="str" cm="1">
        <f t="array" ref="Q62">INDEX('Osiris-ConceptMap'!$H$10:$L$264,O62+1,P62)</f>
        <v>//-- unmatched</v>
      </c>
    </row>
    <row r="63" spans="14:17">
      <c r="N63" s="11">
        <v>54</v>
      </c>
      <c r="O63" s="11">
        <f t="shared" si="5"/>
        <v>10</v>
      </c>
      <c r="P63" s="11">
        <f t="shared" si="6"/>
        <v>4</v>
      </c>
      <c r="Q63" s="12" t="str" cm="1">
        <f t="array" ref="Q63">INDEX('Osiris-ConceptMap'!$H$10:$L$264,O63+1,P63)</f>
        <v>//-- unmatched</v>
      </c>
    </row>
    <row r="64" spans="14:17">
      <c r="N64" s="11">
        <v>55</v>
      </c>
      <c r="O64" s="11">
        <f t="shared" si="5"/>
        <v>10</v>
      </c>
      <c r="P64" s="11">
        <f t="shared" si="6"/>
        <v>5</v>
      </c>
      <c r="Q64" s="12" t="str" cm="1">
        <f t="array" ref="Q64">INDEX('Osiris-ConceptMap'!$H$10:$L$264,O64+1,P64)</f>
        <v>* group[=].element[=].target.equivalence = #unmatched</v>
      </c>
    </row>
    <row r="65" spans="14:17">
      <c r="N65" s="11">
        <v>56</v>
      </c>
      <c r="O65" s="11">
        <f t="shared" si="5"/>
        <v>11</v>
      </c>
      <c r="P65" s="11">
        <f t="shared" si="6"/>
        <v>1</v>
      </c>
      <c r="Q65" s="12" cm="1">
        <f t="array" ref="Q65">INDEX('Osiris-ConceptMap'!$H$10:$L$264,O65+1,P65)</f>
        <v>0</v>
      </c>
    </row>
    <row r="66" spans="14:17">
      <c r="N66" s="11">
        <v>57</v>
      </c>
      <c r="O66" s="11">
        <f t="shared" si="5"/>
        <v>11</v>
      </c>
      <c r="P66" s="11">
        <f t="shared" si="6"/>
        <v>2</v>
      </c>
      <c r="Q66" s="12" cm="1">
        <f t="array" ref="Q66">INDEX('Osiris-ConceptMap'!$H$10:$L$264,O66+1,P66)</f>
        <v>0</v>
      </c>
    </row>
    <row r="67" spans="14:17">
      <c r="N67" s="11">
        <v>58</v>
      </c>
      <c r="O67" s="11">
        <f t="shared" si="5"/>
        <v>11</v>
      </c>
      <c r="P67" s="11">
        <f t="shared" si="6"/>
        <v>3</v>
      </c>
      <c r="Q67" s="12" cm="1">
        <f t="array" ref="Q67">INDEX('Osiris-ConceptMap'!$H$10:$L$264,O67+1,P67)</f>
        <v>0</v>
      </c>
    </row>
    <row r="68" spans="14:17">
      <c r="N68" s="11">
        <v>59</v>
      </c>
      <c r="O68" s="11">
        <f t="shared" si="5"/>
        <v>11</v>
      </c>
      <c r="P68" s="11">
        <f t="shared" si="6"/>
        <v>4</v>
      </c>
      <c r="Q68" s="12" cm="1">
        <f t="array" ref="Q68">INDEX('Osiris-ConceptMap'!$H$10:$L$264,O68+1,P68)</f>
        <v>0</v>
      </c>
    </row>
    <row r="69" spans="14:17">
      <c r="N69" s="11">
        <v>60</v>
      </c>
      <c r="O69" s="11">
        <f t="shared" si="5"/>
        <v>11</v>
      </c>
      <c r="P69" s="11">
        <f t="shared" si="6"/>
        <v>5</v>
      </c>
      <c r="Q69" s="12" cm="1">
        <f t="array" ref="Q69">INDEX('Osiris-ConceptMap'!$H$10:$L$264,O69+1,P69)</f>
        <v>0</v>
      </c>
    </row>
    <row r="70" spans="14:17">
      <c r="N70" s="11">
        <v>61</v>
      </c>
      <c r="O70" s="11">
        <f t="shared" si="5"/>
        <v>12</v>
      </c>
      <c r="P70" s="11">
        <f t="shared" si="6"/>
        <v>1</v>
      </c>
      <c r="Q70" s="12" cm="1">
        <f t="array" ref="Q70">INDEX('Osiris-ConceptMap'!$H$10:$L$264,O70+1,P70)</f>
        <v>0</v>
      </c>
    </row>
    <row r="71" spans="14:17">
      <c r="N71" s="11">
        <v>62</v>
      </c>
      <c r="O71" s="11">
        <f t="shared" si="5"/>
        <v>12</v>
      </c>
      <c r="P71" s="11">
        <f t="shared" si="6"/>
        <v>2</v>
      </c>
      <c r="Q71" s="12" cm="1">
        <f t="array" ref="Q71">INDEX('Osiris-ConceptMap'!$H$10:$L$264,O71+1,P71)</f>
        <v>0</v>
      </c>
    </row>
    <row r="72" spans="14:17">
      <c r="N72" s="11">
        <v>63</v>
      </c>
      <c r="O72" s="11">
        <f t="shared" si="5"/>
        <v>12</v>
      </c>
      <c r="P72" s="11">
        <f t="shared" si="6"/>
        <v>3</v>
      </c>
      <c r="Q72" s="12" cm="1">
        <f t="array" ref="Q72">INDEX('Osiris-ConceptMap'!$H$10:$L$264,O72+1,P72)</f>
        <v>0</v>
      </c>
    </row>
    <row r="73" spans="14:17">
      <c r="N73" s="11">
        <v>64</v>
      </c>
      <c r="O73" s="11">
        <f t="shared" si="5"/>
        <v>12</v>
      </c>
      <c r="P73" s="11">
        <f t="shared" si="6"/>
        <v>4</v>
      </c>
      <c r="Q73" s="12" cm="1">
        <f t="array" ref="Q73">INDEX('Osiris-ConceptMap'!$H$10:$L$264,O73+1,P73)</f>
        <v>0</v>
      </c>
    </row>
    <row r="74" spans="14:17">
      <c r="N74" s="11">
        <v>65</v>
      </c>
      <c r="O74" s="11">
        <f t="shared" si="5"/>
        <v>12</v>
      </c>
      <c r="P74" s="11">
        <f t="shared" si="6"/>
        <v>5</v>
      </c>
      <c r="Q74" s="12" cm="1">
        <f t="array" ref="Q74">INDEX('Osiris-ConceptMap'!$H$10:$L$264,O74+1,P74)</f>
        <v>0</v>
      </c>
    </row>
    <row r="75" spans="14:17">
      <c r="N75" s="11">
        <v>66</v>
      </c>
      <c r="O75" s="11">
        <f t="shared" ref="O75:O138" si="7">IF(MOD(N75,$O$3)=0,N75/$O$3-1,INT(N75/$O$3))</f>
        <v>13</v>
      </c>
      <c r="P75" s="11">
        <f t="shared" ref="P75:P138" si="8">IF(MOD(N75,$O$3)=0,$O$3,MOD(N75,$O$3))</f>
        <v>1</v>
      </c>
      <c r="Q75" s="12" cm="1">
        <f t="array" ref="Q75">INDEX('Osiris-ConceptMap'!$H$10:$L$264,O75+1,P75)</f>
        <v>0</v>
      </c>
    </row>
    <row r="76" spans="14:17">
      <c r="N76" s="11">
        <v>67</v>
      </c>
      <c r="O76" s="11">
        <f t="shared" si="7"/>
        <v>13</v>
      </c>
      <c r="P76" s="11">
        <f t="shared" si="8"/>
        <v>2</v>
      </c>
      <c r="Q76" s="12" cm="1">
        <f t="array" ref="Q76">INDEX('Osiris-ConceptMap'!$H$10:$L$264,O76+1,P76)</f>
        <v>0</v>
      </c>
    </row>
    <row r="77" spans="14:17">
      <c r="N77" s="11">
        <v>68</v>
      </c>
      <c r="O77" s="11">
        <f t="shared" si="7"/>
        <v>13</v>
      </c>
      <c r="P77" s="11">
        <f t="shared" si="8"/>
        <v>3</v>
      </c>
      <c r="Q77" s="12" cm="1">
        <f t="array" ref="Q77">INDEX('Osiris-ConceptMap'!$H$10:$L$264,O77+1,P77)</f>
        <v>0</v>
      </c>
    </row>
    <row r="78" spans="14:17">
      <c r="N78" s="11">
        <v>69</v>
      </c>
      <c r="O78" s="11">
        <f t="shared" si="7"/>
        <v>13</v>
      </c>
      <c r="P78" s="11">
        <f t="shared" si="8"/>
        <v>4</v>
      </c>
      <c r="Q78" s="12" cm="1">
        <f t="array" ref="Q78">INDEX('Osiris-ConceptMap'!$H$10:$L$264,O78+1,P78)</f>
        <v>0</v>
      </c>
    </row>
    <row r="79" spans="14:17">
      <c r="N79" s="11">
        <v>70</v>
      </c>
      <c r="O79" s="11">
        <f t="shared" si="7"/>
        <v>13</v>
      </c>
      <c r="P79" s="11">
        <f t="shared" si="8"/>
        <v>5</v>
      </c>
      <c r="Q79" s="12" cm="1">
        <f t="array" ref="Q79">INDEX('Osiris-ConceptMap'!$H$10:$L$264,O79+1,P79)</f>
        <v>0</v>
      </c>
    </row>
    <row r="80" spans="14:17">
      <c r="N80" s="11">
        <v>71</v>
      </c>
      <c r="O80" s="11">
        <f t="shared" si="7"/>
        <v>14</v>
      </c>
      <c r="P80" s="11">
        <f t="shared" si="8"/>
        <v>1</v>
      </c>
      <c r="Q80" s="12" cm="1">
        <f t="array" ref="Q80">INDEX('Osiris-ConceptMap'!$H$10:$L$264,O80+1,P80)</f>
        <v>0</v>
      </c>
    </row>
    <row r="81" spans="14:17">
      <c r="N81" s="11">
        <v>72</v>
      </c>
      <c r="O81" s="11">
        <f t="shared" si="7"/>
        <v>14</v>
      </c>
      <c r="P81" s="11">
        <f t="shared" si="8"/>
        <v>2</v>
      </c>
      <c r="Q81" s="12" cm="1">
        <f t="array" ref="Q81">INDEX('Osiris-ConceptMap'!$H$10:$L$264,O81+1,P81)</f>
        <v>0</v>
      </c>
    </row>
    <row r="82" spans="14:17">
      <c r="N82" s="11">
        <v>73</v>
      </c>
      <c r="O82" s="11">
        <f t="shared" si="7"/>
        <v>14</v>
      </c>
      <c r="P82" s="11">
        <f t="shared" si="8"/>
        <v>3</v>
      </c>
      <c r="Q82" s="12" cm="1">
        <f t="array" ref="Q82">INDEX('Osiris-ConceptMap'!$H$10:$L$264,O82+1,P82)</f>
        <v>0</v>
      </c>
    </row>
    <row r="83" spans="14:17">
      <c r="N83" s="11">
        <v>74</v>
      </c>
      <c r="O83" s="11">
        <f t="shared" si="7"/>
        <v>14</v>
      </c>
      <c r="P83" s="11">
        <f t="shared" si="8"/>
        <v>4</v>
      </c>
      <c r="Q83" s="12" cm="1">
        <f t="array" ref="Q83">INDEX('Osiris-ConceptMap'!$H$10:$L$264,O83+1,P83)</f>
        <v>0</v>
      </c>
    </row>
    <row r="84" spans="14:17">
      <c r="N84" s="11">
        <v>75</v>
      </c>
      <c r="O84" s="11">
        <f t="shared" si="7"/>
        <v>14</v>
      </c>
      <c r="P84" s="11">
        <f t="shared" si="8"/>
        <v>5</v>
      </c>
      <c r="Q84" s="12" cm="1">
        <f t="array" ref="Q84">INDEX('Osiris-ConceptMap'!$H$10:$L$264,O84+1,P84)</f>
        <v>0</v>
      </c>
    </row>
    <row r="85" spans="14:17">
      <c r="N85" s="11">
        <v>76</v>
      </c>
      <c r="O85" s="11">
        <f t="shared" si="7"/>
        <v>15</v>
      </c>
      <c r="P85" s="11">
        <f t="shared" si="8"/>
        <v>1</v>
      </c>
      <c r="Q85" s="12" cm="1">
        <f t="array" ref="Q85">INDEX('Osiris-ConceptMap'!$H$10:$L$264,O85+1,P85)</f>
        <v>0</v>
      </c>
    </row>
    <row r="86" spans="14:17">
      <c r="N86" s="11">
        <v>77</v>
      </c>
      <c r="O86" s="11">
        <f t="shared" si="7"/>
        <v>15</v>
      </c>
      <c r="P86" s="11">
        <f t="shared" si="8"/>
        <v>2</v>
      </c>
      <c r="Q86" s="12" cm="1">
        <f t="array" ref="Q86">INDEX('Osiris-ConceptMap'!$H$10:$L$264,O86+1,P86)</f>
        <v>0</v>
      </c>
    </row>
    <row r="87" spans="14:17">
      <c r="N87" s="11">
        <v>78</v>
      </c>
      <c r="O87" s="11">
        <f t="shared" si="7"/>
        <v>15</v>
      </c>
      <c r="P87" s="11">
        <f t="shared" si="8"/>
        <v>3</v>
      </c>
      <c r="Q87" s="12" cm="1">
        <f t="array" ref="Q87">INDEX('Osiris-ConceptMap'!$H$10:$L$264,O87+1,P87)</f>
        <v>0</v>
      </c>
    </row>
    <row r="88" spans="14:17">
      <c r="N88" s="11">
        <v>79</v>
      </c>
      <c r="O88" s="11">
        <f t="shared" si="7"/>
        <v>15</v>
      </c>
      <c r="P88" s="11">
        <f t="shared" si="8"/>
        <v>4</v>
      </c>
      <c r="Q88" s="12" cm="1">
        <f t="array" ref="Q88">INDEX('Osiris-ConceptMap'!$H$10:$L$264,O88+1,P88)</f>
        <v>0</v>
      </c>
    </row>
    <row r="89" spans="14:17">
      <c r="N89" s="11">
        <v>80</v>
      </c>
      <c r="O89" s="11">
        <f t="shared" si="7"/>
        <v>15</v>
      </c>
      <c r="P89" s="11">
        <f t="shared" si="8"/>
        <v>5</v>
      </c>
      <c r="Q89" s="12" cm="1">
        <f t="array" ref="Q89">INDEX('Osiris-ConceptMap'!$H$10:$L$264,O89+1,P89)</f>
        <v>0</v>
      </c>
    </row>
    <row r="90" spans="14:17">
      <c r="N90" s="11">
        <v>81</v>
      </c>
      <c r="O90" s="11">
        <f t="shared" si="7"/>
        <v>16</v>
      </c>
      <c r="P90" s="11">
        <f t="shared" si="8"/>
        <v>1</v>
      </c>
      <c r="Q90" s="12" cm="1">
        <f t="array" ref="Q90">INDEX('Osiris-ConceptMap'!$H$10:$L$264,O90+1,P90)</f>
        <v>0</v>
      </c>
    </row>
    <row r="91" spans="14:17">
      <c r="N91" s="11">
        <v>82</v>
      </c>
      <c r="O91" s="11">
        <f t="shared" si="7"/>
        <v>16</v>
      </c>
      <c r="P91" s="11">
        <f t="shared" si="8"/>
        <v>2</v>
      </c>
      <c r="Q91" s="12" cm="1">
        <f t="array" ref="Q91">INDEX('Osiris-ConceptMap'!$H$10:$L$264,O91+1,P91)</f>
        <v>0</v>
      </c>
    </row>
    <row r="92" spans="14:17">
      <c r="N92" s="11">
        <v>83</v>
      </c>
      <c r="O92" s="11">
        <f t="shared" si="7"/>
        <v>16</v>
      </c>
      <c r="P92" s="11">
        <f t="shared" si="8"/>
        <v>3</v>
      </c>
      <c r="Q92" s="12" cm="1">
        <f t="array" ref="Q92">INDEX('Osiris-ConceptMap'!$H$10:$L$264,O92+1,P92)</f>
        <v>0</v>
      </c>
    </row>
    <row r="93" spans="14:17">
      <c r="N93" s="11">
        <v>84</v>
      </c>
      <c r="O93" s="11">
        <f t="shared" si="7"/>
        <v>16</v>
      </c>
      <c r="P93" s="11">
        <f t="shared" si="8"/>
        <v>4</v>
      </c>
      <c r="Q93" s="12" cm="1">
        <f t="array" ref="Q93">INDEX('Osiris-ConceptMap'!$H$10:$L$264,O93+1,P93)</f>
        <v>0</v>
      </c>
    </row>
    <row r="94" spans="14:17">
      <c r="N94" s="11">
        <v>85</v>
      </c>
      <c r="O94" s="11">
        <f t="shared" si="7"/>
        <v>16</v>
      </c>
      <c r="P94" s="11">
        <f t="shared" si="8"/>
        <v>5</v>
      </c>
      <c r="Q94" s="12" cm="1">
        <f t="array" ref="Q94">INDEX('Osiris-ConceptMap'!$H$10:$L$264,O94+1,P94)</f>
        <v>0</v>
      </c>
    </row>
    <row r="95" spans="14:17">
      <c r="N95" s="11">
        <v>86</v>
      </c>
      <c r="O95" s="11">
        <f t="shared" si="7"/>
        <v>17</v>
      </c>
      <c r="P95" s="11">
        <f t="shared" si="8"/>
        <v>1</v>
      </c>
      <c r="Q95" s="12" cm="1">
        <f t="array" ref="Q95">INDEX('Osiris-ConceptMap'!$H$10:$L$264,O95+1,P95)</f>
        <v>0</v>
      </c>
    </row>
    <row r="96" spans="14:17">
      <c r="N96" s="11">
        <v>87</v>
      </c>
      <c r="O96" s="11">
        <f t="shared" si="7"/>
        <v>17</v>
      </c>
      <c r="P96" s="11">
        <f t="shared" si="8"/>
        <v>2</v>
      </c>
      <c r="Q96" s="12" cm="1">
        <f t="array" ref="Q96">INDEX('Osiris-ConceptMap'!$H$10:$L$264,O96+1,P96)</f>
        <v>0</v>
      </c>
    </row>
    <row r="97" spans="14:17">
      <c r="N97" s="11">
        <v>88</v>
      </c>
      <c r="O97" s="11">
        <f t="shared" si="7"/>
        <v>17</v>
      </c>
      <c r="P97" s="11">
        <f t="shared" si="8"/>
        <v>3</v>
      </c>
      <c r="Q97" s="12" cm="1">
        <f t="array" ref="Q97">INDEX('Osiris-ConceptMap'!$H$10:$L$264,O97+1,P97)</f>
        <v>0</v>
      </c>
    </row>
    <row r="98" spans="14:17">
      <c r="N98" s="11">
        <v>89</v>
      </c>
      <c r="O98" s="11">
        <f t="shared" si="7"/>
        <v>17</v>
      </c>
      <c r="P98" s="11">
        <f t="shared" si="8"/>
        <v>4</v>
      </c>
      <c r="Q98" s="12" cm="1">
        <f t="array" ref="Q98">INDEX('Osiris-ConceptMap'!$H$10:$L$264,O98+1,P98)</f>
        <v>0</v>
      </c>
    </row>
    <row r="99" spans="14:17">
      <c r="N99" s="11">
        <v>90</v>
      </c>
      <c r="O99" s="11">
        <f t="shared" si="7"/>
        <v>17</v>
      </c>
      <c r="P99" s="11">
        <f t="shared" si="8"/>
        <v>5</v>
      </c>
      <c r="Q99" s="12" cm="1">
        <f t="array" ref="Q99">INDEX('Osiris-ConceptMap'!$H$10:$L$264,O99+1,P99)</f>
        <v>0</v>
      </c>
    </row>
    <row r="100" spans="14:17">
      <c r="N100" s="11">
        <v>91</v>
      </c>
      <c r="O100" s="11">
        <f t="shared" si="7"/>
        <v>18</v>
      </c>
      <c r="P100" s="11">
        <f t="shared" si="8"/>
        <v>1</v>
      </c>
      <c r="Q100" s="12" cm="1">
        <f t="array" ref="Q100">INDEX('Osiris-ConceptMap'!$H$10:$L$264,O100+1,P100)</f>
        <v>0</v>
      </c>
    </row>
    <row r="101" spans="14:17">
      <c r="N101" s="11">
        <v>92</v>
      </c>
      <c r="O101" s="11">
        <f t="shared" si="7"/>
        <v>18</v>
      </c>
      <c r="P101" s="11">
        <f t="shared" si="8"/>
        <v>2</v>
      </c>
      <c r="Q101" s="12" cm="1">
        <f t="array" ref="Q101">INDEX('Osiris-ConceptMap'!U85:Y339,1+O101,P101)</f>
        <v>0</v>
      </c>
    </row>
    <row r="102" spans="14:17">
      <c r="N102" s="11">
        <v>93</v>
      </c>
      <c r="O102" s="11">
        <f t="shared" si="7"/>
        <v>18</v>
      </c>
      <c r="P102" s="11">
        <f t="shared" si="8"/>
        <v>3</v>
      </c>
      <c r="Q102" s="12" cm="1">
        <f t="array" ref="Q102">INDEX('Osiris-ConceptMap'!U86:Y340,1+O102,P102)</f>
        <v>0</v>
      </c>
    </row>
    <row r="103" spans="14:17">
      <c r="N103" s="11">
        <v>94</v>
      </c>
      <c r="O103" s="11">
        <f t="shared" si="7"/>
        <v>18</v>
      </c>
      <c r="P103" s="11">
        <f t="shared" si="8"/>
        <v>4</v>
      </c>
      <c r="Q103" s="12" cm="1">
        <f t="array" ref="Q103">INDEX('Osiris-ConceptMap'!U87:Y341,1+O103,P103)</f>
        <v>0</v>
      </c>
    </row>
    <row r="104" spans="14:17">
      <c r="N104" s="11">
        <v>95</v>
      </c>
      <c r="O104" s="11">
        <f t="shared" si="7"/>
        <v>18</v>
      </c>
      <c r="P104" s="11">
        <f t="shared" si="8"/>
        <v>5</v>
      </c>
      <c r="Q104" s="12" cm="1">
        <f t="array" ref="Q104">INDEX('Osiris-ConceptMap'!U88:Y342,1+O104,P104)</f>
        <v>0</v>
      </c>
    </row>
    <row r="105" spans="14:17">
      <c r="N105" s="11">
        <v>96</v>
      </c>
      <c r="O105" s="11">
        <f t="shared" si="7"/>
        <v>19</v>
      </c>
      <c r="P105" s="11">
        <f t="shared" si="8"/>
        <v>1</v>
      </c>
      <c r="Q105" s="12" cm="1">
        <f t="array" ref="Q105">INDEX('Osiris-ConceptMap'!U89:Y343,1+O105,P105)</f>
        <v>0</v>
      </c>
    </row>
    <row r="106" spans="14:17">
      <c r="N106" s="11">
        <v>97</v>
      </c>
      <c r="O106" s="11">
        <f t="shared" si="7"/>
        <v>19</v>
      </c>
      <c r="P106" s="11">
        <f t="shared" si="8"/>
        <v>2</v>
      </c>
      <c r="Q106" s="12" cm="1">
        <f t="array" ref="Q106">INDEX('Osiris-ConceptMap'!U90:Y344,1+O106,P106)</f>
        <v>0</v>
      </c>
    </row>
    <row r="107" spans="14:17">
      <c r="N107" s="11">
        <v>98</v>
      </c>
      <c r="O107" s="11">
        <f t="shared" si="7"/>
        <v>19</v>
      </c>
      <c r="P107" s="11">
        <f t="shared" si="8"/>
        <v>3</v>
      </c>
      <c r="Q107" s="12" cm="1">
        <f t="array" ref="Q107">INDEX('Osiris-ConceptMap'!U91:Y345,1+O107,P107)</f>
        <v>0</v>
      </c>
    </row>
    <row r="108" spans="14:17">
      <c r="N108" s="11">
        <v>99</v>
      </c>
      <c r="O108" s="11">
        <f t="shared" si="7"/>
        <v>19</v>
      </c>
      <c r="P108" s="11">
        <f t="shared" si="8"/>
        <v>4</v>
      </c>
      <c r="Q108" s="12" cm="1">
        <f t="array" ref="Q108">INDEX('Osiris-ConceptMap'!U92:Y346,1+O108,P108)</f>
        <v>0</v>
      </c>
    </row>
    <row r="109" spans="14:17">
      <c r="N109" s="11">
        <v>100</v>
      </c>
      <c r="O109" s="11">
        <f t="shared" si="7"/>
        <v>19</v>
      </c>
      <c r="P109" s="11">
        <f t="shared" si="8"/>
        <v>5</v>
      </c>
      <c r="Q109" s="12" cm="1">
        <f t="array" ref="Q109">INDEX('Osiris-ConceptMap'!U93:Y347,1+O109,P109)</f>
        <v>0</v>
      </c>
    </row>
    <row r="110" spans="14:17">
      <c r="N110" s="11">
        <v>101</v>
      </c>
      <c r="O110" s="11">
        <f t="shared" si="7"/>
        <v>20</v>
      </c>
      <c r="P110" s="11">
        <f t="shared" si="8"/>
        <v>1</v>
      </c>
      <c r="Q110" s="12" cm="1">
        <f t="array" ref="Q110">INDEX('Osiris-ConceptMap'!U94:Y348,1+O110,P110)</f>
        <v>0</v>
      </c>
    </row>
    <row r="111" spans="14:17">
      <c r="N111" s="11">
        <v>102</v>
      </c>
      <c r="O111" s="11">
        <f t="shared" si="7"/>
        <v>20</v>
      </c>
      <c r="P111" s="11">
        <f t="shared" si="8"/>
        <v>2</v>
      </c>
      <c r="Q111" s="12" cm="1">
        <f t="array" ref="Q111">INDEX('Osiris-ConceptMap'!U95:Y349,1+O111,P111)</f>
        <v>0</v>
      </c>
    </row>
    <row r="112" spans="14:17">
      <c r="N112" s="11">
        <v>103</v>
      </c>
      <c r="O112" s="11">
        <f t="shared" si="7"/>
        <v>20</v>
      </c>
      <c r="P112" s="11">
        <f t="shared" si="8"/>
        <v>3</v>
      </c>
      <c r="Q112" s="12" cm="1">
        <f t="array" ref="Q112">INDEX('Osiris-ConceptMap'!U96:Y350,1+O112,P112)</f>
        <v>0</v>
      </c>
    </row>
    <row r="113" spans="14:17">
      <c r="N113" s="11">
        <v>104</v>
      </c>
      <c r="O113" s="11">
        <f t="shared" si="7"/>
        <v>20</v>
      </c>
      <c r="P113" s="11">
        <f t="shared" si="8"/>
        <v>4</v>
      </c>
      <c r="Q113" s="12" cm="1">
        <f t="array" ref="Q113">INDEX('Osiris-ConceptMap'!U97:Y351,1+O113,P113)</f>
        <v>0</v>
      </c>
    </row>
    <row r="114" spans="14:17">
      <c r="N114" s="11">
        <v>105</v>
      </c>
      <c r="O114" s="11">
        <f t="shared" si="7"/>
        <v>20</v>
      </c>
      <c r="P114" s="11">
        <f t="shared" si="8"/>
        <v>5</v>
      </c>
      <c r="Q114" s="12" cm="1">
        <f t="array" ref="Q114">INDEX('Osiris-ConceptMap'!U98:Y352,1+O114,P114)</f>
        <v>0</v>
      </c>
    </row>
    <row r="115" spans="14:17">
      <c r="N115" s="11">
        <v>106</v>
      </c>
      <c r="O115" s="11">
        <f t="shared" si="7"/>
        <v>21</v>
      </c>
      <c r="P115" s="11">
        <f t="shared" si="8"/>
        <v>1</v>
      </c>
      <c r="Q115" s="12" cm="1">
        <f t="array" ref="Q115">INDEX('Osiris-ConceptMap'!U99:Y353,1+O115,P115)</f>
        <v>0</v>
      </c>
    </row>
    <row r="116" spans="14:17">
      <c r="N116" s="11">
        <v>107</v>
      </c>
      <c r="O116" s="11">
        <f t="shared" si="7"/>
        <v>21</v>
      </c>
      <c r="P116" s="11">
        <f t="shared" si="8"/>
        <v>2</v>
      </c>
      <c r="Q116" s="12" cm="1">
        <f t="array" ref="Q116">INDEX('Osiris-ConceptMap'!U100:Y354,1+O116,P116)</f>
        <v>0</v>
      </c>
    </row>
    <row r="117" spans="14:17">
      <c r="N117" s="11">
        <v>108</v>
      </c>
      <c r="O117" s="11">
        <f t="shared" si="7"/>
        <v>21</v>
      </c>
      <c r="P117" s="11">
        <f t="shared" si="8"/>
        <v>3</v>
      </c>
      <c r="Q117" s="12" cm="1">
        <f t="array" ref="Q117">INDEX('Osiris-ConceptMap'!U101:Y355,1+O117,P117)</f>
        <v>0</v>
      </c>
    </row>
    <row r="118" spans="14:17">
      <c r="N118" s="11">
        <v>109</v>
      </c>
      <c r="O118" s="11">
        <f t="shared" si="7"/>
        <v>21</v>
      </c>
      <c r="P118" s="11">
        <f t="shared" si="8"/>
        <v>4</v>
      </c>
      <c r="Q118" s="12" cm="1">
        <f t="array" ref="Q118">INDEX('Osiris-ConceptMap'!U102:Y356,1+O118,P118)</f>
        <v>0</v>
      </c>
    </row>
    <row r="119" spans="14:17">
      <c r="N119" s="11">
        <v>110</v>
      </c>
      <c r="O119" s="11">
        <f t="shared" si="7"/>
        <v>21</v>
      </c>
      <c r="P119" s="11">
        <f t="shared" si="8"/>
        <v>5</v>
      </c>
      <c r="Q119" s="12" cm="1">
        <f t="array" ref="Q119">INDEX('Osiris-ConceptMap'!U103:Y357,1+O119,P119)</f>
        <v>0</v>
      </c>
    </row>
    <row r="120" spans="14:17">
      <c r="N120" s="11">
        <v>111</v>
      </c>
      <c r="O120" s="11">
        <f t="shared" si="7"/>
        <v>22</v>
      </c>
      <c r="P120" s="11">
        <f t="shared" si="8"/>
        <v>1</v>
      </c>
      <c r="Q120" s="12" cm="1">
        <f t="array" ref="Q120">INDEX('Osiris-ConceptMap'!U104:Y358,1+O120,P120)</f>
        <v>0</v>
      </c>
    </row>
    <row r="121" spans="14:17">
      <c r="N121" s="11">
        <v>112</v>
      </c>
      <c r="O121" s="11">
        <f t="shared" si="7"/>
        <v>22</v>
      </c>
      <c r="P121" s="11">
        <f t="shared" si="8"/>
        <v>2</v>
      </c>
      <c r="Q121" s="12" cm="1">
        <f t="array" ref="Q121">INDEX('Osiris-ConceptMap'!U105:Y359,1+O121,P121)</f>
        <v>0</v>
      </c>
    </row>
    <row r="122" spans="14:17">
      <c r="N122" s="11">
        <v>113</v>
      </c>
      <c r="O122" s="11">
        <f t="shared" si="7"/>
        <v>22</v>
      </c>
      <c r="P122" s="11">
        <f t="shared" si="8"/>
        <v>3</v>
      </c>
      <c r="Q122" s="12" cm="1">
        <f t="array" ref="Q122">INDEX('Osiris-ConceptMap'!U106:Y360,1+O122,P122)</f>
        <v>0</v>
      </c>
    </row>
    <row r="123" spans="14:17">
      <c r="N123" s="11">
        <v>114</v>
      </c>
      <c r="O123" s="11">
        <f t="shared" si="7"/>
        <v>22</v>
      </c>
      <c r="P123" s="11">
        <f t="shared" si="8"/>
        <v>4</v>
      </c>
      <c r="Q123" s="12" cm="1">
        <f t="array" ref="Q123">INDEX('Osiris-ConceptMap'!U107:Y361,1+O123,P123)</f>
        <v>0</v>
      </c>
    </row>
    <row r="124" spans="14:17">
      <c r="N124" s="11">
        <v>115</v>
      </c>
      <c r="O124" s="11">
        <f t="shared" si="7"/>
        <v>22</v>
      </c>
      <c r="P124" s="11">
        <f t="shared" si="8"/>
        <v>5</v>
      </c>
      <c r="Q124" s="12" cm="1">
        <f t="array" ref="Q124">INDEX('Osiris-ConceptMap'!U108:Y362,1+O124,P124)</f>
        <v>0</v>
      </c>
    </row>
    <row r="125" spans="14:17">
      <c r="N125" s="11">
        <v>116</v>
      </c>
      <c r="O125" s="11">
        <f t="shared" si="7"/>
        <v>23</v>
      </c>
      <c r="P125" s="11">
        <f t="shared" si="8"/>
        <v>1</v>
      </c>
      <c r="Q125" s="12" cm="1">
        <f t="array" ref="Q125">INDEX('Osiris-ConceptMap'!U109:Y363,1+O125,P125)</f>
        <v>0</v>
      </c>
    </row>
    <row r="126" spans="14:17">
      <c r="N126" s="11">
        <v>117</v>
      </c>
      <c r="O126" s="11">
        <f t="shared" si="7"/>
        <v>23</v>
      </c>
      <c r="P126" s="11">
        <f t="shared" si="8"/>
        <v>2</v>
      </c>
      <c r="Q126" s="12" cm="1">
        <f t="array" ref="Q126">INDEX('Osiris-ConceptMap'!U110:Y364,1+O126,P126)</f>
        <v>0</v>
      </c>
    </row>
    <row r="127" spans="14:17">
      <c r="N127" s="11">
        <v>118</v>
      </c>
      <c r="O127" s="11">
        <f t="shared" si="7"/>
        <v>23</v>
      </c>
      <c r="P127" s="11">
        <f t="shared" si="8"/>
        <v>3</v>
      </c>
      <c r="Q127" s="12" cm="1">
        <f t="array" ref="Q127">INDEX('Osiris-ConceptMap'!U111:Y365,1+O127,P127)</f>
        <v>0</v>
      </c>
    </row>
    <row r="128" spans="14:17">
      <c r="N128" s="11">
        <v>119</v>
      </c>
      <c r="O128" s="11">
        <f t="shared" si="7"/>
        <v>23</v>
      </c>
      <c r="P128" s="11">
        <f t="shared" si="8"/>
        <v>4</v>
      </c>
      <c r="Q128" s="12" cm="1">
        <f t="array" ref="Q128">INDEX('Osiris-ConceptMap'!U112:Y366,1+O128,P128)</f>
        <v>0</v>
      </c>
    </row>
    <row r="129" spans="14:17">
      <c r="N129" s="11">
        <v>120</v>
      </c>
      <c r="O129" s="11">
        <f t="shared" si="7"/>
        <v>23</v>
      </c>
      <c r="P129" s="11">
        <f t="shared" si="8"/>
        <v>5</v>
      </c>
      <c r="Q129" s="12" cm="1">
        <f t="array" ref="Q129">INDEX('Osiris-ConceptMap'!U113:Y367,1+O129,P129)</f>
        <v>0</v>
      </c>
    </row>
    <row r="130" spans="14:17">
      <c r="N130" s="11">
        <v>121</v>
      </c>
      <c r="O130" s="11">
        <f t="shared" si="7"/>
        <v>24</v>
      </c>
      <c r="P130" s="11">
        <f t="shared" si="8"/>
        <v>1</v>
      </c>
      <c r="Q130" s="12" cm="1">
        <f t="array" ref="Q130">INDEX('Osiris-ConceptMap'!U114:Y368,1+O130,P130)</f>
        <v>0</v>
      </c>
    </row>
    <row r="131" spans="14:17">
      <c r="N131" s="11">
        <v>122</v>
      </c>
      <c r="O131" s="11">
        <f t="shared" si="7"/>
        <v>24</v>
      </c>
      <c r="P131" s="11">
        <f t="shared" si="8"/>
        <v>2</v>
      </c>
      <c r="Q131" s="12" cm="1">
        <f t="array" ref="Q131">INDEX('Osiris-ConceptMap'!U115:Y369,1+O131,P131)</f>
        <v>0</v>
      </c>
    </row>
    <row r="132" spans="14:17">
      <c r="N132" s="11">
        <v>123</v>
      </c>
      <c r="O132" s="11">
        <f t="shared" si="7"/>
        <v>24</v>
      </c>
      <c r="P132" s="11">
        <f t="shared" si="8"/>
        <v>3</v>
      </c>
      <c r="Q132" s="12" cm="1">
        <f t="array" ref="Q132">INDEX('Osiris-ConceptMap'!U116:Y370,1+O132,P132)</f>
        <v>0</v>
      </c>
    </row>
    <row r="133" spans="14:17">
      <c r="N133" s="11">
        <v>124</v>
      </c>
      <c r="O133" s="11">
        <f t="shared" si="7"/>
        <v>24</v>
      </c>
      <c r="P133" s="11">
        <f t="shared" si="8"/>
        <v>4</v>
      </c>
      <c r="Q133" s="12" cm="1">
        <f t="array" ref="Q133">INDEX('Osiris-ConceptMap'!U117:Y371,1+O133,P133)</f>
        <v>0</v>
      </c>
    </row>
    <row r="134" spans="14:17">
      <c r="N134" s="11">
        <v>125</v>
      </c>
      <c r="O134" s="11">
        <f t="shared" si="7"/>
        <v>24</v>
      </c>
      <c r="P134" s="11">
        <f t="shared" si="8"/>
        <v>5</v>
      </c>
      <c r="Q134" s="12" cm="1">
        <f t="array" ref="Q134">INDEX('Osiris-ConceptMap'!U118:Y372,1+O134,P134)</f>
        <v>0</v>
      </c>
    </row>
    <row r="135" spans="14:17">
      <c r="N135" s="11">
        <v>126</v>
      </c>
      <c r="O135" s="11">
        <f t="shared" si="7"/>
        <v>25</v>
      </c>
      <c r="P135" s="11">
        <f t="shared" si="8"/>
        <v>1</v>
      </c>
      <c r="Q135" s="12" cm="1">
        <f t="array" ref="Q135">INDEX('Osiris-ConceptMap'!U119:Y373,1+O135,P135)</f>
        <v>0</v>
      </c>
    </row>
    <row r="136" spans="14:17">
      <c r="N136" s="11">
        <v>127</v>
      </c>
      <c r="O136" s="11">
        <f t="shared" si="7"/>
        <v>25</v>
      </c>
      <c r="P136" s="11">
        <f t="shared" si="8"/>
        <v>2</v>
      </c>
      <c r="Q136" s="12" cm="1">
        <f t="array" ref="Q136">INDEX('Osiris-ConceptMap'!U120:Y374,1+O136,P136)</f>
        <v>0</v>
      </c>
    </row>
    <row r="137" spans="14:17">
      <c r="N137" s="11">
        <v>128</v>
      </c>
      <c r="O137" s="11">
        <f t="shared" si="7"/>
        <v>25</v>
      </c>
      <c r="P137" s="11">
        <f t="shared" si="8"/>
        <v>3</v>
      </c>
      <c r="Q137" s="12" cm="1">
        <f t="array" ref="Q137">INDEX('Osiris-ConceptMap'!U121:Y375,1+O137,P137)</f>
        <v>0</v>
      </c>
    </row>
    <row r="138" spans="14:17">
      <c r="N138" s="11">
        <v>129</v>
      </c>
      <c r="O138" s="11">
        <f t="shared" si="7"/>
        <v>25</v>
      </c>
      <c r="P138" s="11">
        <f t="shared" si="8"/>
        <v>4</v>
      </c>
      <c r="Q138" s="12" cm="1">
        <f t="array" ref="Q138">INDEX('Osiris-ConceptMap'!U122:Y376,1+O138,P138)</f>
        <v>0</v>
      </c>
    </row>
    <row r="139" spans="14:17">
      <c r="N139" s="11">
        <v>130</v>
      </c>
      <c r="O139" s="11">
        <f t="shared" ref="O139:O184" si="9">IF(MOD(N139,$O$3)=0,N139/$O$3-1,INT(N139/$O$3))</f>
        <v>25</v>
      </c>
      <c r="P139" s="11">
        <f t="shared" ref="P139:P184" si="10">IF(MOD(N139,$O$3)=0,$O$3,MOD(N139,$O$3))</f>
        <v>5</v>
      </c>
      <c r="Q139" s="12" cm="1">
        <f t="array" ref="Q139">INDEX('Osiris-ConceptMap'!U123:Y377,1+O139,P139)</f>
        <v>0</v>
      </c>
    </row>
    <row r="140" spans="14:17">
      <c r="N140" s="11">
        <v>131</v>
      </c>
      <c r="O140" s="11">
        <f t="shared" si="9"/>
        <v>26</v>
      </c>
      <c r="P140" s="11">
        <f t="shared" si="10"/>
        <v>1</v>
      </c>
      <c r="Q140" s="12" cm="1">
        <f t="array" ref="Q140">INDEX('Osiris-ConceptMap'!U124:Y378,1+O140,P140)</f>
        <v>0</v>
      </c>
    </row>
    <row r="141" spans="14:17">
      <c r="N141" s="11">
        <v>132</v>
      </c>
      <c r="O141" s="11">
        <f t="shared" si="9"/>
        <v>26</v>
      </c>
      <c r="P141" s="11">
        <f t="shared" si="10"/>
        <v>2</v>
      </c>
      <c r="Q141" s="12" cm="1">
        <f t="array" ref="Q141">INDEX('Osiris-ConceptMap'!U125:Y379,1+O141,P141)</f>
        <v>0</v>
      </c>
    </row>
    <row r="142" spans="14:17">
      <c r="N142" s="11">
        <v>133</v>
      </c>
      <c r="O142" s="11">
        <f t="shared" si="9"/>
        <v>26</v>
      </c>
      <c r="P142" s="11">
        <f t="shared" si="10"/>
        <v>3</v>
      </c>
      <c r="Q142" s="12" cm="1">
        <f t="array" ref="Q142">INDEX('Osiris-ConceptMap'!U126:Y380,1+O142,P142)</f>
        <v>0</v>
      </c>
    </row>
    <row r="143" spans="14:17">
      <c r="N143" s="11">
        <v>134</v>
      </c>
      <c r="O143" s="11">
        <f t="shared" si="9"/>
        <v>26</v>
      </c>
      <c r="P143" s="11">
        <f t="shared" si="10"/>
        <v>4</v>
      </c>
      <c r="Q143" s="12" cm="1">
        <f t="array" ref="Q143">INDEX('Osiris-ConceptMap'!U127:Y381,1+O143,P143)</f>
        <v>0</v>
      </c>
    </row>
    <row r="144" spans="14:17">
      <c r="N144" s="11">
        <v>135</v>
      </c>
      <c r="O144" s="11">
        <f t="shared" si="9"/>
        <v>26</v>
      </c>
      <c r="P144" s="11">
        <f t="shared" si="10"/>
        <v>5</v>
      </c>
      <c r="Q144" s="12" cm="1">
        <f t="array" ref="Q144">INDEX('Osiris-ConceptMap'!U128:Y382,1+O144,P144)</f>
        <v>0</v>
      </c>
    </row>
    <row r="145" spans="14:17">
      <c r="N145" s="11">
        <v>136</v>
      </c>
      <c r="O145" s="11">
        <f t="shared" si="9"/>
        <v>27</v>
      </c>
      <c r="P145" s="11">
        <f t="shared" si="10"/>
        <v>1</v>
      </c>
      <c r="Q145" s="12" cm="1">
        <f t="array" ref="Q145">INDEX('Osiris-ConceptMap'!U129:Y383,1+O145,P145)</f>
        <v>0</v>
      </c>
    </row>
    <row r="146" spans="14:17">
      <c r="N146" s="11">
        <v>137</v>
      </c>
      <c r="O146" s="11">
        <f t="shared" si="9"/>
        <v>27</v>
      </c>
      <c r="P146" s="11">
        <f t="shared" si="10"/>
        <v>2</v>
      </c>
      <c r="Q146" s="12" cm="1">
        <f t="array" ref="Q146">INDEX('Osiris-ConceptMap'!U130:Y384,1+O146,P146)</f>
        <v>0</v>
      </c>
    </row>
    <row r="147" spans="14:17">
      <c r="N147" s="11">
        <v>138</v>
      </c>
      <c r="O147" s="11">
        <f t="shared" si="9"/>
        <v>27</v>
      </c>
      <c r="P147" s="11">
        <f t="shared" si="10"/>
        <v>3</v>
      </c>
      <c r="Q147" s="12" cm="1">
        <f t="array" ref="Q147">INDEX('Osiris-ConceptMap'!U131:Y385,1+O147,P147)</f>
        <v>0</v>
      </c>
    </row>
    <row r="148" spans="14:17">
      <c r="N148" s="11">
        <v>139</v>
      </c>
      <c r="O148" s="11">
        <f t="shared" si="9"/>
        <v>27</v>
      </c>
      <c r="P148" s="11">
        <f t="shared" si="10"/>
        <v>4</v>
      </c>
      <c r="Q148" s="12" cm="1">
        <f t="array" ref="Q148">INDEX('Osiris-ConceptMap'!U132:Y386,1+O148,P148)</f>
        <v>0</v>
      </c>
    </row>
    <row r="149" spans="14:17">
      <c r="N149" s="11">
        <v>140</v>
      </c>
      <c r="O149" s="11">
        <f t="shared" si="9"/>
        <v>27</v>
      </c>
      <c r="P149" s="11">
        <f t="shared" si="10"/>
        <v>5</v>
      </c>
      <c r="Q149" s="12" cm="1">
        <f t="array" ref="Q149">INDEX('Osiris-ConceptMap'!U133:Y387,1+O149,P149)</f>
        <v>0</v>
      </c>
    </row>
    <row r="150" spans="14:17">
      <c r="N150" s="11">
        <v>141</v>
      </c>
      <c r="O150" s="11">
        <f t="shared" si="9"/>
        <v>28</v>
      </c>
      <c r="P150" s="11">
        <f t="shared" si="10"/>
        <v>1</v>
      </c>
      <c r="Q150" s="12" cm="1">
        <f t="array" ref="Q150">INDEX('Osiris-ConceptMap'!U134:Y388,1+O150,P150)</f>
        <v>0</v>
      </c>
    </row>
    <row r="151" spans="14:17">
      <c r="N151" s="11">
        <v>142</v>
      </c>
      <c r="O151" s="11">
        <f t="shared" si="9"/>
        <v>28</v>
      </c>
      <c r="P151" s="11">
        <f t="shared" si="10"/>
        <v>2</v>
      </c>
      <c r="Q151" s="12" cm="1">
        <f t="array" ref="Q151">INDEX('Osiris-ConceptMap'!U135:Y389,1+O151,P151)</f>
        <v>0</v>
      </c>
    </row>
    <row r="152" spans="14:17">
      <c r="N152" s="11">
        <v>143</v>
      </c>
      <c r="O152" s="11">
        <f t="shared" si="9"/>
        <v>28</v>
      </c>
      <c r="P152" s="11">
        <f t="shared" si="10"/>
        <v>3</v>
      </c>
      <c r="Q152" s="12" cm="1">
        <f t="array" ref="Q152">INDEX('Osiris-ConceptMap'!U136:Y390,1+O152,P152)</f>
        <v>0</v>
      </c>
    </row>
    <row r="153" spans="14:17">
      <c r="N153" s="11">
        <v>144</v>
      </c>
      <c r="O153" s="11">
        <f t="shared" si="9"/>
        <v>28</v>
      </c>
      <c r="P153" s="11">
        <f t="shared" si="10"/>
        <v>4</v>
      </c>
      <c r="Q153" s="12" cm="1">
        <f t="array" ref="Q153">INDEX('Osiris-ConceptMap'!U137:Y391,1+O153,P153)</f>
        <v>0</v>
      </c>
    </row>
    <row r="154" spans="14:17">
      <c r="N154" s="11">
        <v>145</v>
      </c>
      <c r="O154" s="11">
        <f t="shared" si="9"/>
        <v>28</v>
      </c>
      <c r="P154" s="11">
        <f t="shared" si="10"/>
        <v>5</v>
      </c>
      <c r="Q154" s="12" cm="1">
        <f t="array" ref="Q154">INDEX('Osiris-ConceptMap'!U138:Y392,1+O154,P154)</f>
        <v>0</v>
      </c>
    </row>
    <row r="155" spans="14:17">
      <c r="N155" s="11">
        <v>146</v>
      </c>
      <c r="O155" s="11">
        <f t="shared" si="9"/>
        <v>29</v>
      </c>
      <c r="P155" s="11">
        <f t="shared" si="10"/>
        <v>1</v>
      </c>
      <c r="Q155" s="12" cm="1">
        <f t="array" ref="Q155">INDEX('Osiris-ConceptMap'!U139:Y393,1+O155,P155)</f>
        <v>0</v>
      </c>
    </row>
    <row r="156" spans="14:17">
      <c r="N156" s="11">
        <v>147</v>
      </c>
      <c r="O156" s="11">
        <f t="shared" si="9"/>
        <v>29</v>
      </c>
      <c r="P156" s="11">
        <f t="shared" si="10"/>
        <v>2</v>
      </c>
      <c r="Q156" s="12" cm="1">
        <f t="array" ref="Q156">INDEX('Osiris-ConceptMap'!U140:Y394,1+O156,P156)</f>
        <v>0</v>
      </c>
    </row>
    <row r="157" spans="14:17">
      <c r="N157" s="11">
        <v>148</v>
      </c>
      <c r="O157" s="11">
        <f t="shared" si="9"/>
        <v>29</v>
      </c>
      <c r="P157" s="11">
        <f t="shared" si="10"/>
        <v>3</v>
      </c>
      <c r="Q157" s="12" cm="1">
        <f t="array" ref="Q157">INDEX('Osiris-ConceptMap'!U141:Y395,1+O157,P157)</f>
        <v>0</v>
      </c>
    </row>
    <row r="158" spans="14:17">
      <c r="N158" s="11">
        <v>149</v>
      </c>
      <c r="O158" s="11">
        <f t="shared" si="9"/>
        <v>29</v>
      </c>
      <c r="P158" s="11">
        <f t="shared" si="10"/>
        <v>4</v>
      </c>
      <c r="Q158" s="12" cm="1">
        <f t="array" ref="Q158">INDEX('Osiris-ConceptMap'!U142:Y396,1+O158,P158)</f>
        <v>0</v>
      </c>
    </row>
    <row r="159" spans="14:17">
      <c r="N159" s="11">
        <v>150</v>
      </c>
      <c r="O159" s="11">
        <f t="shared" si="9"/>
        <v>29</v>
      </c>
      <c r="P159" s="11">
        <f t="shared" si="10"/>
        <v>5</v>
      </c>
      <c r="Q159" s="12" cm="1">
        <f t="array" ref="Q159">INDEX('Osiris-ConceptMap'!U143:Y397,1+O159,P159)</f>
        <v>0</v>
      </c>
    </row>
    <row r="160" spans="14:17">
      <c r="N160" s="11">
        <v>151</v>
      </c>
      <c r="O160" s="11">
        <f t="shared" si="9"/>
        <v>30</v>
      </c>
      <c r="P160" s="11">
        <f t="shared" si="10"/>
        <v>1</v>
      </c>
      <c r="Q160" s="12" cm="1">
        <f t="array" ref="Q160">INDEX('Osiris-ConceptMap'!U144:Y398,1+O160,P160)</f>
        <v>0</v>
      </c>
    </row>
    <row r="161" spans="14:17">
      <c r="N161" s="11">
        <v>152</v>
      </c>
      <c r="O161" s="11">
        <f t="shared" si="9"/>
        <v>30</v>
      </c>
      <c r="P161" s="11">
        <f t="shared" si="10"/>
        <v>2</v>
      </c>
      <c r="Q161" s="12" cm="1">
        <f t="array" ref="Q161">INDEX('Osiris-ConceptMap'!U145:Y399,1+O161,P161)</f>
        <v>0</v>
      </c>
    </row>
    <row r="162" spans="14:17">
      <c r="N162" s="11">
        <v>153</v>
      </c>
      <c r="O162" s="11">
        <f t="shared" si="9"/>
        <v>30</v>
      </c>
      <c r="P162" s="11">
        <f t="shared" si="10"/>
        <v>3</v>
      </c>
      <c r="Q162" s="12" cm="1">
        <f t="array" ref="Q162">INDEX('Osiris-ConceptMap'!U146:Y400,1+O162,P162)</f>
        <v>0</v>
      </c>
    </row>
    <row r="163" spans="14:17">
      <c r="N163" s="11">
        <v>154</v>
      </c>
      <c r="O163" s="11">
        <f t="shared" si="9"/>
        <v>30</v>
      </c>
      <c r="P163" s="11">
        <f t="shared" si="10"/>
        <v>4</v>
      </c>
      <c r="Q163" s="12" cm="1">
        <f t="array" ref="Q163">INDEX('Osiris-ConceptMap'!U147:Y401,1+O163,P163)</f>
        <v>0</v>
      </c>
    </row>
    <row r="164" spans="14:17">
      <c r="N164" s="11">
        <v>155</v>
      </c>
      <c r="O164" s="11">
        <f t="shared" si="9"/>
        <v>30</v>
      </c>
      <c r="P164" s="11">
        <f t="shared" si="10"/>
        <v>5</v>
      </c>
      <c r="Q164" s="12" cm="1">
        <f t="array" ref="Q164">INDEX('Osiris-ConceptMap'!U148:Y402,1+O164,P164)</f>
        <v>0</v>
      </c>
    </row>
    <row r="165" spans="14:17">
      <c r="N165" s="11">
        <v>156</v>
      </c>
      <c r="O165" s="11">
        <f t="shared" si="9"/>
        <v>31</v>
      </c>
      <c r="P165" s="11">
        <f t="shared" si="10"/>
        <v>1</v>
      </c>
      <c r="Q165" s="12" cm="1">
        <f t="array" ref="Q165">INDEX('Osiris-ConceptMap'!U149:Y403,1+O165,P165)</f>
        <v>0</v>
      </c>
    </row>
    <row r="166" spans="14:17">
      <c r="N166" s="11">
        <v>157</v>
      </c>
      <c r="O166" s="11">
        <f t="shared" si="9"/>
        <v>31</v>
      </c>
      <c r="P166" s="11">
        <f t="shared" si="10"/>
        <v>2</v>
      </c>
      <c r="Q166" s="12" cm="1">
        <f t="array" ref="Q166">INDEX('Osiris-ConceptMap'!U150:Y404,1+O166,P166)</f>
        <v>0</v>
      </c>
    </row>
    <row r="167" spans="14:17">
      <c r="N167" s="11">
        <v>158</v>
      </c>
      <c r="O167" s="11">
        <f t="shared" si="9"/>
        <v>31</v>
      </c>
      <c r="P167" s="11">
        <f t="shared" si="10"/>
        <v>3</v>
      </c>
      <c r="Q167" s="12" cm="1">
        <f t="array" ref="Q167">INDEX('Osiris-ConceptMap'!U151:Y405,1+O167,P167)</f>
        <v>0</v>
      </c>
    </row>
    <row r="168" spans="14:17">
      <c r="N168" s="11">
        <v>159</v>
      </c>
      <c r="O168" s="11">
        <f t="shared" si="9"/>
        <v>31</v>
      </c>
      <c r="P168" s="11">
        <f t="shared" si="10"/>
        <v>4</v>
      </c>
      <c r="Q168" s="12" cm="1">
        <f t="array" ref="Q168">INDEX('Osiris-ConceptMap'!U152:Y406,1+O168,P168)</f>
        <v>0</v>
      </c>
    </row>
    <row r="169" spans="14:17">
      <c r="N169" s="11">
        <v>160</v>
      </c>
      <c r="O169" s="11">
        <f t="shared" si="9"/>
        <v>31</v>
      </c>
      <c r="P169" s="11">
        <f t="shared" si="10"/>
        <v>5</v>
      </c>
      <c r="Q169" s="12" cm="1">
        <f t="array" ref="Q169">INDEX('Osiris-ConceptMap'!U153:Y407,1+O169,P169)</f>
        <v>0</v>
      </c>
    </row>
    <row r="170" spans="14:17">
      <c r="N170" s="11">
        <v>161</v>
      </c>
      <c r="O170" s="11">
        <f t="shared" si="9"/>
        <v>32</v>
      </c>
      <c r="P170" s="11">
        <f t="shared" si="10"/>
        <v>1</v>
      </c>
      <c r="Q170" s="12" cm="1">
        <f t="array" ref="Q170">INDEX('Osiris-ConceptMap'!U154:Y408,1+O170,P170)</f>
        <v>0</v>
      </c>
    </row>
    <row r="171" spans="14:17">
      <c r="N171" s="11">
        <v>162</v>
      </c>
      <c r="O171" s="11">
        <f t="shared" si="9"/>
        <v>32</v>
      </c>
      <c r="P171" s="11">
        <f t="shared" si="10"/>
        <v>2</v>
      </c>
      <c r="Q171" s="12" cm="1">
        <f t="array" ref="Q171">INDEX('Osiris-ConceptMap'!U155:Y409,1+O171,P171)</f>
        <v>0</v>
      </c>
    </row>
    <row r="172" spans="14:17">
      <c r="N172" s="11">
        <v>163</v>
      </c>
      <c r="O172" s="11">
        <f t="shared" si="9"/>
        <v>32</v>
      </c>
      <c r="P172" s="11">
        <f t="shared" si="10"/>
        <v>3</v>
      </c>
      <c r="Q172" s="12" cm="1">
        <f t="array" ref="Q172">INDEX('Osiris-ConceptMap'!U156:Y410,1+O172,P172)</f>
        <v>0</v>
      </c>
    </row>
    <row r="173" spans="14:17">
      <c r="N173" s="11">
        <v>164</v>
      </c>
      <c r="O173" s="11">
        <f t="shared" si="9"/>
        <v>32</v>
      </c>
      <c r="P173" s="11">
        <f t="shared" si="10"/>
        <v>4</v>
      </c>
      <c r="Q173" s="12" cm="1">
        <f t="array" ref="Q173">INDEX('Osiris-ConceptMap'!U157:Y411,1+O173,P173)</f>
        <v>0</v>
      </c>
    </row>
    <row r="174" spans="14:17">
      <c r="N174" s="11">
        <v>165</v>
      </c>
      <c r="O174" s="11">
        <f t="shared" si="9"/>
        <v>32</v>
      </c>
      <c r="P174" s="11">
        <f t="shared" si="10"/>
        <v>5</v>
      </c>
      <c r="Q174" s="12" cm="1">
        <f t="array" ref="Q174">INDEX('Osiris-ConceptMap'!U158:Y412,1+O174,P174)</f>
        <v>0</v>
      </c>
    </row>
    <row r="175" spans="14:17">
      <c r="N175" s="11">
        <v>166</v>
      </c>
      <c r="O175" s="11">
        <f t="shared" si="9"/>
        <v>33</v>
      </c>
      <c r="P175" s="11">
        <f t="shared" si="10"/>
        <v>1</v>
      </c>
      <c r="Q175" s="12" cm="1">
        <f t="array" ref="Q175">INDEX('Osiris-ConceptMap'!U159:Y413,1+O175,P175)</f>
        <v>0</v>
      </c>
    </row>
    <row r="176" spans="14:17">
      <c r="N176" s="11">
        <v>167</v>
      </c>
      <c r="O176" s="11">
        <f t="shared" si="9"/>
        <v>33</v>
      </c>
      <c r="P176" s="11">
        <f t="shared" si="10"/>
        <v>2</v>
      </c>
      <c r="Q176" s="12" cm="1">
        <f t="array" ref="Q176">INDEX('Osiris-ConceptMap'!U160:Y414,1+O176,P176)</f>
        <v>0</v>
      </c>
    </row>
    <row r="177" spans="14:17">
      <c r="N177" s="11">
        <v>168</v>
      </c>
      <c r="O177" s="11">
        <f t="shared" si="9"/>
        <v>33</v>
      </c>
      <c r="P177" s="11">
        <f t="shared" si="10"/>
        <v>3</v>
      </c>
      <c r="Q177" s="12" cm="1">
        <f t="array" ref="Q177">INDEX('Osiris-ConceptMap'!U161:Y415,1+O177,P177)</f>
        <v>0</v>
      </c>
    </row>
    <row r="178" spans="14:17">
      <c r="N178" s="11">
        <v>169</v>
      </c>
      <c r="O178" s="11">
        <f t="shared" si="9"/>
        <v>33</v>
      </c>
      <c r="P178" s="11">
        <f t="shared" si="10"/>
        <v>4</v>
      </c>
      <c r="Q178" s="12" cm="1">
        <f t="array" ref="Q178">INDEX('Osiris-ConceptMap'!U162:Y416,1+O178,P178)</f>
        <v>0</v>
      </c>
    </row>
    <row r="179" spans="14:17">
      <c r="N179" s="11">
        <v>170</v>
      </c>
      <c r="O179" s="11">
        <f t="shared" si="9"/>
        <v>33</v>
      </c>
      <c r="P179" s="11">
        <f t="shared" si="10"/>
        <v>5</v>
      </c>
      <c r="Q179" s="12" cm="1">
        <f t="array" ref="Q179">INDEX('Osiris-ConceptMap'!U163:Y417,1+O179,P179)</f>
        <v>0</v>
      </c>
    </row>
    <row r="180" spans="14:17">
      <c r="N180" s="11">
        <v>171</v>
      </c>
      <c r="O180" s="11">
        <f t="shared" si="9"/>
        <v>34</v>
      </c>
      <c r="P180" s="11">
        <f t="shared" si="10"/>
        <v>1</v>
      </c>
      <c r="Q180" s="12" cm="1">
        <f t="array" ref="Q180">INDEX('Osiris-ConceptMap'!U164:Y418,1+O180,P180)</f>
        <v>0</v>
      </c>
    </row>
    <row r="181" spans="14:17">
      <c r="N181" s="11">
        <v>172</v>
      </c>
      <c r="O181" s="11">
        <f t="shared" si="9"/>
        <v>34</v>
      </c>
      <c r="P181" s="11">
        <f t="shared" si="10"/>
        <v>2</v>
      </c>
      <c r="Q181" s="12" cm="1">
        <f t="array" ref="Q181">INDEX('Osiris-ConceptMap'!U165:Y419,1+O181,P181)</f>
        <v>0</v>
      </c>
    </row>
    <row r="182" spans="14:17">
      <c r="N182" s="11">
        <v>173</v>
      </c>
      <c r="O182" s="11">
        <f t="shared" si="9"/>
        <v>34</v>
      </c>
      <c r="P182" s="11">
        <f t="shared" si="10"/>
        <v>3</v>
      </c>
      <c r="Q182" s="12" cm="1">
        <f t="array" ref="Q182">INDEX('Osiris-ConceptMap'!U166:Y420,1+O182,P182)</f>
        <v>0</v>
      </c>
    </row>
    <row r="183" spans="14:17">
      <c r="N183" s="11">
        <v>174</v>
      </c>
      <c r="O183" s="11">
        <f t="shared" si="9"/>
        <v>34</v>
      </c>
      <c r="P183" s="11">
        <f t="shared" si="10"/>
        <v>4</v>
      </c>
      <c r="Q183" s="12" cm="1">
        <f t="array" ref="Q183">INDEX('Osiris-ConceptMap'!U167:Y421,1+O183,P183)</f>
        <v>0</v>
      </c>
    </row>
    <row r="184" spans="14:17">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Foglio2!$D$6:$D$15</xm:f>
          </x14:formula1>
          <xm:sqref>F10:G46 I34:I46 J21:K46 L37:L46</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4" t="s">
        <v>21</v>
      </c>
    </row>
    <row r="2" spans="2:7" ht="16.75" thickBot="1">
      <c r="B2" s="25" t="s">
        <v>1459</v>
      </c>
      <c r="G2" s="30" t="s">
        <v>1458</v>
      </c>
    </row>
    <row r="3" spans="2:7">
      <c r="B3" s="25" t="s">
        <v>21</v>
      </c>
    </row>
    <row r="4" spans="2:7">
      <c r="B4" s="69" t="s">
        <v>1456</v>
      </c>
    </row>
    <row r="5" spans="2:7">
      <c r="B5" s="69" t="s">
        <v>1457</v>
      </c>
    </row>
    <row r="6" spans="2:7">
      <c r="B6" s="69" t="s">
        <v>1448</v>
      </c>
    </row>
    <row r="7" spans="2:7">
      <c r="B7" s="69" t="s">
        <v>1460</v>
      </c>
    </row>
    <row r="8" spans="2:7">
      <c r="B8" s="69" t="s">
        <v>1461</v>
      </c>
    </row>
    <row r="9" spans="2:7">
      <c r="B9" s="69" t="s">
        <v>1462</v>
      </c>
    </row>
    <row r="10" spans="2:7">
      <c r="B10" s="69" t="s">
        <v>1449</v>
      </c>
    </row>
    <row r="11" spans="2:7">
      <c r="B11" s="69" t="s">
        <v>1450</v>
      </c>
    </row>
    <row r="12" spans="2:7">
      <c r="B12" s="69" t="s">
        <v>1463</v>
      </c>
    </row>
    <row r="13" spans="2:7">
      <c r="B13" s="69" t="s">
        <v>1464</v>
      </c>
    </row>
    <row r="14" spans="2:7">
      <c r="B14" s="73" t="s">
        <v>1465</v>
      </c>
    </row>
    <row r="15" spans="2:7">
      <c r="B15" s="73" t="s">
        <v>1466</v>
      </c>
    </row>
    <row r="16" spans="2:7">
      <c r="B16" s="69"/>
    </row>
    <row r="17" spans="2:2">
      <c r="B17" s="72" t="s">
        <v>1467</v>
      </c>
    </row>
    <row r="18" spans="2:2">
      <c r="B18" s="72" t="s">
        <v>1468</v>
      </c>
    </row>
    <row r="19" spans="2:2">
      <c r="B19" s="74"/>
    </row>
    <row r="20" spans="2:2">
      <c r="B20" s="12" t="str">
        <f>IF('Osiris-ConceptMap'!Q10=0,"//---END",'Osiris-ConceptMap'!Q10)</f>
        <v>* group[=].element[+].code = #Osiris.Patient</v>
      </c>
    </row>
    <row r="21" spans="2:2">
      <c r="B21" s="12" t="str">
        <f>IF('Osiris-ConceptMap'!Q11=0,"//---END",'Osiris-ConceptMap'!Q11)</f>
        <v>* group[=].element[=].display = ##34#Patient##34#</v>
      </c>
    </row>
    <row r="22" spans="2:2">
      <c r="B22" s="12" t="str">
        <f>IF('Osiris-ConceptMap'!Q12=0,"//---END",'Osiris-ConceptMap'!Q12)</f>
        <v>* group[=].element[=].target.code = #Subject</v>
      </c>
    </row>
    <row r="23" spans="2:2">
      <c r="B23" s="12" t="str">
        <f>IF('Osiris-ConceptMap'!Q13=0,"//---END",'Osiris-ConceptMap'!Q13)</f>
        <v>* group[=].element[=].target.display = ##34#Subject of care##34#</v>
      </c>
    </row>
    <row r="24" spans="2:2">
      <c r="B24" s="12" t="str">
        <f>IF('Osiris-ConceptMap'!Q14=0,"//---END",'Osiris-ConceptMap'!Q14)</f>
        <v>* group[=].element[=].target.equivalence = #equivalent</v>
      </c>
    </row>
    <row r="25" spans="2:2">
      <c r="B25" s="12" t="str">
        <f>IF('Osiris-ConceptMap'!Q15=0,"//---END",'Osiris-ConceptMap'!Q15)</f>
        <v>* group[=].element[+].code = #Osiris.Patient.Id</v>
      </c>
    </row>
    <row r="26" spans="2:2">
      <c r="B26" s="12" t="str">
        <f>IF('Osiris-ConceptMap'!Q16=0,"//---END",'Osiris-ConceptMap'!Q16)</f>
        <v>* group[=].element[=].display = ##34#Patient Id [C1]##34#</v>
      </c>
    </row>
    <row r="27" spans="2:2">
      <c r="B27" s="12" t="str">
        <f>IF('Osiris-ConceptMap'!Q17=0,"//---END",'Osiris-ConceptMap'!Q17)</f>
        <v>//-- unmatched</v>
      </c>
    </row>
    <row r="28" spans="2:2">
      <c r="B28" s="12" t="str">
        <f>IF('Osiris-ConceptMap'!Q18=0,"//---END",'Osiris-ConceptMap'!Q18)</f>
        <v>//-- unmatched</v>
      </c>
    </row>
    <row r="29" spans="2:2">
      <c r="B29" s="12" t="str">
        <f>IF('Osiris-ConceptMap'!Q19=0,"//---END",'Osiris-ConceptMap'!Q19)</f>
        <v>* group[=].element[=].target.equivalence = #unmatched</v>
      </c>
    </row>
    <row r="30" spans="2:2">
      <c r="B30" s="12" t="str">
        <f>IF('Osiris-ConceptMap'!Q20=0,"//---END",'Osiris-ConceptMap'!Q20)</f>
        <v>* group[=].element[+].code = #Osiris.Patient.Gender</v>
      </c>
    </row>
    <row r="31" spans="2:2">
      <c r="B31" s="12" t="str">
        <f>IF('Osiris-ConceptMap'!Q21=0,"//---END",'Osiris-ConceptMap'!Q21)</f>
        <v>* group[=].element[=].display = ##34#Gender [C2]##34#</v>
      </c>
    </row>
    <row r="32" spans="2:2">
      <c r="B32" s="12" t="str">
        <f>IF('Osiris-ConceptMap'!Q22=0,"//---END",'Osiris-ConceptMap'!Q22)</f>
        <v>* group[=].element[=].target.code = #Subject.sexOrGender</v>
      </c>
    </row>
    <row r="33" spans="2:2">
      <c r="B33" s="12" t="str">
        <f>IF('Osiris-ConceptMap'!Q23=0,"//---END",'Osiris-ConceptMap'!Q23)</f>
        <v>* group[=].element[=].target.display = ##34#Gender/Sex##34#</v>
      </c>
    </row>
    <row r="34" spans="2:2">
      <c r="B34" s="12" t="str">
        <f>IF('Osiris-ConceptMap'!Q24=0,"//---END",'Osiris-ConceptMap'!Q24)</f>
        <v>* group[=].element[=].target.equivalence = #wider</v>
      </c>
    </row>
    <row r="35" spans="2:2">
      <c r="B35" s="12" t="str">
        <f>IF('Osiris-ConceptMap'!Q25=0,"//---END",'Osiris-ConceptMap'!Q25)</f>
        <v>* group[=].element[+].code = #Osiris.Patient.Ethnicity</v>
      </c>
    </row>
    <row r="36" spans="2:2">
      <c r="B36" s="12" t="str">
        <f>IF('Osiris-ConceptMap'!Q26=0,"//---END",'Osiris-ConceptMap'!Q26)</f>
        <v>* group[=].element[=].display = ##34#Ethnicity [C3]##34#</v>
      </c>
    </row>
    <row r="37" spans="2:2">
      <c r="B37" s="12" t="str">
        <f>IF('Osiris-ConceptMap'!Q27=0,"//---END",'Osiris-ConceptMap'!Q27)</f>
        <v>* group[=].element[=].target.code = #Subject.race</v>
      </c>
    </row>
    <row r="38" spans="2:2">
      <c r="B38" s="12" t="str">
        <f>IF('Osiris-ConceptMap'!Q28=0,"//---END",'Osiris-ConceptMap'!Q28)</f>
        <v>* group[=].element[=].target.display = ##34#Race##34#</v>
      </c>
    </row>
    <row r="39" spans="2:2">
      <c r="B39" s="12" t="str">
        <f>IF('Osiris-ConceptMap'!Q29=0,"//---END",'Osiris-ConceptMap'!Q29)</f>
        <v>* group[=].element[=].target.equivalence = #relatedto</v>
      </c>
    </row>
    <row r="40" spans="2:2">
      <c r="B40" s="12" t="str">
        <f>IF('Osiris-ConceptMap'!Q30=0,"//---END",'Osiris-ConceptMap'!Q30)</f>
        <v>* group[=].element[+].code = #Osiris.Patient.BirthDate</v>
      </c>
    </row>
    <row r="41" spans="2:2">
      <c r="B41" s="12" t="str">
        <f>IF('Osiris-ConceptMap'!Q31=0,"//---END",'Osiris-ConceptMap'!Q31)</f>
        <v>* group[=].element[=].display = ##34#Birth Date [C4]##34#</v>
      </c>
    </row>
    <row r="42" spans="2:2">
      <c r="B42" s="12" t="str">
        <f>IF('Osiris-ConceptMap'!Q32=0,"//---END",'Osiris-ConceptMap'!Q32)</f>
        <v>* group[=].element[=].target.code = #Subject.dateOfBirth.date</v>
      </c>
    </row>
    <row r="43" spans="2:2">
      <c r="B43" s="12" t="str">
        <f>IF('Osiris-ConceptMap'!Q33=0,"//---END",'Osiris-ConceptMap'!Q33)</f>
        <v>* group[=].element[=].target.display = ##34#Date of birth##34#</v>
      </c>
    </row>
    <row r="44" spans="2:2">
      <c r="B44" s="12" t="str">
        <f>IF('Osiris-ConceptMap'!Q34=0,"//---END",'Osiris-ConceptMap'!Q34)</f>
        <v>* group[=].element[=].target.equivalence = #equivalent</v>
      </c>
    </row>
    <row r="45" spans="2:2">
      <c r="B45" s="12" t="str">
        <f>IF('Osiris-ConceptMap'!Q35=0,"//---END",'Osiris-ConceptMap'!Q35)</f>
        <v>* group[=].element[+].code = #Osiris.Patient.DeathDate</v>
      </c>
    </row>
    <row r="46" spans="2:2">
      <c r="B46" s="12" t="str">
        <f>IF('Osiris-ConceptMap'!Q36=0,"//---END",'Osiris-ConceptMap'!Q36)</f>
        <v>* group[=].element[=].display = ##34#Death Date [C5]##34#</v>
      </c>
    </row>
    <row r="47" spans="2:2">
      <c r="B47" s="12" t="str">
        <f>IF('Osiris-ConceptMap'!Q37=0,"//---END",'Osiris-ConceptMap'!Q37)</f>
        <v>//-- unmatched</v>
      </c>
    </row>
    <row r="48" spans="2:2">
      <c r="B48" s="12" t="str">
        <f>IF('Osiris-ConceptMap'!Q38=0,"//---END",'Osiris-ConceptMap'!Q38)</f>
        <v>//-- unmatched</v>
      </c>
    </row>
    <row r="49" spans="2:2">
      <c r="B49" s="12" t="str">
        <f>IF('Osiris-ConceptMap'!Q39=0,"//---END",'Osiris-ConceptMap'!Q39)</f>
        <v>* group[=].element[=].target.equivalence = #unmatched</v>
      </c>
    </row>
    <row r="50" spans="2:2">
      <c r="B50" s="12" t="str">
        <f>IF('Osiris-ConceptMap'!Q40=0,"//---END",'Osiris-ConceptMap'!Q40)</f>
        <v>* group[=].element[+].code = #Osiris.Patient.ProviderCenterId</v>
      </c>
    </row>
    <row r="51" spans="2:2">
      <c r="B51" s="12" t="str">
        <f>IF('Osiris-ConceptMap'!Q41=0,"//---END",'Osiris-ConceptMap'!Q41)</f>
        <v>* group[=].element[=].display = ##34#Provider  Center  Id [C6]##34#</v>
      </c>
    </row>
    <row r="52" spans="2:2">
      <c r="B52" s="12" t="str">
        <f>IF('Osiris-ConceptMap'!Q42=0,"//---END",'Osiris-ConceptMap'!Q42)</f>
        <v>//-- unmatched</v>
      </c>
    </row>
    <row r="53" spans="2:2">
      <c r="B53" s="12" t="str">
        <f>IF('Osiris-ConceptMap'!Q43=0,"//---END",'Osiris-ConceptMap'!Q43)</f>
        <v>//-- unmatched</v>
      </c>
    </row>
    <row r="54" spans="2:2">
      <c r="B54" s="12" t="str">
        <f>IF('Osiris-ConceptMap'!Q44=0,"//---END",'Osiris-ConceptMap'!Q44)</f>
        <v>* group[=].element[=].target.equivalence = #unmatched</v>
      </c>
    </row>
    <row r="55" spans="2:2">
      <c r="B55" s="12" t="str">
        <f>IF('Osiris-ConceptMap'!Q45=0,"//---END",'Osiris-ConceptMap'!Q45)</f>
        <v>* group[=].element[+].code = #Osiris.Patient.OriginCenterId</v>
      </c>
    </row>
    <row r="56" spans="2:2">
      <c r="B56" s="12" t="str">
        <f>IF('Osiris-ConceptMap'!Q46=0,"//---END",'Osiris-ConceptMap'!Q46)</f>
        <v>* group[=].element[=].display = ##34#Origin  Center  Id [C71]##34#</v>
      </c>
    </row>
    <row r="57" spans="2:2">
      <c r="B57" s="12" t="str">
        <f>IF('Osiris-ConceptMap'!Q47=0,"//---END",'Osiris-ConceptMap'!Q47)</f>
        <v>//-- unmatched</v>
      </c>
    </row>
    <row r="58" spans="2:2">
      <c r="B58" s="12" t="str">
        <f>IF('Osiris-ConceptMap'!Q48=0,"//---END",'Osiris-ConceptMap'!Q48)</f>
        <v>//-- unmatched</v>
      </c>
    </row>
    <row r="59" spans="2:2">
      <c r="B59" s="12" t="str">
        <f>IF('Osiris-ConceptMap'!Q49=0,"//---END",'Osiris-ConceptMap'!Q49)</f>
        <v>* group[=].element[=].target.equivalence = #unmatched</v>
      </c>
    </row>
    <row r="60" spans="2:2">
      <c r="B60" s="12" t="str">
        <f>IF('Osiris-ConceptMap'!Q50=0,"//---END",'Osiris-ConceptMap'!Q50)</f>
        <v>* group[=].element[+].code = #Osiris.Patient.CauseOfDeath</v>
      </c>
    </row>
    <row r="61" spans="2:2">
      <c r="B61" s="12" t="str">
        <f>IF('Osiris-ConceptMap'!Q51=0,"//---END",'Osiris-ConceptMap'!Q51)</f>
        <v>* group[=].element[=].display = ##34#Cause of death [C7]##34#</v>
      </c>
    </row>
    <row r="62" spans="2:2">
      <c r="B62" s="12" t="str">
        <f>IF('Osiris-ConceptMap'!Q52=0,"//---END",'Osiris-ConceptMap'!Q52)</f>
        <v>//-- unmatched</v>
      </c>
    </row>
    <row r="63" spans="2:2">
      <c r="B63" s="12" t="str">
        <f>IF('Osiris-ConceptMap'!Q53=0,"//---END",'Osiris-ConceptMap'!Q53)</f>
        <v>//-- unmatched</v>
      </c>
    </row>
    <row r="64" spans="2:2">
      <c r="B64" s="12" t="str">
        <f>IF('Osiris-ConceptMap'!Q54=0,"//---END",'Osiris-ConceptMap'!Q54)</f>
        <v>* group[=].element[=].target.equivalence = #unmatched</v>
      </c>
    </row>
    <row r="65" spans="2:4">
      <c r="B65" s="12" t="str">
        <f>IF('Osiris-ConceptMap'!Q55=0,"//---END",'Osiris-ConceptMap'!Q55)</f>
        <v>* group[=].element[+].code = #Osiris.Patient.LastNewsDate</v>
      </c>
    </row>
    <row r="66" spans="2:4">
      <c r="B66" s="12" t="str">
        <f>IF('Osiris-ConceptMap'!Q56=0,"//---END",'Osiris-ConceptMap'!Q56)</f>
        <v>* group[=].element[=].display = ##34#Last News Date [C8]##34#</v>
      </c>
    </row>
    <row r="67" spans="2:4">
      <c r="B67" s="12" t="str">
        <f>IF('Osiris-ConceptMap'!Q57=0,"//---END",'Osiris-ConceptMap'!Q57)</f>
        <v>//-- unmatched</v>
      </c>
    </row>
    <row r="68" spans="2:4">
      <c r="B68" s="12" t="str">
        <f>IF('Osiris-ConceptMap'!Q58=0,"//---END",'Osiris-ConceptMap'!Q58)</f>
        <v>//-- unmatched</v>
      </c>
    </row>
    <row r="69" spans="2:4">
      <c r="B69" s="12" t="str">
        <f>IF('Osiris-ConceptMap'!Q59=0,"//---END",'Osiris-ConceptMap'!Q59)</f>
        <v>* group[=].element[=].target.equivalence = #unmatched</v>
      </c>
    </row>
    <row r="70" spans="2:4">
      <c r="B70" s="12" t="str">
        <f>IF('Osiris-ConceptMap'!Q60=0,"//---END",'Osiris-ConceptMap'!Q60)</f>
        <v>* group[=].element[+].code = #Osiris.Patient.LastNewsStatus</v>
      </c>
      <c r="D70" s="62"/>
    </row>
    <row r="71" spans="2:4">
      <c r="B71" s="12" t="str">
        <f>IF('Osiris-ConceptMap'!Q61=0,"//---END",'Osiris-ConceptMap'!Q61)</f>
        <v>* group[=].element[=].display = ##34#Last News Status [C9]##34#</v>
      </c>
    </row>
    <row r="72" spans="2:4">
      <c r="B72" s="12" t="str">
        <f>IF('Osiris-ConceptMap'!Q62=0,"//---END",'Osiris-ConceptMap'!Q62)</f>
        <v>//-- unmatched</v>
      </c>
    </row>
    <row r="73" spans="2:4">
      <c r="B73" s="12" t="str">
        <f>IF('Osiris-ConceptMap'!Q63=0,"//---END",'Osiris-ConceptMap'!Q63)</f>
        <v>//-- unmatched</v>
      </c>
    </row>
    <row r="74" spans="2:4">
      <c r="B74" s="12" t="str">
        <f>IF('Osiris-ConceptMap'!Q64=0,"//---END",'Osiris-ConceptMap'!Q64)</f>
        <v>* group[=].element[=].target.equivalence = #unmatched</v>
      </c>
    </row>
    <row r="75" spans="2:4">
      <c r="B75" s="12" t="str">
        <f>IF('Osiris-ConceptMap'!Q65=0,"//---END",'Osiris-ConceptMap'!Q65)</f>
        <v>//---END</v>
      </c>
    </row>
    <row r="76" spans="2:4">
      <c r="B76" s="12" t="str">
        <f>IF('Osiris-ConceptMap'!Q66=0,"//---END",'Osiris-ConceptMap'!Q66)</f>
        <v>//---END</v>
      </c>
    </row>
    <row r="77" spans="2:4">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M25" sqref="M25"/>
    </sheetView>
  </sheetViews>
  <sheetFormatPr defaultRowHeight="14.75"/>
  <cols>
    <col min="4" max="4" width="18" customWidth="1"/>
  </cols>
  <sheetData>
    <row r="6" spans="3:6">
      <c r="C6">
        <v>1</v>
      </c>
      <c r="D6" t="s">
        <v>1417</v>
      </c>
      <c r="E6" t="s">
        <v>1418</v>
      </c>
      <c r="F6" t="s">
        <v>1419</v>
      </c>
    </row>
    <row r="7" spans="3:6">
      <c r="C7">
        <v>2</v>
      </c>
      <c r="D7" t="s">
        <v>1439</v>
      </c>
      <c r="E7" t="s">
        <v>1420</v>
      </c>
      <c r="F7" t="s">
        <v>1421</v>
      </c>
    </row>
    <row r="8" spans="3:6">
      <c r="C8">
        <v>3</v>
      </c>
      <c r="D8" t="s">
        <v>1440</v>
      </c>
      <c r="E8" t="s">
        <v>1422</v>
      </c>
      <c r="F8" t="s">
        <v>1423</v>
      </c>
    </row>
    <row r="9" spans="3:6">
      <c r="C9">
        <v>2</v>
      </c>
      <c r="D9" t="s">
        <v>1441</v>
      </c>
      <c r="E9" t="s">
        <v>1424</v>
      </c>
      <c r="F9" t="s">
        <v>1425</v>
      </c>
    </row>
    <row r="10" spans="3:6">
      <c r="C10">
        <v>2</v>
      </c>
      <c r="D10" t="s">
        <v>1442</v>
      </c>
      <c r="E10" t="s">
        <v>1426</v>
      </c>
      <c r="F10" t="s">
        <v>1427</v>
      </c>
    </row>
    <row r="11" spans="3:6">
      <c r="C11">
        <v>2</v>
      </c>
      <c r="D11" t="s">
        <v>1443</v>
      </c>
      <c r="E11" t="s">
        <v>1428</v>
      </c>
      <c r="F11" t="s">
        <v>1429</v>
      </c>
    </row>
    <row r="12" spans="3:6">
      <c r="C12">
        <v>2</v>
      </c>
      <c r="D12" t="s">
        <v>1444</v>
      </c>
      <c r="E12" t="s">
        <v>1430</v>
      </c>
      <c r="F12" t="s">
        <v>1431</v>
      </c>
    </row>
    <row r="13" spans="3:6">
      <c r="C13">
        <v>2</v>
      </c>
      <c r="D13" t="s">
        <v>1445</v>
      </c>
      <c r="E13" t="s">
        <v>1432</v>
      </c>
      <c r="F13" t="s">
        <v>1433</v>
      </c>
    </row>
    <row r="14" spans="3:6">
      <c r="C14">
        <v>1</v>
      </c>
      <c r="D14" t="s">
        <v>1434</v>
      </c>
      <c r="E14" t="s">
        <v>1435</v>
      </c>
      <c r="F14" t="s">
        <v>1436</v>
      </c>
    </row>
    <row r="15" spans="3:6">
      <c r="C15">
        <v>2</v>
      </c>
      <c r="D15" t="s">
        <v>1446</v>
      </c>
      <c r="E15" t="s">
        <v>1437</v>
      </c>
      <c r="F15" t="s">
        <v>1438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35</vt:i4>
      </vt:variant>
    </vt:vector>
  </HeadingPairs>
  <TitlesOfParts>
    <vt:vector size="35" baseType="lpstr">
      <vt:lpstr>CancerUnderStudy-test</vt:lpstr>
      <vt:lpstr>CancerUnderStudy-Map-1-test</vt:lpstr>
      <vt:lpstr>CancerUnderStudy-fsh-test</vt:lpstr>
      <vt:lpstr> 4. Cancer under study</vt:lpstr>
      <vt:lpstr>2.Demographic &amp; life style</vt:lpstr>
      <vt:lpstr>OsirisDataElementConcept</vt:lpstr>
      <vt:lpstr>Common</vt:lpstr>
      <vt:lpstr>CancerUnderStudy</vt:lpstr>
      <vt:lpstr>CancerUnderStudy-Map-1</vt:lpstr>
      <vt:lpstr>CancerUnderStudy-fsh</vt:lpstr>
      <vt:lpstr>CancerUnderStudy-ConceptMap</vt:lpstr>
      <vt:lpstr>CancerUnderStudy-CM-fsh</vt:lpstr>
      <vt:lpstr>Subject</vt:lpstr>
      <vt:lpstr>Subject-Map-1</vt:lpstr>
      <vt:lpstr>Subject-fsh</vt:lpstr>
      <vt:lpstr>Subject-ConceptMap</vt:lpstr>
      <vt:lpstr>Subject-CM-fsh</vt:lpstr>
      <vt:lpstr>Staging</vt:lpstr>
      <vt:lpstr>Staging-Map-1</vt:lpstr>
      <vt:lpstr>Staging-fsh</vt:lpstr>
      <vt:lpstr>Staging-ConceptMap</vt:lpstr>
      <vt:lpstr>Staging-CM-fsh</vt:lpstr>
      <vt:lpstr>Treatment</vt:lpstr>
      <vt:lpstr>Treatment-Map-1</vt:lpstr>
      <vt:lpstr>Treatment-fsh</vt:lpstr>
      <vt:lpstr>Treatment-ConceptMap</vt:lpstr>
      <vt:lpstr>Treatment-CM-fsh</vt:lpstr>
      <vt:lpstr>ConvertOsiris</vt:lpstr>
      <vt:lpstr>Osiris</vt:lpstr>
      <vt:lpstr>Osiris-Map</vt:lpstr>
      <vt:lpstr>Osiris-fsh-noMap</vt:lpstr>
      <vt:lpstr>Osiris-fsh</vt:lpstr>
      <vt:lpstr>Osiris-ConceptMap</vt:lpstr>
      <vt:lpstr>Osiris-CM-fsh</vt:lpstr>
      <vt:lpstr>Foglio2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2023-03-28T09:04:13Z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