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85039FED-E1A0-49D0-ABC7-C18E33B86848}" xr6:coauthVersionLast="47" xr6:coauthVersionMax="47" xr10:uidLastSave="{00000000-0000-0000-0000-000000000000}"/>
  <bookViews>
    <workbookView xWindow="-90" yWindow="-90" windowWidth="19380" windowHeight="10260" tabRatio="819" firstSheet="56" activeTab="59"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externalReferences>
    <externalReference r:id="rId84"/>
  </externalReference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54" l="1"/>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R22" i="215"/>
  <c r="S22" i="215"/>
  <c r="Q23" i="215"/>
  <c r="S23" i="215" s="1" a="1"/>
  <c r="S23" i="215" s="1"/>
  <c r="R23" i="215"/>
  <c r="Q24" i="215"/>
  <c r="S24" i="215" s="1" a="1"/>
  <c r="R24" i="215"/>
  <c r="S24" i="215"/>
  <c r="Q25" i="215"/>
  <c r="S25" i="215" s="1" a="1"/>
  <c r="S25" i="215" s="1"/>
  <c r="R25" i="215"/>
  <c r="Q26" i="215"/>
  <c r="S26" i="215" s="1" a="1"/>
  <c r="S26" i="215" s="1"/>
  <c r="R26" i="215"/>
  <c r="Q27" i="215"/>
  <c r="S27" i="215" s="1" a="1"/>
  <c r="S27" i="215" s="1"/>
  <c r="R27" i="215"/>
  <c r="Q28" i="215"/>
  <c r="S28" i="215" s="1" a="1"/>
  <c r="R28" i="215"/>
  <c r="S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R38" i="215"/>
  <c r="S38" i="215"/>
  <c r="Q39" i="215"/>
  <c r="S39" i="215" s="1" a="1"/>
  <c r="S39" i="215" s="1"/>
  <c r="R39" i="215"/>
  <c r="Q40" i="215"/>
  <c r="S40" i="215" s="1" a="1"/>
  <c r="R40" i="215"/>
  <c r="S40" i="215"/>
  <c r="Q41" i="215"/>
  <c r="S41" i="215" s="1" a="1"/>
  <c r="S41" i="215" s="1"/>
  <c r="R41" i="215"/>
  <c r="Q42" i="215"/>
  <c r="S42" i="215" s="1" a="1"/>
  <c r="S42" i="215" s="1"/>
  <c r="R42" i="215"/>
  <c r="Q43" i="215"/>
  <c r="S43" i="215" s="1" a="1"/>
  <c r="S43" i="215" s="1"/>
  <c r="R43" i="215"/>
  <c r="Q44" i="215"/>
  <c r="S44" i="215" s="1" a="1"/>
  <c r="R44" i="215"/>
  <c r="S44" i="215"/>
  <c r="Q45" i="215"/>
  <c r="S45" i="215" s="1" a="1"/>
  <c r="S45" i="215" s="1"/>
  <c r="R45" i="215"/>
  <c r="Q46" i="215"/>
  <c r="S46" i="215" s="1" a="1"/>
  <c r="S46" i="215" s="1"/>
  <c r="R46" i="215"/>
  <c r="Q47" i="215"/>
  <c r="S47" i="215" s="1" a="1"/>
  <c r="S47" i="215" s="1"/>
  <c r="R47" i="215"/>
  <c r="Q48" i="215"/>
  <c r="S48" i="215" s="1" a="1"/>
  <c r="S48" i="215" s="1"/>
  <c r="R48" i="215"/>
  <c r="Q49" i="215"/>
  <c r="R49" i="215"/>
  <c r="Q50" i="215"/>
  <c r="S50" i="215" s="1" a="1"/>
  <c r="S50" i="215" s="1"/>
  <c r="R50" i="215"/>
  <c r="Q51" i="215"/>
  <c r="S51" i="215" s="1" a="1"/>
  <c r="S51" i="215" s="1"/>
  <c r="R51" i="215"/>
  <c r="Q52" i="215"/>
  <c r="S52" i="215" s="1" a="1"/>
  <c r="S52" i="215" s="1"/>
  <c r="R52" i="215"/>
  <c r="Q53" i="215"/>
  <c r="R53" i="215"/>
  <c r="Q54" i="215"/>
  <c r="S54" i="215" s="1" a="1"/>
  <c r="R54" i="215"/>
  <c r="S54" i="215"/>
  <c r="Q55" i="215"/>
  <c r="S55" i="215" s="1" a="1"/>
  <c r="S55" i="215" s="1"/>
  <c r="R55" i="215"/>
  <c r="Q56" i="215"/>
  <c r="S56" i="215" s="1" a="1"/>
  <c r="R56" i="215"/>
  <c r="S56" i="215"/>
  <c r="Q57" i="215"/>
  <c r="R57" i="215"/>
  <c r="Q58" i="215"/>
  <c r="S58" i="215" s="1" a="1"/>
  <c r="S58" i="215" s="1"/>
  <c r="R58" i="215"/>
  <c r="Q59" i="215"/>
  <c r="S59" i="215" s="1" a="1"/>
  <c r="S59" i="215" s="1"/>
  <c r="R59" i="215"/>
  <c r="Q60" i="215"/>
  <c r="S60" i="215" s="1" a="1"/>
  <c r="R60" i="215"/>
  <c r="S60" i="215"/>
  <c r="Q61" i="215"/>
  <c r="S61" i="215" s="1" a="1"/>
  <c r="S61" i="215" s="1"/>
  <c r="R61" i="215"/>
  <c r="Q62" i="215"/>
  <c r="S62" i="215" s="1" a="1"/>
  <c r="S62" i="215" s="1"/>
  <c r="R62" i="215"/>
  <c r="Q63" i="215"/>
  <c r="S63" i="215" s="1" a="1"/>
  <c r="S63" i="215" s="1"/>
  <c r="R63" i="215"/>
  <c r="Q64" i="215"/>
  <c r="S64" i="215" s="1" a="1"/>
  <c r="S64" i="215" s="1"/>
  <c r="R64" i="215"/>
  <c r="Q65" i="215"/>
  <c r="R65" i="215"/>
  <c r="Q66" i="215"/>
  <c r="S66" i="215" s="1" a="1"/>
  <c r="S66" i="215" s="1"/>
  <c r="R66" i="215"/>
  <c r="Q67" i="215"/>
  <c r="S67" i="215" s="1" a="1"/>
  <c r="S67" i="215" s="1"/>
  <c r="R67" i="215"/>
  <c r="Q68" i="215"/>
  <c r="S68" i="215" s="1" a="1"/>
  <c r="S68" i="215" s="1"/>
  <c r="R68" i="215"/>
  <c r="Q69" i="215"/>
  <c r="R69" i="215"/>
  <c r="Q70" i="215"/>
  <c r="S70" i="215" s="1" a="1"/>
  <c r="R70" i="215"/>
  <c r="S70" i="215"/>
  <c r="Q71" i="215"/>
  <c r="S71" i="215" s="1" a="1"/>
  <c r="S71" i="215" s="1"/>
  <c r="R71" i="215"/>
  <c r="Q72" i="215"/>
  <c r="S72" i="215" s="1" a="1"/>
  <c r="R72" i="215"/>
  <c r="S72" i="215"/>
  <c r="Q73" i="215"/>
  <c r="R73" i="215"/>
  <c r="Q74" i="215"/>
  <c r="S74" i="215" s="1" a="1"/>
  <c r="S74" i="215" s="1"/>
  <c r="R74" i="215"/>
  <c r="Q75" i="215"/>
  <c r="S75" i="215" s="1" a="1"/>
  <c r="S75" i="215" s="1"/>
  <c r="R75" i="215"/>
  <c r="Q76" i="215"/>
  <c r="S76" i="215" s="1" a="1"/>
  <c r="R76" i="215"/>
  <c r="S76" i="215"/>
  <c r="Q77" i="215"/>
  <c r="S77" i="215" s="1" a="1"/>
  <c r="S77" i="215" s="1"/>
  <c r="R77" i="215"/>
  <c r="Q78" i="215"/>
  <c r="S78" i="215" s="1" a="1"/>
  <c r="R78" i="215"/>
  <c r="S78" i="215"/>
  <c r="Q79" i="215"/>
  <c r="S79" i="215" s="1" a="1"/>
  <c r="S79" i="215" s="1"/>
  <c r="R79" i="215"/>
  <c r="Q80" i="215"/>
  <c r="S80" i="215" s="1" a="1"/>
  <c r="S80" i="215" s="1"/>
  <c r="R80" i="215"/>
  <c r="Q81" i="215"/>
  <c r="R81" i="215"/>
  <c r="Q82" i="215"/>
  <c r="S82" i="215" s="1" a="1"/>
  <c r="S82" i="215" s="1"/>
  <c r="R82" i="215"/>
  <c r="Q83" i="215"/>
  <c r="S83" i="215" s="1" a="1"/>
  <c r="S83" i="215" s="1"/>
  <c r="R83" i="215"/>
  <c r="Q84" i="215"/>
  <c r="S84" i="215" s="1" a="1"/>
  <c r="S84" i="215" s="1"/>
  <c r="R84" i="215"/>
  <c r="Q85" i="215"/>
  <c r="R85" i="215"/>
  <c r="Q86" i="215"/>
  <c r="S86" i="215" s="1" a="1"/>
  <c r="R86" i="215"/>
  <c r="S86" i="215"/>
  <c r="Q87" i="215"/>
  <c r="S87" i="215" s="1" a="1"/>
  <c r="S87" i="215" s="1"/>
  <c r="R87" i="215"/>
  <c r="Q88" i="215"/>
  <c r="S88" i="215" s="1" a="1"/>
  <c r="R88" i="215"/>
  <c r="S88" i="215"/>
  <c r="Q89" i="215"/>
  <c r="R89" i="215"/>
  <c r="Q90" i="215"/>
  <c r="S90" i="215" s="1" a="1"/>
  <c r="S90" i="215" s="1"/>
  <c r="R90" i="215"/>
  <c r="Q91" i="215"/>
  <c r="S91" i="215" s="1" a="1"/>
  <c r="S91" i="215" s="1"/>
  <c r="R91" i="215"/>
  <c r="Q92" i="215"/>
  <c r="S92" i="215" s="1" a="1"/>
  <c r="R92" i="215"/>
  <c r="S92" i="215"/>
  <c r="Q93" i="215"/>
  <c r="S93" i="215" s="1" a="1"/>
  <c r="S93" i="215" s="1"/>
  <c r="R93" i="215"/>
  <c r="Q94" i="215"/>
  <c r="R94" i="215"/>
  <c r="Q95" i="215"/>
  <c r="S95" i="215" s="1" a="1"/>
  <c r="S95" i="215" s="1"/>
  <c r="R95" i="215"/>
  <c r="Q96" i="215"/>
  <c r="S96" i="215" s="1" a="1"/>
  <c r="S96" i="215" s="1"/>
  <c r="R96" i="215"/>
  <c r="Q97" i="215"/>
  <c r="R97" i="215"/>
  <c r="Q98" i="215"/>
  <c r="R98" i="215"/>
  <c r="Q99" i="215"/>
  <c r="S99" i="215" s="1" a="1"/>
  <c r="S99" i="215" s="1"/>
  <c r="R99" i="215"/>
  <c r="Q100" i="215"/>
  <c r="S100" i="215" s="1" a="1"/>
  <c r="S100" i="215" s="1"/>
  <c r="R100" i="215"/>
  <c r="Q101" i="215"/>
  <c r="R101" i="215"/>
  <c r="Q102" i="215"/>
  <c r="R102" i="215"/>
  <c r="Q103" i="215"/>
  <c r="S103" i="215" s="1" a="1"/>
  <c r="S103" i="215" s="1"/>
  <c r="R103" i="215"/>
  <c r="Q104" i="215"/>
  <c r="S104" i="215" s="1" a="1"/>
  <c r="R104" i="215"/>
  <c r="S104" i="215"/>
  <c r="Q105" i="215"/>
  <c r="R105" i="215"/>
  <c r="Q106" i="215"/>
  <c r="S106" i="215" s="1" a="1"/>
  <c r="S106" i="215" s="1"/>
  <c r="R106" i="215"/>
  <c r="Q107" i="215"/>
  <c r="S107" i="215" s="1" a="1"/>
  <c r="S107" i="215" s="1"/>
  <c r="R107" i="215"/>
  <c r="Q108" i="215"/>
  <c r="S108" i="215" s="1" a="1"/>
  <c r="R108" i="215"/>
  <c r="S108" i="215"/>
  <c r="Q109" i="215"/>
  <c r="S109" i="215" s="1" a="1"/>
  <c r="S109" i="215" s="1"/>
  <c r="R109" i="215"/>
  <c r="Q110" i="215"/>
  <c r="R110" i="215"/>
  <c r="Q111" i="215"/>
  <c r="S111" i="215" s="1" a="1"/>
  <c r="S111" i="215" s="1"/>
  <c r="R111" i="215"/>
  <c r="Q112" i="215"/>
  <c r="S112" i="215" s="1" a="1"/>
  <c r="S112" i="215" s="1"/>
  <c r="R112" i="215"/>
  <c r="Q113" i="215"/>
  <c r="R113" i="215"/>
  <c r="Q114" i="215"/>
  <c r="R114" i="215"/>
  <c r="Q115" i="215"/>
  <c r="S115" i="215" s="1" a="1"/>
  <c r="S115" i="215" s="1"/>
  <c r="R115" i="215"/>
  <c r="Q116" i="215"/>
  <c r="S116" i="215" s="1" a="1"/>
  <c r="R116" i="215"/>
  <c r="S116" i="215"/>
  <c r="Q117" i="215"/>
  <c r="R117" i="215"/>
  <c r="Q118" i="215"/>
  <c r="R118" i="215"/>
  <c r="Q119" i="215"/>
  <c r="S119" i="215" s="1" a="1"/>
  <c r="S119" i="215" s="1"/>
  <c r="R119" i="215"/>
  <c r="Q120" i="215"/>
  <c r="S120" i="215" s="1" a="1"/>
  <c r="R120" i="215"/>
  <c r="S120" i="215"/>
  <c r="Q121" i="215"/>
  <c r="R121" i="215"/>
  <c r="Q122" i="215"/>
  <c r="S122" i="215" s="1" a="1"/>
  <c r="S122" i="215" s="1"/>
  <c r="R122" i="215"/>
  <c r="Q123" i="215"/>
  <c r="S123" i="215" s="1" a="1"/>
  <c r="S123" i="215" s="1"/>
  <c r="R123" i="215"/>
  <c r="Q124" i="215"/>
  <c r="S124" i="215" s="1" a="1"/>
  <c r="R124" i="215"/>
  <c r="S124" i="215"/>
  <c r="Q125" i="215"/>
  <c r="S125" i="215" s="1" a="1"/>
  <c r="S125" i="215" s="1"/>
  <c r="R125" i="215"/>
  <c r="Q126" i="215"/>
  <c r="R126" i="215"/>
  <c r="Q127" i="215"/>
  <c r="S127" i="215" s="1" a="1"/>
  <c r="S127" i="215" s="1"/>
  <c r="R127" i="215"/>
  <c r="Q128" i="215"/>
  <c r="S128" i="215" s="1" a="1"/>
  <c r="S128" i="215" s="1"/>
  <c r="R128" i="215"/>
  <c r="Q129" i="215"/>
  <c r="R129" i="215"/>
  <c r="Q130" i="215"/>
  <c r="R130" i="215"/>
  <c r="Q131" i="215"/>
  <c r="S131" i="215" s="1" a="1"/>
  <c r="S131" i="215" s="1"/>
  <c r="R131" i="215"/>
  <c r="Q132" i="215"/>
  <c r="S132" i="215" s="1" a="1"/>
  <c r="R132" i="215"/>
  <c r="S132" i="215"/>
  <c r="Q133" i="215"/>
  <c r="R133" i="215"/>
  <c r="Q134" i="215"/>
  <c r="R134" i="215"/>
  <c r="Q135" i="215"/>
  <c r="S135" i="215" s="1" a="1"/>
  <c r="S135" i="215" s="1"/>
  <c r="R135" i="215"/>
  <c r="Q136" i="215"/>
  <c r="S136" i="215" s="1" a="1"/>
  <c r="R136" i="215"/>
  <c r="S136" i="215"/>
  <c r="Q137" i="215"/>
  <c r="R137" i="215"/>
  <c r="Q138" i="215"/>
  <c r="S138" i="215" s="1" a="1"/>
  <c r="S138" i="215" s="1"/>
  <c r="R138" i="215"/>
  <c r="Q139" i="215"/>
  <c r="S139" i="215" s="1" a="1"/>
  <c r="S139" i="215" s="1"/>
  <c r="R139" i="215"/>
  <c r="Q140" i="215"/>
  <c r="S140" i="215" s="1" a="1"/>
  <c r="R140" i="215"/>
  <c r="S140" i="215"/>
  <c r="Q141" i="215"/>
  <c r="S141" i="215" s="1" a="1"/>
  <c r="S141" i="215" s="1"/>
  <c r="R141" i="215"/>
  <c r="Q142" i="215"/>
  <c r="R142" i="215"/>
  <c r="Q143" i="215"/>
  <c r="S143" i="215" s="1" a="1"/>
  <c r="S143" i="215" s="1"/>
  <c r="R143" i="215"/>
  <c r="Q144" i="215"/>
  <c r="S144" i="215" s="1" a="1"/>
  <c r="S144" i="215" s="1"/>
  <c r="R144" i="215"/>
  <c r="Q145" i="215"/>
  <c r="R145" i="215"/>
  <c r="Q146" i="215"/>
  <c r="R146" i="215"/>
  <c r="Q147" i="215"/>
  <c r="S147" i="215" s="1" a="1"/>
  <c r="S147" i="215" s="1"/>
  <c r="R147" i="215"/>
  <c r="Q148" i="215"/>
  <c r="S148" i="215" s="1" a="1"/>
  <c r="R148" i="215"/>
  <c r="S148" i="215"/>
  <c r="Q149" i="215"/>
  <c r="R149" i="215"/>
  <c r="Q150" i="215"/>
  <c r="R150" i="215"/>
  <c r="Q151" i="215"/>
  <c r="S151" i="215" s="1" a="1"/>
  <c r="S151" i="215" s="1"/>
  <c r="R151" i="215"/>
  <c r="Q152" i="215"/>
  <c r="S152" i="215" s="1" a="1"/>
  <c r="R152" i="215"/>
  <c r="S152" i="215"/>
  <c r="Q153" i="215"/>
  <c r="R153" i="215"/>
  <c r="Q154" i="215"/>
  <c r="S154" i="215" s="1" a="1"/>
  <c r="S154" i="215" s="1"/>
  <c r="R154" i="215"/>
  <c r="Q155" i="215"/>
  <c r="S155" i="215" s="1" a="1"/>
  <c r="S155" i="215" s="1"/>
  <c r="R155" i="215"/>
  <c r="Q156" i="215"/>
  <c r="S156" i="215" s="1" a="1"/>
  <c r="R156" i="215"/>
  <c r="S156" i="215"/>
  <c r="Q157" i="215"/>
  <c r="S157" i="215" s="1" a="1"/>
  <c r="S157" i="215" s="1"/>
  <c r="R157" i="215"/>
  <c r="Q158" i="215"/>
  <c r="R158" i="215"/>
  <c r="Q159" i="215"/>
  <c r="S159" i="215" s="1" a="1"/>
  <c r="S159" i="215" s="1"/>
  <c r="R159" i="215"/>
  <c r="Q160" i="215"/>
  <c r="S160" i="215" s="1" a="1"/>
  <c r="S160" i="215" s="1"/>
  <c r="R160" i="215"/>
  <c r="Q161" i="215"/>
  <c r="R161" i="215"/>
  <c r="Q162" i="215"/>
  <c r="R162" i="215"/>
  <c r="Q163" i="215"/>
  <c r="S163" i="215" s="1" a="1"/>
  <c r="S163" i="215" s="1"/>
  <c r="R163" i="215"/>
  <c r="Q164" i="215"/>
  <c r="S164" i="215" s="1" a="1"/>
  <c r="S164" i="215" s="1"/>
  <c r="R164" i="215"/>
  <c r="Q165" i="215"/>
  <c r="R165" i="215"/>
  <c r="Q166" i="215"/>
  <c r="R166" i="215"/>
  <c r="Q167" i="215"/>
  <c r="S167" i="215" s="1" a="1"/>
  <c r="S167" i="215" s="1"/>
  <c r="R167" i="215"/>
  <c r="Q168" i="215"/>
  <c r="S168" i="215" s="1" a="1"/>
  <c r="R168" i="215"/>
  <c r="S168" i="215"/>
  <c r="Q169" i="215"/>
  <c r="R169" i="215"/>
  <c r="Q170" i="215"/>
  <c r="S170" i="215" s="1" a="1"/>
  <c r="S170" i="215" s="1"/>
  <c r="R170" i="215"/>
  <c r="Q171" i="215"/>
  <c r="S171" i="215" s="1" a="1"/>
  <c r="S171" i="215" s="1"/>
  <c r="R171" i="215"/>
  <c r="Q172" i="215"/>
  <c r="S172" i="215" s="1" a="1"/>
  <c r="R172" i="215"/>
  <c r="S172" i="215"/>
  <c r="Q173" i="215"/>
  <c r="S173" i="215" s="1" a="1"/>
  <c r="S173" i="215" s="1"/>
  <c r="R173" i="215"/>
  <c r="Q174" i="215"/>
  <c r="R174" i="215"/>
  <c r="Q175" i="215"/>
  <c r="S175" i="215" s="1" a="1"/>
  <c r="S175" i="215" s="1"/>
  <c r="R175" i="215"/>
  <c r="Q176" i="215"/>
  <c r="S176" i="215" s="1" a="1"/>
  <c r="S176" i="215" s="1"/>
  <c r="R176" i="215"/>
  <c r="Q177" i="215"/>
  <c r="R177" i="215"/>
  <c r="Q178" i="215"/>
  <c r="R178" i="215"/>
  <c r="Q179" i="215"/>
  <c r="S179" i="215" s="1" a="1"/>
  <c r="S179" i="215" s="1"/>
  <c r="R179" i="215"/>
  <c r="Q180" i="215"/>
  <c r="S180" i="215" s="1" a="1"/>
  <c r="S180" i="215" s="1"/>
  <c r="R180" i="215"/>
  <c r="Q181" i="215"/>
  <c r="R181" i="215"/>
  <c r="Q182" i="215"/>
  <c r="R182" i="215"/>
  <c r="Q183" i="215"/>
  <c r="S183" i="215" s="1" a="1"/>
  <c r="S183" i="215" s="1"/>
  <c r="R183" i="215"/>
  <c r="Q184" i="215"/>
  <c r="S184" i="215" s="1" a="1"/>
  <c r="R184" i="215"/>
  <c r="S184"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I41" i="215"/>
  <c r="J41" i="215"/>
  <c r="K41" i="215"/>
  <c r="L41" i="215"/>
  <c r="M41" i="215"/>
  <c r="N41" i="215"/>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 i="213"/>
  <c r="S16" i="213" s="1" a="1"/>
  <c r="S16" i="213" s="1"/>
  <c r="R16" i="213"/>
  <c r="Q17" i="213"/>
  <c r="S17" i="213" s="1" a="1"/>
  <c r="S17" i="213" s="1"/>
  <c r="R17"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24" i="213"/>
  <c r="S24" i="213" s="1" a="1"/>
  <c r="S24" i="213" s="1"/>
  <c r="R24" i="213"/>
  <c r="Q25" i="213"/>
  <c r="S25" i="213" s="1" a="1"/>
  <c r="S25" i="213" s="1"/>
  <c r="R25" i="213"/>
  <c r="Q26" i="213"/>
  <c r="S26" i="213" s="1" a="1"/>
  <c r="S26" i="213" s="1"/>
  <c r="R26" i="213"/>
  <c r="Q27" i="213"/>
  <c r="S27" i="213" s="1" a="1"/>
  <c r="S27" i="213" s="1"/>
  <c r="R27" i="213"/>
  <c r="Q28" i="213"/>
  <c r="S28" i="213" s="1" a="1"/>
  <c r="S28" i="213" s="1"/>
  <c r="R28" i="213"/>
  <c r="Q29" i="213"/>
  <c r="S29" i="213" s="1" a="1"/>
  <c r="S29" i="213" s="1"/>
  <c r="R29" i="213"/>
  <c r="Q30" i="213"/>
  <c r="S30" i="213" s="1" a="1"/>
  <c r="S30" i="213" s="1"/>
  <c r="R30" i="213"/>
  <c r="Q31" i="213"/>
  <c r="S31" i="213" s="1" a="1"/>
  <c r="S31" i="213" s="1"/>
  <c r="R31" i="213"/>
  <c r="Q32" i="213"/>
  <c r="S32" i="213" s="1" a="1"/>
  <c r="S32" i="213" s="1"/>
  <c r="R32" i="213"/>
  <c r="Q33" i="213"/>
  <c r="S33" i="213" s="1" a="1"/>
  <c r="S33" i="213" s="1"/>
  <c r="R33" i="213"/>
  <c r="Q34" i="213"/>
  <c r="S34" i="213" s="1" a="1"/>
  <c r="S34" i="213" s="1"/>
  <c r="R34" i="213"/>
  <c r="Q35" i="213"/>
  <c r="S35" i="213" s="1" a="1"/>
  <c r="S35" i="213" s="1"/>
  <c r="R35" i="213"/>
  <c r="Q36" i="213"/>
  <c r="S36" i="213" s="1" a="1"/>
  <c r="S36" i="213" s="1"/>
  <c r="R36" i="213"/>
  <c r="Q37" i="213"/>
  <c r="S37" i="213" s="1" a="1"/>
  <c r="S37" i="213" s="1"/>
  <c r="R37" i="213"/>
  <c r="Q38" i="213"/>
  <c r="S38" i="213" s="1" a="1"/>
  <c r="S38" i="213" s="1"/>
  <c r="R38" i="213"/>
  <c r="Q39" i="213"/>
  <c r="S39" i="213" s="1" a="1"/>
  <c r="S39" i="213" s="1"/>
  <c r="R39" i="213"/>
  <c r="Q40" i="213"/>
  <c r="S40" i="213" s="1" a="1"/>
  <c r="S40" i="213" s="1"/>
  <c r="R40" i="213"/>
  <c r="Q41" i="213"/>
  <c r="S41" i="213" s="1" a="1"/>
  <c r="S41" i="213" s="1"/>
  <c r="R41" i="213"/>
  <c r="Q42" i="213"/>
  <c r="S42" i="213" s="1" a="1"/>
  <c r="S42" i="213" s="1"/>
  <c r="R42" i="213"/>
  <c r="Q43" i="213"/>
  <c r="S43" i="213" s="1" a="1"/>
  <c r="S43" i="213" s="1"/>
  <c r="R43" i="213"/>
  <c r="Q44" i="213"/>
  <c r="S44" i="213" s="1" a="1"/>
  <c r="S44" i="213" s="1"/>
  <c r="R44" i="213"/>
  <c r="Q45" i="213"/>
  <c r="S45" i="213" s="1" a="1"/>
  <c r="S45" i="213" s="1"/>
  <c r="R45" i="213"/>
  <c r="Q46" i="213"/>
  <c r="S46" i="213" s="1" a="1"/>
  <c r="S46" i="213" s="1"/>
  <c r="R46" i="213"/>
  <c r="Q47" i="213"/>
  <c r="S47" i="213" s="1" a="1"/>
  <c r="S47" i="213" s="1"/>
  <c r="R47" i="213"/>
  <c r="Q48" i="213"/>
  <c r="S48" i="213" s="1" a="1"/>
  <c r="S48" i="213" s="1"/>
  <c r="R48" i="213"/>
  <c r="Q49" i="213"/>
  <c r="S49" i="213" s="1" a="1"/>
  <c r="S49" i="213" s="1"/>
  <c r="R49" i="213"/>
  <c r="Q50" i="213"/>
  <c r="S50" i="213" s="1" a="1"/>
  <c r="S50" i="213" s="1"/>
  <c r="R50" i="213"/>
  <c r="Q51" i="213"/>
  <c r="S51" i="213" s="1" a="1"/>
  <c r="S51" i="213" s="1"/>
  <c r="R51" i="213"/>
  <c r="Q52" i="213"/>
  <c r="S52" i="213" s="1" a="1"/>
  <c r="S52" i="213" s="1"/>
  <c r="R52" i="213"/>
  <c r="Q53" i="213"/>
  <c r="S53" i="213" s="1" a="1"/>
  <c r="S53" i="213" s="1"/>
  <c r="R53" i="213"/>
  <c r="Q54" i="213"/>
  <c r="S54" i="213" s="1" a="1"/>
  <c r="S54" i="213" s="1"/>
  <c r="R54" i="213"/>
  <c r="Q55" i="213"/>
  <c r="S55" i="213" s="1" a="1"/>
  <c r="S55" i="213" s="1"/>
  <c r="R55" i="213"/>
  <c r="Q56" i="213"/>
  <c r="S56" i="213" s="1" a="1"/>
  <c r="S56" i="213" s="1"/>
  <c r="R56" i="213"/>
  <c r="Q57" i="213"/>
  <c r="S57" i="213" s="1" a="1"/>
  <c r="S57" i="213" s="1"/>
  <c r="R57" i="213"/>
  <c r="Q58" i="213"/>
  <c r="S58" i="213" s="1" a="1"/>
  <c r="S58" i="213" s="1"/>
  <c r="R58" i="213"/>
  <c r="Q59" i="213"/>
  <c r="S59" i="213" s="1" a="1"/>
  <c r="S59" i="213" s="1"/>
  <c r="R59" i="213"/>
  <c r="Q60" i="213"/>
  <c r="S60" i="213" s="1" a="1"/>
  <c r="S60" i="213" s="1"/>
  <c r="R60" i="213"/>
  <c r="Q61" i="213"/>
  <c r="S61" i="213" s="1" a="1"/>
  <c r="S61" i="213" s="1"/>
  <c r="R61" i="213"/>
  <c r="Q62" i="213"/>
  <c r="S62" i="213" s="1" a="1"/>
  <c r="S62" i="213" s="1"/>
  <c r="R62" i="213"/>
  <c r="Q63" i="213"/>
  <c r="S63" i="213" s="1" a="1"/>
  <c r="S63" i="213" s="1"/>
  <c r="R63" i="213"/>
  <c r="Q64" i="213"/>
  <c r="S64" i="213" s="1" a="1"/>
  <c r="S64" i="213" s="1"/>
  <c r="R64" i="213"/>
  <c r="Q65" i="213"/>
  <c r="S65" i="213" s="1" a="1"/>
  <c r="S65" i="213" s="1"/>
  <c r="R65" i="213"/>
  <c r="Q66" i="213"/>
  <c r="S66" i="213" s="1" a="1"/>
  <c r="S66" i="213" s="1"/>
  <c r="R66" i="213"/>
  <c r="Q67" i="213"/>
  <c r="S67" i="213" s="1" a="1"/>
  <c r="S67" i="213" s="1"/>
  <c r="R67" i="213"/>
  <c r="Q68" i="213"/>
  <c r="S68" i="213" s="1" a="1"/>
  <c r="S68" i="213" s="1"/>
  <c r="R68" i="213"/>
  <c r="Q69" i="213"/>
  <c r="S69" i="213" s="1" a="1"/>
  <c r="S69" i="213" s="1"/>
  <c r="R69" i="213"/>
  <c r="Q70" i="213"/>
  <c r="S70" i="213" s="1" a="1"/>
  <c r="S70" i="213" s="1"/>
  <c r="R70" i="213"/>
  <c r="Q71" i="213"/>
  <c r="S71" i="213" s="1" a="1"/>
  <c r="S71" i="213" s="1"/>
  <c r="R71" i="213"/>
  <c r="Q72" i="213"/>
  <c r="S72" i="213" s="1" a="1"/>
  <c r="S72" i="213" s="1"/>
  <c r="R72" i="213"/>
  <c r="Q73" i="213"/>
  <c r="S73" i="213" s="1" a="1"/>
  <c r="S73" i="213" s="1"/>
  <c r="R73" i="213"/>
  <c r="Q74" i="213"/>
  <c r="S74" i="213" s="1" a="1"/>
  <c r="S74" i="213" s="1"/>
  <c r="R74" i="213"/>
  <c r="Q75" i="213"/>
  <c r="S75" i="213" s="1" a="1"/>
  <c r="S75" i="213" s="1"/>
  <c r="R75" i="213"/>
  <c r="Q76" i="213"/>
  <c r="S76" i="213" s="1" a="1"/>
  <c r="S76" i="213" s="1"/>
  <c r="R76" i="213"/>
  <c r="Q77" i="213"/>
  <c r="S77" i="213" s="1" a="1"/>
  <c r="S77" i="213" s="1"/>
  <c r="R77" i="213"/>
  <c r="Q78" i="213"/>
  <c r="S78" i="213" s="1" a="1"/>
  <c r="S78" i="213" s="1"/>
  <c r="R78" i="213"/>
  <c r="Q79" i="213"/>
  <c r="S79" i="213" s="1" a="1"/>
  <c r="S79" i="213" s="1"/>
  <c r="R79" i="213"/>
  <c r="Q80" i="213"/>
  <c r="S80" i="213" s="1" a="1"/>
  <c r="S80" i="213" s="1"/>
  <c r="R80" i="213"/>
  <c r="Q81" i="213"/>
  <c r="S81" i="213" s="1" a="1"/>
  <c r="S81" i="213" s="1"/>
  <c r="R81" i="213"/>
  <c r="Q82" i="213"/>
  <c r="S82" i="213" s="1" a="1"/>
  <c r="S82" i="213" s="1"/>
  <c r="R82" i="213"/>
  <c r="Q83" i="213"/>
  <c r="S83" i="213" s="1" a="1"/>
  <c r="S83" i="213" s="1"/>
  <c r="R83" i="213"/>
  <c r="Q84" i="213"/>
  <c r="S84" i="213" s="1" a="1"/>
  <c r="S84" i="213" s="1"/>
  <c r="R84" i="213"/>
  <c r="Q85" i="213"/>
  <c r="S85" i="213" s="1" a="1"/>
  <c r="S85" i="213" s="1"/>
  <c r="R85" i="213"/>
  <c r="Q86" i="213"/>
  <c r="S86" i="213" s="1" a="1"/>
  <c r="S86" i="213" s="1"/>
  <c r="R86" i="213"/>
  <c r="Q87" i="213"/>
  <c r="S87" i="213" s="1" a="1"/>
  <c r="S87" i="213" s="1"/>
  <c r="R87" i="213"/>
  <c r="Q88" i="213"/>
  <c r="S88" i="213" s="1" a="1"/>
  <c r="S88" i="213" s="1"/>
  <c r="R88" i="213"/>
  <c r="Q89" i="213"/>
  <c r="S89" i="213" s="1" a="1"/>
  <c r="S89" i="213" s="1"/>
  <c r="R89" i="213"/>
  <c r="Q90" i="213"/>
  <c r="S90" i="213" s="1" a="1"/>
  <c r="S90" i="213" s="1"/>
  <c r="R90" i="213"/>
  <c r="Q91" i="213"/>
  <c r="S91" i="213" s="1" a="1"/>
  <c r="S91" i="213" s="1"/>
  <c r="R91" i="213"/>
  <c r="Q92" i="213"/>
  <c r="S92" i="213" s="1" a="1"/>
  <c r="S92" i="213" s="1"/>
  <c r="R92" i="213"/>
  <c r="Q93" i="213"/>
  <c r="S93" i="213" s="1" a="1"/>
  <c r="S93" i="213" s="1"/>
  <c r="R93" i="213"/>
  <c r="Q94" i="213"/>
  <c r="S94" i="213" s="1" a="1"/>
  <c r="S94" i="213" s="1"/>
  <c r="R94" i="213"/>
  <c r="Q95" i="213"/>
  <c r="S95" i="213" s="1" a="1"/>
  <c r="S95" i="213" s="1"/>
  <c r="R95" i="213"/>
  <c r="Q96" i="213"/>
  <c r="S96" i="213" s="1" a="1"/>
  <c r="S96" i="213" s="1"/>
  <c r="R96" i="213"/>
  <c r="Q97" i="213"/>
  <c r="S97" i="213" s="1" a="1"/>
  <c r="S97" i="213" s="1"/>
  <c r="R97" i="213"/>
  <c r="Q98" i="213"/>
  <c r="S98" i="213" s="1" a="1"/>
  <c r="S98" i="213" s="1"/>
  <c r="R98" i="213"/>
  <c r="Q99" i="213"/>
  <c r="S99" i="213" s="1" a="1"/>
  <c r="S99" i="213" s="1"/>
  <c r="R99" i="213"/>
  <c r="Q100" i="213"/>
  <c r="S100" i="213" s="1" a="1"/>
  <c r="S100" i="213" s="1"/>
  <c r="R100" i="213"/>
  <c r="Q101" i="213"/>
  <c r="S101" i="213" s="1" a="1"/>
  <c r="S101" i="213" s="1"/>
  <c r="R101" i="213"/>
  <c r="Q102" i="213"/>
  <c r="S102" i="213" s="1" a="1"/>
  <c r="S102" i="213" s="1"/>
  <c r="R102" i="213"/>
  <c r="Q103" i="213"/>
  <c r="S103" i="213" s="1" a="1"/>
  <c r="S103" i="213" s="1"/>
  <c r="R103" i="213"/>
  <c r="Q104" i="213"/>
  <c r="S104" i="213" s="1" a="1"/>
  <c r="S104" i="213" s="1"/>
  <c r="R104" i="213"/>
  <c r="Q105" i="213"/>
  <c r="S105" i="213" s="1" a="1"/>
  <c r="S105" i="213" s="1"/>
  <c r="R105" i="213"/>
  <c r="Q106" i="213"/>
  <c r="S106" i="213" s="1" a="1"/>
  <c r="S106" i="213" s="1"/>
  <c r="R106" i="213"/>
  <c r="Q107" i="213"/>
  <c r="S107" i="213" s="1" a="1"/>
  <c r="S107" i="213" s="1"/>
  <c r="R107" i="213"/>
  <c r="Q108" i="213"/>
  <c r="S108" i="213" s="1" a="1"/>
  <c r="S108" i="213" s="1"/>
  <c r="R108" i="213"/>
  <c r="Q109" i="213"/>
  <c r="S109" i="213" s="1" a="1"/>
  <c r="S109" i="213" s="1"/>
  <c r="R109" i="213"/>
  <c r="Q110" i="213"/>
  <c r="S110" i="213" s="1" a="1"/>
  <c r="S110" i="213" s="1"/>
  <c r="R110" i="213"/>
  <c r="Q111" i="213"/>
  <c r="S111" i="213" s="1" a="1"/>
  <c r="S111" i="213" s="1"/>
  <c r="R111" i="213"/>
  <c r="Q112" i="213"/>
  <c r="S112" i="213" s="1" a="1"/>
  <c r="S112" i="213" s="1"/>
  <c r="R112" i="213"/>
  <c r="Q113" i="213"/>
  <c r="S113" i="213" s="1" a="1"/>
  <c r="S113" i="213" s="1"/>
  <c r="R113" i="213"/>
  <c r="Q114" i="213"/>
  <c r="S114" i="213" s="1" a="1"/>
  <c r="S114" i="213" s="1"/>
  <c r="R114" i="213"/>
  <c r="Q115" i="213"/>
  <c r="S115" i="213" s="1" a="1"/>
  <c r="S115" i="213" s="1"/>
  <c r="R115" i="213"/>
  <c r="Q116" i="213"/>
  <c r="S116" i="213" s="1" a="1"/>
  <c r="S116" i="213" s="1"/>
  <c r="R116" i="213"/>
  <c r="Q117" i="213"/>
  <c r="S117" i="213" s="1" a="1"/>
  <c r="S117" i="213" s="1"/>
  <c r="R117" i="213"/>
  <c r="Q118" i="213"/>
  <c r="S118" i="213" s="1" a="1"/>
  <c r="S118" i="213" s="1"/>
  <c r="R118" i="213"/>
  <c r="Q119" i="213"/>
  <c r="S119" i="213" s="1" a="1"/>
  <c r="S119" i="213" s="1"/>
  <c r="R119" i="213"/>
  <c r="Q120" i="213"/>
  <c r="S120" i="213" s="1" a="1"/>
  <c r="S120" i="213" s="1"/>
  <c r="R120" i="213"/>
  <c r="Q121" i="213"/>
  <c r="S121" i="213" s="1" a="1"/>
  <c r="S121" i="213" s="1"/>
  <c r="R121" i="213"/>
  <c r="Q122" i="213"/>
  <c r="S122" i="213" s="1" a="1"/>
  <c r="S122" i="213" s="1"/>
  <c r="R122" i="213"/>
  <c r="Q123" i="213"/>
  <c r="S123" i="213" s="1" a="1"/>
  <c r="S123" i="213" s="1"/>
  <c r="R123" i="213"/>
  <c r="Q124" i="213"/>
  <c r="S124" i="213" s="1" a="1"/>
  <c r="S124" i="213" s="1"/>
  <c r="R124" i="213"/>
  <c r="Q125" i="213"/>
  <c r="S125" i="213" s="1" a="1"/>
  <c r="S125" i="213" s="1"/>
  <c r="R125" i="213"/>
  <c r="Q126" i="213"/>
  <c r="S126" i="213" s="1" a="1"/>
  <c r="S126" i="213" s="1"/>
  <c r="R126" i="213"/>
  <c r="Q127" i="213"/>
  <c r="S127" i="213" s="1" a="1"/>
  <c r="S127" i="213" s="1"/>
  <c r="R127" i="213"/>
  <c r="Q128" i="213"/>
  <c r="S128" i="213" s="1" a="1"/>
  <c r="S128" i="213" s="1"/>
  <c r="R128" i="213"/>
  <c r="Q129" i="213"/>
  <c r="S129" i="213" s="1" a="1"/>
  <c r="S129" i="213" s="1"/>
  <c r="R129" i="213"/>
  <c r="Q130" i="213"/>
  <c r="S130" i="213" s="1" a="1"/>
  <c r="S130" i="213" s="1"/>
  <c r="R130" i="213"/>
  <c r="Q131" i="213"/>
  <c r="S131" i="213" s="1" a="1"/>
  <c r="S131" i="213" s="1"/>
  <c r="R131" i="213"/>
  <c r="Q132" i="213"/>
  <c r="S132" i="213" s="1" a="1"/>
  <c r="S132" i="213" s="1"/>
  <c r="R132" i="213"/>
  <c r="Q133" i="213"/>
  <c r="S133" i="213" s="1" a="1"/>
  <c r="S133" i="213" s="1"/>
  <c r="R133" i="213"/>
  <c r="Q134" i="213"/>
  <c r="S134" i="213" s="1" a="1"/>
  <c r="S134" i="213" s="1"/>
  <c r="R134" i="213"/>
  <c r="Q135" i="213"/>
  <c r="S135" i="213" s="1" a="1"/>
  <c r="S135" i="213" s="1"/>
  <c r="R135" i="213"/>
  <c r="Q136" i="213"/>
  <c r="S136" i="213" s="1" a="1"/>
  <c r="S136" i="213" s="1"/>
  <c r="R136" i="213"/>
  <c r="Q137" i="213"/>
  <c r="S137" i="213" s="1" a="1"/>
  <c r="S137" i="213" s="1"/>
  <c r="R137" i="213"/>
  <c r="Q138" i="213"/>
  <c r="S138" i="213" s="1" a="1"/>
  <c r="S138" i="213" s="1"/>
  <c r="R138" i="213"/>
  <c r="Q139" i="213"/>
  <c r="S139" i="213" s="1" a="1"/>
  <c r="S139" i="213" s="1"/>
  <c r="R139" i="213"/>
  <c r="Q140" i="213"/>
  <c r="S140" i="213" s="1" a="1"/>
  <c r="S140" i="213" s="1"/>
  <c r="R140" i="213"/>
  <c r="Q141" i="213"/>
  <c r="S141" i="213" s="1" a="1"/>
  <c r="S141" i="213" s="1"/>
  <c r="R141" i="213"/>
  <c r="Q142" i="213"/>
  <c r="S142" i="213" s="1" a="1"/>
  <c r="S142" i="213" s="1"/>
  <c r="R142" i="213"/>
  <c r="Q143" i="213"/>
  <c r="S143" i="213" s="1" a="1"/>
  <c r="S143" i="213" s="1"/>
  <c r="R143" i="213"/>
  <c r="Q144" i="213"/>
  <c r="S144" i="213" s="1" a="1"/>
  <c r="S144" i="213" s="1"/>
  <c r="R144" i="213"/>
  <c r="Q145" i="213"/>
  <c r="S145" i="213" s="1" a="1"/>
  <c r="S145" i="213" s="1"/>
  <c r="R145" i="213"/>
  <c r="Q146" i="213"/>
  <c r="S146" i="213" s="1" a="1"/>
  <c r="S146" i="213" s="1"/>
  <c r="R146" i="213"/>
  <c r="Q147" i="213"/>
  <c r="S147" i="213" s="1" a="1"/>
  <c r="S147" i="213" s="1"/>
  <c r="R147" i="213"/>
  <c r="Q148" i="213"/>
  <c r="S148" i="213" s="1" a="1"/>
  <c r="S148" i="213" s="1"/>
  <c r="R148" i="213"/>
  <c r="Q149" i="213"/>
  <c r="S149" i="213" s="1" a="1"/>
  <c r="S149" i="213" s="1"/>
  <c r="R149" i="213"/>
  <c r="Q150" i="213"/>
  <c r="S150" i="213" s="1" a="1"/>
  <c r="S150" i="213" s="1"/>
  <c r="R150" i="213"/>
  <c r="Q151" i="213"/>
  <c r="S151" i="213" s="1" a="1"/>
  <c r="S151" i="213" s="1"/>
  <c r="R151" i="213"/>
  <c r="Q152" i="213"/>
  <c r="S152" i="213" s="1" a="1"/>
  <c r="S152" i="213" s="1"/>
  <c r="R152" i="213"/>
  <c r="Q153" i="213"/>
  <c r="S153" i="213" s="1" a="1"/>
  <c r="S153" i="213" s="1"/>
  <c r="R153" i="213"/>
  <c r="Q154" i="213"/>
  <c r="S154" i="213" s="1" a="1"/>
  <c r="S154" i="213" s="1"/>
  <c r="R154" i="213"/>
  <c r="Q155" i="213"/>
  <c r="S155" i="213" s="1" a="1"/>
  <c r="S155" i="213" s="1"/>
  <c r="R155" i="213"/>
  <c r="Q156" i="213"/>
  <c r="S156" i="213" s="1" a="1"/>
  <c r="S156" i="213" s="1"/>
  <c r="R156" i="213"/>
  <c r="Q157" i="213"/>
  <c r="S157" i="213" s="1" a="1"/>
  <c r="S157" i="213" s="1"/>
  <c r="R157" i="213"/>
  <c r="Q158" i="213"/>
  <c r="S158" i="213" s="1" a="1"/>
  <c r="S158" i="213" s="1"/>
  <c r="R158" i="213"/>
  <c r="Q159" i="213"/>
  <c r="S159" i="213" s="1" a="1"/>
  <c r="S159" i="213" s="1"/>
  <c r="R159" i="213"/>
  <c r="Q160" i="213"/>
  <c r="S160" i="213" s="1" a="1"/>
  <c r="S160" i="213" s="1"/>
  <c r="R160" i="213"/>
  <c r="Q161" i="213"/>
  <c r="S161" i="213" s="1" a="1"/>
  <c r="S161" i="213" s="1"/>
  <c r="R161" i="213"/>
  <c r="Q162" i="213"/>
  <c r="S162" i="213" s="1" a="1"/>
  <c r="S162" i="213" s="1"/>
  <c r="R162" i="213"/>
  <c r="Q163" i="213"/>
  <c r="S163" i="213" s="1" a="1"/>
  <c r="S163" i="213" s="1"/>
  <c r="R163" i="213"/>
  <c r="I16" i="213"/>
  <c r="J16" i="213"/>
  <c r="K16" i="213"/>
  <c r="L16" i="213"/>
  <c r="M16" i="213"/>
  <c r="N16"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16" i="255"/>
  <c r="J16" i="255"/>
  <c r="K16" i="255"/>
  <c r="L16" i="255"/>
  <c r="M16" i="255"/>
  <c r="N16" i="255"/>
  <c r="I17" i="255"/>
  <c r="S27" i="255" s="1" a="1"/>
  <c r="S27" i="255" s="1"/>
  <c r="B230" i="200" s="1"/>
  <c r="J17" i="255"/>
  <c r="K17" i="255"/>
  <c r="L17" i="255"/>
  <c r="M17" i="255"/>
  <c r="N17" i="255"/>
  <c r="I18" i="255"/>
  <c r="J18" i="255"/>
  <c r="K18" i="255"/>
  <c r="S35" i="255" s="1" a="1"/>
  <c r="S35" i="255" s="1"/>
  <c r="B238" i="200" s="1"/>
  <c r="L18" i="255"/>
  <c r="M18" i="255"/>
  <c r="S37" i="255" s="1" a="1"/>
  <c r="S37" i="255" s="1"/>
  <c r="B240" i="200" s="1"/>
  <c r="N18" i="255"/>
  <c r="I19" i="255"/>
  <c r="J19" i="255"/>
  <c r="K19" i="255"/>
  <c r="L19" i="255"/>
  <c r="M19" i="255"/>
  <c r="S43" i="255" s="1" a="1"/>
  <c r="S43" i="255" s="1"/>
  <c r="B246" i="200" s="1"/>
  <c r="N19" i="255"/>
  <c r="I20" i="255"/>
  <c r="J20" i="255"/>
  <c r="K20" i="255"/>
  <c r="L20" i="255"/>
  <c r="M20" i="255"/>
  <c r="N20" i="255"/>
  <c r="I21" i="255"/>
  <c r="S51" i="255" s="1" a="1"/>
  <c r="S51" i="255" s="1"/>
  <c r="B254" i="200" s="1"/>
  <c r="J21" i="255"/>
  <c r="K21" i="255"/>
  <c r="S53" i="255" s="1" a="1"/>
  <c r="S53" i="255" s="1"/>
  <c r="B256" i="200" s="1"/>
  <c r="L21" i="255"/>
  <c r="M21" i="255"/>
  <c r="N21" i="255"/>
  <c r="I22" i="255"/>
  <c r="J22" i="255"/>
  <c r="K22" i="255"/>
  <c r="S59" i="255" s="1" a="1"/>
  <c r="S59" i="255" s="1"/>
  <c r="B262" i="200" s="1"/>
  <c r="L22" i="255"/>
  <c r="M22" i="255"/>
  <c r="N22" i="255"/>
  <c r="I23" i="255"/>
  <c r="J23" i="255"/>
  <c r="K23" i="255"/>
  <c r="L23" i="255"/>
  <c r="M23" i="255"/>
  <c r="S67" i="255" s="1" a="1"/>
  <c r="S67" i="255" s="1"/>
  <c r="B270" i="200" s="1"/>
  <c r="N23" i="255"/>
  <c r="I24" i="255"/>
  <c r="S69" i="255" s="1" a="1"/>
  <c r="S69" i="255" s="1"/>
  <c r="B272" i="200" s="1"/>
  <c r="J24" i="255"/>
  <c r="K24" i="255"/>
  <c r="L24" i="255"/>
  <c r="M24" i="255"/>
  <c r="N24" i="255"/>
  <c r="I25" i="255"/>
  <c r="S75" i="255" s="1" a="1"/>
  <c r="S75" i="255" s="1"/>
  <c r="B278" i="200" s="1"/>
  <c r="J25" i="255"/>
  <c r="K25" i="255"/>
  <c r="L25" i="255"/>
  <c r="M25" i="255"/>
  <c r="N25" i="255"/>
  <c r="I26" i="255"/>
  <c r="J26" i="255"/>
  <c r="K26" i="255"/>
  <c r="S83" i="255" s="1" a="1"/>
  <c r="S83" i="255" s="1"/>
  <c r="B286" i="200" s="1"/>
  <c r="L26" i="255"/>
  <c r="M26" i="255"/>
  <c r="N26" i="255"/>
  <c r="I27" i="255"/>
  <c r="J27" i="255"/>
  <c r="K27" i="255"/>
  <c r="L27" i="255"/>
  <c r="M27" i="255"/>
  <c r="N27" i="255"/>
  <c r="I28" i="255"/>
  <c r="J28" i="255"/>
  <c r="K28" i="255"/>
  <c r="L28" i="255"/>
  <c r="M28" i="255"/>
  <c r="N28" i="255"/>
  <c r="I29" i="255"/>
  <c r="S99" i="255" s="1" a="1"/>
  <c r="S99" i="255" s="1"/>
  <c r="B302" i="200" s="1"/>
  <c r="J29" i="255"/>
  <c r="K29" i="255"/>
  <c r="L29" i="255"/>
  <c r="M29" i="255"/>
  <c r="N29" i="255"/>
  <c r="I30" i="255"/>
  <c r="J30" i="255"/>
  <c r="K30" i="255"/>
  <c r="L30" i="255"/>
  <c r="M30" i="255"/>
  <c r="N30" i="255"/>
  <c r="N15" i="255"/>
  <c r="M15" i="255"/>
  <c r="L15" i="255"/>
  <c r="K15" i="255"/>
  <c r="J15" i="255"/>
  <c r="I15" i="255"/>
  <c r="B216" i="200"/>
  <c r="B215" i="200"/>
  <c r="B203" i="200"/>
  <c r="B202" i="200"/>
  <c r="B178" i="200"/>
  <c r="B194" i="200"/>
  <c r="B119" i="200"/>
  <c r="B127" i="200"/>
  <c r="B109" i="200"/>
  <c r="B117"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B207" i="200" s="1"/>
  <c r="R17" i="256"/>
  <c r="Q18" i="256"/>
  <c r="S18" i="256" s="1" a="1"/>
  <c r="S18" i="256" s="1"/>
  <c r="B208" i="200" s="1"/>
  <c r="R18" i="256"/>
  <c r="Q19" i="256"/>
  <c r="S19" i="256" s="1" a="1"/>
  <c r="S19" i="256" s="1"/>
  <c r="B209" i="200" s="1"/>
  <c r="R19" i="256"/>
  <c r="Q20" i="256"/>
  <c r="S20" i="256" s="1" a="1"/>
  <c r="S20" i="256" s="1"/>
  <c r="B210" i="200" s="1"/>
  <c r="R20" i="256"/>
  <c r="Q21" i="256"/>
  <c r="S21" i="256" s="1" a="1"/>
  <c r="S21" i="256" s="1"/>
  <c r="B211" i="200" s="1"/>
  <c r="R21" i="256"/>
  <c r="Q22" i="256"/>
  <c r="S22" i="256" s="1" a="1"/>
  <c r="S22" i="256" s="1"/>
  <c r="B212" i="200" s="1"/>
  <c r="R22" i="256"/>
  <c r="Q23" i="256"/>
  <c r="S23" i="256" s="1" a="1"/>
  <c r="S23" i="256" s="1"/>
  <c r="B213" i="200" s="1"/>
  <c r="R23" i="256"/>
  <c r="C15" i="256"/>
  <c r="B15" i="256"/>
  <c r="I15" i="256" s="1"/>
  <c r="S15" i="256" s="1" a="1"/>
  <c r="S15" i="256" s="1"/>
  <c r="B205" i="200" s="1"/>
  <c r="R15" i="256"/>
  <c r="Q15" i="256"/>
  <c r="N15" i="256"/>
  <c r="M15" i="256"/>
  <c r="L15" i="256"/>
  <c r="K15" i="256"/>
  <c r="J15" i="256"/>
  <c r="B14" i="256"/>
  <c r="E3" i="256"/>
  <c r="E6" i="256" s="1"/>
  <c r="Q16" i="255"/>
  <c r="S16" i="255" s="1" a="1"/>
  <c r="S16" i="255" s="1"/>
  <c r="B219" i="200" s="1"/>
  <c r="R16" i="255"/>
  <c r="Q17" i="255"/>
  <c r="R17" i="255"/>
  <c r="Q18" i="255"/>
  <c r="S18" i="255" s="1" a="1"/>
  <c r="S18" i="255" s="1"/>
  <c r="B221" i="200" s="1"/>
  <c r="R18" i="255"/>
  <c r="Q19" i="255"/>
  <c r="R19" i="255"/>
  <c r="S19" i="255" a="1"/>
  <c r="S19" i="255" s="1"/>
  <c r="B222" i="200" s="1"/>
  <c r="Q20" i="255"/>
  <c r="S20" i="255" s="1" a="1"/>
  <c r="S20" i="255" s="1"/>
  <c r="B223" i="200" s="1"/>
  <c r="R20" i="255"/>
  <c r="Q21" i="255"/>
  <c r="R21" i="255"/>
  <c r="S21" i="255" a="1"/>
  <c r="S21" i="255" s="1"/>
  <c r="B224" i="200" s="1"/>
  <c r="Q22" i="255"/>
  <c r="S22" i="255" s="1" a="1"/>
  <c r="S22" i="255" s="1"/>
  <c r="B225" i="200" s="1"/>
  <c r="R22" i="255"/>
  <c r="Q23" i="255"/>
  <c r="R23" i="255"/>
  <c r="Q24" i="255"/>
  <c r="S24" i="255" s="1" a="1"/>
  <c r="S24" i="255" s="1"/>
  <c r="B227" i="200" s="1"/>
  <c r="R24" i="255"/>
  <c r="Q25" i="255"/>
  <c r="R25" i="255"/>
  <c r="S25" i="255" a="1"/>
  <c r="S25" i="255" s="1"/>
  <c r="B228" i="200" s="1"/>
  <c r="Q26" i="255"/>
  <c r="S26" i="255" s="1" a="1"/>
  <c r="S26" i="255" s="1"/>
  <c r="B229" i="200" s="1"/>
  <c r="R26" i="255"/>
  <c r="Q27" i="255"/>
  <c r="R27" i="255"/>
  <c r="Q28" i="255"/>
  <c r="R28" i="255"/>
  <c r="Q29" i="255"/>
  <c r="R29" i="255"/>
  <c r="S29" i="255" a="1"/>
  <c r="S29" i="255" s="1"/>
  <c r="B232" i="200" s="1"/>
  <c r="Q30" i="255"/>
  <c r="S30" i="255" s="1" a="1"/>
  <c r="S30" i="255" s="1"/>
  <c r="B233" i="200" s="1"/>
  <c r="R30" i="255"/>
  <c r="Q31" i="255"/>
  <c r="R31" i="255"/>
  <c r="S31" i="255" a="1"/>
  <c r="S31" i="255" s="1"/>
  <c r="B234" i="200" s="1"/>
  <c r="Q32" i="255"/>
  <c r="S32" i="255" s="1" a="1"/>
  <c r="S32" i="255" s="1"/>
  <c r="B235" i="200" s="1"/>
  <c r="R32" i="255"/>
  <c r="Q33" i="255"/>
  <c r="R33" i="255"/>
  <c r="S33" i="255" a="1"/>
  <c r="S33" i="255" s="1"/>
  <c r="B236" i="200" s="1"/>
  <c r="Q34" i="255"/>
  <c r="S34" i="255" s="1" a="1"/>
  <c r="S34" i="255" s="1"/>
  <c r="B237" i="200" s="1"/>
  <c r="R34" i="255"/>
  <c r="Q35" i="255"/>
  <c r="R35" i="255"/>
  <c r="Q36" i="255"/>
  <c r="R36" i="255"/>
  <c r="Q37" i="255"/>
  <c r="R37" i="255"/>
  <c r="Q38" i="255"/>
  <c r="S38" i="255" s="1" a="1"/>
  <c r="S38" i="255" s="1"/>
  <c r="B241" i="200" s="1"/>
  <c r="R38" i="255"/>
  <c r="Q39" i="255"/>
  <c r="R39" i="255"/>
  <c r="S39" i="255" a="1"/>
  <c r="S39" i="255" s="1"/>
  <c r="B242" i="200" s="1"/>
  <c r="Q40" i="255"/>
  <c r="S40" i="255" s="1" a="1"/>
  <c r="S40" i="255" s="1"/>
  <c r="B243" i="200" s="1"/>
  <c r="R40" i="255"/>
  <c r="Q41" i="255"/>
  <c r="R41" i="255"/>
  <c r="S41" i="255" a="1"/>
  <c r="S41" i="255" s="1"/>
  <c r="B244" i="200" s="1"/>
  <c r="Q42" i="255"/>
  <c r="S42" i="255" s="1" a="1"/>
  <c r="S42" i="255" s="1"/>
  <c r="B245" i="200" s="1"/>
  <c r="R42" i="255"/>
  <c r="Q43" i="255"/>
  <c r="R43" i="255"/>
  <c r="Q44" i="255"/>
  <c r="R44" i="255"/>
  <c r="Q45" i="255"/>
  <c r="R45" i="255"/>
  <c r="S45" i="255" a="1"/>
  <c r="S45" i="255" s="1"/>
  <c r="B248" i="200" s="1"/>
  <c r="Q46" i="255"/>
  <c r="S46" i="255" s="1" a="1"/>
  <c r="S46" i="255" s="1"/>
  <c r="B249" i="200" s="1"/>
  <c r="R46" i="255"/>
  <c r="Q47" i="255"/>
  <c r="R47" i="255"/>
  <c r="S47" i="255" a="1"/>
  <c r="S47" i="255" s="1"/>
  <c r="B250" i="200" s="1"/>
  <c r="Q48" i="255"/>
  <c r="S48" i="255" s="1" a="1"/>
  <c r="S48" i="255" s="1"/>
  <c r="B251" i="200" s="1"/>
  <c r="R48" i="255"/>
  <c r="Q49" i="255"/>
  <c r="R49" i="255"/>
  <c r="S49" i="255" a="1"/>
  <c r="S49" i="255" s="1"/>
  <c r="B252" i="200" s="1"/>
  <c r="Q50" i="255"/>
  <c r="S50" i="255" s="1" a="1"/>
  <c r="S50" i="255" s="1"/>
  <c r="B253" i="200" s="1"/>
  <c r="R50" i="255"/>
  <c r="Q51" i="255"/>
  <c r="R51" i="255"/>
  <c r="Q52" i="255"/>
  <c r="R52" i="255"/>
  <c r="Q53" i="255"/>
  <c r="R53" i="255"/>
  <c r="Q54" i="255"/>
  <c r="S54" i="255" s="1" a="1"/>
  <c r="S54" i="255" s="1"/>
  <c r="B257" i="200" s="1"/>
  <c r="R54" i="255"/>
  <c r="Q55" i="255"/>
  <c r="R55" i="255"/>
  <c r="S55" i="255" a="1"/>
  <c r="S55" i="255" s="1"/>
  <c r="B258" i="200" s="1"/>
  <c r="Q56" i="255"/>
  <c r="S56" i="255" s="1" a="1"/>
  <c r="S56" i="255" s="1"/>
  <c r="B259" i="200" s="1"/>
  <c r="R56" i="255"/>
  <c r="Q57" i="255"/>
  <c r="R57" i="255"/>
  <c r="S57" i="255" a="1"/>
  <c r="S57" i="255" s="1"/>
  <c r="B260" i="200" s="1"/>
  <c r="Q58" i="255"/>
  <c r="S58" i="255" s="1" a="1"/>
  <c r="S58" i="255" s="1"/>
  <c r="B261" i="200" s="1"/>
  <c r="R58" i="255"/>
  <c r="Q59" i="255"/>
  <c r="R59" i="255"/>
  <c r="Q60" i="255"/>
  <c r="R60" i="255"/>
  <c r="Q61" i="255"/>
  <c r="R61" i="255"/>
  <c r="S61" i="255" a="1"/>
  <c r="S61" i="255" s="1"/>
  <c r="B264" i="200" s="1"/>
  <c r="Q62" i="255"/>
  <c r="S62" i="255" s="1" a="1"/>
  <c r="S62" i="255" s="1"/>
  <c r="B265" i="200" s="1"/>
  <c r="R62" i="255"/>
  <c r="Q63" i="255"/>
  <c r="R63" i="255"/>
  <c r="S63" i="255" a="1"/>
  <c r="S63" i="255" s="1"/>
  <c r="B266" i="200" s="1"/>
  <c r="Q64" i="255"/>
  <c r="S64" i="255" s="1" a="1"/>
  <c r="S64" i="255" s="1"/>
  <c r="B267" i="200" s="1"/>
  <c r="R64" i="255"/>
  <c r="Q65" i="255"/>
  <c r="R65" i="255"/>
  <c r="S65" i="255" a="1"/>
  <c r="S65" i="255" s="1"/>
  <c r="B268" i="200" s="1"/>
  <c r="Q66" i="255"/>
  <c r="S66" i="255" s="1" a="1"/>
  <c r="S66" i="255" s="1"/>
  <c r="B269" i="200" s="1"/>
  <c r="R66" i="255"/>
  <c r="Q67" i="255"/>
  <c r="R67" i="255"/>
  <c r="Q68" i="255"/>
  <c r="R68" i="255"/>
  <c r="Q69" i="255"/>
  <c r="R69" i="255"/>
  <c r="Q70" i="255"/>
  <c r="S70" i="255" s="1" a="1"/>
  <c r="S70" i="255" s="1"/>
  <c r="B273" i="200" s="1"/>
  <c r="R70" i="255"/>
  <c r="Q71" i="255"/>
  <c r="R71" i="255"/>
  <c r="S71" i="255" a="1"/>
  <c r="S71" i="255" s="1"/>
  <c r="B274" i="200" s="1"/>
  <c r="Q72" i="255"/>
  <c r="S72" i="255" s="1" a="1"/>
  <c r="S72" i="255" s="1"/>
  <c r="B275" i="200" s="1"/>
  <c r="R72" i="255"/>
  <c r="Q73" i="255"/>
  <c r="R73" i="255"/>
  <c r="S73" i="255" a="1"/>
  <c r="S73" i="255" s="1"/>
  <c r="B276" i="200" s="1"/>
  <c r="Q74" i="255"/>
  <c r="S74" i="255" s="1" a="1"/>
  <c r="S74" i="255" s="1"/>
  <c r="B277" i="200" s="1"/>
  <c r="R74" i="255"/>
  <c r="Q75" i="255"/>
  <c r="R75" i="255"/>
  <c r="Q76" i="255"/>
  <c r="R76" i="255"/>
  <c r="Q77" i="255"/>
  <c r="R77" i="255"/>
  <c r="S77" i="255" a="1"/>
  <c r="S77" i="255" s="1"/>
  <c r="B280" i="200" s="1"/>
  <c r="Q78" i="255"/>
  <c r="S78" i="255" s="1" a="1"/>
  <c r="S78" i="255" s="1"/>
  <c r="B281" i="200" s="1"/>
  <c r="R78" i="255"/>
  <c r="Q79" i="255"/>
  <c r="R79" i="255"/>
  <c r="S79" i="255" a="1"/>
  <c r="S79" i="255" s="1"/>
  <c r="B282" i="200" s="1"/>
  <c r="Q80" i="255"/>
  <c r="S80" i="255" s="1" a="1"/>
  <c r="S80" i="255" s="1"/>
  <c r="B283" i="200" s="1"/>
  <c r="R80" i="255"/>
  <c r="Q81" i="255"/>
  <c r="R81" i="255"/>
  <c r="S81" i="255" a="1"/>
  <c r="S81" i="255" s="1"/>
  <c r="B284" i="200" s="1"/>
  <c r="Q82" i="255"/>
  <c r="S82" i="255" s="1" a="1"/>
  <c r="S82" i="255" s="1"/>
  <c r="B285" i="200" s="1"/>
  <c r="R82" i="255"/>
  <c r="Q83" i="255"/>
  <c r="R83" i="255"/>
  <c r="Q84" i="255"/>
  <c r="R84" i="255"/>
  <c r="Q85" i="255"/>
  <c r="R85" i="255"/>
  <c r="S85" i="255" a="1"/>
  <c r="S85" i="255" s="1"/>
  <c r="B288" i="200" s="1"/>
  <c r="Q86" i="255"/>
  <c r="S86" i="255" s="1" a="1"/>
  <c r="S86" i="255" s="1"/>
  <c r="B289" i="200" s="1"/>
  <c r="R86" i="255"/>
  <c r="Q87" i="255"/>
  <c r="R87" i="255"/>
  <c r="S87" i="255" a="1"/>
  <c r="S87" i="255" s="1"/>
  <c r="B290" i="200" s="1"/>
  <c r="Q88" i="255"/>
  <c r="S88" i="255" s="1" a="1"/>
  <c r="S88" i="255" s="1"/>
  <c r="B291" i="200" s="1"/>
  <c r="R88" i="255"/>
  <c r="Q89" i="255"/>
  <c r="R89" i="255"/>
  <c r="S89" i="255" a="1"/>
  <c r="S89" i="255" s="1"/>
  <c r="B292" i="200" s="1"/>
  <c r="Q90" i="255"/>
  <c r="S90" i="255" s="1" a="1"/>
  <c r="S90" i="255" s="1"/>
  <c r="B293" i="200" s="1"/>
  <c r="R90" i="255"/>
  <c r="Q91" i="255"/>
  <c r="R91" i="255"/>
  <c r="S91" i="255" a="1"/>
  <c r="S91" i="255" s="1"/>
  <c r="B294" i="200" s="1"/>
  <c r="Q92" i="255"/>
  <c r="S92" i="255" s="1" a="1"/>
  <c r="S92" i="255" s="1"/>
  <c r="B295" i="200" s="1"/>
  <c r="R92" i="255"/>
  <c r="Q93" i="255"/>
  <c r="R93" i="255"/>
  <c r="S93" i="255" a="1"/>
  <c r="S93" i="255" s="1"/>
  <c r="B296" i="200" s="1"/>
  <c r="Q94" i="255"/>
  <c r="S94" i="255" s="1" a="1"/>
  <c r="S94" i="255" s="1"/>
  <c r="B297" i="200" s="1"/>
  <c r="R94" i="255"/>
  <c r="Q95" i="255"/>
  <c r="R95" i="255"/>
  <c r="S95" i="255" a="1"/>
  <c r="S95" i="255" s="1"/>
  <c r="B298" i="200" s="1"/>
  <c r="Q96" i="255"/>
  <c r="S96" i="255" s="1" a="1"/>
  <c r="S96" i="255" s="1"/>
  <c r="B299" i="200" s="1"/>
  <c r="R96" i="255"/>
  <c r="Q97" i="255"/>
  <c r="R97" i="255"/>
  <c r="S97" i="255" a="1"/>
  <c r="S97" i="255" s="1"/>
  <c r="B300" i="200" s="1"/>
  <c r="Q98" i="255"/>
  <c r="S98" i="255" s="1" a="1"/>
  <c r="S98" i="255" s="1"/>
  <c r="B301" i="200" s="1"/>
  <c r="R98" i="255"/>
  <c r="Q99" i="255"/>
  <c r="R99" i="255"/>
  <c r="Q100" i="255"/>
  <c r="R100" i="255"/>
  <c r="Q101" i="255"/>
  <c r="R101" i="255"/>
  <c r="S101" i="255" a="1"/>
  <c r="S101" i="255" s="1"/>
  <c r="B304" i="200" s="1"/>
  <c r="Q102" i="255"/>
  <c r="S102" i="255" s="1" a="1"/>
  <c r="S102" i="255" s="1"/>
  <c r="B305" i="200" s="1"/>
  <c r="R102" i="255"/>
  <c r="Q103" i="255"/>
  <c r="R103" i="255"/>
  <c r="S103" i="255" a="1"/>
  <c r="S103" i="255" s="1"/>
  <c r="B306" i="200" s="1"/>
  <c r="Q104" i="255"/>
  <c r="S104" i="255" s="1" a="1"/>
  <c r="S104" i="255" s="1"/>
  <c r="B307" i="200" s="1"/>
  <c r="R104" i="255"/>
  <c r="Q105" i="255"/>
  <c r="R105" i="255"/>
  <c r="S105" i="255" a="1"/>
  <c r="S105" i="255" s="1"/>
  <c r="B308" i="200" s="1"/>
  <c r="Q106" i="255"/>
  <c r="S106" i="255" s="1" a="1"/>
  <c r="S106" i="255" s="1"/>
  <c r="B309" i="200" s="1"/>
  <c r="R106" i="255"/>
  <c r="Q107" i="255"/>
  <c r="R107" i="255"/>
  <c r="S107" i="255" a="1"/>
  <c r="S107" i="255" s="1"/>
  <c r="B310" i="200" s="1"/>
  <c r="Q108" i="255"/>
  <c r="S108" i="255" s="1" a="1"/>
  <c r="S108" i="255" s="1"/>
  <c r="B311" i="200" s="1"/>
  <c r="R108" i="255"/>
  <c r="Q109" i="255"/>
  <c r="R109" i="255"/>
  <c r="S109" i="255" a="1"/>
  <c r="S109" i="255" s="1"/>
  <c r="B312" i="200" s="1"/>
  <c r="Q110" i="255"/>
  <c r="S110" i="255" s="1" a="1"/>
  <c r="S110" i="255" s="1"/>
  <c r="B313" i="200" s="1"/>
  <c r="R110" i="255"/>
  <c r="Q111" i="255"/>
  <c r="R111" i="255"/>
  <c r="S111" i="255" a="1"/>
  <c r="S111" i="255" s="1"/>
  <c r="B314" i="200" s="1"/>
  <c r="Q112" i="255"/>
  <c r="S112" i="255" s="1" a="1"/>
  <c r="S112" i="255" s="1"/>
  <c r="B315" i="200" s="1"/>
  <c r="R112" i="255"/>
  <c r="Q113" i="255"/>
  <c r="R113" i="255"/>
  <c r="S113" i="255" a="1"/>
  <c r="S113" i="255" s="1"/>
  <c r="B316" i="200" s="1"/>
  <c r="Q114" i="255"/>
  <c r="S114" i="255" s="1" a="1"/>
  <c r="S114" i="255" s="1"/>
  <c r="R114" i="255"/>
  <c r="Q115" i="255"/>
  <c r="R115" i="255"/>
  <c r="S115" i="255" a="1"/>
  <c r="S115" i="255" s="1"/>
  <c r="Q116" i="255"/>
  <c r="S116" i="255" s="1" a="1"/>
  <c r="S116" i="255" s="1"/>
  <c r="R116" i="255"/>
  <c r="Q117" i="255"/>
  <c r="R117" i="255"/>
  <c r="S117" i="255" a="1"/>
  <c r="S117" i="255" s="1"/>
  <c r="Q118" i="255"/>
  <c r="S118" i="255" s="1" a="1"/>
  <c r="S118" i="255" s="1"/>
  <c r="R118" i="255"/>
  <c r="Q119" i="255"/>
  <c r="R119" i="255"/>
  <c r="S119" i="255" a="1"/>
  <c r="S119" i="255" s="1"/>
  <c r="Q120" i="255"/>
  <c r="S120" i="255" s="1" a="1"/>
  <c r="S120" i="255" s="1"/>
  <c r="R120" i="255"/>
  <c r="Q121" i="255"/>
  <c r="R121" i="255"/>
  <c r="S121" i="255" a="1"/>
  <c r="S121" i="255" s="1"/>
  <c r="Q122" i="255"/>
  <c r="S122" i="255" s="1" a="1"/>
  <c r="S122" i="255" s="1"/>
  <c r="R122" i="255"/>
  <c r="Q123" i="255"/>
  <c r="R123" i="255"/>
  <c r="S123" i="255" a="1"/>
  <c r="S123" i="255" s="1"/>
  <c r="Q124" i="255"/>
  <c r="S124" i="255" s="1" a="1"/>
  <c r="S124" i="255" s="1"/>
  <c r="R124" i="255"/>
  <c r="Q125" i="255"/>
  <c r="R125" i="255"/>
  <c r="S125" i="255" a="1"/>
  <c r="S125" i="255" s="1"/>
  <c r="Q126" i="255"/>
  <c r="S126" i="255" s="1" a="1"/>
  <c r="S126" i="255" s="1"/>
  <c r="R126" i="255"/>
  <c r="Q127" i="255"/>
  <c r="R127" i="255"/>
  <c r="S127" i="255" a="1"/>
  <c r="S127" i="255" s="1"/>
  <c r="Q128" i="255"/>
  <c r="S128" i="255" s="1" a="1"/>
  <c r="S128" i="255" s="1"/>
  <c r="R128" i="255"/>
  <c r="Q129" i="255"/>
  <c r="R129" i="255"/>
  <c r="S129" i="255" a="1"/>
  <c r="S129" i="255" s="1"/>
  <c r="Q130" i="255"/>
  <c r="S130" i="255" s="1" a="1"/>
  <c r="S130" i="255" s="1"/>
  <c r="R130" i="255"/>
  <c r="Q131" i="255"/>
  <c r="R131" i="255"/>
  <c r="S131" i="255" a="1"/>
  <c r="S131" i="255" s="1"/>
  <c r="Q132" i="255"/>
  <c r="S132" i="255" s="1" a="1"/>
  <c r="S132" i="255" s="1"/>
  <c r="R132" i="255"/>
  <c r="Q133" i="255"/>
  <c r="R133" i="255"/>
  <c r="S133" i="255" a="1"/>
  <c r="S133" i="255" s="1"/>
  <c r="S23" i="255" a="1"/>
  <c r="S23" i="255" s="1"/>
  <c r="B226" i="200" s="1"/>
  <c r="Q16" i="203"/>
  <c r="R16" i="203"/>
  <c r="S16" i="203" s="1" a="1"/>
  <c r="S16" i="203" s="1"/>
  <c r="B173" i="200" s="1"/>
  <c r="Q17" i="203"/>
  <c r="R17" i="203"/>
  <c r="S17" i="203" a="1"/>
  <c r="S17" i="203" s="1"/>
  <c r="B174" i="200" s="1"/>
  <c r="Q18" i="203"/>
  <c r="R18" i="203"/>
  <c r="S18" i="203" a="1"/>
  <c r="S18" i="203" s="1"/>
  <c r="B175" i="200" s="1"/>
  <c r="Q19" i="203"/>
  <c r="R19" i="203"/>
  <c r="S19" i="203" a="1"/>
  <c r="S19" i="203"/>
  <c r="B176" i="200" s="1"/>
  <c r="Q20" i="203"/>
  <c r="R20" i="203"/>
  <c r="S20" i="203" a="1"/>
  <c r="S20" i="203" s="1"/>
  <c r="B177" i="200" s="1"/>
  <c r="Q21" i="203"/>
  <c r="R21" i="203"/>
  <c r="S21" i="203" a="1"/>
  <c r="S21" i="203"/>
  <c r="Q22" i="203"/>
  <c r="R22" i="203"/>
  <c r="S22" i="203" a="1"/>
  <c r="S22" i="203" s="1"/>
  <c r="B179" i="200" s="1"/>
  <c r="Q23" i="203"/>
  <c r="R23" i="203"/>
  <c r="S23" i="203" a="1"/>
  <c r="S23" i="203" s="1"/>
  <c r="B180" i="200" s="1"/>
  <c r="Q24" i="203"/>
  <c r="R24" i="203"/>
  <c r="S24" i="203" a="1"/>
  <c r="S24" i="203" s="1"/>
  <c r="B181" i="200" s="1"/>
  <c r="Q25" i="203"/>
  <c r="R25" i="203"/>
  <c r="S25" i="203" a="1"/>
  <c r="S25" i="203" s="1"/>
  <c r="B182" i="200" s="1"/>
  <c r="Q26" i="203"/>
  <c r="R26" i="203"/>
  <c r="S26" i="203" a="1"/>
  <c r="S26" i="203" s="1"/>
  <c r="B183" i="200" s="1"/>
  <c r="Q27" i="203"/>
  <c r="R27" i="203"/>
  <c r="S27" i="203" a="1"/>
  <c r="S27" i="203" s="1"/>
  <c r="B184" i="200" s="1"/>
  <c r="Q28" i="203"/>
  <c r="R28" i="203"/>
  <c r="S28" i="203" a="1"/>
  <c r="S28" i="203" s="1"/>
  <c r="B185" i="200" s="1"/>
  <c r="Q29" i="203"/>
  <c r="R29" i="203"/>
  <c r="S29" i="203" a="1"/>
  <c r="S29" i="203" s="1"/>
  <c r="B186" i="200" s="1"/>
  <c r="Q30" i="203"/>
  <c r="R30" i="203"/>
  <c r="S30" i="203" a="1"/>
  <c r="S30" i="203" s="1"/>
  <c r="B187" i="200" s="1"/>
  <c r="Q31" i="203"/>
  <c r="R31" i="203"/>
  <c r="S31" i="203" a="1"/>
  <c r="S31" i="203"/>
  <c r="B188" i="200" s="1"/>
  <c r="Q32" i="203"/>
  <c r="R32" i="203"/>
  <c r="S32" i="203" a="1"/>
  <c r="S32" i="203" s="1"/>
  <c r="B189" i="200" s="1"/>
  <c r="Q33" i="203"/>
  <c r="R33" i="203"/>
  <c r="S33" i="203" a="1"/>
  <c r="S33" i="203" s="1"/>
  <c r="B190" i="200" s="1"/>
  <c r="Q34" i="203"/>
  <c r="R34" i="203"/>
  <c r="S34" i="203" a="1"/>
  <c r="S34" i="203" s="1"/>
  <c r="B191" i="200" s="1"/>
  <c r="Q35" i="203"/>
  <c r="R35" i="203"/>
  <c r="S35" i="203" a="1"/>
  <c r="S35" i="203"/>
  <c r="B192" i="200" s="1"/>
  <c r="Q36" i="203"/>
  <c r="R36" i="203"/>
  <c r="S36" i="203" a="1"/>
  <c r="S36" i="203" s="1"/>
  <c r="B193" i="200" s="1"/>
  <c r="Q37" i="203"/>
  <c r="R37" i="203"/>
  <c r="S37" i="203" a="1"/>
  <c r="S37" i="203"/>
  <c r="Q38" i="203"/>
  <c r="R38" i="203"/>
  <c r="S38" i="203" a="1"/>
  <c r="S38" i="203" s="1"/>
  <c r="B195" i="200" s="1"/>
  <c r="Q39" i="203"/>
  <c r="R39" i="203"/>
  <c r="S39" i="203" a="1"/>
  <c r="S39" i="203" s="1"/>
  <c r="B196" i="200" s="1"/>
  <c r="Q40" i="203"/>
  <c r="R40" i="203"/>
  <c r="S40" i="203" a="1"/>
  <c r="S40" i="203" s="1"/>
  <c r="B197" i="200" s="1"/>
  <c r="Q41" i="203"/>
  <c r="R41" i="203"/>
  <c r="S41" i="203" a="1"/>
  <c r="S41" i="203" s="1"/>
  <c r="B198" i="200" s="1"/>
  <c r="Q42" i="203"/>
  <c r="R42" i="203"/>
  <c r="S42" i="203" a="1"/>
  <c r="S42" i="203" s="1"/>
  <c r="B199" i="200" s="1"/>
  <c r="Q43" i="203"/>
  <c r="R43" i="203"/>
  <c r="S43" i="203" a="1"/>
  <c r="S43" i="203" s="1"/>
  <c r="B200" i="200" s="1"/>
  <c r="I16" i="203"/>
  <c r="J16" i="203"/>
  <c r="K16" i="203"/>
  <c r="L16" i="203"/>
  <c r="M16" i="203"/>
  <c r="N16" i="203"/>
  <c r="I17" i="203"/>
  <c r="J17" i="203"/>
  <c r="K17" i="203"/>
  <c r="L17" i="203"/>
  <c r="M17" i="203"/>
  <c r="N17" i="203"/>
  <c r="I18" i="203"/>
  <c r="J18" i="203"/>
  <c r="K18" i="203"/>
  <c r="L18" i="203"/>
  <c r="M18" i="203"/>
  <c r="N18" i="203"/>
  <c r="Q16" i="202"/>
  <c r="S16" i="202" s="1" a="1"/>
  <c r="S16" i="202" s="1"/>
  <c r="B140" i="200" s="1"/>
  <c r="R16" i="202"/>
  <c r="Q17" i="202"/>
  <c r="R17" i="202"/>
  <c r="S17" i="202" a="1"/>
  <c r="S17" i="202" s="1"/>
  <c r="B141" i="200" s="1"/>
  <c r="Q18" i="202"/>
  <c r="S18" i="202" s="1" a="1"/>
  <c r="S18" i="202" s="1"/>
  <c r="B142" i="200" s="1"/>
  <c r="R18" i="202"/>
  <c r="Q19" i="202"/>
  <c r="R19" i="202"/>
  <c r="S19" i="202" a="1"/>
  <c r="S19" i="202" s="1"/>
  <c r="B143" i="200" s="1"/>
  <c r="Q20" i="202"/>
  <c r="S20" i="202" s="1" a="1"/>
  <c r="S20" i="202" s="1"/>
  <c r="B144" i="200" s="1"/>
  <c r="R20" i="202"/>
  <c r="Q21" i="202"/>
  <c r="R21" i="202"/>
  <c r="S21" i="202" a="1"/>
  <c r="S21" i="202" s="1"/>
  <c r="B145" i="200" s="1"/>
  <c r="Q22" i="202"/>
  <c r="S22" i="202" s="1" a="1"/>
  <c r="S22" i="202" s="1"/>
  <c r="B146" i="200" s="1"/>
  <c r="R22" i="202"/>
  <c r="Q23" i="202"/>
  <c r="R23" i="202"/>
  <c r="S23" i="202" a="1"/>
  <c r="S23" i="202" s="1"/>
  <c r="B147" i="200" s="1"/>
  <c r="Q24" i="202"/>
  <c r="S24" i="202" s="1" a="1"/>
  <c r="S24" i="202" s="1"/>
  <c r="B148" i="200" s="1"/>
  <c r="R24" i="202"/>
  <c r="Q25" i="202"/>
  <c r="R25" i="202"/>
  <c r="S25" i="202" a="1"/>
  <c r="S25" i="202" s="1"/>
  <c r="B149" i="200" s="1"/>
  <c r="Q26" i="202"/>
  <c r="S26" i="202" s="1" a="1"/>
  <c r="S26" i="202" s="1"/>
  <c r="B150" i="200" s="1"/>
  <c r="R26" i="202"/>
  <c r="Q27" i="202"/>
  <c r="R27" i="202"/>
  <c r="S27" i="202" a="1"/>
  <c r="S27" i="202" s="1"/>
  <c r="B151" i="200" s="1"/>
  <c r="Q28" i="202"/>
  <c r="S28" i="202" s="1" a="1"/>
  <c r="S28" i="202" s="1"/>
  <c r="B152" i="200" s="1"/>
  <c r="R28" i="202"/>
  <c r="Q29" i="202"/>
  <c r="R29" i="202"/>
  <c r="S29" i="202" a="1"/>
  <c r="S29" i="202" s="1"/>
  <c r="B153" i="200" s="1"/>
  <c r="Q30" i="202"/>
  <c r="S30" i="202" s="1" a="1"/>
  <c r="S30" i="202" s="1"/>
  <c r="B154" i="200" s="1"/>
  <c r="R30" i="202"/>
  <c r="Q31" i="202"/>
  <c r="R31" i="202"/>
  <c r="S31" i="202" a="1"/>
  <c r="S31" i="202" s="1"/>
  <c r="B155" i="200" s="1"/>
  <c r="Q32" i="202"/>
  <c r="S32" i="202" s="1" a="1"/>
  <c r="S32" i="202" s="1"/>
  <c r="B156" i="200" s="1"/>
  <c r="R32" i="202"/>
  <c r="Q33" i="202"/>
  <c r="R33" i="202"/>
  <c r="S33" i="202" a="1"/>
  <c r="S33" i="202" s="1"/>
  <c r="B157" i="200" s="1"/>
  <c r="Q34" i="202"/>
  <c r="S34" i="202" s="1" a="1"/>
  <c r="S34" i="202" s="1"/>
  <c r="B158" i="200" s="1"/>
  <c r="R34" i="202"/>
  <c r="Q35" i="202"/>
  <c r="R35" i="202"/>
  <c r="S35" i="202" a="1"/>
  <c r="S35" i="202" s="1"/>
  <c r="B159" i="200" s="1"/>
  <c r="Q36" i="202"/>
  <c r="S36" i="202" s="1" a="1"/>
  <c r="S36" i="202" s="1"/>
  <c r="B160" i="200" s="1"/>
  <c r="R36" i="202"/>
  <c r="Q37" i="202"/>
  <c r="R37" i="202"/>
  <c r="S37" i="202" a="1"/>
  <c r="S37" i="202" s="1"/>
  <c r="B161" i="200" s="1"/>
  <c r="Q38" i="202"/>
  <c r="S38" i="202" s="1" a="1"/>
  <c r="S38" i="202" s="1"/>
  <c r="B162" i="200" s="1"/>
  <c r="R38" i="202"/>
  <c r="Q39" i="202"/>
  <c r="R39" i="202"/>
  <c r="S39" i="202" a="1"/>
  <c r="S39" i="202" s="1"/>
  <c r="B163" i="200" s="1"/>
  <c r="Q40" i="202"/>
  <c r="S40" i="202" s="1" a="1"/>
  <c r="S40" i="202" s="1"/>
  <c r="B164" i="200" s="1"/>
  <c r="R40" i="202"/>
  <c r="Q41" i="202"/>
  <c r="R41" i="202"/>
  <c r="S41" i="202" a="1"/>
  <c r="S41" i="202" s="1"/>
  <c r="B165" i="200" s="1"/>
  <c r="Q42" i="202"/>
  <c r="S42" i="202" s="1" a="1"/>
  <c r="S42" i="202" s="1"/>
  <c r="B166" i="200"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B133" i="200" s="1"/>
  <c r="R40" i="201"/>
  <c r="Q41" i="201"/>
  <c r="R41" i="201"/>
  <c r="S41" i="201" s="1" a="1"/>
  <c r="S41" i="201" s="1"/>
  <c r="B134" i="200" s="1"/>
  <c r="Q42" i="201"/>
  <c r="S42" i="201" s="1" a="1"/>
  <c r="S42" i="201" s="1"/>
  <c r="R42" i="201"/>
  <c r="Q16" i="201"/>
  <c r="S16" i="201" s="1" a="1"/>
  <c r="S16" i="201" s="1"/>
  <c r="R16" i="201"/>
  <c r="Q17" i="201"/>
  <c r="R17" i="201"/>
  <c r="S17" i="201" a="1"/>
  <c r="S17" i="201" s="1"/>
  <c r="B110" i="200" s="1"/>
  <c r="Q18" i="201"/>
  <c r="S18" i="201" s="1" a="1"/>
  <c r="S18" i="201" s="1"/>
  <c r="B111" i="200" s="1"/>
  <c r="R18" i="201"/>
  <c r="Q19" i="201"/>
  <c r="R19" i="201"/>
  <c r="S19" i="201" a="1"/>
  <c r="S19" i="201" s="1"/>
  <c r="B112" i="200" s="1"/>
  <c r="Q20" i="201"/>
  <c r="S20" i="201" s="1" a="1"/>
  <c r="S20" i="201" s="1"/>
  <c r="B113" i="200" s="1"/>
  <c r="R20" i="201"/>
  <c r="Q21" i="201"/>
  <c r="R21" i="201"/>
  <c r="S21" i="201" a="1"/>
  <c r="S21" i="201" s="1"/>
  <c r="B114" i="200" s="1"/>
  <c r="Q22" i="201"/>
  <c r="S22" i="201" s="1" a="1"/>
  <c r="S22" i="201" s="1"/>
  <c r="B115" i="200" s="1"/>
  <c r="R22" i="201"/>
  <c r="Q23" i="201"/>
  <c r="R23" i="201"/>
  <c r="S23" i="201" a="1"/>
  <c r="S23" i="201" s="1"/>
  <c r="B116" i="200" s="1"/>
  <c r="Q24" i="201"/>
  <c r="S24" i="201" s="1" a="1"/>
  <c r="S24" i="201" s="1"/>
  <c r="R24" i="201"/>
  <c r="Q25" i="201"/>
  <c r="R25" i="201"/>
  <c r="S25" i="201" a="1"/>
  <c r="S25" i="201" s="1"/>
  <c r="B118" i="200" s="1"/>
  <c r="Q26" i="201"/>
  <c r="S26" i="201" s="1" a="1"/>
  <c r="S26" i="201" s="1"/>
  <c r="R26" i="201"/>
  <c r="Q27" i="201"/>
  <c r="R27" i="201"/>
  <c r="S27" i="201" a="1"/>
  <c r="S27" i="201" s="1"/>
  <c r="B120" i="200" s="1"/>
  <c r="Q28" i="201"/>
  <c r="S28" i="201" s="1" a="1"/>
  <c r="S28" i="201" s="1"/>
  <c r="B121" i="200" s="1"/>
  <c r="R28" i="201"/>
  <c r="Q29" i="201"/>
  <c r="R29" i="201"/>
  <c r="S29" i="201" a="1"/>
  <c r="S29" i="201" s="1"/>
  <c r="B122" i="200" s="1"/>
  <c r="Q30" i="201"/>
  <c r="S30" i="201" s="1" a="1"/>
  <c r="S30" i="201" s="1"/>
  <c r="B123" i="200" s="1"/>
  <c r="R30" i="201"/>
  <c r="Q31" i="201"/>
  <c r="R31" i="201"/>
  <c r="S31" i="201" a="1"/>
  <c r="S31" i="201" s="1"/>
  <c r="B124" i="200" s="1"/>
  <c r="Q32" i="201"/>
  <c r="S32" i="201" s="1" a="1"/>
  <c r="S32" i="201" s="1"/>
  <c r="B125" i="200" s="1"/>
  <c r="R32" i="201"/>
  <c r="Q33" i="201"/>
  <c r="R33" i="201"/>
  <c r="S33" i="201" a="1"/>
  <c r="S33" i="201" s="1"/>
  <c r="B126" i="200" s="1"/>
  <c r="Q34" i="201"/>
  <c r="S34" i="201" s="1" a="1"/>
  <c r="S34" i="201" s="1"/>
  <c r="R34" i="201"/>
  <c r="Q35" i="201"/>
  <c r="R35" i="201"/>
  <c r="S35" i="201" a="1"/>
  <c r="S35" i="201" s="1"/>
  <c r="B128" i="200" s="1"/>
  <c r="Q36" i="201"/>
  <c r="S36" i="201" s="1" a="1"/>
  <c r="S36" i="201" s="1"/>
  <c r="B129" i="200" s="1"/>
  <c r="R36" i="201"/>
  <c r="Q37" i="201"/>
  <c r="R37" i="201"/>
  <c r="S37" i="201" a="1"/>
  <c r="S37" i="201" s="1"/>
  <c r="B130" i="200" s="1"/>
  <c r="Q38" i="201"/>
  <c r="S38" i="201" s="1" a="1"/>
  <c r="S38" i="201" s="1"/>
  <c r="B131" i="200" s="1"/>
  <c r="R38" i="201"/>
  <c r="Q39" i="201"/>
  <c r="R39" i="201"/>
  <c r="S39" i="201" a="1"/>
  <c r="S39" i="201" s="1"/>
  <c r="B132" i="200" s="1"/>
  <c r="I16" i="201"/>
  <c r="J16" i="201"/>
  <c r="K16" i="201"/>
  <c r="L16" i="201"/>
  <c r="M16" i="201"/>
  <c r="N16" i="201"/>
  <c r="I17" i="201"/>
  <c r="J17" i="201"/>
  <c r="K17" i="201"/>
  <c r="L17" i="201"/>
  <c r="M17" i="201"/>
  <c r="N17" i="201"/>
  <c r="I18" i="201"/>
  <c r="J18" i="201"/>
  <c r="K18" i="201"/>
  <c r="L18" i="201"/>
  <c r="M18" i="201"/>
  <c r="N18" i="201"/>
  <c r="I27" i="199"/>
  <c r="J27" i="199"/>
  <c r="S88" i="199" s="1" a="1"/>
  <c r="S88" i="199" s="1"/>
  <c r="B92" i="200" s="1"/>
  <c r="K27" i="199"/>
  <c r="L27" i="199"/>
  <c r="M27" i="199"/>
  <c r="N27" i="199"/>
  <c r="S94" i="199" a="1"/>
  <c r="S94" i="199" s="1"/>
  <c r="B98" i="200" s="1"/>
  <c r="I16" i="199"/>
  <c r="J16" i="199"/>
  <c r="K16" i="199"/>
  <c r="L16" i="199"/>
  <c r="M16" i="199"/>
  <c r="N16" i="199"/>
  <c r="S26" i="199" s="1" a="1"/>
  <c r="S26" i="199" s="1"/>
  <c r="B30" i="200" s="1"/>
  <c r="I17" i="199"/>
  <c r="J17" i="199"/>
  <c r="K17" i="199"/>
  <c r="L17" i="199"/>
  <c r="M17" i="199"/>
  <c r="N17" i="199"/>
  <c r="I18" i="199"/>
  <c r="J18" i="199"/>
  <c r="S34" i="199" s="1" a="1"/>
  <c r="S34" i="199" s="1"/>
  <c r="B38" i="200" s="1"/>
  <c r="K18" i="199"/>
  <c r="L18" i="199"/>
  <c r="M18" i="199"/>
  <c r="N18" i="199"/>
  <c r="I19" i="199"/>
  <c r="J19" i="199"/>
  <c r="K19" i="199"/>
  <c r="L19" i="199"/>
  <c r="S42" i="199" s="1" a="1"/>
  <c r="S42" i="199" s="1"/>
  <c r="B46" i="200" s="1"/>
  <c r="M19" i="199"/>
  <c r="N19" i="199"/>
  <c r="K20" i="199"/>
  <c r="L20" i="199"/>
  <c r="M20" i="199"/>
  <c r="N20" i="199"/>
  <c r="S50" i="199" s="1" a="1"/>
  <c r="S50" i="199" s="1"/>
  <c r="B54" i="200" s="1"/>
  <c r="I21" i="199"/>
  <c r="J21" i="199"/>
  <c r="K21" i="199"/>
  <c r="L21" i="199"/>
  <c r="M21" i="199"/>
  <c r="N21" i="199"/>
  <c r="I22" i="199"/>
  <c r="J22" i="199"/>
  <c r="S58" i="199" s="1" a="1"/>
  <c r="S58" i="199" s="1"/>
  <c r="B62" i="200" s="1"/>
  <c r="K22" i="199"/>
  <c r="L22" i="199"/>
  <c r="M22" i="199"/>
  <c r="N22" i="199"/>
  <c r="I23" i="199"/>
  <c r="J23" i="199"/>
  <c r="K23" i="199"/>
  <c r="L23" i="199"/>
  <c r="S66" i="199" s="1" a="1"/>
  <c r="S66" i="199" s="1"/>
  <c r="B70" i="200" s="1"/>
  <c r="M23" i="199"/>
  <c r="N23" i="199"/>
  <c r="I24" i="199"/>
  <c r="J24" i="199"/>
  <c r="K24" i="199"/>
  <c r="L24" i="199"/>
  <c r="M24" i="199"/>
  <c r="N24" i="199"/>
  <c r="S74" i="199" s="1" a="1"/>
  <c r="S74" i="199" s="1"/>
  <c r="B78" i="200" s="1"/>
  <c r="I25" i="199"/>
  <c r="J25" i="199"/>
  <c r="K25" i="199"/>
  <c r="L25" i="199"/>
  <c r="M25" i="199"/>
  <c r="N25" i="199"/>
  <c r="I26" i="199"/>
  <c r="J26" i="199"/>
  <c r="S82" i="199" s="1" a="1"/>
  <c r="S82" i="199" s="1"/>
  <c r="B86" i="200" s="1"/>
  <c r="K26" i="199"/>
  <c r="L26" i="199"/>
  <c r="M26" i="199"/>
  <c r="N26" i="199"/>
  <c r="Q17" i="199"/>
  <c r="S17" i="199" s="1" a="1"/>
  <c r="S17" i="199" s="1"/>
  <c r="B21" i="200" s="1"/>
  <c r="R17" i="199"/>
  <c r="Q18" i="199"/>
  <c r="R18" i="199"/>
  <c r="S18" i="199" a="1"/>
  <c r="S18" i="199" s="1"/>
  <c r="B22" i="200" s="1"/>
  <c r="Q19" i="199"/>
  <c r="S19" i="199" s="1" a="1"/>
  <c r="S19" i="199" s="1"/>
  <c r="B23" i="200" s="1"/>
  <c r="R19" i="199"/>
  <c r="Q20" i="199"/>
  <c r="R20" i="199"/>
  <c r="S20" i="199" a="1"/>
  <c r="S20" i="199" s="1"/>
  <c r="B24" i="200" s="1"/>
  <c r="Q21" i="199"/>
  <c r="S21" i="199" s="1" a="1"/>
  <c r="S21" i="199" s="1"/>
  <c r="B25" i="200" s="1"/>
  <c r="R21" i="199"/>
  <c r="Q22" i="199"/>
  <c r="R22" i="199"/>
  <c r="S22" i="199" a="1"/>
  <c r="S22" i="199" s="1"/>
  <c r="B26" i="200" s="1"/>
  <c r="Q23" i="199"/>
  <c r="S23" i="199" s="1" a="1"/>
  <c r="S23" i="199" s="1"/>
  <c r="B27" i="200" s="1"/>
  <c r="R23" i="199"/>
  <c r="Q24" i="199"/>
  <c r="R24" i="199"/>
  <c r="S24" i="199" a="1"/>
  <c r="S24" i="199" s="1"/>
  <c r="B28" i="200" s="1"/>
  <c r="Q25" i="199"/>
  <c r="S25" i="199" s="1" a="1"/>
  <c r="S25" i="199" s="1"/>
  <c r="B29" i="200" s="1"/>
  <c r="R25" i="199"/>
  <c r="Q26" i="199"/>
  <c r="R26" i="199"/>
  <c r="Q27" i="199"/>
  <c r="S27" i="199" s="1" a="1"/>
  <c r="S27" i="199" s="1"/>
  <c r="B31" i="200" s="1"/>
  <c r="R27" i="199"/>
  <c r="Q28" i="199"/>
  <c r="R28" i="199"/>
  <c r="S28" i="199" a="1"/>
  <c r="S28" i="199" s="1"/>
  <c r="B32" i="200" s="1"/>
  <c r="Q29" i="199"/>
  <c r="S29" i="199" s="1" a="1"/>
  <c r="S29" i="199" s="1"/>
  <c r="B33" i="200" s="1"/>
  <c r="R29" i="199"/>
  <c r="Q30" i="199"/>
  <c r="R30" i="199"/>
  <c r="S30" i="199" a="1"/>
  <c r="S30" i="199" s="1"/>
  <c r="B34" i="200" s="1"/>
  <c r="Q31" i="199"/>
  <c r="S31" i="199" s="1" a="1"/>
  <c r="S31" i="199" s="1"/>
  <c r="B35" i="200" s="1"/>
  <c r="R31" i="199"/>
  <c r="Q32" i="199"/>
  <c r="R32" i="199"/>
  <c r="S32" i="199" a="1"/>
  <c r="S32" i="199" s="1"/>
  <c r="B36" i="200" s="1"/>
  <c r="Q33" i="199"/>
  <c r="R33" i="199"/>
  <c r="Q34" i="199"/>
  <c r="R34" i="199"/>
  <c r="Q35" i="199"/>
  <c r="S35" i="199" s="1" a="1"/>
  <c r="S35" i="199" s="1"/>
  <c r="B39" i="200" s="1"/>
  <c r="R35" i="199"/>
  <c r="Q36" i="199"/>
  <c r="R36" i="199"/>
  <c r="S36" i="199" a="1"/>
  <c r="S36" i="199" s="1"/>
  <c r="B40" i="200" s="1"/>
  <c r="Q37" i="199"/>
  <c r="S37" i="199" s="1" a="1"/>
  <c r="S37" i="199" s="1"/>
  <c r="B41" i="200" s="1"/>
  <c r="R37" i="199"/>
  <c r="Q38" i="199"/>
  <c r="R38" i="199"/>
  <c r="S38" i="199" a="1"/>
  <c r="S38" i="199" s="1"/>
  <c r="B42" i="200" s="1"/>
  <c r="Q39" i="199"/>
  <c r="S39" i="199" s="1" a="1"/>
  <c r="S39" i="199" s="1"/>
  <c r="B43" i="200" s="1"/>
  <c r="R39" i="199"/>
  <c r="Q40" i="199"/>
  <c r="R40" i="199"/>
  <c r="S40" i="199" a="1"/>
  <c r="S40" i="199" s="1"/>
  <c r="B44" i="200" s="1"/>
  <c r="Q41" i="199"/>
  <c r="S41" i="199" s="1" a="1"/>
  <c r="S41" i="199" s="1"/>
  <c r="B45" i="200" s="1"/>
  <c r="R41" i="199"/>
  <c r="Q42" i="199"/>
  <c r="R42" i="199"/>
  <c r="Q43" i="199"/>
  <c r="S43" i="199" s="1" a="1"/>
  <c r="S43" i="199" s="1"/>
  <c r="B47" i="200" s="1"/>
  <c r="R43" i="199"/>
  <c r="Q44" i="199"/>
  <c r="R44" i="199"/>
  <c r="S44" i="199" a="1"/>
  <c r="S44" i="199" s="1"/>
  <c r="B48" i="200" s="1"/>
  <c r="Q45" i="199"/>
  <c r="R45" i="199"/>
  <c r="Q46" i="199"/>
  <c r="R46" i="199"/>
  <c r="Q47" i="199"/>
  <c r="S47" i="199" s="1" a="1"/>
  <c r="S47" i="199" s="1"/>
  <c r="B51" i="200" s="1"/>
  <c r="R47" i="199"/>
  <c r="Q48" i="199"/>
  <c r="R48" i="199"/>
  <c r="S48" i="199" a="1"/>
  <c r="S48" i="199" s="1"/>
  <c r="B52" i="200" s="1"/>
  <c r="Q49" i="199"/>
  <c r="S49" i="199" s="1" a="1"/>
  <c r="S49" i="199" s="1"/>
  <c r="B53" i="200" s="1"/>
  <c r="R49" i="199"/>
  <c r="Q50" i="199"/>
  <c r="R50" i="199"/>
  <c r="Q51" i="199"/>
  <c r="S51" i="199" s="1" a="1"/>
  <c r="S51" i="199" s="1"/>
  <c r="B55" i="200" s="1"/>
  <c r="R51" i="199"/>
  <c r="Q52" i="199"/>
  <c r="R52" i="199"/>
  <c r="S52" i="199" a="1"/>
  <c r="S52" i="199" s="1"/>
  <c r="B56" i="200" s="1"/>
  <c r="Q53" i="199"/>
  <c r="S53" i="199" s="1" a="1"/>
  <c r="S53" i="199" s="1"/>
  <c r="B57" i="200" s="1"/>
  <c r="R53" i="199"/>
  <c r="Q54" i="199"/>
  <c r="R54" i="199"/>
  <c r="S54" i="199" a="1"/>
  <c r="S54" i="199" s="1"/>
  <c r="B58" i="200" s="1"/>
  <c r="Q55" i="199"/>
  <c r="S55" i="199" s="1" a="1"/>
  <c r="S55" i="199" s="1"/>
  <c r="B59" i="200" s="1"/>
  <c r="R55" i="199"/>
  <c r="Q56" i="199"/>
  <c r="R56" i="199"/>
  <c r="S56" i="199" a="1"/>
  <c r="S56" i="199" s="1"/>
  <c r="B60" i="200" s="1"/>
  <c r="Q57" i="199"/>
  <c r="S57" i="199" s="1" a="1"/>
  <c r="S57" i="199" s="1"/>
  <c r="B61" i="200" s="1"/>
  <c r="R57" i="199"/>
  <c r="Q58" i="199"/>
  <c r="R58" i="199"/>
  <c r="Q59" i="199"/>
  <c r="S59" i="199" s="1" a="1"/>
  <c r="S59" i="199" s="1"/>
  <c r="B63" i="200" s="1"/>
  <c r="R59" i="199"/>
  <c r="Q60" i="199"/>
  <c r="R60" i="199"/>
  <c r="S60" i="199" a="1"/>
  <c r="S60" i="199" s="1"/>
  <c r="B64" i="200" s="1"/>
  <c r="Q61" i="199"/>
  <c r="S61" i="199" s="1" a="1"/>
  <c r="S61" i="199" s="1"/>
  <c r="B65" i="200" s="1"/>
  <c r="R61" i="199"/>
  <c r="Q62" i="199"/>
  <c r="R62" i="199"/>
  <c r="S62" i="199" a="1"/>
  <c r="S62" i="199" s="1"/>
  <c r="B66" i="200" s="1"/>
  <c r="Q63" i="199"/>
  <c r="S63" i="199" s="1" a="1"/>
  <c r="S63" i="199" s="1"/>
  <c r="B67" i="200" s="1"/>
  <c r="R63" i="199"/>
  <c r="Q64" i="199"/>
  <c r="R64" i="199"/>
  <c r="S64" i="199" a="1"/>
  <c r="S64" i="199" s="1"/>
  <c r="B68" i="200" s="1"/>
  <c r="Q65" i="199"/>
  <c r="S65" i="199" s="1" a="1"/>
  <c r="S65" i="199" s="1"/>
  <c r="B69" i="200" s="1"/>
  <c r="R65" i="199"/>
  <c r="Q66" i="199"/>
  <c r="R66" i="199"/>
  <c r="Q67" i="199"/>
  <c r="S67" i="199" s="1" a="1"/>
  <c r="S67" i="199" s="1"/>
  <c r="B71" i="200" s="1"/>
  <c r="R67" i="199"/>
  <c r="Q68" i="199"/>
  <c r="R68" i="199"/>
  <c r="S68" i="199" a="1"/>
  <c r="S68" i="199" s="1"/>
  <c r="B72" i="200" s="1"/>
  <c r="Q69" i="199"/>
  <c r="S69" i="199" s="1" a="1"/>
  <c r="S69" i="199" s="1"/>
  <c r="B73" i="200" s="1"/>
  <c r="R69" i="199"/>
  <c r="Q70" i="199"/>
  <c r="R70" i="199"/>
  <c r="S70" i="199" a="1"/>
  <c r="S70" i="199" s="1"/>
  <c r="B74" i="200" s="1"/>
  <c r="Q71" i="199"/>
  <c r="S71" i="199" s="1" a="1"/>
  <c r="S71" i="199" s="1"/>
  <c r="B75" i="200" s="1"/>
  <c r="R71" i="199"/>
  <c r="Q72" i="199"/>
  <c r="R72" i="199"/>
  <c r="S72" i="199" a="1"/>
  <c r="S72" i="199" s="1"/>
  <c r="B76" i="200" s="1"/>
  <c r="Q73" i="199"/>
  <c r="S73" i="199" s="1" a="1"/>
  <c r="S73" i="199" s="1"/>
  <c r="B77" i="200" s="1"/>
  <c r="R73" i="199"/>
  <c r="Q74" i="199"/>
  <c r="R74" i="199"/>
  <c r="Q75" i="199"/>
  <c r="S75" i="199" s="1" a="1"/>
  <c r="S75" i="199" s="1"/>
  <c r="B79" i="200" s="1"/>
  <c r="R75" i="199"/>
  <c r="Q76" i="199"/>
  <c r="R76" i="199"/>
  <c r="S76" i="199" a="1"/>
  <c r="S76" i="199" s="1"/>
  <c r="B80" i="200" s="1"/>
  <c r="Q77" i="199"/>
  <c r="S77" i="199" s="1" a="1"/>
  <c r="S77" i="199" s="1"/>
  <c r="B81" i="200" s="1"/>
  <c r="R77" i="199"/>
  <c r="Q78" i="199"/>
  <c r="R78" i="199"/>
  <c r="S78" i="199" a="1"/>
  <c r="S78" i="199" s="1"/>
  <c r="B82" i="200" s="1"/>
  <c r="Q79" i="199"/>
  <c r="S79" i="199" s="1" a="1"/>
  <c r="S79" i="199" s="1"/>
  <c r="B83" i="200" s="1"/>
  <c r="R79" i="199"/>
  <c r="Q80" i="199"/>
  <c r="R80" i="199"/>
  <c r="S80" i="199" a="1"/>
  <c r="S80" i="199" s="1"/>
  <c r="B84" i="200" s="1"/>
  <c r="Q81" i="199"/>
  <c r="S81" i="199" s="1" a="1"/>
  <c r="S81" i="199" s="1"/>
  <c r="B85" i="200" s="1"/>
  <c r="R81" i="199"/>
  <c r="Q82" i="199"/>
  <c r="R82" i="199"/>
  <c r="Q83" i="199"/>
  <c r="S83" i="199" s="1" a="1"/>
  <c r="S83" i="199" s="1"/>
  <c r="B87" i="200" s="1"/>
  <c r="R83" i="199"/>
  <c r="Q84" i="199"/>
  <c r="R84" i="199"/>
  <c r="S84" i="199" a="1"/>
  <c r="S84" i="199" s="1"/>
  <c r="B88" i="200" s="1"/>
  <c r="Q85" i="199"/>
  <c r="S85" i="199" s="1" a="1"/>
  <c r="S85" i="199" s="1"/>
  <c r="B89" i="200" s="1"/>
  <c r="R85" i="199"/>
  <c r="Q86" i="199"/>
  <c r="R86" i="199"/>
  <c r="S86" i="199" a="1"/>
  <c r="S86" i="199" s="1"/>
  <c r="B90" i="200" s="1"/>
  <c r="Q87" i="199"/>
  <c r="S87" i="199" s="1" a="1"/>
  <c r="S87" i="199" s="1"/>
  <c r="B91" i="200" s="1"/>
  <c r="R87" i="199"/>
  <c r="Q88" i="199"/>
  <c r="R88" i="199"/>
  <c r="Q89" i="199"/>
  <c r="S89" i="199" s="1" a="1"/>
  <c r="S89" i="199" s="1"/>
  <c r="B93" i="200" s="1"/>
  <c r="R89" i="199"/>
  <c r="Q90" i="199"/>
  <c r="R90" i="199"/>
  <c r="S90" i="199" a="1"/>
  <c r="S90" i="199" s="1"/>
  <c r="B94" i="200" s="1"/>
  <c r="Q91" i="199"/>
  <c r="R91" i="199"/>
  <c r="Q92" i="199"/>
  <c r="R92" i="199"/>
  <c r="S92" i="199" a="1"/>
  <c r="S92" i="199" s="1"/>
  <c r="B96" i="200" s="1"/>
  <c r="Q93" i="199"/>
  <c r="S93" i="199" s="1" a="1"/>
  <c r="S93" i="199" s="1"/>
  <c r="B97" i="200" s="1"/>
  <c r="R93" i="199"/>
  <c r="Q94" i="199"/>
  <c r="R94" i="199"/>
  <c r="Q95" i="199"/>
  <c r="S95" i="199" s="1" a="1"/>
  <c r="S95" i="199" s="1"/>
  <c r="B99" i="200" s="1"/>
  <c r="R95" i="199"/>
  <c r="Q96" i="199"/>
  <c r="R96" i="199"/>
  <c r="S96" i="199" a="1"/>
  <c r="S96" i="199" s="1"/>
  <c r="B100" i="200"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Q139" i="199"/>
  <c r="S139" i="199" s="1" a="1"/>
  <c r="S139" i="199" s="1"/>
  <c r="R139" i="199"/>
  <c r="Q140" i="199"/>
  <c r="R140" i="199"/>
  <c r="S140" i="199" a="1"/>
  <c r="S140" i="199" s="1"/>
  <c r="Q141" i="199"/>
  <c r="S141" i="199" s="1" a="1"/>
  <c r="S141" i="199" s="1"/>
  <c r="R141" i="199"/>
  <c r="Q142" i="199"/>
  <c r="R142" i="199"/>
  <c r="S142" i="199" a="1"/>
  <c r="S142" i="199" s="1"/>
  <c r="Q143" i="199"/>
  <c r="S143" i="199" s="1" a="1"/>
  <c r="S143" i="199" s="1"/>
  <c r="R143" i="199"/>
  <c r="Q144" i="199"/>
  <c r="R144" i="199"/>
  <c r="S144" i="199" a="1"/>
  <c r="S144" i="199" s="1"/>
  <c r="Q145" i="199"/>
  <c r="S145" i="199" s="1" a="1"/>
  <c r="S145" i="199" s="1"/>
  <c r="R145" i="199"/>
  <c r="Q146" i="199"/>
  <c r="R146" i="199"/>
  <c r="S146" i="199" a="1"/>
  <c r="S146" i="199" s="1"/>
  <c r="Q16" i="199"/>
  <c r="S16" i="199" s="1" a="1"/>
  <c r="S16" i="199" s="1"/>
  <c r="B20" i="200" s="1"/>
  <c r="R16" i="199"/>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82" i="215" l="1" a="1"/>
  <c r="S182" i="215" s="1"/>
  <c r="S169" i="215" a="1"/>
  <c r="S169" i="215" s="1"/>
  <c r="S166" i="215" a="1"/>
  <c r="S166" i="215" s="1"/>
  <c r="S153" i="215" a="1"/>
  <c r="S153" i="215" s="1"/>
  <c r="S150" i="215" a="1"/>
  <c r="S150" i="215" s="1"/>
  <c r="S137" i="215" a="1"/>
  <c r="S137" i="215" s="1"/>
  <c r="S134" i="215" a="1"/>
  <c r="S134" i="215" s="1"/>
  <c r="S121" i="215" a="1"/>
  <c r="S121" i="215" s="1"/>
  <c r="S118" i="215" a="1"/>
  <c r="S118" i="215" s="1"/>
  <c r="S105" i="215" a="1"/>
  <c r="S105" i="215" s="1"/>
  <c r="S102" i="215" a="1"/>
  <c r="S102" i="215" s="1"/>
  <c r="S89" i="215" a="1"/>
  <c r="S89" i="215" s="1"/>
  <c r="S73" i="215" a="1"/>
  <c r="S73" i="215" s="1"/>
  <c r="S57" i="215" a="1"/>
  <c r="S57" i="215" s="1"/>
  <c r="S181" i="215" a="1"/>
  <c r="S181" i="215" s="1"/>
  <c r="S178" i="215" a="1"/>
  <c r="S178" i="215" s="1"/>
  <c r="S165" i="215" a="1"/>
  <c r="S165" i="215" s="1"/>
  <c r="S162" i="215" a="1"/>
  <c r="S162" i="215" s="1"/>
  <c r="S149" i="215" a="1"/>
  <c r="S149" i="215" s="1"/>
  <c r="S146" i="215" a="1"/>
  <c r="S146" i="215" s="1"/>
  <c r="S133" i="215" a="1"/>
  <c r="S133" i="215" s="1"/>
  <c r="S130" i="215" a="1"/>
  <c r="S130" i="215" s="1"/>
  <c r="S117" i="215" a="1"/>
  <c r="S117" i="215" s="1"/>
  <c r="S114" i="215" a="1"/>
  <c r="S114" i="215" s="1"/>
  <c r="S101" i="215" a="1"/>
  <c r="S101" i="215" s="1"/>
  <c r="S98" i="215" a="1"/>
  <c r="S98" i="215" s="1"/>
  <c r="S85" i="215" a="1"/>
  <c r="S85" i="215" s="1"/>
  <c r="S69" i="215" a="1"/>
  <c r="S69" i="215" s="1"/>
  <c r="S53" i="215" a="1"/>
  <c r="S53" i="215" s="1"/>
  <c r="S177" i="215" a="1"/>
  <c r="S177" i="215" s="1"/>
  <c r="S174" i="215" a="1"/>
  <c r="S174" i="215" s="1"/>
  <c r="S161" i="215" a="1"/>
  <c r="S161" i="215" s="1"/>
  <c r="S158" i="215" a="1"/>
  <c r="S158" i="215" s="1"/>
  <c r="S145" i="215" a="1"/>
  <c r="S145" i="215" s="1"/>
  <c r="S142" i="215" a="1"/>
  <c r="S142" i="215" s="1"/>
  <c r="S129" i="215" a="1"/>
  <c r="S129" i="215" s="1"/>
  <c r="S126" i="215" a="1"/>
  <c r="S126" i="215" s="1"/>
  <c r="S113" i="215" a="1"/>
  <c r="S113" i="215" s="1"/>
  <c r="S110" i="215" a="1"/>
  <c r="S110" i="215" s="1"/>
  <c r="S97" i="215" a="1"/>
  <c r="S97" i="215" s="1"/>
  <c r="S94" i="215" a="1"/>
  <c r="S94" i="215" s="1"/>
  <c r="S81" i="215" a="1"/>
  <c r="S81" i="215" s="1"/>
  <c r="S65" i="215" a="1"/>
  <c r="S65" i="215" s="1"/>
  <c r="S49" i="215" a="1"/>
  <c r="S49" i="215" s="1"/>
  <c r="S16" i="256" a="1"/>
  <c r="S16" i="256" s="1"/>
  <c r="B206" i="200" s="1"/>
  <c r="S60" i="255" a="1"/>
  <c r="S60" i="255" s="1"/>
  <c r="B263" i="200" s="1"/>
  <c r="S44" i="255" a="1"/>
  <c r="S44" i="255" s="1"/>
  <c r="B247" i="200" s="1"/>
  <c r="S28" i="255" a="1"/>
  <c r="S28" i="255" s="1"/>
  <c r="B231" i="200" s="1"/>
  <c r="S100" i="255" a="1"/>
  <c r="S100" i="255" s="1"/>
  <c r="B303" i="200" s="1"/>
  <c r="S84" i="255" a="1"/>
  <c r="S84" i="255" s="1"/>
  <c r="B287" i="200" s="1"/>
  <c r="S76" i="255" a="1"/>
  <c r="S76" i="255" s="1"/>
  <c r="B279" i="200" s="1"/>
  <c r="S68" i="255" a="1"/>
  <c r="S68" i="255" s="1"/>
  <c r="B271" i="200" s="1"/>
  <c r="S52" i="255" a="1"/>
  <c r="S52" i="255" s="1"/>
  <c r="B255" i="200" s="1"/>
  <c r="S36" i="255" a="1"/>
  <c r="S36" i="255" s="1"/>
  <c r="B239" i="200" s="1"/>
  <c r="S17" i="255" a="1"/>
  <c r="S17" i="255" s="1"/>
  <c r="B220" i="200" s="1"/>
  <c r="S91" i="199" a="1"/>
  <c r="S91" i="199" s="1"/>
  <c r="B95" i="200" s="1"/>
  <c r="S33" i="199" a="1"/>
  <c r="S33" i="199" s="1"/>
  <c r="B37" i="200" s="1"/>
  <c r="S15" i="255" a="1"/>
  <c r="S15" i="255" s="1"/>
  <c r="B218" i="200" s="1"/>
  <c r="B27" i="199" l="1"/>
  <c r="C27" i="199"/>
  <c r="B16" i="199"/>
  <c r="C16" i="199"/>
  <c r="B17" i="199"/>
  <c r="C17" i="199"/>
  <c r="B18" i="199"/>
  <c r="C18" i="199"/>
  <c r="B19" i="199"/>
  <c r="C19" i="199"/>
  <c r="B20" i="199"/>
  <c r="I20" i="199" s="1"/>
  <c r="S45" i="199" s="1" a="1"/>
  <c r="S45" i="199" s="1"/>
  <c r="B49" i="200" s="1"/>
  <c r="C20" i="199"/>
  <c r="J20" i="199" s="1"/>
  <c r="S46" i="199" s="1" a="1"/>
  <c r="S46" i="199" s="1"/>
  <c r="B50" i="200" s="1"/>
  <c r="B21" i="199"/>
  <c r="C21" i="199"/>
  <c r="B22" i="199"/>
  <c r="C22" i="199"/>
  <c r="B23" i="199"/>
  <c r="C23" i="199"/>
  <c r="B24" i="199"/>
  <c r="C24" i="199"/>
  <c r="B25" i="199"/>
  <c r="C25" i="199"/>
  <c r="B26" i="199"/>
  <c r="C26" i="199"/>
  <c r="B20" i="198"/>
  <c r="B21" i="198"/>
  <c r="B22" i="198"/>
  <c r="B23" i="198"/>
  <c r="B24" i="198"/>
  <c r="B25" i="198"/>
  <c r="B26" i="198"/>
  <c r="B27" i="198"/>
  <c r="B28" i="198"/>
  <c r="B29" i="198"/>
  <c r="B30" i="198"/>
  <c r="B31" i="198"/>
  <c r="B32" i="198"/>
  <c r="B33" i="198"/>
  <c r="B34" i="198"/>
  <c r="B35" i="198"/>
  <c r="B36" i="198"/>
  <c r="B37" i="198"/>
  <c r="B38" i="198"/>
  <c r="B39" i="198"/>
  <c r="B40" i="198"/>
  <c r="B41" i="198"/>
  <c r="B42" i="198"/>
  <c r="B43" i="198"/>
  <c r="B44" i="198"/>
  <c r="B45" i="198"/>
  <c r="B46" i="198"/>
  <c r="B47" i="198"/>
  <c r="B48" i="198"/>
  <c r="B49" i="198"/>
  <c r="B50" i="198"/>
  <c r="B51" i="198"/>
  <c r="Q16" i="196"/>
  <c r="S16" i="196" s="1" a="1"/>
  <c r="S16" i="196" s="1"/>
  <c r="R16" i="196"/>
  <c r="Q17" i="196"/>
  <c r="S17" i="196" s="1" a="1"/>
  <c r="S17" i="196" s="1"/>
  <c r="R17" i="196"/>
  <c r="Q18" i="196"/>
  <c r="S18" i="196" s="1" a="1"/>
  <c r="S18" i="196" s="1"/>
  <c r="R18" i="196"/>
  <c r="Q19" i="196"/>
  <c r="S19" i="196" s="1" a="1"/>
  <c r="S19" i="196" s="1"/>
  <c r="R19" i="196"/>
  <c r="Q20" i="196"/>
  <c r="S20" i="196" s="1" a="1"/>
  <c r="S20" i="196" s="1"/>
  <c r="R20" i="196"/>
  <c r="Q21" i="196"/>
  <c r="S21" i="196" s="1" a="1"/>
  <c r="S21" i="196" s="1"/>
  <c r="R21" i="196"/>
  <c r="Q22" i="196"/>
  <c r="S22" i="196" s="1" a="1"/>
  <c r="S22" i="196" s="1"/>
  <c r="R22" i="196"/>
  <c r="Q23" i="196"/>
  <c r="S23" i="196" s="1" a="1"/>
  <c r="S23" i="196" s="1"/>
  <c r="R23" i="196"/>
  <c r="Q24" i="196"/>
  <c r="S24" i="196" s="1" a="1"/>
  <c r="S24" i="196" s="1"/>
  <c r="R24" i="196"/>
  <c r="Q25" i="196"/>
  <c r="S25" i="196" s="1" a="1"/>
  <c r="S25" i="196" s="1"/>
  <c r="R25" i="196"/>
  <c r="Q26" i="196"/>
  <c r="S26" i="196" s="1" a="1"/>
  <c r="S26" i="196" s="1"/>
  <c r="R26" i="196"/>
  <c r="Q27" i="196"/>
  <c r="S27" i="196" s="1" a="1"/>
  <c r="S27" i="196" s="1"/>
  <c r="R27" i="196"/>
  <c r="Q28" i="196"/>
  <c r="S28" i="196" s="1" a="1"/>
  <c r="S28" i="196" s="1"/>
  <c r="R28" i="196"/>
  <c r="Q29" i="196"/>
  <c r="S29" i="196" s="1" a="1"/>
  <c r="S29" i="196" s="1"/>
  <c r="R29" i="196"/>
  <c r="Q30" i="196"/>
  <c r="S30" i="196" s="1" a="1"/>
  <c r="S30" i="196" s="1"/>
  <c r="R30" i="196"/>
  <c r="Q31" i="196"/>
  <c r="S31" i="196" s="1" a="1"/>
  <c r="S31" i="196" s="1"/>
  <c r="R31" i="196"/>
  <c r="Q32" i="196"/>
  <c r="S32" i="196" s="1" a="1"/>
  <c r="S32" i="196" s="1"/>
  <c r="R32" i="196"/>
  <c r="Q33" i="196"/>
  <c r="S33" i="196" s="1" a="1"/>
  <c r="S33" i="196" s="1"/>
  <c r="R33" i="196"/>
  <c r="Q34" i="196"/>
  <c r="S34" i="196" s="1" a="1"/>
  <c r="S34" i="196" s="1"/>
  <c r="R34" i="196"/>
  <c r="Q35" i="196"/>
  <c r="S35" i="196" s="1" a="1"/>
  <c r="S35" i="196" s="1"/>
  <c r="R35" i="196"/>
  <c r="Q36" i="196"/>
  <c r="S36" i="196" s="1" a="1"/>
  <c r="S36" i="196" s="1"/>
  <c r="R36" i="196"/>
  <c r="Q37" i="196"/>
  <c r="S37" i="196" s="1" a="1"/>
  <c r="S37" i="196" s="1"/>
  <c r="R37" i="196"/>
  <c r="Q38" i="196"/>
  <c r="S38" i="196" s="1" a="1"/>
  <c r="S38" i="196" s="1"/>
  <c r="R38" i="196"/>
  <c r="Q39" i="196"/>
  <c r="S39" i="196" s="1" a="1"/>
  <c r="S39" i="196" s="1"/>
  <c r="R39" i="196"/>
  <c r="Q40" i="196"/>
  <c r="S40" i="196" s="1" a="1"/>
  <c r="S40" i="196" s="1"/>
  <c r="R40" i="196"/>
  <c r="Q41" i="196"/>
  <c r="S41" i="196" s="1" a="1"/>
  <c r="S41" i="196" s="1"/>
  <c r="R41" i="196"/>
  <c r="Q42" i="196"/>
  <c r="S42" i="196" s="1" a="1"/>
  <c r="S42" i="196" s="1"/>
  <c r="R42" i="196"/>
  <c r="Q43" i="196"/>
  <c r="S43" i="196" s="1" a="1"/>
  <c r="S43" i="196" s="1"/>
  <c r="R43" i="196"/>
  <c r="Q44" i="196"/>
  <c r="S44" i="196" s="1" a="1"/>
  <c r="S44" i="196" s="1"/>
  <c r="R44" i="196"/>
  <c r="Q45" i="196"/>
  <c r="S45" i="196" s="1" a="1"/>
  <c r="S45" i="196" s="1"/>
  <c r="R45" i="196"/>
  <c r="Q46" i="196"/>
  <c r="S46" i="196" s="1" a="1"/>
  <c r="S46" i="196" s="1"/>
  <c r="R46" i="196"/>
  <c r="Q47" i="196"/>
  <c r="S47" i="196" s="1" a="1"/>
  <c r="S47" i="196" s="1"/>
  <c r="R47" i="196"/>
  <c r="Q48" i="196"/>
  <c r="S48" i="196" s="1" a="1"/>
  <c r="S48" i="196" s="1"/>
  <c r="R48" i="196"/>
  <c r="Q49" i="196"/>
  <c r="S49" i="196" s="1" a="1"/>
  <c r="S49" i="196" s="1"/>
  <c r="R49" i="196"/>
  <c r="Q50" i="196"/>
  <c r="S50" i="196" s="1" a="1"/>
  <c r="S50" i="196" s="1"/>
  <c r="R50" i="196"/>
  <c r="Q51" i="196"/>
  <c r="S51" i="196" s="1" a="1"/>
  <c r="S51" i="196" s="1"/>
  <c r="R51" i="196"/>
  <c r="Q52" i="196"/>
  <c r="S52" i="196" s="1" a="1"/>
  <c r="S52" i="196" s="1"/>
  <c r="R52" i="196"/>
  <c r="Q53" i="196"/>
  <c r="S53" i="196" s="1" a="1"/>
  <c r="S53" i="196" s="1"/>
  <c r="R53" i="196"/>
  <c r="Q54" i="196"/>
  <c r="S54" i="196" s="1" a="1"/>
  <c r="S54" i="196" s="1"/>
  <c r="R54" i="196"/>
  <c r="Q55" i="196"/>
  <c r="S55" i="196" s="1" a="1"/>
  <c r="S55" i="196" s="1"/>
  <c r="R55" i="196"/>
  <c r="Q56" i="196"/>
  <c r="S56" i="196" s="1" a="1"/>
  <c r="S56" i="196" s="1"/>
  <c r="R56" i="196"/>
  <c r="Q57" i="196"/>
  <c r="S57" i="196" s="1" a="1"/>
  <c r="S57" i="196" s="1"/>
  <c r="R57" i="196"/>
  <c r="Q58" i="196"/>
  <c r="S58" i="196" s="1" a="1"/>
  <c r="S58" i="196" s="1"/>
  <c r="R58" i="196"/>
  <c r="Q59" i="196"/>
  <c r="S59" i="196" s="1" a="1"/>
  <c r="S59" i="196" s="1"/>
  <c r="R59" i="196"/>
  <c r="Q60" i="196"/>
  <c r="S60" i="196" s="1" a="1"/>
  <c r="S60" i="196" s="1"/>
  <c r="R60" i="196"/>
  <c r="Q61" i="196"/>
  <c r="S61" i="196" s="1" a="1"/>
  <c r="S61" i="196" s="1"/>
  <c r="R61" i="196"/>
  <c r="Q62" i="196"/>
  <c r="S62" i="196" s="1" a="1"/>
  <c r="S62" i="196" s="1"/>
  <c r="R62" i="196"/>
  <c r="Q63" i="196"/>
  <c r="S63" i="196" s="1" a="1"/>
  <c r="S63" i="196" s="1"/>
  <c r="R63" i="196"/>
  <c r="I16" i="196"/>
  <c r="J16" i="196"/>
  <c r="K16" i="196"/>
  <c r="L16" i="196"/>
  <c r="M16" i="196"/>
  <c r="N16" i="196"/>
  <c r="I17" i="196"/>
  <c r="J17" i="196"/>
  <c r="K17" i="196"/>
  <c r="L17" i="196"/>
  <c r="M17" i="196"/>
  <c r="N17" i="196"/>
  <c r="I18" i="196"/>
  <c r="J18" i="196"/>
  <c r="K18" i="196"/>
  <c r="L18" i="196"/>
  <c r="M18" i="196"/>
  <c r="N18" i="196"/>
  <c r="I19" i="196"/>
  <c r="J19" i="196"/>
  <c r="K19" i="196"/>
  <c r="L19" i="196"/>
  <c r="M19" i="196"/>
  <c r="N19" i="196"/>
  <c r="B363" i="179"/>
  <c r="B364" i="179"/>
  <c r="B365" i="179"/>
  <c r="B366" i="179"/>
  <c r="B367" i="179"/>
  <c r="B368" i="179"/>
  <c r="B369" i="179"/>
  <c r="B370" i="179"/>
  <c r="B371" i="179"/>
  <c r="B372" i="179"/>
  <c r="B342" i="179"/>
  <c r="B343" i="179"/>
  <c r="B344" i="179"/>
  <c r="B345" i="179"/>
  <c r="B346" i="179"/>
  <c r="B347" i="179"/>
  <c r="B348" i="179"/>
  <c r="B349" i="179"/>
  <c r="B350" i="179"/>
  <c r="B351" i="179"/>
  <c r="B352" i="179"/>
  <c r="B353" i="179"/>
  <c r="B354" i="179"/>
  <c r="B355" i="179"/>
  <c r="B356" i="179"/>
  <c r="B357" i="179"/>
  <c r="B358" i="179"/>
  <c r="B359" i="179"/>
  <c r="B360" i="179"/>
  <c r="B361" i="179"/>
  <c r="B362" i="179"/>
  <c r="B91" i="179"/>
  <c r="B92" i="179"/>
  <c r="B93" i="179"/>
  <c r="B100" i="179"/>
  <c r="B107" i="179"/>
  <c r="B108" i="179"/>
  <c r="B109" i="179"/>
  <c r="B115" i="179"/>
  <c r="B116" i="179"/>
  <c r="B125" i="179"/>
  <c r="B132" i="179"/>
  <c r="B133" i="179"/>
  <c r="B141" i="179"/>
  <c r="B148" i="179"/>
  <c r="B156" i="179"/>
  <c r="B157" i="179"/>
  <c r="B165" i="179"/>
  <c r="B172" i="179"/>
  <c r="B173" i="179"/>
  <c r="B188" i="179"/>
  <c r="B189" i="179"/>
  <c r="B196" i="179"/>
  <c r="B197" i="179"/>
  <c r="B204" i="179"/>
  <c r="B205" i="179"/>
  <c r="B212" i="179"/>
  <c r="B221" i="179"/>
  <c r="B228" i="179"/>
  <c r="B229" i="179"/>
  <c r="B236" i="179"/>
  <c r="B245" i="179"/>
  <c r="B252" i="179"/>
  <c r="B253" i="179"/>
  <c r="B260" i="179"/>
  <c r="B261" i="179"/>
  <c r="B268" i="179"/>
  <c r="B269" i="179"/>
  <c r="B277" i="179"/>
  <c r="B284" i="179"/>
  <c r="B285" i="179"/>
  <c r="B292" i="179"/>
  <c r="B293" i="179"/>
  <c r="B300" i="179"/>
  <c r="B301" i="179"/>
  <c r="B88" i="179"/>
  <c r="Q16" i="178"/>
  <c r="S16" i="178" s="1" a="1"/>
  <c r="S16" i="178" s="1"/>
  <c r="R16" i="178"/>
  <c r="Q17" i="178"/>
  <c r="R17" i="178"/>
  <c r="S17" i="178" s="1" a="1"/>
  <c r="S17" i="178" s="1"/>
  <c r="Q18" i="178"/>
  <c r="S18" i="178" s="1" a="1"/>
  <c r="S18" i="178" s="1"/>
  <c r="R18" i="178"/>
  <c r="Q19" i="178"/>
  <c r="R19" i="178"/>
  <c r="S19" i="178" s="1" a="1"/>
  <c r="S19" i="178" s="1"/>
  <c r="B23" i="179" s="1"/>
  <c r="Q20" i="178"/>
  <c r="S20" i="178" s="1" a="1"/>
  <c r="S20" i="178" s="1"/>
  <c r="R20" i="178"/>
  <c r="Q21" i="178"/>
  <c r="R21" i="178"/>
  <c r="S21" i="178" s="1" a="1"/>
  <c r="S21" i="178" s="1"/>
  <c r="B25" i="179" s="1"/>
  <c r="Q22" i="178"/>
  <c r="S22" i="178" s="1" a="1"/>
  <c r="S22" i="178" s="1"/>
  <c r="R22" i="178"/>
  <c r="Q23" i="178"/>
  <c r="R23" i="178"/>
  <c r="S23" i="178" s="1" a="1"/>
  <c r="S23" i="178" s="1"/>
  <c r="Q24" i="178"/>
  <c r="S24" i="178" s="1" a="1"/>
  <c r="S24" i="178" s="1"/>
  <c r="R24" i="178"/>
  <c r="Q25" i="178"/>
  <c r="R25" i="178"/>
  <c r="S25" i="178" s="1" a="1"/>
  <c r="S25" i="178" s="1"/>
  <c r="Q26" i="178"/>
  <c r="S26" i="178" s="1" a="1"/>
  <c r="S26" i="178" s="1"/>
  <c r="R26" i="178"/>
  <c r="Q27" i="178"/>
  <c r="R27" i="178"/>
  <c r="S27" i="178" s="1" a="1"/>
  <c r="S27" i="178" s="1"/>
  <c r="Q28" i="178"/>
  <c r="S28" i="178" s="1" a="1"/>
  <c r="S28" i="178" s="1"/>
  <c r="B32" i="179" s="1"/>
  <c r="R28" i="178"/>
  <c r="Q29" i="178"/>
  <c r="R29" i="178"/>
  <c r="S29" i="178" s="1" a="1"/>
  <c r="S29" i="178" s="1"/>
  <c r="Q30" i="178"/>
  <c r="S30" i="178" s="1" a="1"/>
  <c r="S30" i="178" s="1"/>
  <c r="R30" i="178"/>
  <c r="Q31" i="178"/>
  <c r="R31" i="178"/>
  <c r="Q32" i="178"/>
  <c r="S32" i="178" s="1" a="1"/>
  <c r="S32" i="178" s="1"/>
  <c r="R32" i="178"/>
  <c r="Q33" i="178"/>
  <c r="R33" i="178"/>
  <c r="Q34" i="178"/>
  <c r="S34" i="178" s="1" a="1"/>
  <c r="S34" i="178" s="1"/>
  <c r="R34" i="178"/>
  <c r="Q35" i="178"/>
  <c r="S35" i="178" s="1" a="1"/>
  <c r="S35" i="178" s="1"/>
  <c r="R35" i="178"/>
  <c r="Q36" i="178"/>
  <c r="S36" i="178" s="1" a="1"/>
  <c r="S36" i="178" s="1"/>
  <c r="B40" i="179" s="1"/>
  <c r="R36" i="178"/>
  <c r="Q37" i="178"/>
  <c r="R37" i="178"/>
  <c r="Q38" i="178"/>
  <c r="S38" i="178" s="1" a="1"/>
  <c r="S38" i="178" s="1"/>
  <c r="R38" i="178"/>
  <c r="Q39" i="178"/>
  <c r="R39" i="178"/>
  <c r="Q40" i="178"/>
  <c r="R40" i="178"/>
  <c r="Q41" i="178"/>
  <c r="S41" i="178" s="1" a="1"/>
  <c r="S41" i="178" s="1"/>
  <c r="R41" i="178"/>
  <c r="Q42" i="178"/>
  <c r="S42" i="178" s="1" a="1"/>
  <c r="S42" i="178" s="1"/>
  <c r="R42" i="178"/>
  <c r="Q43" i="178"/>
  <c r="R43" i="178"/>
  <c r="S43" i="178" a="1"/>
  <c r="S43" i="178" s="1"/>
  <c r="B47" i="179" s="1"/>
  <c r="Q44" i="178"/>
  <c r="S44" i="178" s="1" a="1"/>
  <c r="S44" i="178" s="1"/>
  <c r="B48" i="179" s="1"/>
  <c r="R44" i="178"/>
  <c r="Q45" i="178"/>
  <c r="S45" i="178" s="1" a="1"/>
  <c r="S45" i="178" s="1"/>
  <c r="B49" i="179" s="1"/>
  <c r="R45" i="178"/>
  <c r="Q46" i="178"/>
  <c r="S46" i="178" s="1" a="1"/>
  <c r="S46" i="178" s="1"/>
  <c r="R46" i="178"/>
  <c r="Q47" i="178"/>
  <c r="R47" i="178"/>
  <c r="S47" i="178" a="1"/>
  <c r="S47" i="178" s="1"/>
  <c r="Q48" i="178"/>
  <c r="R48" i="178"/>
  <c r="Q49" i="178"/>
  <c r="R49" i="178"/>
  <c r="Q50" i="178"/>
  <c r="S50" i="178" s="1" a="1"/>
  <c r="S50" i="178" s="1"/>
  <c r="R50" i="178"/>
  <c r="Q51" i="178"/>
  <c r="R51" i="178"/>
  <c r="S51" i="178" a="1"/>
  <c r="S51" i="178"/>
  <c r="Q52" i="178"/>
  <c r="S52" i="178" s="1" a="1"/>
  <c r="S52" i="178" s="1"/>
  <c r="R52" i="178"/>
  <c r="Q53" i="178"/>
  <c r="S53" i="178" s="1" a="1"/>
  <c r="S53" i="178" s="1"/>
  <c r="R53" i="178"/>
  <c r="Q54" i="178"/>
  <c r="R54" i="178"/>
  <c r="Q55" i="178"/>
  <c r="R55" i="178"/>
  <c r="S55" i="178" a="1"/>
  <c r="S55" i="178" s="1"/>
  <c r="Q56" i="178"/>
  <c r="R56" i="178"/>
  <c r="Q57" i="178"/>
  <c r="S57" i="178" s="1" a="1"/>
  <c r="S57" i="178" s="1"/>
  <c r="R57" i="178"/>
  <c r="Q58" i="178"/>
  <c r="S58" i="178" s="1" a="1"/>
  <c r="S58" i="178" s="1"/>
  <c r="R58" i="178"/>
  <c r="Q59" i="178"/>
  <c r="R59" i="178"/>
  <c r="S59" i="178" a="1"/>
  <c r="S59" i="178" s="1"/>
  <c r="B63" i="179" s="1"/>
  <c r="Q60" i="178"/>
  <c r="S60" i="178" s="1" a="1"/>
  <c r="S60" i="178" s="1"/>
  <c r="R60" i="178"/>
  <c r="Q61" i="178"/>
  <c r="S61" i="178" s="1" a="1"/>
  <c r="S61" i="178" s="1"/>
  <c r="B65" i="179" s="1"/>
  <c r="R61" i="178"/>
  <c r="Q62" i="178"/>
  <c r="R62" i="178"/>
  <c r="Q63" i="178"/>
  <c r="R63" i="178"/>
  <c r="S63" i="178" a="1"/>
  <c r="S63" i="178" s="1"/>
  <c r="Q64" i="178"/>
  <c r="S64" i="178" s="1" a="1"/>
  <c r="S64" i="178" s="1"/>
  <c r="R64" i="178"/>
  <c r="Q65" i="178"/>
  <c r="R65" i="178"/>
  <c r="Q66" i="178"/>
  <c r="S66" i="178" s="1" a="1"/>
  <c r="S66" i="178" s="1"/>
  <c r="R66" i="178"/>
  <c r="Q67" i="178"/>
  <c r="R67" i="178"/>
  <c r="S67" i="178" a="1"/>
  <c r="S67" i="178"/>
  <c r="B71" i="179" s="1"/>
  <c r="Q68" i="178"/>
  <c r="S68" i="178" s="1" a="1"/>
  <c r="S68" i="178" s="1"/>
  <c r="B72" i="179" s="1"/>
  <c r="R68" i="178"/>
  <c r="Q69" i="178"/>
  <c r="S69" i="178" s="1" a="1"/>
  <c r="S69" i="178" s="1"/>
  <c r="R69" i="178"/>
  <c r="Q70" i="178"/>
  <c r="R70" i="178"/>
  <c r="Q71" i="178"/>
  <c r="R71" i="178"/>
  <c r="S71" i="178" a="1"/>
  <c r="S71" i="178" s="1"/>
  <c r="Q72" i="178"/>
  <c r="S72" i="178" s="1" a="1"/>
  <c r="S72" i="178" s="1"/>
  <c r="R72" i="178"/>
  <c r="Q73" i="178"/>
  <c r="S73" i="178" s="1" a="1"/>
  <c r="S73" i="178" s="1"/>
  <c r="R73" i="178"/>
  <c r="Q74" i="178"/>
  <c r="S74" i="178" s="1" a="1"/>
  <c r="S74" i="178" s="1"/>
  <c r="R74" i="178"/>
  <c r="Q75" i="178"/>
  <c r="R75" i="178"/>
  <c r="S75" i="178" a="1"/>
  <c r="S75" i="178" s="1"/>
  <c r="B79" i="179" s="1"/>
  <c r="Q76" i="178"/>
  <c r="S76" i="178" s="1" a="1"/>
  <c r="S76" i="178" s="1"/>
  <c r="R76" i="178"/>
  <c r="Q77" i="178"/>
  <c r="S77" i="178" s="1" a="1"/>
  <c r="S77" i="178" s="1"/>
  <c r="R77" i="178"/>
  <c r="Q78" i="178"/>
  <c r="S78" i="178" s="1" a="1"/>
  <c r="S78" i="178" s="1"/>
  <c r="R78" i="178"/>
  <c r="Q79" i="178"/>
  <c r="R79" i="178"/>
  <c r="S79" i="178" a="1"/>
  <c r="S79" i="178" s="1"/>
  <c r="Q80" i="178"/>
  <c r="S80" i="178" s="1" a="1"/>
  <c r="S80" i="178" s="1"/>
  <c r="B84" i="179" s="1"/>
  <c r="R80" i="178"/>
  <c r="Q81" i="178"/>
  <c r="R81" i="178"/>
  <c r="Q82" i="178"/>
  <c r="S82" i="178" s="1" a="1"/>
  <c r="S82" i="178" s="1"/>
  <c r="B86" i="179" s="1"/>
  <c r="R82" i="178"/>
  <c r="Q83" i="178"/>
  <c r="R83" i="178"/>
  <c r="S83" i="178" s="1" a="1"/>
  <c r="S83" i="178" s="1"/>
  <c r="B87" i="179" s="1"/>
  <c r="Q84" i="178"/>
  <c r="S84" i="178" s="1" a="1"/>
  <c r="S84" i="178" s="1"/>
  <c r="R84" i="178"/>
  <c r="Q85" i="178"/>
  <c r="R85" i="178"/>
  <c r="S85" i="178" a="1"/>
  <c r="S85" i="178" s="1"/>
  <c r="B89" i="179" s="1"/>
  <c r="Q86" i="178"/>
  <c r="R86" i="178"/>
  <c r="S86" i="178" a="1"/>
  <c r="S86" i="178" s="1"/>
  <c r="B90" i="179" s="1"/>
  <c r="Q87" i="178"/>
  <c r="R87" i="178"/>
  <c r="S87" i="178" s="1" a="1"/>
  <c r="S87" i="178" s="1"/>
  <c r="Q88" i="178"/>
  <c r="S88" i="178" s="1" a="1"/>
  <c r="S88" i="178" s="1"/>
  <c r="R88" i="178"/>
  <c r="Q89" i="178"/>
  <c r="S89" i="178" s="1" a="1"/>
  <c r="S89" i="178" s="1"/>
  <c r="R89" i="178"/>
  <c r="Q90" i="178"/>
  <c r="S90" i="178" s="1" a="1"/>
  <c r="S90" i="178" s="1"/>
  <c r="B94" i="179" s="1"/>
  <c r="R90" i="178"/>
  <c r="Q91" i="178"/>
  <c r="R91" i="178"/>
  <c r="S91" i="178" s="1" a="1"/>
  <c r="S91" i="178" s="1"/>
  <c r="B95" i="179" s="1"/>
  <c r="Q92" i="178"/>
  <c r="R92" i="178"/>
  <c r="S92" i="178" a="1"/>
  <c r="S92" i="178" s="1"/>
  <c r="B96" i="179" s="1"/>
  <c r="Q93" i="178"/>
  <c r="R93" i="178"/>
  <c r="S93" i="178" a="1"/>
  <c r="S93" i="178" s="1"/>
  <c r="B97" i="179" s="1"/>
  <c r="Q94" i="178"/>
  <c r="R94" i="178"/>
  <c r="S94" i="178" a="1"/>
  <c r="S94" i="178" s="1"/>
  <c r="B98" i="179" s="1"/>
  <c r="Q95" i="178"/>
  <c r="S95" i="178" s="1" a="1"/>
  <c r="S95" i="178" s="1"/>
  <c r="B99" i="179" s="1"/>
  <c r="R95" i="178"/>
  <c r="Q96" i="178"/>
  <c r="R96" i="178"/>
  <c r="S96" i="178" s="1" a="1"/>
  <c r="S96" i="178" s="1"/>
  <c r="Q97" i="178"/>
  <c r="R97" i="178"/>
  <c r="Q98" i="178"/>
  <c r="S98" i="178" s="1" a="1"/>
  <c r="S98" i="178" s="1"/>
  <c r="B102" i="179" s="1"/>
  <c r="R98" i="178"/>
  <c r="Q99" i="178"/>
  <c r="R99" i="178"/>
  <c r="S99" i="178" s="1" a="1"/>
  <c r="S99" i="178" s="1"/>
  <c r="B103" i="179" s="1"/>
  <c r="Q100" i="178"/>
  <c r="S100" i="178" s="1" a="1"/>
  <c r="S100" i="178" s="1"/>
  <c r="B104" i="179" s="1"/>
  <c r="R100" i="178"/>
  <c r="Q101" i="178"/>
  <c r="R101" i="178"/>
  <c r="S101" i="178" a="1"/>
  <c r="S101" i="178" s="1"/>
  <c r="B105" i="179" s="1"/>
  <c r="Q102" i="178"/>
  <c r="R102" i="178"/>
  <c r="S102" i="178" a="1"/>
  <c r="S102" i="178" s="1"/>
  <c r="B106" i="179" s="1"/>
  <c r="Q103" i="178"/>
  <c r="R103" i="178"/>
  <c r="S103" i="178" s="1" a="1"/>
  <c r="S103" i="178" s="1"/>
  <c r="Q104" i="178"/>
  <c r="S104" i="178" s="1" a="1"/>
  <c r="S104" i="178" s="1"/>
  <c r="R104" i="178"/>
  <c r="Q105" i="178"/>
  <c r="S105" i="178" s="1" a="1"/>
  <c r="S105" i="178" s="1"/>
  <c r="R105" i="178"/>
  <c r="Q106" i="178"/>
  <c r="S106" i="178" s="1" a="1"/>
  <c r="S106" i="178" s="1"/>
  <c r="B110" i="179" s="1"/>
  <c r="R106" i="178"/>
  <c r="Q107" i="178"/>
  <c r="R107" i="178"/>
  <c r="S107" i="178" s="1" a="1"/>
  <c r="S107" i="178" s="1"/>
  <c r="B111" i="179" s="1"/>
  <c r="Q108" i="178"/>
  <c r="R108" i="178"/>
  <c r="S108" i="178" a="1"/>
  <c r="S108" i="178" s="1"/>
  <c r="B112" i="179" s="1"/>
  <c r="Q109" i="178"/>
  <c r="R109" i="178"/>
  <c r="S109" i="178" a="1"/>
  <c r="S109" i="178" s="1"/>
  <c r="B113" i="179" s="1"/>
  <c r="Q110" i="178"/>
  <c r="R110" i="178"/>
  <c r="S110" i="178" a="1"/>
  <c r="S110" i="178" s="1"/>
  <c r="B114" i="179" s="1"/>
  <c r="Q111" i="178"/>
  <c r="S111" i="178" s="1" a="1"/>
  <c r="S111" i="178" s="1"/>
  <c r="R111" i="178"/>
  <c r="Q112" i="178"/>
  <c r="R112" i="178"/>
  <c r="S112" i="178" s="1" a="1"/>
  <c r="S112" i="178" s="1"/>
  <c r="Q113" i="178"/>
  <c r="R113" i="178"/>
  <c r="Q114" i="178"/>
  <c r="S114" i="178" s="1" a="1"/>
  <c r="S114" i="178" s="1"/>
  <c r="B118" i="179" s="1"/>
  <c r="R114" i="178"/>
  <c r="Q115" i="178"/>
  <c r="R115" i="178"/>
  <c r="S115" i="178" s="1" a="1"/>
  <c r="S115" i="178" s="1"/>
  <c r="B119" i="179" s="1"/>
  <c r="Q116" i="178"/>
  <c r="R116" i="178"/>
  <c r="S116" i="178" s="1" a="1"/>
  <c r="S116" i="178" s="1"/>
  <c r="B120" i="179" s="1"/>
  <c r="Q117" i="178"/>
  <c r="R117" i="178"/>
  <c r="S117" i="178" a="1"/>
  <c r="S117" i="178" s="1"/>
  <c r="B121" i="179" s="1"/>
  <c r="Q118" i="178"/>
  <c r="R118" i="178"/>
  <c r="S118" i="178" a="1"/>
  <c r="S118" i="178" s="1"/>
  <c r="B122" i="179" s="1"/>
  <c r="Q119" i="178"/>
  <c r="R119" i="178"/>
  <c r="S119" i="178" s="1" a="1"/>
  <c r="S119" i="178" s="1"/>
  <c r="B123" i="179" s="1"/>
  <c r="Q120" i="178"/>
  <c r="S120" i="178" s="1" a="1"/>
  <c r="S120" i="178" s="1"/>
  <c r="B124" i="179" s="1"/>
  <c r="R120" i="178"/>
  <c r="Q121" i="178"/>
  <c r="S121" i="178" s="1" a="1"/>
  <c r="S121" i="178" s="1"/>
  <c r="R121" i="178"/>
  <c r="Q122" i="178"/>
  <c r="S122" i="178" s="1" a="1"/>
  <c r="S122" i="178" s="1"/>
  <c r="B126" i="179" s="1"/>
  <c r="R122" i="178"/>
  <c r="Q123" i="178"/>
  <c r="R123" i="178"/>
  <c r="S123" i="178" s="1" a="1"/>
  <c r="S123" i="178" s="1"/>
  <c r="B127" i="179" s="1"/>
  <c r="Q124" i="178"/>
  <c r="R124" i="178"/>
  <c r="S124" i="178" a="1"/>
  <c r="S124" i="178" s="1"/>
  <c r="B128" i="179" s="1"/>
  <c r="Q125" i="178"/>
  <c r="R125" i="178"/>
  <c r="S125" i="178" a="1"/>
  <c r="S125" i="178" s="1"/>
  <c r="B129" i="179" s="1"/>
  <c r="Q126" i="178"/>
  <c r="R126" i="178"/>
  <c r="S126" i="178" a="1"/>
  <c r="S126" i="178" s="1"/>
  <c r="B130" i="179" s="1"/>
  <c r="Q127" i="178"/>
  <c r="S127" i="178" s="1" a="1"/>
  <c r="S127" i="178" s="1"/>
  <c r="B131" i="179" s="1"/>
  <c r="R127" i="178"/>
  <c r="Q128" i="178"/>
  <c r="R128" i="178"/>
  <c r="S128" i="178" s="1" a="1"/>
  <c r="S128" i="178" s="1"/>
  <c r="Q129" i="178"/>
  <c r="S129" i="178" s="1" a="1"/>
  <c r="S129" i="178" s="1"/>
  <c r="R129" i="178"/>
  <c r="Q130" i="178"/>
  <c r="S130" i="178" s="1" a="1"/>
  <c r="S130" i="178" s="1"/>
  <c r="B134" i="179" s="1"/>
  <c r="R130" i="178"/>
  <c r="Q131" i="178"/>
  <c r="R131" i="178"/>
  <c r="S131" i="178" a="1"/>
  <c r="S131" i="178" s="1"/>
  <c r="B135" i="179" s="1"/>
  <c r="Q132" i="178"/>
  <c r="R132" i="178"/>
  <c r="S132" i="178" s="1" a="1"/>
  <c r="S132" i="178" s="1"/>
  <c r="B136" i="179" s="1"/>
  <c r="Q133" i="178"/>
  <c r="R133" i="178"/>
  <c r="S133" i="178" a="1"/>
  <c r="S133" i="178"/>
  <c r="B137" i="179" s="1"/>
  <c r="Q134" i="178"/>
  <c r="R134" i="178"/>
  <c r="S134" i="178" a="1"/>
  <c r="S134" i="178" s="1"/>
  <c r="B138" i="179" s="1"/>
  <c r="Q135" i="178"/>
  <c r="R135" i="178"/>
  <c r="S135" i="178" s="1" a="1"/>
  <c r="S135" i="178" s="1"/>
  <c r="B139" i="179" s="1"/>
  <c r="Q136" i="178"/>
  <c r="S136" i="178" s="1" a="1"/>
  <c r="S136" i="178" s="1"/>
  <c r="B140" i="179" s="1"/>
  <c r="R136" i="178"/>
  <c r="Q137" i="178"/>
  <c r="S137" i="178" s="1" a="1"/>
  <c r="S137" i="178" s="1"/>
  <c r="R137" i="178"/>
  <c r="Q138" i="178"/>
  <c r="R138" i="178"/>
  <c r="Q139" i="178"/>
  <c r="R139" i="178"/>
  <c r="S139" i="178" s="1" a="1"/>
  <c r="S139" i="178" s="1"/>
  <c r="B143" i="179" s="1"/>
  <c r="Q140" i="178"/>
  <c r="R140" i="178"/>
  <c r="S140" i="178" s="1" a="1"/>
  <c r="S140" i="178" s="1"/>
  <c r="B144" i="179" s="1"/>
  <c r="Q141" i="178"/>
  <c r="R141" i="178"/>
  <c r="S141" i="178" a="1"/>
  <c r="S141" i="178" s="1"/>
  <c r="B145" i="179" s="1"/>
  <c r="Q142" i="178"/>
  <c r="R142" i="178"/>
  <c r="S142" i="178" a="1"/>
  <c r="S142" i="178" s="1"/>
  <c r="B146" i="179" s="1"/>
  <c r="Q143" i="178"/>
  <c r="S143" i="178" s="1" a="1"/>
  <c r="S143" i="178" s="1"/>
  <c r="B147" i="179" s="1"/>
  <c r="R143" i="178"/>
  <c r="Q144" i="178"/>
  <c r="R144" i="178"/>
  <c r="S144" i="178" s="1" a="1"/>
  <c r="S144" i="178" s="1"/>
  <c r="Q145" i="178"/>
  <c r="R145" i="178"/>
  <c r="Q146" i="178"/>
  <c r="S146" i="178" s="1" a="1"/>
  <c r="S146" i="178" s="1"/>
  <c r="B150" i="179" s="1"/>
  <c r="R146" i="178"/>
  <c r="Q147" i="178"/>
  <c r="R147" i="178"/>
  <c r="S147" i="178" s="1" a="1"/>
  <c r="S147" i="178" s="1"/>
  <c r="B151" i="179" s="1"/>
  <c r="Q148" i="178"/>
  <c r="R148" i="178"/>
  <c r="S148" i="178" s="1" a="1"/>
  <c r="S148" i="178" s="1"/>
  <c r="B152" i="179" s="1"/>
  <c r="Q149" i="178"/>
  <c r="R149" i="178"/>
  <c r="S149" i="178" a="1"/>
  <c r="S149" i="178" s="1"/>
  <c r="B153" i="179" s="1"/>
  <c r="Q150" i="178"/>
  <c r="R150" i="178"/>
  <c r="S150" i="178" a="1"/>
  <c r="S150" i="178" s="1"/>
  <c r="B154" i="179" s="1"/>
  <c r="Q151" i="178"/>
  <c r="R151" i="178"/>
  <c r="S151" i="178" s="1" a="1"/>
  <c r="S151" i="178" s="1"/>
  <c r="B155" i="179" s="1"/>
  <c r="Q152" i="178"/>
  <c r="S152" i="178" s="1" a="1"/>
  <c r="S152" i="178" s="1"/>
  <c r="R152" i="178"/>
  <c r="Q153" i="178"/>
  <c r="S153" i="178" s="1" a="1"/>
  <c r="S153" i="178" s="1"/>
  <c r="R153" i="178"/>
  <c r="Q154" i="178"/>
  <c r="S154" i="178" s="1" a="1"/>
  <c r="S154" i="178" s="1"/>
  <c r="B158" i="179" s="1"/>
  <c r="R154" i="178"/>
  <c r="Q155" i="178"/>
  <c r="R155" i="178"/>
  <c r="S155" i="178" s="1" a="1"/>
  <c r="S155" i="178" s="1"/>
  <c r="B159" i="179" s="1"/>
  <c r="Q156" i="178"/>
  <c r="R156" i="178"/>
  <c r="S156" i="178" a="1"/>
  <c r="S156" i="178" s="1"/>
  <c r="B160" i="179" s="1"/>
  <c r="Q157" i="178"/>
  <c r="R157" i="178"/>
  <c r="S157" i="178" a="1"/>
  <c r="S157" i="178" s="1"/>
  <c r="B161" i="179" s="1"/>
  <c r="Q158" i="178"/>
  <c r="R158" i="178"/>
  <c r="S158" i="178" a="1"/>
  <c r="S158" i="178" s="1"/>
  <c r="B162" i="179" s="1"/>
  <c r="Q159" i="178"/>
  <c r="S159" i="178" s="1" a="1"/>
  <c r="R159" i="178"/>
  <c r="S159" i="178"/>
  <c r="B163" i="179" s="1"/>
  <c r="Q160" i="178"/>
  <c r="R160" i="178"/>
  <c r="S160" i="178" s="1" a="1"/>
  <c r="S160" i="178" s="1"/>
  <c r="B164" i="179" s="1"/>
  <c r="Q161" i="178"/>
  <c r="S161" i="178" s="1" a="1"/>
  <c r="S161" i="178" s="1"/>
  <c r="R161" i="178"/>
  <c r="Q162" i="178"/>
  <c r="S162" i="178" s="1" a="1"/>
  <c r="S162" i="178" s="1"/>
  <c r="B166" i="179" s="1"/>
  <c r="R162" i="178"/>
  <c r="Q163" i="178"/>
  <c r="R163" i="178"/>
  <c r="S163" i="178" a="1"/>
  <c r="S163" i="178" s="1"/>
  <c r="B167" i="179" s="1"/>
  <c r="Q164" i="178"/>
  <c r="R164" i="178"/>
  <c r="S164" i="178" s="1" a="1"/>
  <c r="S164" i="178" s="1"/>
  <c r="B168" i="179" s="1"/>
  <c r="Q165" i="178"/>
  <c r="R165" i="178"/>
  <c r="S165" i="178" a="1"/>
  <c r="S165" i="178"/>
  <c r="B169" i="179" s="1"/>
  <c r="Q166" i="178"/>
  <c r="R166" i="178"/>
  <c r="S166" i="178" a="1"/>
  <c r="S166" i="178" s="1"/>
  <c r="B170" i="179" s="1"/>
  <c r="Q167" i="178"/>
  <c r="R167" i="178"/>
  <c r="S167" i="178" s="1" a="1"/>
  <c r="S167" i="178" s="1"/>
  <c r="B171" i="179" s="1"/>
  <c r="Q168" i="178"/>
  <c r="S168" i="178" s="1" a="1"/>
  <c r="S168" i="178" s="1"/>
  <c r="R168" i="178"/>
  <c r="Q169" i="178"/>
  <c r="S169" i="178" s="1" a="1"/>
  <c r="S169" i="178" s="1"/>
  <c r="R169" i="178"/>
  <c r="Q170" i="178"/>
  <c r="R170" i="178"/>
  <c r="Q171" i="178"/>
  <c r="R171" i="178"/>
  <c r="Q172" i="178"/>
  <c r="R172" i="178"/>
  <c r="S172" i="178" s="1" a="1"/>
  <c r="S172" i="178" s="1"/>
  <c r="B176" i="179" s="1"/>
  <c r="Q173" i="178"/>
  <c r="R173" i="178"/>
  <c r="S173" i="178" a="1"/>
  <c r="S173" i="178" s="1"/>
  <c r="B177" i="179" s="1"/>
  <c r="Q174" i="178"/>
  <c r="R174" i="178"/>
  <c r="S174" i="178" a="1"/>
  <c r="S174" i="178" s="1"/>
  <c r="B178" i="179" s="1"/>
  <c r="Q175" i="178"/>
  <c r="S175" i="178" s="1" a="1"/>
  <c r="R175" i="178"/>
  <c r="S175" i="178"/>
  <c r="B179" i="179" s="1"/>
  <c r="Q176" i="178"/>
  <c r="R176" i="178"/>
  <c r="S176" i="178" s="1" a="1"/>
  <c r="S176" i="178" s="1"/>
  <c r="B180" i="179" s="1"/>
  <c r="Q177" i="178"/>
  <c r="R177" i="178"/>
  <c r="Q178" i="178"/>
  <c r="S178" i="178" s="1" a="1"/>
  <c r="S178" i="178" s="1"/>
  <c r="B182" i="179" s="1"/>
  <c r="R178" i="178"/>
  <c r="Q179" i="178"/>
  <c r="R179" i="178"/>
  <c r="S179" i="178" s="1" a="1"/>
  <c r="S179" i="178" s="1"/>
  <c r="B183" i="179" s="1"/>
  <c r="Q180" i="178"/>
  <c r="R180" i="178"/>
  <c r="S180" i="178" s="1" a="1"/>
  <c r="S180" i="178" s="1"/>
  <c r="B184" i="179" s="1"/>
  <c r="Q181" i="178"/>
  <c r="R181" i="178"/>
  <c r="S181" i="178" a="1"/>
  <c r="S181" i="178" s="1"/>
  <c r="B185" i="179" s="1"/>
  <c r="Q182" i="178"/>
  <c r="R182" i="178"/>
  <c r="S182" i="178" a="1"/>
  <c r="S182" i="178" s="1"/>
  <c r="B186" i="179" s="1"/>
  <c r="Q183" i="178"/>
  <c r="R183" i="178"/>
  <c r="S183" i="178" s="1" a="1"/>
  <c r="S183" i="178" s="1"/>
  <c r="B187" i="179" s="1"/>
  <c r="Q184" i="178"/>
  <c r="S184" i="178" s="1" a="1"/>
  <c r="S184" i="178" s="1"/>
  <c r="R184" i="178"/>
  <c r="Q185" i="178"/>
  <c r="S185" i="178" s="1" a="1"/>
  <c r="S185" i="178" s="1"/>
  <c r="R185" i="178"/>
  <c r="Q186" i="178"/>
  <c r="S186" i="178" s="1" a="1"/>
  <c r="S186" i="178" s="1"/>
  <c r="B190" i="179" s="1"/>
  <c r="R186" i="178"/>
  <c r="Q187" i="178"/>
  <c r="S187" i="178" s="1" a="1"/>
  <c r="S187" i="178" s="1"/>
  <c r="B191" i="179" s="1"/>
  <c r="R187" i="178"/>
  <c r="Q188" i="178"/>
  <c r="R188" i="178"/>
  <c r="S188" i="178" s="1" a="1"/>
  <c r="S188" i="178" s="1"/>
  <c r="B192" i="179" s="1"/>
  <c r="Q189" i="178"/>
  <c r="S189" i="178" s="1" a="1"/>
  <c r="S189" i="178" s="1"/>
  <c r="B193" i="179" s="1"/>
  <c r="R189" i="178"/>
  <c r="Q190" i="178"/>
  <c r="S190" i="178" s="1" a="1"/>
  <c r="S190" i="178" s="1"/>
  <c r="B194" i="179" s="1"/>
  <c r="R190" i="178"/>
  <c r="Q191" i="178"/>
  <c r="S191" i="178" s="1" a="1"/>
  <c r="S191" i="178" s="1"/>
  <c r="B195" i="179" s="1"/>
  <c r="R191" i="178"/>
  <c r="Q192" i="178"/>
  <c r="S192" i="178" s="1" a="1"/>
  <c r="S192" i="178" s="1"/>
  <c r="R192" i="178"/>
  <c r="Q193" i="178"/>
  <c r="S193" i="178" s="1" a="1"/>
  <c r="S193" i="178" s="1"/>
  <c r="R193" i="178"/>
  <c r="Q194" i="178"/>
  <c r="R194" i="178"/>
  <c r="S194" i="178" a="1"/>
  <c r="S194" i="178" s="1"/>
  <c r="B198" i="179" s="1"/>
  <c r="Q195" i="178"/>
  <c r="S195" i="178" s="1" a="1"/>
  <c r="S195" i="178" s="1"/>
  <c r="B199" i="179" s="1"/>
  <c r="R195" i="178"/>
  <c r="Q196" i="178"/>
  <c r="S196" i="178" s="1" a="1"/>
  <c r="S196" i="178" s="1"/>
  <c r="B200" i="179" s="1"/>
  <c r="R196" i="178"/>
  <c r="Q197" i="178"/>
  <c r="S197" i="178" s="1" a="1"/>
  <c r="S197" i="178" s="1"/>
  <c r="B201" i="179" s="1"/>
  <c r="R197" i="178"/>
  <c r="Q198" i="178"/>
  <c r="R198" i="178"/>
  <c r="S198" i="178" a="1"/>
  <c r="S198" i="178" s="1"/>
  <c r="B202" i="179" s="1"/>
  <c r="Q199" i="178"/>
  <c r="S199" i="178" s="1" a="1"/>
  <c r="S199" i="178" s="1"/>
  <c r="B203" i="179" s="1"/>
  <c r="R199" i="178"/>
  <c r="Q200" i="178"/>
  <c r="R200" i="178"/>
  <c r="S200" i="178" s="1" a="1"/>
  <c r="S200" i="178" s="1"/>
  <c r="Q201" i="178"/>
  <c r="S201" i="178" s="1" a="1"/>
  <c r="S201" i="178" s="1"/>
  <c r="R201" i="178"/>
  <c r="Q202" i="178"/>
  <c r="S202" i="178" s="1" a="1"/>
  <c r="S202" i="178" s="1"/>
  <c r="B206" i="179" s="1"/>
  <c r="R202" i="178"/>
  <c r="Q203" i="178"/>
  <c r="S203" i="178" s="1" a="1"/>
  <c r="S203" i="178" s="1"/>
  <c r="B207" i="179" s="1"/>
  <c r="R203" i="178"/>
  <c r="Q204" i="178"/>
  <c r="R204" i="178"/>
  <c r="S204" i="178" s="1" a="1"/>
  <c r="S204" i="178" s="1"/>
  <c r="B208" i="179" s="1"/>
  <c r="Q205" i="178"/>
  <c r="S205" i="178" s="1" a="1"/>
  <c r="S205" i="178" s="1"/>
  <c r="B209" i="179" s="1"/>
  <c r="R205" i="178"/>
  <c r="Q206" i="178"/>
  <c r="S206" i="178" s="1" a="1"/>
  <c r="S206" i="178" s="1"/>
  <c r="B210" i="179" s="1"/>
  <c r="R206" i="178"/>
  <c r="Q207" i="178"/>
  <c r="R207" i="178"/>
  <c r="S207" i="178" a="1"/>
  <c r="S207" i="178" s="1"/>
  <c r="B211" i="179" s="1"/>
  <c r="Q208" i="178"/>
  <c r="S208" i="178" s="1" a="1"/>
  <c r="S208" i="178" s="1"/>
  <c r="R208" i="178"/>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S216" i="178" s="1" a="1"/>
  <c r="S216" i="178" s="1"/>
  <c r="B220" i="179" s="1"/>
  <c r="R216" i="178"/>
  <c r="Q217" i="178"/>
  <c r="R217" i="178"/>
  <c r="S217" i="178" a="1"/>
  <c r="S217" i="178" s="1"/>
  <c r="Q218" i="178"/>
  <c r="R218" i="178"/>
  <c r="S218" i="178" a="1"/>
  <c r="S218" i="178" s="1"/>
  <c r="B222" i="179" s="1"/>
  <c r="Q219" i="178"/>
  <c r="S219" i="178" s="1" a="1"/>
  <c r="S219" i="178" s="1"/>
  <c r="B223" i="179" s="1"/>
  <c r="R219" i="178"/>
  <c r="Q220" i="178"/>
  <c r="R220" i="178"/>
  <c r="S220" i="178" a="1"/>
  <c r="S220" i="178" s="1"/>
  <c r="B224" i="179" s="1"/>
  <c r="Q221" i="178"/>
  <c r="S221" i="178" s="1" a="1"/>
  <c r="S221" i="178" s="1"/>
  <c r="B225" i="179" s="1"/>
  <c r="R221" i="178"/>
  <c r="Q222" i="178"/>
  <c r="S222" i="178" s="1" a="1"/>
  <c r="S222" i="178" s="1"/>
  <c r="B226" i="179" s="1"/>
  <c r="R222" i="178"/>
  <c r="Q223" i="178"/>
  <c r="R223" i="178"/>
  <c r="S223" i="178" s="1" a="1"/>
  <c r="S223" i="178" s="1"/>
  <c r="B227" i="179" s="1"/>
  <c r="Q224" i="178"/>
  <c r="S224" i="178" s="1" a="1"/>
  <c r="S224" i="178" s="1"/>
  <c r="R224" i="178"/>
  <c r="Q225" i="178"/>
  <c r="R225" i="178"/>
  <c r="S225" i="178" s="1" a="1"/>
  <c r="S225" i="178" s="1"/>
  <c r="Q226" i="178"/>
  <c r="R226" i="178"/>
  <c r="S226" i="178"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s="1" a="1"/>
  <c r="S231" i="178" s="1"/>
  <c r="B235" i="179" s="1"/>
  <c r="Q232" i="178"/>
  <c r="S232" i="178" s="1" a="1"/>
  <c r="S232" i="178" s="1"/>
  <c r="R232" i="178"/>
  <c r="Q233" i="178"/>
  <c r="R233" i="178"/>
  <c r="S233" i="178" s="1" a="1"/>
  <c r="S233" i="178" s="1"/>
  <c r="B237" i="179" s="1"/>
  <c r="Q234" i="178"/>
  <c r="R234" i="178"/>
  <c r="S234" i="178" a="1"/>
  <c r="S234" i="178" s="1"/>
  <c r="B238" i="179" s="1"/>
  <c r="Q235" i="178"/>
  <c r="S235" i="178" s="1" a="1"/>
  <c r="S235" i="178" s="1"/>
  <c r="B239" i="179" s="1"/>
  <c r="R235" i="178"/>
  <c r="Q236" i="178"/>
  <c r="R236" i="178"/>
  <c r="S236" i="178" a="1"/>
  <c r="S236" i="178" s="1"/>
  <c r="B240" i="179" s="1"/>
  <c r="Q237" i="178"/>
  <c r="S237" i="178" s="1" a="1"/>
  <c r="S237" i="178" s="1"/>
  <c r="B241" i="179" s="1"/>
  <c r="R237" i="178"/>
  <c r="Q238" i="178"/>
  <c r="S238" i="178" s="1" a="1"/>
  <c r="S238" i="178" s="1"/>
  <c r="B242" i="179" s="1"/>
  <c r="R238" i="178"/>
  <c r="Q239" i="178"/>
  <c r="R239" i="178"/>
  <c r="S239" i="178" s="1" a="1"/>
  <c r="S239" i="178" s="1"/>
  <c r="B243" i="179" s="1"/>
  <c r="Q240" i="178"/>
  <c r="S240" i="178" s="1" a="1"/>
  <c r="S240" i="178" s="1"/>
  <c r="B244" i="179" s="1"/>
  <c r="R240" i="178"/>
  <c r="Q241" i="178"/>
  <c r="R241" i="178"/>
  <c r="S241" i="178" s="1" a="1"/>
  <c r="S241" i="178" s="1"/>
  <c r="Q242" i="178"/>
  <c r="R242" i="178"/>
  <c r="S242" i="178"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s="1" a="1"/>
  <c r="S247" i="178" s="1"/>
  <c r="B251" i="179" s="1"/>
  <c r="Q248" i="178"/>
  <c r="S248" i="178" s="1" a="1"/>
  <c r="S248" i="178" s="1"/>
  <c r="R248" i="178"/>
  <c r="Q249" i="178"/>
  <c r="R249" i="178"/>
  <c r="S249" i="178" s="1" a="1"/>
  <c r="S249" i="178" s="1"/>
  <c r="Q250" i="178"/>
  <c r="R250" i="178"/>
  <c r="S250" i="178" a="1"/>
  <c r="S250" i="178" s="1"/>
  <c r="B254" i="179" s="1"/>
  <c r="Q251" i="178"/>
  <c r="S251" i="178" s="1" a="1"/>
  <c r="S251" i="178" s="1"/>
  <c r="B255" i="179" s="1"/>
  <c r="R251" i="178"/>
  <c r="Q252" i="178"/>
  <c r="R252" i="178"/>
  <c r="S252" i="178" a="1"/>
  <c r="S252" i="178" s="1"/>
  <c r="B256" i="179" s="1"/>
  <c r="Q253" i="178"/>
  <c r="S253" i="178" s="1" a="1"/>
  <c r="S253" i="178" s="1"/>
  <c r="B257" i="179" s="1"/>
  <c r="R253" i="178"/>
  <c r="Q254" i="178"/>
  <c r="S254" i="178" s="1" a="1"/>
  <c r="S254" i="178" s="1"/>
  <c r="B258" i="179" s="1"/>
  <c r="R254" i="178"/>
  <c r="Q255" i="178"/>
  <c r="R255" i="178"/>
  <c r="S255" i="178" s="1" a="1"/>
  <c r="S255" i="178" s="1"/>
  <c r="B259" i="179" s="1"/>
  <c r="Q256" i="178"/>
  <c r="S256" i="178" s="1" a="1"/>
  <c r="S256" i="178" s="1"/>
  <c r="R256" i="178"/>
  <c r="Q257" i="178"/>
  <c r="R257" i="178"/>
  <c r="S257" i="178" a="1"/>
  <c r="S257" i="178" s="1"/>
  <c r="Q258" i="178"/>
  <c r="S258" i="178" s="1" a="1"/>
  <c r="S258" i="178" s="1"/>
  <c r="B262" i="179" s="1"/>
  <c r="R258" i="178"/>
  <c r="Q259" i="178"/>
  <c r="R259" i="178"/>
  <c r="S259" i="178" s="1" a="1"/>
  <c r="S259" i="178" s="1"/>
  <c r="B263" i="179" s="1"/>
  <c r="Q260" i="178"/>
  <c r="S260" i="178" s="1" a="1"/>
  <c r="S260" i="178" s="1"/>
  <c r="B264" i="179" s="1"/>
  <c r="R260" i="178"/>
  <c r="Q261" i="178"/>
  <c r="S261" i="178" s="1" a="1"/>
  <c r="S261" i="178" s="1"/>
  <c r="B265" i="179" s="1"/>
  <c r="R261" i="178"/>
  <c r="Q262" i="178"/>
  <c r="R262" i="178"/>
  <c r="S262" i="178" a="1"/>
  <c r="S262" i="178" s="1"/>
  <c r="B266" i="179" s="1"/>
  <c r="Q263" i="178"/>
  <c r="S263" i="178" s="1" a="1"/>
  <c r="S263" i="178" s="1"/>
  <c r="B267" i="179" s="1"/>
  <c r="R263" i="178"/>
  <c r="Q264" i="178"/>
  <c r="R264" i="178"/>
  <c r="S264" i="178" s="1" a="1"/>
  <c r="S264" i="178" s="1"/>
  <c r="Q265" i="178"/>
  <c r="S265" i="178" s="1" a="1"/>
  <c r="S265" i="178" s="1"/>
  <c r="R265" i="178"/>
  <c r="Q266" i="178"/>
  <c r="R266" i="178"/>
  <c r="S266" i="178" a="1"/>
  <c r="S266" i="178" s="1"/>
  <c r="B270" i="179" s="1"/>
  <c r="Q267" i="178"/>
  <c r="S267" i="178" s="1" a="1"/>
  <c r="S267" i="178" s="1"/>
  <c r="B271" i="179" s="1"/>
  <c r="R267" i="178"/>
  <c r="Q268" i="178"/>
  <c r="R268" i="178"/>
  <c r="S268" i="178" s="1" a="1"/>
  <c r="S268" i="178" s="1"/>
  <c r="B272" i="179" s="1"/>
  <c r="Q269" i="178"/>
  <c r="R269" i="178"/>
  <c r="S269" i="178" a="1"/>
  <c r="S269" i="178" s="1"/>
  <c r="B273" i="179" s="1"/>
  <c r="Q270" i="178"/>
  <c r="S270" i="178" s="1" a="1"/>
  <c r="S270" i="178" s="1"/>
  <c r="B274" i="179" s="1"/>
  <c r="R270" i="178"/>
  <c r="Q271" i="178"/>
  <c r="R271" i="178"/>
  <c r="S271" i="178" s="1" a="1"/>
  <c r="S271" i="178" s="1"/>
  <c r="B275" i="179" s="1"/>
  <c r="Q272" i="178"/>
  <c r="S272" i="178" s="1" a="1"/>
  <c r="S272" i="178" s="1"/>
  <c r="B276" i="179" s="1"/>
  <c r="R272" i="178"/>
  <c r="Q273" i="178"/>
  <c r="R273" i="178"/>
  <c r="S273" i="178" a="1"/>
  <c r="S273" i="178" s="1"/>
  <c r="Q274" i="178"/>
  <c r="S274" i="178" s="1" a="1"/>
  <c r="S274" i="178" s="1"/>
  <c r="B278" i="179" s="1"/>
  <c r="R274" i="178"/>
  <c r="Q275" i="178"/>
  <c r="R275" i="178"/>
  <c r="S275" i="178" s="1" a="1"/>
  <c r="S275" i="178" s="1"/>
  <c r="B279" i="179" s="1"/>
  <c r="Q276" i="178"/>
  <c r="S276" i="178" s="1" a="1"/>
  <c r="S276" i="178" s="1"/>
  <c r="B280" i="179" s="1"/>
  <c r="R276" i="178"/>
  <c r="Q277" i="178"/>
  <c r="S277" i="178" s="1" a="1"/>
  <c r="S277" i="178" s="1"/>
  <c r="B281" i="179" s="1"/>
  <c r="R277" i="178"/>
  <c r="Q278" i="178"/>
  <c r="R278" i="178"/>
  <c r="S278" i="178" a="1"/>
  <c r="S278" i="178" s="1"/>
  <c r="B282" i="179" s="1"/>
  <c r="Q279" i="178"/>
  <c r="S279" i="178" s="1" a="1"/>
  <c r="S279" i="178" s="1"/>
  <c r="B283" i="179" s="1"/>
  <c r="R279" i="178"/>
  <c r="Q280" i="178"/>
  <c r="R280" i="178"/>
  <c r="S280" i="178" s="1" a="1"/>
  <c r="S280" i="178" s="1"/>
  <c r="Q281" i="178"/>
  <c r="S281" i="178" s="1" a="1"/>
  <c r="S281" i="178" s="1"/>
  <c r="R281" i="178"/>
  <c r="Q282" i="178"/>
  <c r="R282" i="178"/>
  <c r="S282" i="178" a="1"/>
  <c r="S282" i="178" s="1"/>
  <c r="B286" i="179" s="1"/>
  <c r="Q283" i="178"/>
  <c r="S283" i="178" s="1" a="1"/>
  <c r="S283" i="178" s="1"/>
  <c r="B287" i="179" s="1"/>
  <c r="R283" i="178"/>
  <c r="Q284" i="178"/>
  <c r="R284" i="178"/>
  <c r="S284" i="178" s="1" a="1"/>
  <c r="S284" i="178" s="1"/>
  <c r="B288" i="179" s="1"/>
  <c r="Q285" i="178"/>
  <c r="R285" i="178"/>
  <c r="S285" i="178" a="1"/>
  <c r="S285" i="178" s="1"/>
  <c r="B289" i="179" s="1"/>
  <c r="Q286" i="178"/>
  <c r="S286" i="178" s="1" a="1"/>
  <c r="S286" i="178" s="1"/>
  <c r="B290" i="179" s="1"/>
  <c r="R286" i="178"/>
  <c r="Q287" i="178"/>
  <c r="R287" i="178"/>
  <c r="S287" i="178" s="1" a="1"/>
  <c r="S287" i="178" s="1"/>
  <c r="B291" i="179" s="1"/>
  <c r="Q288" i="178"/>
  <c r="S288" i="178" s="1" a="1"/>
  <c r="S288" i="178" s="1"/>
  <c r="R288" i="178"/>
  <c r="Q289" i="178"/>
  <c r="R289" i="178"/>
  <c r="S289" i="178" a="1"/>
  <c r="S289" i="178" s="1"/>
  <c r="Q290" i="178"/>
  <c r="S290" i="178" s="1" a="1"/>
  <c r="S290" i="178" s="1"/>
  <c r="B294" i="179" s="1"/>
  <c r="R290" i="178"/>
  <c r="Q291" i="178"/>
  <c r="R291" i="178"/>
  <c r="S291" i="178" s="1" a="1"/>
  <c r="S291" i="178" s="1"/>
  <c r="B295" i="179" s="1"/>
  <c r="Q292" i="178"/>
  <c r="S292" i="178" s="1" a="1"/>
  <c r="S292" i="178" s="1"/>
  <c r="B296" i="179" s="1"/>
  <c r="R292" i="178"/>
  <c r="Q293" i="178"/>
  <c r="S293" i="178" s="1" a="1"/>
  <c r="S293" i="178" s="1"/>
  <c r="B297" i="179" s="1"/>
  <c r="R293" i="178"/>
  <c r="Q294" i="178"/>
  <c r="R294" i="178"/>
  <c r="S294" i="178" a="1"/>
  <c r="S294" i="178" s="1"/>
  <c r="B298" i="179" s="1"/>
  <c r="Q295" i="178"/>
  <c r="S295" i="178" s="1" a="1"/>
  <c r="S295" i="178" s="1"/>
  <c r="B299" i="179" s="1"/>
  <c r="R295" i="178"/>
  <c r="Q296" i="178"/>
  <c r="R296" i="178"/>
  <c r="S296" i="178" s="1" a="1"/>
  <c r="S296" i="178" s="1"/>
  <c r="Q297" i="178"/>
  <c r="S297" i="178" s="1" a="1"/>
  <c r="S297" i="178" s="1"/>
  <c r="R297" i="178"/>
  <c r="Q298" i="178"/>
  <c r="R298" i="178"/>
  <c r="S298" i="178" a="1"/>
  <c r="S298" i="178" s="1"/>
  <c r="B302" i="179" s="1"/>
  <c r="Q299" i="178"/>
  <c r="S299" i="178" s="1" a="1"/>
  <c r="S299" i="178" s="1"/>
  <c r="B303" i="179" s="1"/>
  <c r="R299" i="178"/>
  <c r="Q300" i="178"/>
  <c r="R300" i="178"/>
  <c r="S300" i="178" s="1" a="1"/>
  <c r="S300" i="178" s="1"/>
  <c r="B304" i="179" s="1"/>
  <c r="Q301" i="178"/>
  <c r="S301" i="178" s="1" a="1"/>
  <c r="S301" i="178" s="1"/>
  <c r="B305" i="179" s="1"/>
  <c r="R301" i="178"/>
  <c r="Q302" i="178"/>
  <c r="R302" i="178"/>
  <c r="S302" i="178" s="1" a="1"/>
  <c r="S302" i="178" s="1"/>
  <c r="B306" i="179" s="1"/>
  <c r="Q303" i="178"/>
  <c r="S303" i="178" s="1" a="1"/>
  <c r="S303" i="178" s="1"/>
  <c r="B307" i="179" s="1"/>
  <c r="R303" i="178"/>
  <c r="Q304" i="178"/>
  <c r="R304" i="178"/>
  <c r="S304" i="178" s="1" a="1"/>
  <c r="S304" i="178" s="1"/>
  <c r="B308" i="179" s="1"/>
  <c r="Q305" i="178"/>
  <c r="S305" i="178" s="1" a="1"/>
  <c r="S305" i="178" s="1"/>
  <c r="B309" i="179" s="1"/>
  <c r="R305" i="178"/>
  <c r="Q306" i="178"/>
  <c r="R306" i="178"/>
  <c r="S306" i="178" s="1" a="1"/>
  <c r="S306" i="178" s="1"/>
  <c r="B310" i="179" s="1"/>
  <c r="Q307" i="178"/>
  <c r="S307" i="178" s="1" a="1"/>
  <c r="S307" i="178" s="1"/>
  <c r="B311" i="179" s="1"/>
  <c r="R307" i="178"/>
  <c r="Q308" i="178"/>
  <c r="R308" i="178"/>
  <c r="S308" i="178" s="1" a="1"/>
  <c r="S308" i="178" s="1"/>
  <c r="B312" i="179" s="1"/>
  <c r="Q309" i="178"/>
  <c r="S309" i="178" s="1" a="1"/>
  <c r="S309" i="178" s="1"/>
  <c r="B313" i="179" s="1"/>
  <c r="R309" i="178"/>
  <c r="Q310" i="178"/>
  <c r="R310" i="178"/>
  <c r="S310" i="178" s="1" a="1"/>
  <c r="S310" i="178" s="1"/>
  <c r="B314" i="179" s="1"/>
  <c r="Q311" i="178"/>
  <c r="S311" i="178" s="1" a="1"/>
  <c r="S311" i="178" s="1"/>
  <c r="B315" i="179" s="1"/>
  <c r="R311" i="178"/>
  <c r="Q312" i="178"/>
  <c r="R312" i="178"/>
  <c r="S312" i="178" s="1" a="1"/>
  <c r="S312" i="178" s="1"/>
  <c r="B316" i="179" s="1"/>
  <c r="Q313" i="178"/>
  <c r="S313" i="178" s="1" a="1"/>
  <c r="S313" i="178" s="1"/>
  <c r="B317" i="179" s="1"/>
  <c r="R313" i="178"/>
  <c r="Q314" i="178"/>
  <c r="R314" i="178"/>
  <c r="S314" i="178" s="1" a="1"/>
  <c r="S314" i="178" s="1"/>
  <c r="B318" i="179" s="1"/>
  <c r="Q315" i="178"/>
  <c r="S315" i="178" s="1" a="1"/>
  <c r="S315" i="178" s="1"/>
  <c r="B319" i="179" s="1"/>
  <c r="R315" i="178"/>
  <c r="Q316" i="178"/>
  <c r="R316" i="178"/>
  <c r="S316" i="178" s="1" a="1"/>
  <c r="S316" i="178" s="1"/>
  <c r="B320" i="179" s="1"/>
  <c r="Q317" i="178"/>
  <c r="S317" i="178" s="1" a="1"/>
  <c r="S317" i="178" s="1"/>
  <c r="B321" i="179" s="1"/>
  <c r="R317" i="178"/>
  <c r="Q318" i="178"/>
  <c r="R318" i="178"/>
  <c r="S318" i="178" s="1" a="1"/>
  <c r="S318" i="178" s="1"/>
  <c r="B322" i="179" s="1"/>
  <c r="Q319" i="178"/>
  <c r="S319" i="178" s="1" a="1"/>
  <c r="S319" i="178" s="1"/>
  <c r="B323" i="179" s="1"/>
  <c r="R319" i="178"/>
  <c r="Q320" i="178"/>
  <c r="R320" i="178"/>
  <c r="S320" i="178" s="1" a="1"/>
  <c r="S320" i="178" s="1"/>
  <c r="B324" i="179" s="1"/>
  <c r="Q321" i="178"/>
  <c r="S321" i="178" s="1" a="1"/>
  <c r="S321" i="178" s="1"/>
  <c r="B325" i="179" s="1"/>
  <c r="R321" i="178"/>
  <c r="Q322" i="178"/>
  <c r="R322" i="178"/>
  <c r="S322" i="178" s="1" a="1"/>
  <c r="S322" i="178" s="1"/>
  <c r="B326" i="179" s="1"/>
  <c r="Q323" i="178"/>
  <c r="S323" i="178" s="1" a="1"/>
  <c r="S323" i="178" s="1"/>
  <c r="B327" i="179" s="1"/>
  <c r="R323" i="178"/>
  <c r="Q324" i="178"/>
  <c r="R324" i="178"/>
  <c r="S324" i="178" s="1" a="1"/>
  <c r="S324" i="178" s="1"/>
  <c r="B328" i="179" s="1"/>
  <c r="Q325" i="178"/>
  <c r="S325" i="178" s="1" a="1"/>
  <c r="S325" i="178" s="1"/>
  <c r="B329" i="179" s="1"/>
  <c r="R325" i="178"/>
  <c r="Q326" i="178"/>
  <c r="R326" i="178"/>
  <c r="S326" i="178" s="1" a="1"/>
  <c r="S326" i="178" s="1"/>
  <c r="B330" i="179" s="1"/>
  <c r="Q327" i="178"/>
  <c r="S327" i="178" s="1" a="1"/>
  <c r="S327" i="178" s="1"/>
  <c r="B331" i="179" s="1"/>
  <c r="R327" i="178"/>
  <c r="Q328" i="178"/>
  <c r="R328" i="178"/>
  <c r="S328" i="178" s="1" a="1"/>
  <c r="S328" i="178" s="1"/>
  <c r="B332" i="179" s="1"/>
  <c r="Q329" i="178"/>
  <c r="S329" i="178" s="1" a="1"/>
  <c r="S329" i="178" s="1"/>
  <c r="B333" i="179" s="1"/>
  <c r="R329" i="178"/>
  <c r="Q330" i="178"/>
  <c r="R330" i="178"/>
  <c r="S330" i="178" s="1" a="1"/>
  <c r="S330" i="178" s="1"/>
  <c r="Q331" i="178"/>
  <c r="S331" i="178" s="1" a="1"/>
  <c r="S331" i="178" s="1"/>
  <c r="R331"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I66" i="178"/>
  <c r="J66" i="178"/>
  <c r="K66" i="178"/>
  <c r="L66" i="178"/>
  <c r="M66" i="178"/>
  <c r="N66" i="178"/>
  <c r="I17" i="178"/>
  <c r="J17" i="178"/>
  <c r="K17" i="178"/>
  <c r="L17" i="178"/>
  <c r="M17" i="178"/>
  <c r="N17" i="178"/>
  <c r="I18" i="178"/>
  <c r="J18" i="178"/>
  <c r="K18" i="178"/>
  <c r="L18" i="178"/>
  <c r="M18" i="178"/>
  <c r="N18" i="178"/>
  <c r="I16" i="178"/>
  <c r="J16" i="178"/>
  <c r="K16" i="178"/>
  <c r="L16" i="178"/>
  <c r="M16" i="178"/>
  <c r="N16" i="178"/>
  <c r="B28" i="179"/>
  <c r="B29" i="179"/>
  <c r="B30" i="179"/>
  <c r="B31" i="179"/>
  <c r="B33" i="179"/>
  <c r="B34" i="179"/>
  <c r="B36" i="179"/>
  <c r="B39" i="179"/>
  <c r="B42" i="179"/>
  <c r="B45" i="179"/>
  <c r="B46" i="179"/>
  <c r="B56" i="179"/>
  <c r="B57" i="179"/>
  <c r="B61" i="179"/>
  <c r="B64" i="179"/>
  <c r="B68" i="179"/>
  <c r="B70" i="179"/>
  <c r="B73" i="179"/>
  <c r="B76" i="179"/>
  <c r="B77" i="179"/>
  <c r="B80" i="179"/>
  <c r="B81" i="179"/>
  <c r="B20" i="179"/>
  <c r="B21" i="179"/>
  <c r="B22" i="179"/>
  <c r="B24" i="179"/>
  <c r="B26" i="179"/>
  <c r="B27" i="179"/>
  <c r="Q16" i="186"/>
  <c r="S16" i="186" s="1" a="1"/>
  <c r="S16" i="186" s="1"/>
  <c r="R16" i="186"/>
  <c r="Q17" i="186"/>
  <c r="R17" i="186"/>
  <c r="S17" i="186" a="1"/>
  <c r="S17" i="186"/>
  <c r="Q18" i="186"/>
  <c r="S18" i="186" s="1" a="1"/>
  <c r="S18" i="186" s="1"/>
  <c r="R18" i="186"/>
  <c r="Q19" i="186"/>
  <c r="R19" i="186"/>
  <c r="S19" i="186" a="1"/>
  <c r="S19" i="186"/>
  <c r="Q20" i="186"/>
  <c r="S20" i="186" s="1" a="1"/>
  <c r="S20" i="186" s="1"/>
  <c r="R20" i="186"/>
  <c r="Q21" i="186"/>
  <c r="R21" i="186"/>
  <c r="S21" i="186" a="1"/>
  <c r="S21" i="186"/>
  <c r="Q22" i="186"/>
  <c r="S22" i="186" s="1" a="1"/>
  <c r="S22" i="186" s="1"/>
  <c r="R22" i="186"/>
  <c r="Q23" i="186"/>
  <c r="R23" i="186"/>
  <c r="S23" i="186" a="1"/>
  <c r="S23" i="186"/>
  <c r="Q24" i="186"/>
  <c r="S24" i="186" s="1" a="1"/>
  <c r="S24" i="186" s="1"/>
  <c r="R24" i="186"/>
  <c r="Q25" i="186"/>
  <c r="R25" i="186"/>
  <c r="S25" i="186" a="1"/>
  <c r="S25" i="186"/>
  <c r="Q26" i="186"/>
  <c r="S26" i="186" s="1" a="1"/>
  <c r="S26" i="186" s="1"/>
  <c r="R26" i="186"/>
  <c r="Q27" i="186"/>
  <c r="R27" i="186"/>
  <c r="S27" i="186" a="1"/>
  <c r="S27" i="186"/>
  <c r="Q28" i="186"/>
  <c r="S28" i="186" s="1" a="1"/>
  <c r="S28" i="186" s="1"/>
  <c r="R28" i="186"/>
  <c r="Q29" i="186"/>
  <c r="R29" i="186"/>
  <c r="S29" i="186" a="1"/>
  <c r="S29" i="186"/>
  <c r="Q30" i="186"/>
  <c r="S30" i="186" s="1" a="1"/>
  <c r="S30" i="186" s="1"/>
  <c r="R30" i="186"/>
  <c r="Q31" i="186"/>
  <c r="R31" i="186"/>
  <c r="S31" i="186" a="1"/>
  <c r="S31" i="186"/>
  <c r="Q32" i="186"/>
  <c r="S32" i="186" s="1" a="1"/>
  <c r="S32" i="186" s="1"/>
  <c r="R32" i="186"/>
  <c r="Q33" i="186"/>
  <c r="R33" i="186"/>
  <c r="S33" i="186" a="1"/>
  <c r="S33" i="186"/>
  <c r="Q34" i="186"/>
  <c r="S34" i="186" s="1" a="1"/>
  <c r="S34" i="186" s="1"/>
  <c r="R34" i="186"/>
  <c r="Q35" i="186"/>
  <c r="R35" i="186"/>
  <c r="S35" i="186" a="1"/>
  <c r="S35" i="186"/>
  <c r="Q36" i="186"/>
  <c r="S36" i="186" s="1" a="1"/>
  <c r="S36" i="186" s="1"/>
  <c r="R36" i="186"/>
  <c r="Q37" i="186"/>
  <c r="R37" i="186"/>
  <c r="S37" i="186" a="1"/>
  <c r="S37" i="186"/>
  <c r="Q38" i="186"/>
  <c r="S38" i="186" s="1" a="1"/>
  <c r="S38" i="186" s="1"/>
  <c r="R38" i="186"/>
  <c r="Q39" i="186"/>
  <c r="R39" i="186"/>
  <c r="S39" i="186" a="1"/>
  <c r="S39" i="186"/>
  <c r="Q40" i="186"/>
  <c r="S40" i="186" s="1" a="1"/>
  <c r="S40" i="186" s="1"/>
  <c r="R40" i="186"/>
  <c r="Q41" i="186"/>
  <c r="R41" i="186"/>
  <c r="S41" i="186" a="1"/>
  <c r="S41" i="186"/>
  <c r="Q42" i="186"/>
  <c r="S42" i="186" s="1" a="1"/>
  <c r="S42" i="186" s="1"/>
  <c r="R42" i="186"/>
  <c r="Q43" i="186"/>
  <c r="R43" i="186"/>
  <c r="S43" i="186" a="1"/>
  <c r="S43" i="186"/>
  <c r="Q44" i="186"/>
  <c r="S44" i="186" s="1" a="1"/>
  <c r="S44" i="186" s="1"/>
  <c r="R44" i="186"/>
  <c r="Q45" i="186"/>
  <c r="R45" i="186"/>
  <c r="S45" i="186" a="1"/>
  <c r="S45" i="186"/>
  <c r="Q46" i="186"/>
  <c r="S46" i="186" s="1" a="1"/>
  <c r="S46" i="186" s="1"/>
  <c r="R46" i="186"/>
  <c r="Q47" i="186"/>
  <c r="R47" i="186"/>
  <c r="S47" i="186" a="1"/>
  <c r="S47" i="186"/>
  <c r="Q48" i="186"/>
  <c r="S48" i="186" s="1" a="1"/>
  <c r="S48" i="186" s="1"/>
  <c r="R48" i="186"/>
  <c r="Q49" i="186"/>
  <c r="R49" i="186"/>
  <c r="S49" i="186" a="1"/>
  <c r="S49" i="186"/>
  <c r="Q50" i="186"/>
  <c r="S50" i="186" s="1" a="1"/>
  <c r="S50" i="186" s="1"/>
  <c r="R50" i="186"/>
  <c r="Q51" i="186"/>
  <c r="R51" i="186"/>
  <c r="S51" i="186" a="1"/>
  <c r="S51" i="186"/>
  <c r="Q52" i="186"/>
  <c r="S52" i="186" s="1" a="1"/>
  <c r="S52" i="186" s="1"/>
  <c r="R52" i="186"/>
  <c r="Q53" i="186"/>
  <c r="R53" i="186"/>
  <c r="S53" i="186" a="1"/>
  <c r="S53" i="186"/>
  <c r="Q54" i="186"/>
  <c r="S54" i="186" s="1" a="1"/>
  <c r="S54" i="186" s="1"/>
  <c r="R54" i="186"/>
  <c r="Q55" i="186"/>
  <c r="R55" i="186"/>
  <c r="S55" i="186" a="1"/>
  <c r="S55" i="186"/>
  <c r="Q56" i="186"/>
  <c r="S56" i="186" s="1" a="1"/>
  <c r="S56" i="186" s="1"/>
  <c r="R56" i="186"/>
  <c r="Q57" i="186"/>
  <c r="R57" i="186"/>
  <c r="S57" i="186" a="1"/>
  <c r="S57" i="186"/>
  <c r="Q58" i="186"/>
  <c r="S58" i="186" s="1" a="1"/>
  <c r="S58" i="186" s="1"/>
  <c r="R58" i="186"/>
  <c r="Q59" i="186"/>
  <c r="R59" i="186"/>
  <c r="S59" i="186" a="1"/>
  <c r="S59" i="186"/>
  <c r="Q60" i="186"/>
  <c r="S60" i="186" s="1" a="1"/>
  <c r="S60" i="186" s="1"/>
  <c r="R60" i="186"/>
  <c r="Q61" i="186"/>
  <c r="R61" i="186"/>
  <c r="S61" i="186" a="1"/>
  <c r="S61" i="186"/>
  <c r="Q62" i="186"/>
  <c r="S62" i="186" s="1" a="1"/>
  <c r="S62" i="186" s="1"/>
  <c r="R62" i="186"/>
  <c r="Q63" i="186"/>
  <c r="R63" i="186"/>
  <c r="S63" i="186" a="1"/>
  <c r="S63" i="186"/>
  <c r="Q64" i="186"/>
  <c r="S64" i="186" s="1" a="1"/>
  <c r="S64" i="186" s="1"/>
  <c r="R64" i="186"/>
  <c r="Q65" i="186"/>
  <c r="R65" i="186"/>
  <c r="S65" i="186" a="1"/>
  <c r="S65" i="186"/>
  <c r="Q66" i="186"/>
  <c r="S66" i="186" s="1" a="1"/>
  <c r="S66" i="186" s="1"/>
  <c r="R66" i="186"/>
  <c r="Q67" i="186"/>
  <c r="R67" i="186"/>
  <c r="S67" i="186" a="1"/>
  <c r="S67" i="186"/>
  <c r="Q68" i="186"/>
  <c r="S68" i="186" s="1" a="1"/>
  <c r="S68" i="186" s="1"/>
  <c r="R68" i="186"/>
  <c r="Q69" i="186"/>
  <c r="R69" i="186"/>
  <c r="S69" i="186" a="1"/>
  <c r="S69" i="186"/>
  <c r="Q70" i="186"/>
  <c r="S70" i="186" s="1" a="1"/>
  <c r="S70" i="186" s="1"/>
  <c r="R70" i="186"/>
  <c r="Q71" i="186"/>
  <c r="R71" i="186"/>
  <c r="S71" i="186" a="1"/>
  <c r="S71" i="186"/>
  <c r="Q72" i="186"/>
  <c r="S72" i="186" s="1" a="1"/>
  <c r="S72" i="186" s="1"/>
  <c r="R72" i="186"/>
  <c r="Q73" i="186"/>
  <c r="R73" i="186"/>
  <c r="S73" i="186" a="1"/>
  <c r="S73" i="186"/>
  <c r="Q74" i="186"/>
  <c r="S74" i="186" s="1" a="1"/>
  <c r="S74" i="186" s="1"/>
  <c r="R74" i="186"/>
  <c r="Q75" i="186"/>
  <c r="R75" i="186"/>
  <c r="S75" i="186" a="1"/>
  <c r="S75" i="186"/>
  <c r="Q76" i="186"/>
  <c r="S76" i="186" s="1" a="1"/>
  <c r="S76" i="186" s="1"/>
  <c r="R76" i="186"/>
  <c r="Q77" i="186"/>
  <c r="R77" i="186"/>
  <c r="S77" i="186" a="1"/>
  <c r="S77" i="186"/>
  <c r="Q78" i="186"/>
  <c r="S78" i="186" s="1" a="1"/>
  <c r="S78" i="186" s="1"/>
  <c r="R78" i="186"/>
  <c r="Q79" i="186"/>
  <c r="R79" i="186"/>
  <c r="S79" i="186" a="1"/>
  <c r="S79" i="186"/>
  <c r="Q80" i="186"/>
  <c r="S80" i="186" s="1" a="1"/>
  <c r="S80" i="186" s="1"/>
  <c r="R80" i="186"/>
  <c r="Q81" i="186"/>
  <c r="R81" i="186"/>
  <c r="S81" i="186" a="1"/>
  <c r="S81" i="186"/>
  <c r="Q82" i="186"/>
  <c r="S82" i="186" s="1" a="1"/>
  <c r="S82" i="186" s="1"/>
  <c r="R82" i="186"/>
  <c r="Q83" i="186"/>
  <c r="R83" i="186"/>
  <c r="S83" i="186" a="1"/>
  <c r="S83" i="186"/>
  <c r="Q84" i="186"/>
  <c r="S84" i="186" s="1" a="1"/>
  <c r="S84" i="186" s="1"/>
  <c r="R84" i="186"/>
  <c r="Q85" i="186"/>
  <c r="R85" i="186"/>
  <c r="S85" i="186" a="1"/>
  <c r="S85" i="186"/>
  <c r="Q86" i="186"/>
  <c r="S86" i="186" s="1" a="1"/>
  <c r="S86" i="186" s="1"/>
  <c r="R86" i="186"/>
  <c r="Q87" i="186"/>
  <c r="R87" i="186"/>
  <c r="S87" i="186" a="1"/>
  <c r="S87" i="186"/>
  <c r="Q88" i="186"/>
  <c r="S88" i="186" s="1" a="1"/>
  <c r="S88" i="186" s="1"/>
  <c r="R88" i="186"/>
  <c r="Q89" i="186"/>
  <c r="R89" i="186"/>
  <c r="S89" i="186" a="1"/>
  <c r="S89" i="186"/>
  <c r="Q90" i="186"/>
  <c r="S90" i="186" s="1" a="1"/>
  <c r="S90" i="186" s="1"/>
  <c r="R90" i="186"/>
  <c r="Q91" i="186"/>
  <c r="R91" i="186"/>
  <c r="S91" i="186" a="1"/>
  <c r="S91" i="186"/>
  <c r="Q92" i="186"/>
  <c r="S92" i="186" s="1" a="1"/>
  <c r="S92" i="186" s="1"/>
  <c r="R92" i="186"/>
  <c r="Q93" i="186"/>
  <c r="R93" i="186"/>
  <c r="S93" i="186" a="1"/>
  <c r="S93" i="186"/>
  <c r="Q94" i="186"/>
  <c r="S94" i="186" s="1" a="1"/>
  <c r="S94" i="186" s="1"/>
  <c r="R94" i="186"/>
  <c r="Q95" i="186"/>
  <c r="R95" i="186"/>
  <c r="S95" i="186" a="1"/>
  <c r="S95" i="186"/>
  <c r="Q96" i="186"/>
  <c r="S96" i="186" s="1" a="1"/>
  <c r="S96" i="186" s="1"/>
  <c r="R96" i="186"/>
  <c r="Q97" i="186"/>
  <c r="R97" i="186"/>
  <c r="S97" i="186" a="1"/>
  <c r="S97" i="186"/>
  <c r="Q98" i="186"/>
  <c r="S98" i="186" s="1" a="1"/>
  <c r="S98" i="186" s="1"/>
  <c r="R98" i="186"/>
  <c r="Q99" i="186"/>
  <c r="R99" i="186"/>
  <c r="S99" i="186" a="1"/>
  <c r="S99" i="186"/>
  <c r="Q100" i="186"/>
  <c r="S100" i="186" s="1" a="1"/>
  <c r="S100" i="186" s="1"/>
  <c r="R100" i="186"/>
  <c r="Q101" i="186"/>
  <c r="R101" i="186"/>
  <c r="S101" i="186" a="1"/>
  <c r="S101" i="186"/>
  <c r="Q102" i="186"/>
  <c r="S102" i="186" s="1" a="1"/>
  <c r="S102" i="186" s="1"/>
  <c r="R102" i="186"/>
  <c r="Q103" i="186"/>
  <c r="R103" i="186"/>
  <c r="S103" i="186" a="1"/>
  <c r="S103" i="186"/>
  <c r="Q104" i="186"/>
  <c r="S104" i="186" s="1" a="1"/>
  <c r="S104" i="186" s="1"/>
  <c r="R104" i="186"/>
  <c r="Q105" i="186"/>
  <c r="R105" i="186"/>
  <c r="S105" i="186" a="1"/>
  <c r="S105" i="186"/>
  <c r="Q106" i="186"/>
  <c r="S106" i="186" s="1" a="1"/>
  <c r="S106" i="186" s="1"/>
  <c r="R106" i="186"/>
  <c r="Q107" i="186"/>
  <c r="R107" i="186"/>
  <c r="S107" i="186" a="1"/>
  <c r="S107" i="186"/>
  <c r="Q108" i="186"/>
  <c r="S108" i="186" s="1" a="1"/>
  <c r="S108" i="186" s="1"/>
  <c r="R108" i="186"/>
  <c r="Q109" i="186"/>
  <c r="R109" i="186"/>
  <c r="S109" i="186" a="1"/>
  <c r="S109" i="186"/>
  <c r="Q110" i="186"/>
  <c r="S110" i="186" s="1" a="1"/>
  <c r="S110" i="186" s="1"/>
  <c r="R110" i="186"/>
  <c r="Q111" i="186"/>
  <c r="R111" i="186"/>
  <c r="S111" i="186" a="1"/>
  <c r="S111" i="186"/>
  <c r="Q112" i="186"/>
  <c r="S112" i="186" s="1" a="1"/>
  <c r="S112" i="186" s="1"/>
  <c r="R112" i="186"/>
  <c r="Q113" i="186"/>
  <c r="R113" i="186"/>
  <c r="S113" i="186" a="1"/>
  <c r="S113" i="186"/>
  <c r="Q114" i="186"/>
  <c r="S114" i="186" s="1" a="1"/>
  <c r="S114" i="186" s="1"/>
  <c r="R114" i="186"/>
  <c r="Q115" i="186"/>
  <c r="R115" i="186"/>
  <c r="S115" i="186" a="1"/>
  <c r="S115" i="186"/>
  <c r="Q116" i="186"/>
  <c r="S116" i="186" s="1" a="1"/>
  <c r="S116" i="186" s="1"/>
  <c r="R116" i="186"/>
  <c r="Q117" i="186"/>
  <c r="R117" i="186"/>
  <c r="S117" i="186" a="1"/>
  <c r="S117" i="186"/>
  <c r="Q118" i="186"/>
  <c r="S118" i="186" s="1" a="1"/>
  <c r="S118" i="186" s="1"/>
  <c r="R118" i="186"/>
  <c r="Q119" i="186"/>
  <c r="R119" i="186"/>
  <c r="S119" i="186" a="1"/>
  <c r="S119" i="186"/>
  <c r="Q120" i="186"/>
  <c r="S120" i="186" s="1" a="1"/>
  <c r="S120" i="186" s="1"/>
  <c r="R120" i="186"/>
  <c r="Q121" i="186"/>
  <c r="R121" i="186"/>
  <c r="S121" i="186" a="1"/>
  <c r="S121" i="186"/>
  <c r="Q122" i="186"/>
  <c r="S122" i="186" s="1" a="1"/>
  <c r="S122" i="186" s="1"/>
  <c r="R122" i="186"/>
  <c r="Q123" i="186"/>
  <c r="R123" i="186"/>
  <c r="S123" i="186" a="1"/>
  <c r="S123" i="186"/>
  <c r="Q124" i="186"/>
  <c r="S124" i="186" s="1" a="1"/>
  <c r="S124" i="186" s="1"/>
  <c r="R124" i="186"/>
  <c r="Q125" i="186"/>
  <c r="R125" i="186"/>
  <c r="S125" i="186" a="1"/>
  <c r="S125" i="186"/>
  <c r="Q126" i="186"/>
  <c r="S126" i="186" s="1" a="1"/>
  <c r="S126" i="186" s="1"/>
  <c r="R126" i="186"/>
  <c r="Q127" i="186"/>
  <c r="R127" i="186"/>
  <c r="S127" i="186" a="1"/>
  <c r="S127" i="186"/>
  <c r="Q128" i="186"/>
  <c r="S128" i="186" s="1" a="1"/>
  <c r="S128" i="186" s="1"/>
  <c r="R128" i="186"/>
  <c r="Q129" i="186"/>
  <c r="R129" i="186"/>
  <c r="S129" i="186" a="1"/>
  <c r="S129" i="186"/>
  <c r="Q130" i="186"/>
  <c r="S130" i="186" s="1" a="1"/>
  <c r="S130" i="186" s="1"/>
  <c r="R130" i="186"/>
  <c r="Q131" i="186"/>
  <c r="R131" i="186"/>
  <c r="S131" i="186" a="1"/>
  <c r="S131" i="186"/>
  <c r="Q132" i="186"/>
  <c r="S132" i="186" s="1" a="1"/>
  <c r="S132" i="186" s="1"/>
  <c r="R132" i="186"/>
  <c r="Q133" i="186"/>
  <c r="R133" i="186"/>
  <c r="S133" i="186" a="1"/>
  <c r="S133" i="186"/>
  <c r="Q134" i="186"/>
  <c r="S134" i="186" s="1" a="1"/>
  <c r="S134" i="186" s="1"/>
  <c r="R134" i="186"/>
  <c r="Q135" i="186"/>
  <c r="R135" i="186"/>
  <c r="S135" i="186" a="1"/>
  <c r="S135" i="186"/>
  <c r="Q136" i="186"/>
  <c r="S136" i="186" s="1" a="1"/>
  <c r="S136" i="186" s="1"/>
  <c r="R136" i="186"/>
  <c r="Q137" i="186"/>
  <c r="R137" i="186"/>
  <c r="S137" i="186" a="1"/>
  <c r="S137" i="186"/>
  <c r="Q138" i="186"/>
  <c r="S138" i="186" s="1" a="1"/>
  <c r="S138" i="186" s="1"/>
  <c r="R138" i="186"/>
  <c r="Q139" i="186"/>
  <c r="R139" i="186"/>
  <c r="S139" i="186" a="1"/>
  <c r="S139" i="186"/>
  <c r="Q140" i="186"/>
  <c r="S140" i="186" s="1" a="1"/>
  <c r="S140" i="186" s="1"/>
  <c r="R140" i="186"/>
  <c r="Q141" i="186"/>
  <c r="R141" i="186"/>
  <c r="S141" i="186" a="1"/>
  <c r="S141" i="186"/>
  <c r="Q142" i="186"/>
  <c r="S142" i="186" s="1" a="1"/>
  <c r="S142" i="186" s="1"/>
  <c r="R142" i="186"/>
  <c r="Q143" i="186"/>
  <c r="R143" i="186"/>
  <c r="S143" i="186" a="1"/>
  <c r="S143" i="186"/>
  <c r="Q144" i="186"/>
  <c r="S144" i="186" s="1" a="1"/>
  <c r="S144" i="186" s="1"/>
  <c r="R144" i="186"/>
  <c r="Q145" i="186"/>
  <c r="R145" i="186"/>
  <c r="S145" i="186" a="1"/>
  <c r="S145" i="186"/>
  <c r="Q146" i="186"/>
  <c r="S146" i="186" s="1" a="1"/>
  <c r="S146" i="186" s="1"/>
  <c r="R146" i="186"/>
  <c r="I16" i="186"/>
  <c r="J16" i="186"/>
  <c r="K16" i="186"/>
  <c r="L16" i="186"/>
  <c r="M16" i="186"/>
  <c r="N16" i="186"/>
  <c r="I17" i="186"/>
  <c r="J17" i="186"/>
  <c r="K17" i="186"/>
  <c r="L17" i="186"/>
  <c r="M17" i="186"/>
  <c r="N17" i="186"/>
  <c r="I18" i="186"/>
  <c r="J18" i="186"/>
  <c r="K18" i="186"/>
  <c r="L18" i="186"/>
  <c r="M18" i="186"/>
  <c r="N18" i="186"/>
  <c r="C16" i="186"/>
  <c r="C17" i="186"/>
  <c r="C18" i="186"/>
  <c r="B17" i="186"/>
  <c r="B18" i="186"/>
  <c r="C17" i="178"/>
  <c r="B17" i="178"/>
  <c r="B18" i="178"/>
  <c r="C18" i="178"/>
  <c r="C22" i="178"/>
  <c r="A66" i="178"/>
  <c r="A65" i="178"/>
  <c r="A64" i="178"/>
  <c r="C63" i="178"/>
  <c r="B63" i="178"/>
  <c r="A63" i="178"/>
  <c r="A56" i="178"/>
  <c r="B56" i="178"/>
  <c r="C56" i="178"/>
  <c r="A57" i="178"/>
  <c r="B57" i="178"/>
  <c r="C57" i="178"/>
  <c r="A58" i="178"/>
  <c r="B58" i="178"/>
  <c r="C58" i="178"/>
  <c r="A59" i="178"/>
  <c r="B59" i="178"/>
  <c r="C59" i="178"/>
  <c r="A60" i="178"/>
  <c r="B60" i="178"/>
  <c r="C60" i="178"/>
  <c r="A61" i="178"/>
  <c r="B61" i="178"/>
  <c r="C61" i="178"/>
  <c r="A62" i="178"/>
  <c r="B62" i="178"/>
  <c r="C62" i="178"/>
  <c r="A49" i="178"/>
  <c r="B49" i="178"/>
  <c r="C49" i="178"/>
  <c r="A50" i="178"/>
  <c r="B50" i="178"/>
  <c r="C50" i="178"/>
  <c r="A51" i="178"/>
  <c r="B51" i="178"/>
  <c r="C51" i="178"/>
  <c r="A52" i="178"/>
  <c r="B52" i="178"/>
  <c r="C52" i="178"/>
  <c r="A53" i="178"/>
  <c r="B53" i="178"/>
  <c r="C53" i="178"/>
  <c r="A54" i="178"/>
  <c r="B54" i="178"/>
  <c r="C54" i="178"/>
  <c r="A55" i="178"/>
  <c r="B55" i="178"/>
  <c r="C55" i="178"/>
  <c r="A46" i="178"/>
  <c r="B46" i="178"/>
  <c r="C46" i="178"/>
  <c r="A47" i="178"/>
  <c r="B47" i="178"/>
  <c r="C47" i="178"/>
  <c r="A48" i="178"/>
  <c r="B48" i="178"/>
  <c r="C48" i="178"/>
  <c r="C45" i="178"/>
  <c r="B45" i="178"/>
  <c r="A37" i="178"/>
  <c r="B37" i="178"/>
  <c r="C37" i="178"/>
  <c r="A38" i="178"/>
  <c r="B38" i="178"/>
  <c r="C38" i="178"/>
  <c r="A39" i="178"/>
  <c r="B39" i="178"/>
  <c r="C39" i="178"/>
  <c r="A40" i="178"/>
  <c r="B40" i="178"/>
  <c r="C40" i="178"/>
  <c r="A41" i="178"/>
  <c r="B41" i="178"/>
  <c r="C41" i="178"/>
  <c r="A42" i="178"/>
  <c r="B42" i="178"/>
  <c r="C42" i="178"/>
  <c r="A43" i="178"/>
  <c r="B43" i="178"/>
  <c r="C43" i="178"/>
  <c r="A44" i="178"/>
  <c r="B44" i="178"/>
  <c r="C44" i="178"/>
  <c r="A45" i="178"/>
  <c r="A34" i="178"/>
  <c r="B34" i="178"/>
  <c r="C34" i="178"/>
  <c r="A35" i="178"/>
  <c r="B35" i="178"/>
  <c r="C35" i="178"/>
  <c r="A36" i="178"/>
  <c r="B36" i="178"/>
  <c r="C36" i="178"/>
  <c r="A32" i="178"/>
  <c r="B32" i="178"/>
  <c r="C32" i="178"/>
  <c r="A33" i="178"/>
  <c r="B33" i="178"/>
  <c r="C33" i="178"/>
  <c r="A30" i="178"/>
  <c r="B30" i="178"/>
  <c r="C30" i="178"/>
  <c r="A31" i="178"/>
  <c r="B31" i="178"/>
  <c r="C31" i="178"/>
  <c r="B26" i="178"/>
  <c r="C26" i="178"/>
  <c r="B27" i="178"/>
  <c r="C27" i="178"/>
  <c r="B28" i="178"/>
  <c r="C28" i="178"/>
  <c r="B29" i="178"/>
  <c r="C29" i="178"/>
  <c r="A28" i="178"/>
  <c r="A29" i="178"/>
  <c r="B25" i="178"/>
  <c r="C25" i="178"/>
  <c r="B24" i="178"/>
  <c r="C24" i="178"/>
  <c r="B22" i="178"/>
  <c r="B16" i="178"/>
  <c r="B19" i="178"/>
  <c r="B20" i="178"/>
  <c r="B21"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62" i="178" l="1" a="1"/>
  <c r="S62" i="178" s="1"/>
  <c r="S170" i="178" a="1"/>
  <c r="S170" i="178" s="1"/>
  <c r="B174" i="179" s="1"/>
  <c r="S145" i="178" a="1"/>
  <c r="S145" i="178" s="1"/>
  <c r="B149" i="179" s="1"/>
  <c r="S65" i="178" a="1"/>
  <c r="S65" i="178" s="1"/>
  <c r="B69" i="179" s="1"/>
  <c r="S138" i="178" a="1"/>
  <c r="S138" i="178" s="1"/>
  <c r="B142" i="179" s="1"/>
  <c r="S113" i="178" a="1"/>
  <c r="S113" i="178" s="1"/>
  <c r="B117" i="179" s="1"/>
  <c r="S97" i="178" a="1"/>
  <c r="S97" i="178" s="1"/>
  <c r="B101" i="179" s="1"/>
  <c r="S81" i="178" a="1"/>
  <c r="S81" i="178" s="1"/>
  <c r="B85" i="179" s="1"/>
  <c r="S54" i="178" a="1"/>
  <c r="S54" i="178" s="1"/>
  <c r="B58" i="179" s="1"/>
  <c r="S70" i="178" a="1"/>
  <c r="S70" i="178" s="1"/>
  <c r="B74" i="179" s="1"/>
  <c r="S177" i="178" a="1"/>
  <c r="S177" i="178" s="1"/>
  <c r="B181" i="179" s="1"/>
  <c r="S171" i="178" a="1"/>
  <c r="S171" i="178" s="1"/>
  <c r="B175" i="179" s="1"/>
  <c r="S49" i="178" a="1"/>
  <c r="S49" i="178" s="1"/>
  <c r="B53" i="179" s="1"/>
  <c r="S31" i="178" a="1"/>
  <c r="S31" i="178" s="1"/>
  <c r="B35" i="179" s="1"/>
  <c r="S56" i="178" a="1"/>
  <c r="S56" i="178" s="1"/>
  <c r="B60" i="179" s="1"/>
  <c r="S48" i="178" a="1"/>
  <c r="S48" i="178" s="1"/>
  <c r="B52" i="179" s="1"/>
  <c r="S40" i="178" a="1"/>
  <c r="S40" i="178" s="1"/>
  <c r="B44" i="179" s="1"/>
  <c r="S37" i="178" a="1"/>
  <c r="S37" i="178" s="1"/>
  <c r="B41" i="179" s="1"/>
  <c r="S33" i="178" a="1"/>
  <c r="S33" i="178" s="1"/>
  <c r="B37" i="179" s="1"/>
  <c r="S39" i="178" a="1"/>
  <c r="S39" i="178" s="1"/>
  <c r="B43" i="179" s="1"/>
  <c r="B50" i="179"/>
  <c r="B82" i="179"/>
  <c r="B66" i="179"/>
  <c r="B38" i="179"/>
  <c r="B62" i="179"/>
  <c r="B78" i="179"/>
  <c r="B54" i="179"/>
  <c r="B83" i="179"/>
  <c r="B75" i="179"/>
  <c r="B67" i="179"/>
  <c r="B59" i="179"/>
  <c r="B51" i="179"/>
  <c r="B55" i="179"/>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3" i="210"/>
  <c r="C14" i="210"/>
  <c r="C15" i="210"/>
  <c r="C16"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P18" i="209" l="1"/>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N10" i="193" s="1"/>
  <c r="C29" i="195" s="1"/>
  <c r="L11" i="193"/>
  <c r="C11" i="195" s="1"/>
  <c r="L12" i="193"/>
  <c r="N12" i="193" s="1"/>
  <c r="C31" i="195" s="1"/>
  <c r="C32" i="195"/>
  <c r="C33" i="195"/>
  <c r="C15" i="195"/>
  <c r="C34" i="195"/>
  <c r="B23" i="178"/>
  <c r="C16" i="178"/>
  <c r="C19" i="178"/>
  <c r="C20"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B15" i="216"/>
  <c r="B13" i="216"/>
  <c r="B12" i="216"/>
  <c r="B9" i="216"/>
  <c r="B8" i="216"/>
  <c r="B4" i="216"/>
  <c r="R15" i="215"/>
  <c r="Q15" i="215"/>
  <c r="N15" i="215"/>
  <c r="M15" i="215"/>
  <c r="L15" i="215"/>
  <c r="K15" i="215"/>
  <c r="J15" i="215"/>
  <c r="B17" i="216"/>
  <c r="N39"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3" i="199"/>
  <c r="Q153" i="199"/>
  <c r="S153" i="199" s="1" a="1"/>
  <c r="S153" i="199" s="1"/>
  <c r="R152" i="199"/>
  <c r="Q152" i="199"/>
  <c r="S152" i="199" s="1" a="1"/>
  <c r="S152" i="199" s="1"/>
  <c r="R151" i="199"/>
  <c r="Q151" i="199"/>
  <c r="R150" i="199"/>
  <c r="Q150" i="199"/>
  <c r="S150" i="199" s="1" a="1"/>
  <c r="S150" i="199" s="1"/>
  <c r="R149" i="199"/>
  <c r="Q149" i="199"/>
  <c r="R148" i="199"/>
  <c r="Q148" i="199"/>
  <c r="S148" i="199" s="1" a="1"/>
  <c r="S148" i="199" s="1"/>
  <c r="R147" i="199"/>
  <c r="Q147" i="199"/>
  <c r="R15" i="199"/>
  <c r="Q15" i="199"/>
  <c r="N15" i="199"/>
  <c r="M15" i="199"/>
  <c r="L15" i="199"/>
  <c r="K15" i="199"/>
  <c r="Q127" i="196"/>
  <c r="S127" i="196" s="1" a="1"/>
  <c r="S127" i="196" s="1"/>
  <c r="R127" i="196"/>
  <c r="Q128" i="196"/>
  <c r="R128" i="196"/>
  <c r="S128" i="196" s="1" a="1"/>
  <c r="S128" i="196" s="1"/>
  <c r="Q129" i="196"/>
  <c r="S129" i="196" s="1" a="1"/>
  <c r="S129" i="196" s="1"/>
  <c r="R129" i="196"/>
  <c r="Q130" i="196"/>
  <c r="R130" i="196"/>
  <c r="S130" i="196" s="1" a="1"/>
  <c r="S130" i="196" s="1"/>
  <c r="Q131" i="196"/>
  <c r="S131" i="196" s="1" a="1"/>
  <c r="S131" i="196" s="1"/>
  <c r="R131" i="196"/>
  <c r="Q132" i="196"/>
  <c r="R132" i="196"/>
  <c r="S132" i="196" s="1" a="1"/>
  <c r="S132" i="196" s="1"/>
  <c r="Q133" i="196"/>
  <c r="S133" i="196" s="1" a="1"/>
  <c r="S133" i="196" s="1"/>
  <c r="R133" i="196"/>
  <c r="Q134" i="196"/>
  <c r="R134" i="196"/>
  <c r="S134" i="196" s="1" a="1"/>
  <c r="S134" i="196"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64" i="196"/>
  <c r="R64" i="196"/>
  <c r="Q65" i="196"/>
  <c r="R65" i="196"/>
  <c r="S65" i="196" s="1" a="1"/>
  <c r="S65" i="196" s="1"/>
  <c r="Q66" i="196"/>
  <c r="R66" i="196"/>
  <c r="S66" i="196" a="1"/>
  <c r="S66" i="196" s="1"/>
  <c r="Q67" i="196"/>
  <c r="R67" i="196"/>
  <c r="S67" i="196" s="1" a="1"/>
  <c r="S67" i="196" s="1"/>
  <c r="Q68" i="196"/>
  <c r="R68" i="196"/>
  <c r="Q69" i="196"/>
  <c r="R69" i="196"/>
  <c r="Q70" i="196"/>
  <c r="R70" i="196"/>
  <c r="Q71" i="196"/>
  <c r="R71" i="196"/>
  <c r="S71" i="196" s="1" a="1"/>
  <c r="S71" i="196" s="1"/>
  <c r="Q72" i="196"/>
  <c r="R72" i="196"/>
  <c r="S72" i="196" a="1"/>
  <c r="S72" i="196" s="1"/>
  <c r="Q73" i="196"/>
  <c r="R73" i="196"/>
  <c r="S73" i="196" s="1" a="1"/>
  <c r="S73" i="196" s="1"/>
  <c r="Q74" i="196"/>
  <c r="R74" i="196"/>
  <c r="S74" i="196" a="1"/>
  <c r="S74" i="196" s="1"/>
  <c r="Q75" i="196"/>
  <c r="R75" i="196"/>
  <c r="Q76" i="196"/>
  <c r="R76" i="196"/>
  <c r="Q77" i="196"/>
  <c r="R77" i="196"/>
  <c r="S77" i="196" s="1" a="1"/>
  <c r="S77" i="196" s="1"/>
  <c r="Q78" i="196"/>
  <c r="R78" i="196"/>
  <c r="S78" i="196" a="1"/>
  <c r="S78" i="196" s="1"/>
  <c r="Q79" i="196"/>
  <c r="R79" i="196"/>
  <c r="S79" i="196" s="1" a="1"/>
  <c r="S79" i="196" s="1"/>
  <c r="Q80" i="196"/>
  <c r="R80" i="196"/>
  <c r="S80" i="196" a="1"/>
  <c r="S80" i="196" s="1"/>
  <c r="Q81" i="196"/>
  <c r="R81" i="196"/>
  <c r="Q82" i="196"/>
  <c r="R82" i="196"/>
  <c r="Q83" i="196"/>
  <c r="R83" i="196"/>
  <c r="S83" i="196" s="1" a="1"/>
  <c r="S83" i="196" s="1"/>
  <c r="Q84" i="196"/>
  <c r="R84" i="196"/>
  <c r="S84" i="196" a="1"/>
  <c r="S84" i="196" s="1"/>
  <c r="Q85" i="196"/>
  <c r="R85" i="196"/>
  <c r="S85" i="196" s="1" a="1"/>
  <c r="S85" i="196" s="1"/>
  <c r="Q86" i="196"/>
  <c r="R86" i="196"/>
  <c r="S86" i="196" a="1"/>
  <c r="S86" i="196" s="1"/>
  <c r="Q87" i="196"/>
  <c r="R87" i="196"/>
  <c r="Q88" i="196"/>
  <c r="R88" i="196"/>
  <c r="Q89" i="196"/>
  <c r="R89" i="196"/>
  <c r="S89" i="196" s="1" a="1"/>
  <c r="S89" i="196" s="1"/>
  <c r="Q90" i="196"/>
  <c r="R90" i="196"/>
  <c r="S90" i="196" a="1"/>
  <c r="S90" i="196" s="1"/>
  <c r="Q91" i="196"/>
  <c r="R91" i="196"/>
  <c r="S91" i="196" s="1" a="1"/>
  <c r="S91" i="196" s="1"/>
  <c r="Q92" i="196"/>
  <c r="R92" i="196"/>
  <c r="S92" i="196" a="1"/>
  <c r="S92" i="196" s="1"/>
  <c r="Q93" i="196"/>
  <c r="R93" i="196"/>
  <c r="Q94" i="196"/>
  <c r="R94" i="196"/>
  <c r="Q95" i="196"/>
  <c r="R95" i="196"/>
  <c r="S95" i="196" s="1" a="1"/>
  <c r="S95" i="196" s="1"/>
  <c r="Q96" i="196"/>
  <c r="R96" i="196"/>
  <c r="S96" i="196" a="1"/>
  <c r="S96" i="196" s="1"/>
  <c r="Q97" i="196"/>
  <c r="R97" i="196"/>
  <c r="S97" i="196" s="1" a="1"/>
  <c r="S97" i="196" s="1"/>
  <c r="Q98" i="196"/>
  <c r="R98" i="196"/>
  <c r="S98" i="196" a="1"/>
  <c r="S98" i="196" s="1"/>
  <c r="Q99" i="196"/>
  <c r="R99" i="196"/>
  <c r="Q100" i="196"/>
  <c r="R100" i="196"/>
  <c r="Q101" i="196"/>
  <c r="R101" i="196"/>
  <c r="S101" i="196" s="1" a="1"/>
  <c r="S101" i="196" s="1"/>
  <c r="Q102" i="196"/>
  <c r="R102" i="196"/>
  <c r="S102" i="196" a="1"/>
  <c r="S102" i="196" s="1"/>
  <c r="Q103" i="196"/>
  <c r="R103" i="196"/>
  <c r="S103" i="196" s="1" a="1"/>
  <c r="S103" i="196" s="1"/>
  <c r="Q104" i="196"/>
  <c r="R104" i="196"/>
  <c r="S104" i="196" a="1"/>
  <c r="S104" i="196" s="1"/>
  <c r="Q105" i="196"/>
  <c r="R105" i="196"/>
  <c r="Q106" i="196"/>
  <c r="R106" i="196"/>
  <c r="Q107" i="196"/>
  <c r="R107" i="196"/>
  <c r="S107" i="196" s="1" a="1"/>
  <c r="S107" i="196" s="1"/>
  <c r="Q108" i="196"/>
  <c r="R108" i="196"/>
  <c r="S108" i="196" a="1"/>
  <c r="S108" i="196" s="1"/>
  <c r="Q109" i="196"/>
  <c r="R109" i="196"/>
  <c r="S109" i="196" s="1" a="1"/>
  <c r="S109" i="196" s="1"/>
  <c r="Q110" i="196"/>
  <c r="R110" i="196"/>
  <c r="S110" i="196" a="1"/>
  <c r="S110" i="196" s="1"/>
  <c r="Q111" i="196"/>
  <c r="R111" i="196"/>
  <c r="Q112" i="196"/>
  <c r="R112" i="196"/>
  <c r="Q113" i="196"/>
  <c r="R113" i="196"/>
  <c r="S113" i="196" s="1" a="1"/>
  <c r="S113" i="196" s="1"/>
  <c r="Q114" i="196"/>
  <c r="R114" i="196"/>
  <c r="S114" i="196" a="1"/>
  <c r="S114" i="196" s="1"/>
  <c r="Q115" i="196"/>
  <c r="R115" i="196"/>
  <c r="S115" i="196" s="1" a="1"/>
  <c r="S115" i="196" s="1"/>
  <c r="Q116" i="196"/>
  <c r="R116" i="196"/>
  <c r="S116" i="196" a="1"/>
  <c r="S116" i="196" s="1"/>
  <c r="Q117" i="196"/>
  <c r="R117" i="196"/>
  <c r="Q118" i="196"/>
  <c r="R118" i="196"/>
  <c r="Q119" i="196"/>
  <c r="R119" i="196"/>
  <c r="S119" i="196" s="1" a="1"/>
  <c r="S119" i="196" s="1"/>
  <c r="Q120" i="196"/>
  <c r="R120" i="196"/>
  <c r="S120" i="196" a="1"/>
  <c r="S120" i="196" s="1"/>
  <c r="Q121" i="196"/>
  <c r="R121" i="196"/>
  <c r="S121" i="196" s="1" a="1"/>
  <c r="S121" i="196" s="1"/>
  <c r="Q122" i="196"/>
  <c r="R122" i="196"/>
  <c r="S122" i="196" a="1"/>
  <c r="S122" i="196" s="1"/>
  <c r="Q123" i="196"/>
  <c r="R123" i="196"/>
  <c r="Q124" i="196"/>
  <c r="R124" i="196"/>
  <c r="Q125" i="196"/>
  <c r="R125" i="196"/>
  <c r="S125" i="196" s="1" a="1"/>
  <c r="S125" i="196" s="1"/>
  <c r="Q126" i="196"/>
  <c r="R126" i="196"/>
  <c r="S126" i="196" a="1"/>
  <c r="S126" i="196" s="1"/>
  <c r="S68" i="196" a="1"/>
  <c r="S68" i="196" s="1"/>
  <c r="B16" i="196"/>
  <c r="C16" i="196"/>
  <c r="B14" i="196"/>
  <c r="B17" i="196"/>
  <c r="C17" i="196"/>
  <c r="B18" i="196"/>
  <c r="C18" i="196"/>
  <c r="B19" i="196"/>
  <c r="C19" i="196"/>
  <c r="S64" i="196" a="1"/>
  <c r="S64" i="196" s="1"/>
  <c r="S70" i="196" a="1"/>
  <c r="S70" i="196" s="1"/>
  <c r="S76" i="196" a="1"/>
  <c r="S76" i="196" s="1"/>
  <c r="S82" i="196" a="1"/>
  <c r="S82" i="196" s="1"/>
  <c r="S88" i="196" a="1"/>
  <c r="S88" i="196" s="1"/>
  <c r="S94" i="196" a="1"/>
  <c r="S94" i="196" s="1"/>
  <c r="S100" i="196" a="1"/>
  <c r="S100" i="196" s="1"/>
  <c r="S106" i="196" a="1"/>
  <c r="S106" i="196" s="1"/>
  <c r="S112" i="196" a="1"/>
  <c r="S112" i="196" s="1"/>
  <c r="S118" i="196" a="1"/>
  <c r="S118" i="196" s="1"/>
  <c r="S124" i="196" a="1"/>
  <c r="S124" i="196"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6" i="178"/>
  <c r="C66" i="178"/>
  <c r="C21" i="178"/>
  <c r="C23" i="178"/>
  <c r="B64" i="178"/>
  <c r="C64" i="178"/>
  <c r="B65" i="178"/>
  <c r="C65" i="178"/>
  <c r="C15" i="178"/>
  <c r="J15" i="178" s="1"/>
  <c r="B15" i="178"/>
  <c r="B14" i="178"/>
  <c r="B17" i="179"/>
  <c r="E3" i="178"/>
  <c r="E6" i="178" s="1"/>
  <c r="B16" i="179" s="1"/>
  <c r="B15" i="179"/>
  <c r="B13" i="179"/>
  <c r="B12" i="179"/>
  <c r="B9" i="179"/>
  <c r="B8" i="179"/>
  <c r="B4" i="179"/>
  <c r="R15" i="178"/>
  <c r="Q15" i="178"/>
  <c r="N15" i="178"/>
  <c r="M15" i="178"/>
  <c r="L15" i="178"/>
  <c r="K15" i="178"/>
  <c r="S56" i="217" l="1" a="1"/>
  <c r="S56" i="217" s="1"/>
  <c r="B60" i="218" s="1"/>
  <c r="S48" i="217" a="1"/>
  <c r="S48" i="217" s="1"/>
  <c r="B52" i="218" s="1"/>
  <c r="S42" i="217" a="1"/>
  <c r="S42" i="217" s="1"/>
  <c r="B46" i="218" s="1"/>
  <c r="S32" i="217" a="1"/>
  <c r="S32" i="217" s="1"/>
  <c r="B36" i="218" s="1"/>
  <c r="S26" i="217" a="1"/>
  <c r="S26" i="217" s="1"/>
  <c r="B30" i="218" s="1"/>
  <c r="S149" i="199" a="1"/>
  <c r="S149" i="199" s="1"/>
  <c r="I15" i="199"/>
  <c r="S15" i="199" s="1" a="1"/>
  <c r="S15" i="199" s="1"/>
  <c r="B19" i="200" s="1"/>
  <c r="S147" i="199" a="1"/>
  <c r="S147" i="199" s="1"/>
  <c r="S151" i="199" a="1"/>
  <c r="S151" i="199" s="1"/>
  <c r="P36" i="172"/>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I29" i="239"/>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N8" i="209"/>
  <c r="C49" i="210" s="1"/>
  <c r="R8" i="209"/>
  <c r="C128" i="210" s="1"/>
  <c r="P8" i="209"/>
  <c r="C88" i="21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B185" i="208"/>
  <c r="I15" i="202"/>
  <c r="S15" i="202" s="1" a="1"/>
  <c r="S15" i="202" s="1"/>
  <c r="B139" i="200" s="1"/>
  <c r="S16" i="205" a="1"/>
  <c r="S16" i="205" s="1"/>
  <c r="B153" i="208" s="1"/>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N8" i="237"/>
  <c r="C19"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S15" i="217" s="1" a="1"/>
  <c r="S15" i="217" s="1"/>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tc={1D824C42-04D3-444C-9C56-C40379C6AF78}</author>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A9" authorId="0" shapeId="0" xr:uid="{1D824C42-04D3-444C-9C56-C40379C6AF7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Ther are two different concepts the kind of  procedure and where it was done ..please clarify</t>
      </text>
    </comment>
    <comment ref="D13" authorId="1"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<sst xmlns="http://schemas.openxmlformats.org/spreadsheetml/2006/main" count="7020" uniqueCount="2388">
  <si>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</si>
  <si>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</si>
  <si>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</si>
  <si>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</si>
  <si>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</si>
  <si>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</si>
  <si>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</si>
  <si>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</si>
  <si>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</si>
  <si>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</si>
  <si>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</si>
  <si>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</si>
  <si>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</si>
  <si>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</si>
  <si>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</si>
  <si>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</si>
  <si>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</si>
  <si>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</si>
  <si>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</si>
  <si>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</si>
  <si>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</si>
  <si>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</si>
  <si>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</si>
  <si>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</si>
  <si>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</si>
  <si>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</si>
  <si>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</si>
  <si>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</si>
  <si>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</si>
  <si>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</si>
  <si>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</si>
  <si>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</si>
  <si>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</si>
  <si>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</si>
  <si>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</si>
  <si>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</si>
  <si>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</si>
  <si>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</si>
  <si>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</si>
  <si>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</si>
  <si>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</si>
  <si>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</si>
  <si>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</si>
  <si>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</si>
  <si>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</si>
  <si>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</si>
  <si>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</si>
  <si>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</si>
  <si>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</si>
  <si>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</si>
  <si>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</si>
  <si>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</si>
  <si>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</si>
  <si>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</si>
  <si>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</si>
  <si>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</si>
  <si>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</si>
  <si>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</si>
  <si>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</si>
  <si>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</si>
  <si>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</si>
  <si>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</si>
  <si>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</si>
  <si>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</si>
  <si>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</si>
  <si>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</si>
  <si>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</si>
  <si>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</si>
  <si>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</si>
  <si>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</si>
  <si>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</si>
  <si>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</si>
  <si>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</si>
  <si>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</si>
  <si>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</si>
  <si>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</si>
  <si>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</si>
  <si>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</si>
  <si>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</si>
  <si>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</si>
  <si>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</si>
  <si>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</si>
  <si>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</si>
  <si>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</si>
  <si>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</si>
  <si>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</si>
  <si>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</si>
  <si>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</si>
  <si>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</si>
  <si>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</si>
  <si>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</si>
  <si>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</si>
  <si>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</si>
  <si>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</si>
  <si>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</si>
  <si>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</si>
  <si>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</si>
  <si>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</si>
  <si>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</si>
  <si>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</si>
  <si>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</si>
  <si>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</si>
  <si>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</si>
  <si>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</si>
  <si>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</si>
  <si>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</si>
  <si>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</si>
  <si>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</si>
  <si>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</si>
  <si>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</si>
  <si>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</si>
  <si>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</si>
  <si>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</si>
  <si>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</si>
  <si>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</si>
  <si>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</si>
  <si>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</si>
  <si>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</si>
  <si>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</si>
  <si>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</si>
  <si>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</si>
  <si>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</si>
  <si>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</si>
  <si>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</si>
  <si>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</si>
  <si>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</si>
  <si>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</si>
  <si>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</si>
  <si>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</si>
  <si>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</si>
  <si>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</si>
  <si>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</si>
  <si>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</si>
  <si>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</si>
  <si>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</si>
  <si>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</si>
  <si>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</si>
  <si>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</si>
  <si>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</si>
  <si>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</si>
  <si>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</si>
  <si>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</si>
  <si>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</si>
  <si>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</si>
  <si>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</si>
  <si>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</si>
  <si>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</si>
  <si>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</si>
  <si>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</si>
  <si>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</si>
  <si>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</si>
  <si>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</si>
  <si>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</si>
  <si>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</si>
  <si>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</si>
  <si>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</si>
  <si>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</si>
  <si>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</si>
  <si>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</si>
  <si>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</si>
  <si>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</si>
  <si>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</si>
  <si>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</si>
  <si>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</si>
  <si>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</si>
  <si>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</si>
  <si>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</si>
  <si>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</si>
  <si>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</si>
  <si>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</si>
  <si>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</si>
  <si>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</si>
  <si>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</si>
  <si>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</si>
  <si>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</si>
  <si>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</si>
  <si>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</si>
  <si>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</si>
  <si>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</si>
  <si>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</si>
  <si>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</si>
  <si>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</si>
  <si>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</si>
  <si>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</si>
  <si>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</si>
  <si>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</si>
  <si>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</si>
  <si>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</si>
  <si>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</si>
  <si>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</si>
  <si>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</si>
  <si>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</si>
  <si>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</si>
  <si>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</si>
  <si>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</si>
  <si>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</si>
  <si>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</si>
  <si>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</si>
  <si>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</si>
  <si>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</si>
  <si>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</si>
  <si>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</si>
  <si>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</si>
  <si>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</si>
  <si>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</si>
  <si>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</si>
  <si>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</si>
  <si>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</si>
  <si>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</si>
  <si>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</si>
  <si>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</si>
  <si>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</si>
  <si>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</si>
  <si>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</si>
  <si>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</si>
  <si>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</si>
  <si>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</si>
  <si>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</si>
  <si>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</si>
  <si>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</si>
  <si>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</si>
  <si>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</si>
  <si>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</si>
  <si>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</si>
  <si>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</si>
  <si>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</si>
  <si>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</si>
  <si>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</si>
  <si>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</si>
  <si>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</si>
  <si>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</si>
  <si>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</si>
  <si>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</si>
  <si>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</si>
  <si>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</si>
  <si>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</si>
  <si>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</si>
  <si>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</si>
  <si>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</si>
  <si>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</si>
  <si>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</si>
  <si>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</si>
  <si>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</si>
  <si>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</si>
  <si>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</si>
  <si>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</si>
  <si>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</si>
  <si>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</si>
  <si>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</si>
  <si>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</si>
  <si>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</si>
  <si>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</si>
  <si>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</si>
  <si>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</si>
  <si>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</si>
  <si>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</si>
  <si>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</si>
  <si>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</si>
  <si>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</si>
  <si>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</si>
  <si>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</si>
  <si>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</si>
  <si>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</si>
  <si>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</si>
  <si>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</si>
  <si>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</si>
  <si>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</si>
  <si>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</si>
  <si>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</si>
  <si>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</si>
  <si>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</si>
  <si>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</si>
  <si>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</si>
  <si>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</si>
  <si>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</si>
  <si>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</si>
  <si>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</si>
  <si>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</si>
  <si>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</si>
  <si>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</si>
  <si>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</si>
  <si>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</si>
  <si>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</si>
  <si>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</si>
  <si>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</si>
  <si>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</si>
  <si>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</si>
  <si>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</si>
  <si>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</si>
  <si>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</si>
  <si>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</si>
  <si>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</si>
  <si>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</si>
  <si>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</si>
  <si>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</si>
  <si>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</si>
  <si>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</si>
  <si>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</si>
  <si>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</si>
  <si>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</si>
  <si>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</si>
  <si>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</si>
  <si>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</si>
  <si>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</si>
  <si>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</si>
  <si>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</si>
  <si>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</si>
  <si>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</si>
  <si>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</si>
  <si>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</si>
  <si>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</si>
  <si>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</si>
  <si>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</si>
  <si>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</si>
  <si>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</si>
  <si>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</si>
  <si>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</si>
  <si>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</si>
  <si>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</si>
  <si>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</si>
  <si>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</si>
  <si>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</si>
  <si>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</si>
  <si>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</si>
  <si>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</si>
  <si>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</si>
  <si>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</si>
  <si>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</si>
  <si>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</si>
  <si>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</si>
  <si>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</si>
  <si>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</si>
  <si>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</si>
  <si>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</si>
  <si>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</si>
  <si>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</si>
  <si>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</si>
  <si>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</si>
  <si>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</si>
  <si>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</si>
  <si>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</si>
  <si>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</si>
  <si>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</si>
  <si>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</si>
  <si>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</si>
  <si>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</si>
  <si>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</si>
  <si>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</si>
  <si>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</si>
  <si>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</si>
  <si>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</si>
  <si>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</si>
  <si>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</si>
  <si>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</si>
  <si>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</si>
  <si>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</si>
  <si>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</si>
  <si>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</si>
  <si>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</si>
  <si>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</si>
  <si>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</si>
  <si>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</si>
  <si>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</si>
  <si>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</si>
  <si>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</si>
  <si>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</si>
  <si>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</si>
  <si>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</si>
  <si>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</si>
  <si>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</si>
  <si>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</si>
  <si>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</si>
  <si>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</si>
  <si>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</si>
  <si>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</si>
  <si>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</si>
  <si>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</si>
  <si>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</si>
  <si>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</si>
  <si>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</si>
  <si>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</si>
  <si>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</si>
  <si>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</si>
  <si>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</si>
  <si>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</si>
  <si>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</si>
  <si>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</si>
  <si>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</si>
  <si>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</si>
  <si>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</si>
  <si>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</si>
  <si>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</si>
  <si>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</si>
  <si>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</si>
  <si>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</si>
  <si>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</si>
  <si>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</si>
  <si>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</si>
  <si>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</si>
  <si>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</si>
  <si>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</si>
  <si>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</si>
  <si>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</si>
  <si>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</si>
  <si>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</si>
  <si>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</si>
  <si>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</si>
  <si>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</si>
  <si>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</si>
  <si>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</si>
  <si>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</si>
  <si>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</si>
  <si>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</si>
  <si>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</si>
  <si>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</si>
  <si>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</si>
  <si>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</si>
  <si>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</si>
  <si>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</si>
  <si>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</si>
  <si>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</si>
  <si>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</si>
  <si>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</si>
  <si>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</si>
  <si>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</si>
  <si>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</si>
  <si>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</si>
  <si>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</si>
  <si>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</si>
  <si>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</si>
  <si>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</si>
  <si>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</si>
  <si>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</si>
  <si>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</si>
  <si>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</si>
  <si>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</si>
  <si>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</si>
  <si>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</si>
  <si>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</si>
  <si>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</si>
  <si>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</si>
  <si>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</si>
  <si>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</si>
  <si>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</si>
  <si>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</si>
  <si>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</si>
  <si>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</si>
  <si>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</si>
  <si>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</si>
  <si>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</si>
  <si>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</si>
  <si>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</si>
  <si>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</si>
  <si>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</si>
  <si>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</si>
  <si>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</si>
  <si>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</si>
  <si>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</si>
  <si>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</si>
  <si>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</si>
  <si>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</si>
  <si>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</si>
  <si>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</si>
  <si>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</si>
  <si>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</si>
  <si>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</si>
  <si>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</si>
  <si>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</si>
  <si>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</si>
  <si>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</si>
  <si>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</si>
  <si>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</si>
  <si>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</si>
  <si>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</si>
  <si>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</si>
  <si>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</si>
  <si>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</si>
  <si>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</si>
  <si>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</si>
  <si>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</si>
  <si>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</si>
  <si>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</si>
  <si>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</si>
  <si>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</si>
  <si>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</si>
  <si>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</si>
  <si>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</si>
  <si>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</si>
  <si>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</si>
  <si>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</si>
  <si>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</si>
  <si>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</si>
  <si>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</si>
  <si>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</si>
  <si>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</si>
  <si>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</si>
  <si>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</si>
  <si>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</si>
  <si>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</si>
  <si>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</si>
  <si>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</si>
  <si>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</si>
  <si>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</si>
  <si>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</si>
  <si>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</si>
  <si>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</si>
  <si>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</si>
  <si>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</si>
  <si>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</si>
  <si>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</si>
  <si>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</si>
  <si>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</si>
  <si>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</si>
  <si>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</si>
  <si>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</si>
  <si>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</si>
  <si>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</si>
  <si>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</si>
  <si>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</si>
  <si>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</si>
  <si>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</si>
  <si>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</si>
  <si>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</si>
  <si>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</si>
  <si>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</si>
  <si>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</si>
  <si>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</si>
  <si>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</si>
  <si>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</si>
  <si>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</si>
  <si>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</si>
  <si>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</si>
  <si>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</si>
  <si>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</si>
  <si>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</si>
  <si>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</si>
  <si>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</si>
  <si>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</si>
  <si>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</si>
  <si>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</si>
  <si>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</si>
  <si>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</si>
  <si>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</si>
  <si>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</si>
  <si>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</si>
  <si>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</si>
  <si>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</si>
  <si>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</si>
  <si>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</si>
  <si>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</si>
  <si>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</si>
  <si>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</si>
  <si>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</si>
  <si>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</si>
  <si>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</si>
  <si>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</si>
  <si>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</si>
  <si>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</si>
  <si>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</si>
  <si>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</si>
  <si>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</si>
  <si>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</si>
  <si>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</si>
  <si>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</si>
  <si>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</si>
  <si>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</si>
  <si>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</si>
  <si>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</si>
  <si>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</si>
  <si>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</si>
  <si>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</si>
  <si>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</si>
  <si>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</si>
  <si>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</si>
  <si>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</si>
  <si>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</si>
  <si>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</si>
  <si>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</si>
  <si>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</si>
  <si>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</si>
  <si>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</si>
  <si>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</si>
  <si>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</si>
  <si>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</si>
  <si>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</si>
  <si>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</si>
  <si>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</si>
  <si>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</si>
  <si>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</si>
  <si>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</si>
  <si>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</si>
  <si>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</si>
  <si>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</si>
  <si>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</si>
  <si>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</si>
  <si>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</si>
  <si>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</si>
  <si>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</si>
  <si>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</si>
  <si>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</si>
  <si>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</si>
  <si>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</si>
  <si>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</si>
  <si>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</si>
  <si>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</si>
  <si>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</si>
  <si>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</si>
  <si>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</si>
  <si>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</si>
  <si>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</si>
  <si>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</si>
  <si>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</si>
  <si>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</si>
  <si>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</si>
  <si>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</si>
  <si>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</si>
  <si>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</si>
  <si>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</si>
  <si>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</si>
  <si>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</si>
  <si>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</si>
  <si>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</si>
  <si>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</si>
  <si>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</si>
  <si>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</si>
  <si>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</si>
  <si>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</si>
  <si>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</si>
  <si>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</si>
  <si>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</si>
  <si>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</si>
  <si>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</si>
  <si>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</si>
  <si>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</si>
  <si>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</si>
  <si>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</si>
  <si>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</si>
  <si>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</si>
  <si>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</si>
  <si>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</si>
  <si>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</si>
  <si>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</si>
  <si>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</si>
  <si>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</si>
  <si>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</si>
  <si>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</si>
  <si>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</si>
  <si>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</si>
  <si>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</si>
  <si>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</si>
  <si>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</si>
  <si>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</si>
  <si>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</si>
  <si>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</si>
  <si>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</si>
  <si>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</si>
  <si>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</si>
  <si>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</si>
  <si>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</si>
  <si>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</si>
  <si>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</si>
  <si>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</si>
  <si>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</si>
  <si>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</si>
  <si>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</si>
  <si>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</si>
  <si>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</si>
  <si>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</si>
  <si>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</si>
  <si>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</si>
  <si>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</si>
  <si>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</si>
  <si>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</si>
  <si>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</si>
  <si>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</si>
  <si>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</si>
  <si>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</si>
  <si>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</si>
  <si>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</si>
  <si>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</si>
  <si>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</si>
  <si>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</si>
  <si>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</si>
  <si>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</si>
  <si>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</si>
  <si>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</si>
  <si>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</si>
  <si>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</si>
  <si>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</si>
  <si>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</si>
  <si>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</si>
  <si>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</si>
  <si>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</si>
  <si>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</si>
  <si>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</si>
  <si>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</si>
  <si>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</si>
  <si>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</si>
  <si>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</si>
  <si>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</si>
  <si>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</si>
  <si>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</si>
  <si>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</si>
  <si>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</si>
  <si>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</si>
  <si>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</si>
  <si>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</si>
  <si>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</si>
  <si>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</si>
  <si>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</si>
  <si>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</si>
  <si>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</si>
  <si>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</si>
  <si>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</si>
  <si>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</si>
  <si>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</si>
  <si>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</si>
  <si>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</si>
  <si>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</si>
  <si>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</si>
  <si>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</si>
  <si>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</si>
  <si>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</si>
  <si>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</si>
  <si>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</si>
  <si>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</si>
  <si>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</si>
  <si>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</si>
  <si>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</si>
  <si>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</si>
  <si>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</si>
  <si>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</si>
  <si>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</si>
  <si>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</si>
  <si>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</si>
  <si>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</si>
  <si>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</si>
  <si>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</si>
  <si>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</si>
  <si>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</si>
  <si>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</si>
  <si>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</si>
  <si>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</si>
  <si>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</si>
  <si>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</si>
  <si>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</si>
  <si>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</si>
  <si>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</si>
  <si>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</si>
  <si>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</si>
  <si>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</si>
  <si>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</si>
  <si>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</si>
  <si>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</si>
  <si>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</si>
  <si>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</si>
  <si>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</si>
  <si>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</si>
  <si>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</si>
  <si>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</si>
  <si>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</si>
  <si>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</si>
  <si>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</si>
  <si>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</si>
  <si>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</si>
  <si>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</si>
  <si>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</si>
  <si>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</si>
  <si>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</si>
  <si>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</si>
  <si>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</si>
  <si>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</si>
  <si>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</si>
  <si>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</si>
  <si>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</si>
  <si>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</si>
  <si>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</si>
  <si>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</si>
  <si>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</si>
  <si>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</si>
  <si>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</si>
  <si>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</si>
  <si>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</si>
  <si>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</si>
  <si>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</si>
  <si>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</si>
  <si>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</si>
  <si>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</si>
  <si>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</si>
  <si>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</si>
  <si>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</si>
  <si>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</si>
  <si>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</si>
  <si>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</si>
  <si>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</si>
  <si>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</si>
  <si>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</si>
  <si>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</si>
  <si>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</si>
  <si>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</si>
  <si>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</si>
  <si>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</si>
  <si>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</si>
  <si>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</si>
  <si>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</si>
  <si>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</si>
  <si>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</si>
  <si>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</si>
  <si>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</si>
  <si>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</si>
  <si>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</si>
  <si>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</si>
  <si>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</si>
  <si>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</si>
  <si>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</si>
  <si>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</si>
  <si>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</si>
  <si>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</si>
  <si>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</si>
  <si>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</si>
  <si>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</si>
  <si>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</si>
  <si>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</si>
  <si>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</si>
  <si>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</si>
  <si>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</si>
  <si>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</si>
  <si>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</si>
  <si>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</si>
  <si>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</si>
  <si>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</si>
  <si>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</si>
  <si>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</si>
  <si>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</si>
  <si>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</si>
  <si>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</si>
  <si>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</si>
  <si>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</si>
  <si>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</si>
  <si>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</si>
  <si>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</si>
  <si>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</si>
  <si>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</si>
  <si>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</si>
  <si>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</si>
  <si>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</si>
  <si>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</si>
  <si>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</si>
  <si>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</si>
  <si>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</si>
  <si>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</si>
  <si>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</si>
  <si>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</si>
  <si>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</si>
  <si>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</si>
  <si>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</si>
  <si>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</si>
  <si>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</si>
  <si>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</si>
  <si>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</si>
  <si>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</si>
  <si>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</si>
  <si>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</si>
  <si>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</si>
  <si>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</si>
  <si>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</si>
  <si>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</si>
  <si>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</si>
  <si>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</si>
  <si>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</si>
  <si>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</si>
  <si>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</si>
  <si>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</si>
  <si>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</si>
  <si>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</si>
  <si>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</si>
  <si>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</si>
  <si>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</si>
  <si>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</si>
  <si>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</si>
  <si>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</si>
  <si>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</si>
  <si>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</si>
  <si>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</si>
  <si>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</si>
  <si>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</si>
  <si>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</si>
  <si>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</si>
  <si>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</si>
  <si>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</si>
  <si>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</si>
  <si>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</si>
  <si>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</si>
  <si>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</si>
  <si>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</si>
  <si>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</si>
  <si>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</si>
  <si>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</si>
  <si>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</si>
  <si>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</si>
  <si>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</si>
  <si>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</si>
  <si>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</si>
  <si>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</si>
  <si>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</si>
  <si>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</si>
  <si>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</si>
  <si>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</si>
  <si>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</si>
  <si>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</si>
  <si>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</si>
  <si>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</si>
  <si>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</si>
  <si>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</si>
  <si>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</si>
  <si>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</si>
  <si>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</si>
  <si>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</si>
  <si>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</si>
  <si>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</si>
  <si>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</si>
  <si>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</si>
  <si>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</si>
  <si>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</si>
  <si>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</si>
  <si>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</si>
  <si>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</si>
  <si>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</si>
  <si>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</si>
  <si>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</si>
  <si>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</si>
  <si>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</si>
  <si>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</si>
  <si>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</si>
  <si>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</si>
  <si>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</si>
  <si>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</si>
  <si>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</si>
  <si>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</si>
  <si>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</si>
  <si>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</si>
  <si>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</si>
  <si>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</si>
  <si>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</si>
  <si>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</si>
  <si>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</si>
  <si>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</si>
  <si>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</si>
  <si>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</si>
  <si>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</si>
  <si>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</si>
  <si>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</si>
  <si>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</si>
  <si>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</si>
  <si>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</si>
  <si>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</si>
  <si>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</si>
  <si>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</si>
  <si>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</si>
  <si>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</si>
  <si>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</si>
  <si>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</si>
  <si>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</si>
  <si>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</si>
  <si>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</si>
  <si>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</si>
  <si>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</si>
  <si>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</si>
  <si>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</si>
  <si>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</si>
  <si>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</si>
  <si>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</si>
  <si>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</si>
  <si>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</si>
  <si>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</si>
  <si>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</si>
  <si>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</si>
  <si>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</si>
  <si>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</si>
  <si>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</si>
  <si>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</si>
  <si>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</si>
  <si>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</si>
  <si>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</si>
  <si>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</si>
  <si>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</si>
  <si>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</si>
  <si>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</si>
  <si>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</si>
  <si>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</si>
  <si>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</si>
  <si>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</si>
  <si>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</si>
  <si>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</si>
  <si>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</si>
  <si>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</si>
  <si>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</si>
  <si>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</si>
  <si>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</si>
  <si>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</si>
  <si>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</si>
  <si>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</si>
  <si>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</si>
  <si>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</si>
  <si>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</si>
  <si>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</si>
  <si>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</si>
  <si>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</si>
  <si>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</si>
  <si>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</si>
  <si>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</si>
  <si>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</si>
  <si>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</si>
  <si>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</si>
  <si>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</si>
  <si>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</si>
  <si>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</si>
  <si>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</si>
  <si>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</si>
  <si>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</si>
  <si>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</si>
  <si>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</si>
  <si>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</si>
  <si>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</si>
  <si>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</si>
  <si>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</si>
  <si>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</si>
  <si>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</si>
  <si>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</si>
  <si>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</si>
  <si>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</si>
  <si>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</si>
  <si>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</si>
  <si>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</si>
  <si>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</si>
  <si>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</si>
  <si>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</si>
  <si>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</si>
  <si>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</si>
  <si>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</si>
  <si>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</si>
  <si>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</si>
  <si>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</si>
  <si>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</si>
  <si>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</si>
  <si>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</si>
  <si>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</si>
  <si>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</si>
  <si>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</si>
  <si>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</si>
  <si>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</si>
  <si>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</si>
  <si>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</si>
  <si>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</si>
  <si>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</si>
  <si>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</si>
  <si>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</si>
  <si>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</si>
  <si>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</si>
  <si>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</si>
  <si>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</si>
  <si>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</si>
  <si>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</si>
  <si>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</si>
  <si>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</si>
  <si>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</si>
  <si>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</si>
  <si>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</si>
  <si>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</si>
  <si>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</si>
  <si>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</si>
  <si>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</si>
  <si>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</si>
  <si>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</si>
  <si>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</si>
  <si>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</si>
  <si>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</si>
  <si>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</si>
  <si>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</si>
  <si>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</si>
  <si>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</si>
  <si>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</si>
  <si>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</si>
  <si>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</si>
  <si>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</si>
  <si>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</si>
  <si>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</si>
  <si>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</si>
  <si>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</si>
  <si>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</si>
  <si>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</si>
  <si>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</si>
  <si>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</si>
  <si>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</si>
  <si>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</si>
  <si>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</si>
  <si>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</si>
  <si>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</si>
  <si>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</si>
  <si>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</si>
  <si>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</si>
  <si>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</si>
  <si>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</si>
  <si>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</si>
  <si>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</si>
  <si>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</si>
  <si>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</si>
  <si>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</si>
  <si>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</si>
  <si>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</si>
  <si>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</si>
  <si>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</si>
  <si>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</si>
  <si>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</si>
  <si>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</si>
  <si>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</si>
  <si>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</si>
  <si>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</si>
  <si>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</si>
  <si>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</si>
  <si>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</si>
  <si>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</si>
  <si>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</si>
  <si>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</si>
  <si>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</si>
  <si>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</si>
  <si>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</si>
  <si>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</si>
  <si>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</si>
  <si>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</si>
  <si>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</si>
  <si>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</si>
  <si>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</si>
  <si>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</si>
  <si>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</si>
  <si>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</si>
  <si>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</si>
  <si>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</si>
  <si>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</si>
  <si>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</si>
  <si>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</si>
  <si>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</si>
  <si>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</si>
  <si>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</si>
  <si>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</si>
  <si>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</si>
  <si>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</si>
  <si>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</si>
  <si>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</si>
  <si>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</si>
  <si>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</si>
  <si>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</si>
  <si>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</si>
  <si>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</si>
  <si>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</si>
  <si>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</si>
  <si>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</si>
  <si>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</si>
  <si>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</si>
  <si>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</si>
  <si>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</si>
  <si>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</si>
  <si>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</si>
  <si>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</si>
  <si>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</si>
  <si>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</si>
  <si>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</si>
  <si>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</si>
  <si>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</si>
  <si>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</si>
  <si>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</si>
  <si>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</si>
  <si>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</si>
  <si>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</si>
  <si>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</si>
  <si>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</si>
  <si>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</si>
  <si>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</si>
  <si>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</si>
  <si>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</si>
  <si>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</si>
  <si>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</si>
  <si>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</si>
  <si>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</si>
  <si>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</si>
  <si>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</si>
  <si>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</si>
  <si>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</si>
  <si>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</si>
  <si>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</si>
  <si>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</si>
  <si>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</si>
  <si>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</si>
  <si>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</si>
  <si>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</si>
  <si>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</si>
  <si>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</si>
  <si>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</si>
  <si>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</si>
  <si>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</si>
  <si>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</si>
  <si>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</si>
  <si>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</si>
  <si>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</si>
  <si>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</si>
  <si>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</si>
  <si>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</si>
  <si>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</si>
  <si>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</si>
  <si>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</si>
  <si>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</si>
  <si>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</si>
  <si>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</si>
  <si>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</si>
  <si>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</si>
  <si>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</si>
  <si>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</si>
  <si>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</si>
  <si>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</si>
  <si>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</si>
  <si>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</si>
  <si>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</si>
  <si>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</si>
  <si>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</si>
  <si>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</si>
  <si>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</si>
  <si>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</si>
  <si>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</si>
  <si>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</si>
  <si>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</si>
  <si>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</si>
  <si>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</si>
  <si>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</si>
  <si>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</si>
  <si>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</si>
  <si>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</si>
  <si>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</si>
  <si>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</si>
  <si>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</si>
  <si>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</si>
  <si>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</si>
  <si>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</si>
  <si>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</si>
  <si>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</si>
  <si>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</si>
  <si>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</si>
  <si>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</si>
  <si>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</si>
  <si>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</si>
  <si>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</si>
  <si>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</si>
  <si>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</si>
  <si>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</si>
  <si>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</si>
  <si>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</si>
  <si>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</si>
  <si>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</si>
  <si>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</si>
  <si>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</si>
  <si>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</si>
  <si>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</si>
  <si>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</si>
  <si>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</si>
  <si>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</si>
  <si>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</si>
  <si>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</si>
  <si>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</si>
  <si>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</si>
  <si>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</si>
  <si>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</si>
  <si>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</si>
  <si>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</si>
  <si>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</si>
  <si>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</si>
  <si>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</si>
  <si>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</si>
  <si>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</si>
  <si>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</si>
  <si>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</si>
  <si>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</si>
  <si>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</si>
  <si>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</si>
  <si>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</si>
  <si>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</si>
  <si>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</si>
  <si>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</si>
  <si>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</si>
  <si>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</si>
  <si>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</si>
  <si>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</si>
  <si>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</si>
  <si>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</si>
  <si>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</si>
  <si>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</si>
  <si>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</si>
  <si>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</si>
  <si>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</si>
  <si>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</si>
  <si>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</si>
  <si>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</si>
  <si>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</si>
  <si>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</si>
  <si>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</si>
  <si>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</si>
  <si>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</si>
  <si>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</si>
  <si>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</si>
  <si>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</si>
  <si>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</si>
  <si>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</si>
  <si>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</si>
  <si>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</si>
  <si>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</si>
  <si>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</si>
  <si>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</si>
  <si>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</si>
  <si>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</si>
  <si>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</si>
  <si>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</si>
  <si>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</si>
  <si>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</si>
  <si>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</si>
  <si>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</si>
  <si>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</si>
  <si>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</si>
  <si>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</si>
  <si>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</si>
  <si>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</si>
  <si>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</si>
  <si>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</si>
  <si>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</si>
  <si>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</si>
  <si>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</si>
  <si>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</si>
  <si>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</si>
  <si>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</si>
  <si>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</si>
  <si>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</si>
  <si>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</si>
  <si>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</si>
  <si>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</si>
  <si>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</si>
  <si>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</si>
  <si>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</si>
  <si>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</si>
  <si>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</si>
  <si>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</si>
  <si>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</si>
  <si>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</si>
  <si>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</si>
  <si>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</si>
  <si>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</si>
  <si>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</si>
  <si>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</si>
  <si>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</si>
  <si>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</si>
  <si>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</si>
  <si>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</si>
  <si>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</si>
  <si>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</si>
  <si>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</si>
  <si>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</si>
  <si>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</si>
  <si>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</si>
  <si>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</si>
  <si>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</si>
  <si>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</si>
  <si>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</si>
  <si>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</si>
  <si>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</si>
  <si>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</si>
  <si>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</si>
  <si>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</si>
  <si>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</si>
  <si>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</si>
  <si>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</si>
  <si>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</si>
  <si>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</si>
  <si>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</si>
  <si>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</si>
  <si>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</si>
  <si>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</si>
  <si>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</si>
  <si>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</si>
  <si>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</si>
  <si>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</si>
  <si>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</si>
  <si>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</si>
  <si>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</si>
  <si>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</si>
  <si>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</si>
  <si>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</si>
  <si>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</si>
  <si>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</si>
  <si>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</si>
  <si>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</si>
  <si>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</si>
  <si>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</si>
  <si>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</si>
  <si>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</si>
  <si>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</si>
  <si>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</si>
  <si>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</si>
  <si>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</si>
  <si>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</si>
  <si>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</si>
  <si>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</si>
  <si>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</si>
  <si>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</si>
  <si>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</si>
  <si>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</si>
  <si>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</si>
  <si>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</si>
  <si>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</si>
  <si>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</si>
  <si>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</si>
  <si>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</si>
  <si>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</si>
  <si>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</si>
  <si>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</si>
  <si>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</si>
  <si>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</si>
  <si>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</si>
  <si>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</si>
  <si>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</si>
  <si>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</si>
  <si>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</si>
  <si>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</si>
  <si>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</si>
  <si>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</si>
  <si>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</si>
  <si>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</si>
  <si>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</si>
  <si>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</si>
  <si>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</si>
  <si>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</si>
  <si>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</si>
  <si>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</si>
  <si>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</si>
  <si>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</si>
  <si>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</si>
  <si>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</si>
  <si>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</si>
  <si>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</si>
  <si>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</si>
  <si>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</si>
  <si>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</si>
  <si>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</si>
  <si>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</si>
  <si>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</si>
  <si>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</si>
  <si>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</si>
  <si>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</si>
  <si>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</si>
  <si>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</si>
  <si>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</si>
  <si>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</si>
  <si>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</si>
  <si>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</si>
  <si>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</si>
  <si>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</si>
  <si>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</si>
  <si>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</si>
  <si>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</si>
  <si>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</si>
  <si>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</si>
  <si>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</si>
  <si>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</si>
  <si>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</si>
  <si>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</si>
  <si>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</si>
  <si>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</si>
  <si>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</si>
  <si>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</si>
  <si>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</si>
  <si>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</si>
  <si>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</si>
  <si>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</si>
  <si>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</si>
  <si>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</si>
  <si>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</si>
  <si>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</si>
  <si>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</si>
  <si>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</si>
  <si>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</si>
  <si>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</si>
  <si>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</si>
  <si>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</si>
  <si>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</si>
  <si>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</si>
  <si>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</si>
  <si>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</si>
  <si>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</si>
  <si>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</si>
  <si>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</si>
  <si>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</si>
  <si>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</si>
  <si>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</si>
  <si>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</si>
  <si>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</si>
  <si>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</si>
  <si>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</si>
  <si>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</si>
  <si>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</si>
  <si>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</si>
  <si>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</si>
  <si>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</si>
  <si>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</si>
  <si>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</si>
  <si>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</si>
  <si>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</si>
  <si>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</si>
  <si>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</si>
  <si>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</si>
  <si>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</si>
  <si>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</si>
  <si>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</si>
  <si>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</si>
  <si>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</si>
  <si>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</si>
  <si>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</si>
  <si>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</si>
  <si>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</si>
  <si>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</si>
  <si>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</si>
  <si>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</si>
  <si>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</si>
  <si>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</si>
  <si>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</si>
  <si>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</si>
  <si>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</si>
  <si>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</si>
  <si>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</si>
  <si>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</si>
  <si>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</si>
  <si>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</si>
  <si>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</si>
  <si>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</si>
  <si>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</si>
  <si>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</si>
  <si>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</si>
  <si>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</si>
  <si>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</si>
  <si>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</si>
  <si>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</si>
  <si>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</si>
  <si>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</si>
  <si>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</si>
  <si>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</si>
  <si>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</si>
  <si>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</si>
  <si>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</si>
  <si>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</si>
  <si>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</si>
  <si>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</si>
  <si>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</si>
  <si>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</si>
  <si>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</si>
  <si>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</si>
  <si>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</si>
  <si>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</si>
  <si>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</si>
  <si>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</si>
  <si>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</si>
  <si>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</si>
  <si>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</si>
  <si>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detail  id ofType Observation and conformsTo http://hl7.eu/fhir/ig/idea4rc/StructureDefinition/Observation-diagnosis-eu-i4rc</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</si>
  <si>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</si>
  <si>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</si>
  <si>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</si>
  <si>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</si>
  <si>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</si>
  <si>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</si>
  <si>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</si>
  <si>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</si>
  <si>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</si>
  <si>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</si>
  <si>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</si>
  <si>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</si>
  <si>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</si>
  <si>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</si>
  <si>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</si>
  <si>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</si>
  <si>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</si>
  <si>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</si>
  <si>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</si>
  <si>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</si>
  <si>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</si>
  <si>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</si>
  <si>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</si>
  <si>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</si>
  <si>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</si>
  <si>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</si>
  <si>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</si>
  <si>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</si>
  <si>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</si>
  <si>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</si>
  <si>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</si>
  <si>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</si>
  <si>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</si>
  <si>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</si>
  <si>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</si>
  <si>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</si>
  <si>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</si>
  <si>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</si>
  <si>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</si>
  <si>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</si>
  <si>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</si>
  <si>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</si>
  <si>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</si>
  <si>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</si>
  <si>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</si>
  <si>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</si>
  <si>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</si>
  <si>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</si>
  <si>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</si>
  <si>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</si>
  <si>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</si>
  <si>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</si>
  <si>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</si>
  <si>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</si>
  <si>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</si>
  <si>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</si>
  <si>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CONCEPT TO BE CLARIFIED</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</si>
  <si>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</si>
  <si>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</si>
  <si>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</si>
  <si>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</si>
  <si>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</si>
  <si>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</si>
  <si>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</si>
  <si>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</si>
  <si>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</si>
  <si>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</si>
  <si>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</si>
  <si>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</si>
  <si>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</si>
  <si>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</si>
  <si>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</si>
  <si>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</si>
  <si>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</si>
  <si>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</si>
  <si>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</si>
  <si>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</si>
  <si>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</si>
  <si>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</si>
  <si>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</si>
  <si>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</si>
  <si>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</si>
  <si>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</si>
  <si>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</si>
  <si>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</si>
  <si>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</si>
  <si>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</si>
  <si>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</si>
  <si>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</si>
  <si>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</si>
  <si>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</si>
  <si>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</si>
  <si>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</si>
  <si>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</si>
  <si>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</si>
  <si>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</si>
  <si>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</si>
  <si>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</si>
  <si>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</si>
  <si>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</si>
  <si>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</si>
  <si>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</si>
  <si>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</si>
  <si>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</si>
  <si>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</si>
  <si>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</si>
  <si>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</si>
  <si>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</si>
  <si>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</si>
  <si>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</si>
  <si>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</si>
  <si>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</si>
  <si>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</si>
  <si>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</si>
  <si>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</si>
  <si>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</si>
  <si>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</si>
  <si>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</si>
  <si>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</si>
  <si>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</si>
  <si>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</si>
  <si>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</si>
  <si>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</si>
  <si>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</si>
  <si>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</si>
  <si>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</si>
  <si>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</si>
  <si>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</si>
  <si>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</si>
  <si>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</si>
  <si>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</si>
  <si>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</si>
  <si>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</si>
  <si>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</si>
  <si>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</si>
  <si>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</si>
  <si>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</si>
  <si>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</si>
  <si>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</si>
  <si>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</si>
  <si>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</si>
  <si>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</si>
  <si>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</si>
  <si>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</si>
  <si>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</si>
  <si>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</si>
  <si>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</si>
  <si>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</si>
  <si>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</si>
  <si>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</si>
  <si>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</si>
  <si>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</si>
  <si>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</si>
  <si>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</si>
  <si>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</si>
  <si>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</si>
  <si>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</si>
  <si>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</si>
  <si>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</si>
  <si>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</si>
  <si>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</si>
  <si>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</si>
  <si>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</si>
  <si>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</si>
  <si>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</si>
  <si>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</si>
  <si>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</si>
  <si>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</si>
  <si>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</si>
  <si>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</si>
  <si>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</si>
  <si>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</si>
  <si>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</si>
  <si>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</si>
  <si>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</si>
  <si>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</si>
  <si>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</si>
  <si>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</si>
  <si>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</si>
  <si>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</si>
  <si>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</si>
  <si>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</si>
  <si>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</si>
  <si>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</si>
  <si>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</si>
  <si>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</si>
  <si>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</si>
  <si>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</si>
  <si>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</si>
  <si>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</si>
  <si>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</si>
  <si>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</si>
  <si>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</si>
  <si>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</si>
  <si>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</si>
  <si>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</si>
  <si>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</si>
  <si>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</si>
  <si>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</si>
  <si>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</si>
  <si>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</si>
  <si>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</si>
  <si>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</si>
  <si>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</si>
  <si>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</si>
  <si>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</si>
  <si>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</si>
  <si>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</si>
  <si>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</si>
  <si>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</si>
  <si>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</si>
  <si>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</si>
  <si>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</si>
  <si>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</si>
  <si>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</si>
  <si>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</si>
  <si>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</si>
  <si>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</si>
  <si>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</si>
  <si>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</si>
  <si>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</si>
  <si>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</si>
  <si>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</si>
  <si>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</si>
  <si>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</si>
  <si>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</si>
  <si>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</si>
  <si>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</si>
  <si>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</si>
  <si>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</si>
  <si>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</si>
  <si>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</si>
  <si>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</si>
  <si>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</si>
  <si>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</si>
  <si>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</si>
  <si>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</si>
  <si>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</si>
  <si>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</si>
  <si>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</si>
  <si>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</si>
  <si>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</si>
  <si>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</si>
  <si>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</si>
  <si>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</si>
  <si>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</si>
  <si>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</si>
  <si>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</si>
  <si>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</si>
  <si>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</si>
  <si>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</si>
  <si>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</si>
  <si>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</si>
  <si>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</si>
  <si>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</si>
  <si>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</si>
  <si>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</si>
  <si>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</si>
  <si>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</si>
  <si>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</si>
  <si>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</si>
  <si>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</si>
  <si>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</si>
  <si>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</si>
  <si>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</si>
  <si>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</si>
  <si>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</si>
  <si>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</si>
  <si>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</si>
  <si>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</si>
  <si>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</si>
  <si>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</si>
  <si>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</si>
  <si>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systemicTreatment2FHIR</t>
  </si>
  <si>
    <t>Systemic Treatment to this guide Map</t>
  </si>
  <si>
    <t>It shows how the Systemic Treatment model is mapped into this guide</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</si>
  <si>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</si>
  <si>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</si>
  <si>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</si>
  <si>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</si>
  <si>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</si>
  <si>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</si>
  <si>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</si>
  <si>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</si>
  <si>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</si>
  <si>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</si>
  <si>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</si>
  <si>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</si>
  <si>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</si>
  <si>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</si>
  <si>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</si>
  <si>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</si>
  <si>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</si>
  <si>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</si>
  <si>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</si>
  <si>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</si>
  <si>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</si>
  <si>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</si>
  <si>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</si>
  <si>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</si>
  <si>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</si>
  <si>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</si>
  <si>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</si>
  <si>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</si>
  <si>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</si>
  <si>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</si>
  <si>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</si>
  <si>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</si>
  <si>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</si>
  <si>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</si>
  <si>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</si>
  <si>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</si>
  <si>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</si>
  <si>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</si>
  <si>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</si>
  <si>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</si>
  <si>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</si>
  <si>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</si>
  <si>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</si>
  <si>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</si>
  <si>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</si>
  <si>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</si>
  <si>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</si>
  <si>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</si>
  <si>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</si>
  <si>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</si>
  <si>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</si>
  <si>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</si>
  <si>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</si>
  <si>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</si>
  <si>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</si>
  <si>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</si>
  <si>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</si>
  <si>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</si>
  <si>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</si>
  <si>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</si>
  <si>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</si>
  <si>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</si>
  <si>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</si>
  <si>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</si>
  <si>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</si>
  <si>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</si>
  <si>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</si>
  <si>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</si>
  <si>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</si>
  <si>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</si>
  <si>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</si>
  <si>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</si>
  <si>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</si>
  <si>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</si>
  <si>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</si>
  <si>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</si>
  <si>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</si>
  <si>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</si>
  <si>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</si>
  <si>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</si>
  <si>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</si>
  <si>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</si>
  <si>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</si>
  <si>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</si>
  <si>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</si>
  <si>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</si>
  <si>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</si>
  <si>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</si>
  <si>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</si>
  <si>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</si>
  <si>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</si>
  <si>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</si>
  <si>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</si>
  <si>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</si>
  <si>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</si>
  <si>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</si>
  <si>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</si>
  <si>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</si>
  <si>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</si>
  <si>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</si>
  <si>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</si>
  <si>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</si>
  <si>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</si>
  <si>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</si>
  <si>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</si>
  <si>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</si>
  <si>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</si>
  <si>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</si>
  <si>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</si>
  <si>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</si>
  <si>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</si>
  <si>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</si>
  <si>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</si>
  <si>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</si>
  <si>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</si>
  <si>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</si>
  <si>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</si>
  <si>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</si>
  <si>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</si>
  <si>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</si>
  <si>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</si>
  <si>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</si>
  <si>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</si>
  <si>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</si>
  <si>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</si>
  <si>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</si>
  <si>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</si>
  <si>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</si>
  <si>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</si>
  <si>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</si>
  <si>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</si>
  <si>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</si>
  <si>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</si>
  <si>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</si>
  <si>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</si>
  <si>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</si>
  <si>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</si>
  <si>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</si>
  <si>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</si>
  <si>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</si>
  <si>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</si>
  <si>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</si>
  <si>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</si>
  <si>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</si>
  <si>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</si>
  <si>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</si>
  <si>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</si>
  <si>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</si>
  <si>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</si>
  <si>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</si>
  <si>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</si>
  <si>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</si>
  <si>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</si>
  <si>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</si>
  <si>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</si>
  <si>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</si>
  <si>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</si>
  <si>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</si>
  <si>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</si>
  <si>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</si>
  <si>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</si>
  <si>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</si>
  <si>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</si>
  <si>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</si>
  <si>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</si>
  <si>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</si>
  <si>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</si>
  <si>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</si>
  <si>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</si>
  <si>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</si>
  <si>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</si>
  <si>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</si>
  <si>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</si>
  <si>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</si>
  <si>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</si>
  <si>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</si>
  <si>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</si>
  <si>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</si>
  <si>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</si>
  <si>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</si>
  <si>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</si>
  <si>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</si>
  <si>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</si>
  <si>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</si>
  <si>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</si>
  <si>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</si>
  <si>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</si>
  <si>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</si>
  <si>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</si>
  <si>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</si>
  <si>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</si>
  <si>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</si>
  <si>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</si>
  <si>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</si>
  <si>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</si>
  <si>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</si>
  <si>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</si>
  <si>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</si>
  <si>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</si>
  <si>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</si>
  <si>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</si>
  <si>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</si>
  <si>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</si>
  <si>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</si>
  <si>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</si>
  <si>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</si>
  <si>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</si>
  <si>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</si>
  <si>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</si>
  <si>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</si>
  <si>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</si>
  <si>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</si>
  <si>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</si>
  <si>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</si>
  <si>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</si>
  <si>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</si>
  <si>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</si>
  <si>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</si>
  <si>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</si>
  <si>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</si>
  <si>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</si>
  <si>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</si>
  <si>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</si>
  <si>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</si>
  <si>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</si>
  <si>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</si>
  <si>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</si>
  <si>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</si>
  <si>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</si>
  <si>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</si>
  <si>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</si>
  <si>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</si>
  <si>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</si>
  <si>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</si>
  <si>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</si>
  <si>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</si>
  <si>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</si>
  <si>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</si>
  <si>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</si>
  <si>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</si>
  <si>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</si>
  <si>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</si>
  <si>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</si>
  <si>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</si>
  <si>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</si>
  <si>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</si>
  <si>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</si>
  <si>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</si>
  <si>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</si>
  <si>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</si>
  <si>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</si>
  <si>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</si>
  <si>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</si>
  <si>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</si>
  <si>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</si>
  <si>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</si>
  <si>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</si>
  <si>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</si>
  <si>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</si>
  <si>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</si>
  <si>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</si>
  <si>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</si>
  <si>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</si>
  <si>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</si>
  <si>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</si>
  <si>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</si>
  <si>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</si>
  <si>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</si>
  <si>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</si>
  <si>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</si>
  <si>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</si>
  <si>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</si>
  <si>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</si>
  <si>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</si>
  <si>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</si>
  <si>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</si>
  <si>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</si>
  <si>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</si>
  <si>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</si>
  <si>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</si>
  <si>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</si>
  <si>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</si>
  <si>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</si>
  <si>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</si>
  <si>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</si>
  <si>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</si>
  <si>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</si>
  <si>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</si>
  <si>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</si>
  <si>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</si>
  <si>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</si>
  <si>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</si>
  <si>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</si>
  <si>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</si>
  <si>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</si>
  <si>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</si>
  <si>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</si>
  <si>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</si>
  <si>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</si>
  <si>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</si>
  <si>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</si>
  <si>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</si>
  <si>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</si>
  <si>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</si>
  <si>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</si>
  <si>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</si>
  <si>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</si>
  <si>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</si>
  <si>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</si>
  <si>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</si>
  <si>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</si>
  <si>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</si>
  <si>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</si>
  <si>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</si>
  <si>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</si>
  <si>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</si>
  <si>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</si>
  <si>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</si>
  <si>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</si>
  <si>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</si>
  <si>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</si>
  <si>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</si>
  <si>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</si>
  <si>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</si>
  <si>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</si>
  <si>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</si>
  <si>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</si>
  <si>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</si>
  <si>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</si>
  <si>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</si>
  <si>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</si>
  <si>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</si>
  <si>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</si>
  <si>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</si>
  <si>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</si>
  <si>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</si>
  <si>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</si>
  <si>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</si>
  <si>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</si>
  <si>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</si>
  <si>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</si>
  <si>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</si>
  <si>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</si>
  <si>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</si>
  <si>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</si>
  <si>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</si>
  <si>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</si>
  <si>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</si>
  <si>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</si>
  <si>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</si>
  <si>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</si>
  <si>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</si>
  <si>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</si>
  <si>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</si>
  <si>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</si>
  <si>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</si>
  <si>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</si>
  <si>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</si>
  <si>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</si>
  <si>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</si>
  <si>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</si>
  <si>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</si>
  <si>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</si>
  <si>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</si>
  <si>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</si>
  <si>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</si>
  <si>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</si>
  <si>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</si>
  <si>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</si>
  <si>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</si>
  <si>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</si>
  <si>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</si>
  <si>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</si>
  <si>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</si>
  <si>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</si>
  <si>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</si>
  <si>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</si>
  <si>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</si>
  <si>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</si>
  <si>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</si>
  <si>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</si>
  <si>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</si>
  <si>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</si>
  <si>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</si>
  <si>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</si>
  <si>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</si>
  <si>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</si>
  <si>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</si>
  <si>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</si>
  <si>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</si>
  <si>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</si>
  <si>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</si>
  <si>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</si>
  <si>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</si>
  <si>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</si>
  <si>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</si>
  <si>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</si>
  <si>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</si>
  <si>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</si>
  <si>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</si>
  <si>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</si>
  <si>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</si>
  <si>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</si>
  <si>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</si>
  <si>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</si>
  <si>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</si>
  <si>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</si>
  <si>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</si>
  <si>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</si>
  <si>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</si>
  <si>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</si>
  <si>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</si>
  <si>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</si>
  <si>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</si>
  <si>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</si>
  <si>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</si>
  <si>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</si>
  <si>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</si>
  <si>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</si>
  <si>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</si>
  <si>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</si>
  <si>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</si>
  <si>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</si>
  <si>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</si>
  <si>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</si>
  <si>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</si>
  <si>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</si>
  <si>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</si>
  <si>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</si>
  <si>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</si>
  <si>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</si>
  <si>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</si>
  <si>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</si>
  <si>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</si>
  <si>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</si>
  <si>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</si>
  <si>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</si>
  <si>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</si>
  <si>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</si>
  <si>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</si>
  <si>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</si>
  <si>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</si>
  <si>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</si>
  <si>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</si>
  <si>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</si>
  <si>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</si>
  <si>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</si>
  <si>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</si>
  <si>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</si>
  <si>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</si>
  <si>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</si>
  <si>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</si>
  <si>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</si>
  <si>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</si>
  <si>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</si>
  <si>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</si>
  <si>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</si>
  <si>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</si>
  <si>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</si>
  <si>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</si>
  <si>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</si>
  <si>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</si>
  <si>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</si>
  <si>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</si>
  <si>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</si>
  <si>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</si>
  <si>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</si>
  <si>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</si>
  <si>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</si>
  <si>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</si>
  <si>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</si>
  <si>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</si>
  <si>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</si>
  <si>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</si>
  <si>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</si>
  <si>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</si>
  <si>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</si>
  <si>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</si>
  <si>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</si>
  <si>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To be further analyzed, at this stage mapped as the condition.code.
Clarify if it is a morphology/hystology classification.
This comment applies to all the inlcuded elements.</t>
  </si>
  <si>
    <t>ADDED</t>
  </si>
  <si>
    <t>subsites.breast</t>
  </si>
  <si>
    <t>evidence.valueCodeableConcept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</si>
  <si>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</si>
  <si>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</si>
  <si>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</si>
  <si>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</si>
  <si>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</si>
  <si>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evidence.valueQuantity</t>
  </si>
  <si>
    <t>Where evidence.code is $loinc#21889-1 Size Tumor</t>
  </si>
  <si>
    <t>extension:condition-dueTo</t>
  </si>
  <si>
    <t>see details in group2</t>
  </si>
  <si>
    <t>evidence:diagnosisDetails.date</t>
  </si>
  <si>
    <t>onsetDateTime</t>
  </si>
  <si>
    <t>onSetDateTime</t>
  </si>
  <si>
    <t>Parent Encounter.diagnosis with use = $diagnosis-role#DD (Discharge Diagnosis). See the CancerEpisode map for further details about the representation of the date of diagnosis</t>
  </si>
  <si>
    <t>method</t>
  </si>
  <si>
    <t>Is true if  extension:condition-dueTo.valueCodeableConcept = $sct#108290001 'Radiation oncology AND/OR radiotherapy'</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</si>
  <si>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</si>
  <si>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</si>
  <si>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</si>
  <si>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</si>
  <si>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</si>
  <si>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</si>
  <si>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CONTINUE FROM HERE</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</si>
  <si>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</si>
  <si>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</si>
  <si>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</si>
  <si>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</si>
  <si>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</si>
  <si>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check is the existance of metastatic conditions is enough</t>
  </si>
  <si>
    <t>if the ajcc system is used for the classification (to be checked)</t>
  </si>
  <si>
    <t>documented in the metastatic condiiton</t>
  </si>
  <si>
    <t>check if it could be documented in the metastatic condition</t>
  </si>
  <si>
    <t>coded concept for this site to be determined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</si>
  <si>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</si>
  <si>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</si>
  <si>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</si>
  <si>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</si>
  <si>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</si>
  <si>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</si>
  <si>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</si>
  <si>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</si>
  <si>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for the time being represented as one of the performer of type Organization. To be further Analyzed</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</si>
  <si>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</si>
  <si>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</si>
  <si>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</si>
  <si>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</si>
  <si>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</si>
  <si>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</si>
  <si>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</si>
  <si>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</si>
  <si>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</si>
  <si>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</si>
  <si>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</si>
  <si>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</si>
  <si>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 xml:space="preserve">to be analyzed: the element covers different conceppt, please clarify. </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</si>
  <si>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</si>
  <si>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</si>
  <si>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</si>
  <si>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</si>
  <si>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</si>
  <si>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</si>
  <si>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http://hl7.eu/fhir/ig/idea4rc/StructureDefinition/ProcedureXXX</t>
  </si>
  <si>
    <t>Check if it should be a category or a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</si>
</sst>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0" borderId="0" applyNumberFormat="0" applyBorder="0" applyAlignment="0" applyProtection="0"/>
  </cellStyleXfs>
  <cellXfs count="16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7"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0" borderId="27" xfId="0" applyBorder="1"/>
    <xf numFmtId="0" fontId="14" fillId="18" borderId="1" xfId="0" applyFont="1" applyFill="1" applyBorder="1" applyAlignment="1">
      <alignment horizontal="center" vertical="top"/>
    </xf>
    <xf numFmtId="0" fontId="0" fillId="19"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20"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1" borderId="15" xfId="0" applyFill="1" applyBorder="1"/>
    <xf numFmtId="0" fontId="0" fillId="21"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8" borderId="18" xfId="0" applyFont="1" applyFill="1" applyBorder="1" applyAlignment="1">
      <alignment horizontal="center" vertical="top"/>
    </xf>
    <xf numFmtId="0" fontId="14" fillId="0" borderId="31" xfId="0" applyFont="1" applyBorder="1" applyAlignment="1">
      <alignment horizontal="center" vertical="top"/>
    </xf>
    <xf numFmtId="0" fontId="14" fillId="22"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0" fontId="3" fillId="23" borderId="18" xfId="0" applyFont="1" applyFill="1" applyBorder="1" applyAlignment="1">
      <alignment wrapText="1"/>
    </xf>
    <xf numFmtId="49" fontId="3" fillId="0" borderId="1" xfId="0" applyNumberFormat="1" applyFont="1" applyBorder="1" applyAlignment="1">
      <alignment wrapText="1"/>
    </xf>
    <xf numFmtId="0" fontId="0" fillId="24" borderId="1" xfId="0" applyFill="1" applyBorder="1"/>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3" borderId="0" xfId="1" applyFill="1"/>
    <xf numFmtId="0" fontId="0" fillId="3" borderId="0" xfId="0" applyFill="1"/>
    <xf numFmtId="0" fontId="0" fillId="0" borderId="1" xfId="0" applyFont="1" applyFill="1" applyBorder="1" applyAlignment="1">
      <alignment wrapText="1"/>
    </xf>
    <xf numFmtId="0" fontId="0" fillId="0" borderId="1" xfId="0" applyFill="1" applyBorder="1"/>
    <xf numFmtId="0" fontId="0" fillId="0" borderId="1" xfId="0" applyFill="1" applyBorder="1" applyAlignment="1">
      <alignment wrapText="1"/>
    </xf>
    <xf numFmtId="49" fontId="0" fillId="0" borderId="1" xfId="0" applyNumberFormat="1" applyFill="1" applyBorder="1"/>
    <xf numFmtId="49" fontId="0" fillId="0" borderId="1" xfId="0" applyNumberFormat="1" applyFill="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1.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10/relationships/person" Target="persons/perso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ustomXml" Target="../customXml/item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11-22T13:52:49.82" personId="{8C97C38B-B0BE-4B1E-B806-EA0CCA3C4B1C}" id="{1D824C42-04D3-444C-9C56-C40379C6AF78}">
    <text>Ther are two different concepts the kind of  procedure and where it was done ..please clarify</text>
  </threadedComment>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XXX"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41.vml"/><Relationship Id="rId1" Type="http://schemas.openxmlformats.org/officeDocument/2006/relationships/printerSettings" Target="../printerSettings/printerSettings47.bin"/><Relationship Id="rId4" Type="http://schemas.microsoft.com/office/2017/10/relationships/threadedComment" Target="../threadedComments/threadedComment8.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B10" zoomScaleNormal="100" workbookViewId="0">
      <selection activeCell="B10" sqref="B10"/>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22" t="s">
        <v>2110</v>
      </c>
      <c r="J7" s="122" t="s">
        <v>2111</v>
      </c>
      <c r="L7" s="17" t="str">
        <f>CONCATENATE("Description: "," ##334#",B7,"##334#",)</f>
        <v>Description:  ##334#Subject of care 
Maturity Level: 0 Draft##334#</v>
      </c>
    </row>
    <row r="8" spans="1:18" ht="59" x14ac:dyDescent="0.75">
      <c r="A8" s="104">
        <v>0</v>
      </c>
      <c r="B8" s="105" t="s">
        <v>1528</v>
      </c>
      <c r="C8" s="2" t="s">
        <v>78</v>
      </c>
      <c r="D8" s="2" t="s">
        <v>23</v>
      </c>
      <c r="E8" s="3">
        <v>1</v>
      </c>
      <c r="F8" s="3">
        <v>1</v>
      </c>
      <c r="G8" s="106"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23"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23"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23" t="s">
        <v>2013</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23"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23"/>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23"/>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23" t="s">
        <v>2014</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1963</v>
      </c>
      <c r="C16" s="11" t="s">
        <v>1964</v>
      </c>
      <c r="D16" s="11" t="s">
        <v>1965</v>
      </c>
      <c r="E16" s="11">
        <v>0</v>
      </c>
      <c r="F16" s="11">
        <v>1</v>
      </c>
      <c r="G16" s="67" t="s">
        <v>2019</v>
      </c>
      <c r="H16" s="123"/>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1966</v>
      </c>
      <c r="C17" s="11" t="s">
        <v>1967</v>
      </c>
      <c r="D17" s="11" t="s">
        <v>1968</v>
      </c>
      <c r="E17" s="11">
        <v>0</v>
      </c>
      <c r="F17" s="11">
        <v>1</v>
      </c>
      <c r="G17" s="67" t="s">
        <v>1383</v>
      </c>
      <c r="H17" s="123"/>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2117</v>
      </c>
      <c r="E18" s="6">
        <v>1</v>
      </c>
      <c r="F18" s="6">
        <v>1</v>
      </c>
      <c r="G18" s="4" t="s">
        <v>1</v>
      </c>
      <c r="H18" s="123"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23"/>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1971</v>
      </c>
      <c r="E20" s="11">
        <v>0</v>
      </c>
      <c r="F20" s="11">
        <v>1</v>
      </c>
      <c r="G20" s="67" t="s">
        <v>44</v>
      </c>
      <c r="H20" s="123"/>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1972</v>
      </c>
      <c r="E21" s="11">
        <v>0</v>
      </c>
      <c r="F21" s="11">
        <v>1</v>
      </c>
      <c r="G21" s="67" t="s">
        <v>44</v>
      </c>
      <c r="H21" s="123"/>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1973</v>
      </c>
      <c r="E22" s="11">
        <v>0</v>
      </c>
      <c r="F22" s="11">
        <v>1</v>
      </c>
      <c r="G22" s="67" t="s">
        <v>44</v>
      </c>
      <c r="H22" s="123"/>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1974</v>
      </c>
      <c r="E23" s="11">
        <v>0</v>
      </c>
      <c r="F23" s="11">
        <v>1</v>
      </c>
      <c r="G23" s="67" t="s">
        <v>44</v>
      </c>
      <c r="H23" s="123"/>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1975</v>
      </c>
      <c r="E24" s="11">
        <v>0</v>
      </c>
      <c r="F24" s="11">
        <v>1</v>
      </c>
      <c r="G24" s="67" t="s">
        <v>44</v>
      </c>
      <c r="H24" s="123"/>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1976</v>
      </c>
      <c r="E25" s="11">
        <v>0</v>
      </c>
      <c r="F25" s="11">
        <v>1</v>
      </c>
      <c r="G25" s="67" t="s">
        <v>44</v>
      </c>
      <c r="H25" s="123"/>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1977</v>
      </c>
      <c r="E26" s="11">
        <v>0</v>
      </c>
      <c r="F26" s="11">
        <v>1</v>
      </c>
      <c r="G26" s="67" t="s">
        <v>44</v>
      </c>
      <c r="H26" s="123"/>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1978</v>
      </c>
      <c r="E27" s="11">
        <v>0</v>
      </c>
      <c r="F27" s="11">
        <v>1</v>
      </c>
      <c r="G27" s="67" t="s">
        <v>44</v>
      </c>
      <c r="H27" s="123"/>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1979</v>
      </c>
      <c r="E28" s="11">
        <v>0</v>
      </c>
      <c r="F28" s="11">
        <v>1</v>
      </c>
      <c r="G28" s="67" t="s">
        <v>44</v>
      </c>
      <c r="H28" s="123"/>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1980</v>
      </c>
      <c r="E29" s="11">
        <v>0</v>
      </c>
      <c r="F29" s="11">
        <v>1</v>
      </c>
      <c r="G29" s="67" t="s">
        <v>44</v>
      </c>
      <c r="H29" s="123"/>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1981</v>
      </c>
      <c r="E30" s="11">
        <v>0</v>
      </c>
      <c r="F30" s="11">
        <v>1</v>
      </c>
      <c r="G30" s="67" t="s">
        <v>44</v>
      </c>
      <c r="H30" s="123"/>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1982</v>
      </c>
      <c r="E31" s="11">
        <v>0</v>
      </c>
      <c r="F31" s="11">
        <v>1</v>
      </c>
      <c r="G31" s="67" t="s">
        <v>44</v>
      </c>
      <c r="H31" s="123"/>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1983</v>
      </c>
      <c r="E32" s="11">
        <v>0</v>
      </c>
      <c r="F32" s="11">
        <v>1</v>
      </c>
      <c r="G32" s="67" t="s">
        <v>44</v>
      </c>
      <c r="H32" s="123"/>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1984</v>
      </c>
      <c r="E33" s="11">
        <v>0</v>
      </c>
      <c r="F33" s="11">
        <v>1</v>
      </c>
      <c r="G33" s="67" t="s">
        <v>44</v>
      </c>
      <c r="H33" s="123"/>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1985</v>
      </c>
      <c r="E34" s="11">
        <v>0</v>
      </c>
      <c r="F34" s="11">
        <v>1</v>
      </c>
      <c r="G34" s="67" t="s">
        <v>44</v>
      </c>
      <c r="H34" s="123"/>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1986</v>
      </c>
      <c r="E35" s="11">
        <v>0</v>
      </c>
      <c r="F35" s="11">
        <v>1</v>
      </c>
      <c r="G35" s="67" t="s">
        <v>44</v>
      </c>
      <c r="H35" s="123"/>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1969</v>
      </c>
      <c r="C36" s="12" t="s">
        <v>1987</v>
      </c>
      <c r="D36" s="67" t="s">
        <v>1988</v>
      </c>
      <c r="E36" s="11">
        <v>0</v>
      </c>
      <c r="F36" s="11">
        <v>1</v>
      </c>
      <c r="G36" s="67" t="s">
        <v>44</v>
      </c>
      <c r="H36" s="123"/>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1970</v>
      </c>
      <c r="C37" s="12" t="s">
        <v>1989</v>
      </c>
      <c r="D37" s="67" t="s">
        <v>1990</v>
      </c>
      <c r="E37" s="11">
        <v>0</v>
      </c>
      <c r="F37" s="11">
        <v>1</v>
      </c>
      <c r="G37" s="67" t="s">
        <v>44</v>
      </c>
      <c r="H37" s="123"/>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1991</v>
      </c>
      <c r="E38" s="11">
        <v>0</v>
      </c>
      <c r="F38" s="11">
        <v>1</v>
      </c>
      <c r="G38" s="67" t="s">
        <v>44</v>
      </c>
      <c r="H38" s="123"/>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23" t="s">
        <v>2015</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23" t="s">
        <v>2016</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1992</v>
      </c>
      <c r="C41" s="11" t="s">
        <v>1993</v>
      </c>
      <c r="D41" s="12" t="s">
        <v>2116</v>
      </c>
      <c r="E41" s="11">
        <v>1</v>
      </c>
      <c r="F41" s="11">
        <v>1</v>
      </c>
      <c r="G41" s="11" t="s">
        <v>1</v>
      </c>
      <c r="H41" s="123"/>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7" t="s">
        <v>2118</v>
      </c>
      <c r="C42" s="11" t="s">
        <v>1994</v>
      </c>
      <c r="D42" s="11" t="s">
        <v>1994</v>
      </c>
      <c r="E42" s="11">
        <v>1</v>
      </c>
      <c r="F42" s="11">
        <v>1</v>
      </c>
      <c r="G42" s="11" t="s">
        <v>44</v>
      </c>
      <c r="H42" s="123"/>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7" t="s">
        <v>2119</v>
      </c>
      <c r="C43" s="11" t="s">
        <v>1995</v>
      </c>
      <c r="D43" s="11" t="s">
        <v>1995</v>
      </c>
      <c r="E43" s="11">
        <v>1</v>
      </c>
      <c r="F43" s="11">
        <v>1</v>
      </c>
      <c r="G43" s="11" t="s">
        <v>44</v>
      </c>
      <c r="H43" s="123"/>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7" t="s">
        <v>2120</v>
      </c>
      <c r="C44" s="11" t="s">
        <v>1996</v>
      </c>
      <c r="D44" s="11" t="s">
        <v>1996</v>
      </c>
      <c r="E44" s="11">
        <v>1</v>
      </c>
      <c r="F44" s="11">
        <v>1</v>
      </c>
      <c r="G44" s="11" t="s">
        <v>44</v>
      </c>
      <c r="H44" s="123"/>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7" t="s">
        <v>2121</v>
      </c>
      <c r="C45" s="11" t="s">
        <v>1997</v>
      </c>
      <c r="D45" s="11" t="s">
        <v>1997</v>
      </c>
      <c r="E45" s="11">
        <v>1</v>
      </c>
      <c r="F45" s="11">
        <v>1</v>
      </c>
      <c r="G45" s="11" t="s">
        <v>44</v>
      </c>
      <c r="H45" s="123"/>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7" t="s">
        <v>2122</v>
      </c>
      <c r="C46" s="11" t="s">
        <v>1998</v>
      </c>
      <c r="D46" s="11" t="s">
        <v>1998</v>
      </c>
      <c r="E46" s="11">
        <v>1</v>
      </c>
      <c r="F46" s="11">
        <v>1</v>
      </c>
      <c r="G46" s="11" t="s">
        <v>44</v>
      </c>
      <c r="H46" s="123"/>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7" t="s">
        <v>2123</v>
      </c>
      <c r="C47" s="11" t="s">
        <v>1999</v>
      </c>
      <c r="D47" s="11" t="s">
        <v>2012</v>
      </c>
      <c r="E47" s="11">
        <v>1</v>
      </c>
      <c r="F47" s="11">
        <v>1</v>
      </c>
      <c r="G47" s="11" t="s">
        <v>44</v>
      </c>
      <c r="H47" s="123"/>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7" t="s">
        <v>2124</v>
      </c>
      <c r="C48" s="11" t="s">
        <v>2000</v>
      </c>
      <c r="D48" s="11" t="s">
        <v>2000</v>
      </c>
      <c r="E48" s="11">
        <v>1</v>
      </c>
      <c r="F48" s="11">
        <v>1</v>
      </c>
      <c r="G48" s="11" t="s">
        <v>44</v>
      </c>
      <c r="H48" s="123"/>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7" t="s">
        <v>2125</v>
      </c>
      <c r="C49" s="11" t="s">
        <v>2001</v>
      </c>
      <c r="D49" s="11" t="s">
        <v>2001</v>
      </c>
      <c r="E49" s="11">
        <v>1</v>
      </c>
      <c r="F49" s="11">
        <v>1</v>
      </c>
      <c r="G49" s="11" t="s">
        <v>44</v>
      </c>
      <c r="H49" s="123"/>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7" t="s">
        <v>2126</v>
      </c>
      <c r="C50" s="11" t="s">
        <v>2002</v>
      </c>
      <c r="D50" s="11" t="s">
        <v>2002</v>
      </c>
      <c r="E50" s="11">
        <v>1</v>
      </c>
      <c r="F50" s="11">
        <v>1</v>
      </c>
      <c r="G50" s="11" t="s">
        <v>44</v>
      </c>
      <c r="H50" s="123"/>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7" t="s">
        <v>2127</v>
      </c>
      <c r="C51" s="11" t="s">
        <v>2003</v>
      </c>
      <c r="D51" s="11" t="s">
        <v>2003</v>
      </c>
      <c r="E51" s="11">
        <v>1</v>
      </c>
      <c r="F51" s="11">
        <v>1</v>
      </c>
      <c r="G51" s="11" t="s">
        <v>44</v>
      </c>
      <c r="H51" s="123"/>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7" t="s">
        <v>2128</v>
      </c>
      <c r="C52" s="11" t="s">
        <v>2004</v>
      </c>
      <c r="D52" s="11" t="s">
        <v>2004</v>
      </c>
      <c r="E52" s="11">
        <v>1</v>
      </c>
      <c r="F52" s="11">
        <v>1</v>
      </c>
      <c r="G52" s="11" t="s">
        <v>44</v>
      </c>
      <c r="H52" s="123"/>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2005</v>
      </c>
      <c r="C53" s="11" t="s">
        <v>2006</v>
      </c>
      <c r="D53" s="11" t="s">
        <v>2115</v>
      </c>
      <c r="E53" s="11">
        <v>1</v>
      </c>
      <c r="F53" s="11">
        <v>1</v>
      </c>
      <c r="G53" s="11" t="s">
        <v>44</v>
      </c>
      <c r="H53" s="123"/>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2007</v>
      </c>
      <c r="C54" s="11" t="s">
        <v>2008</v>
      </c>
      <c r="D54" s="11" t="s">
        <v>2008</v>
      </c>
      <c r="E54" s="11">
        <v>1</v>
      </c>
      <c r="F54" s="11">
        <v>1</v>
      </c>
      <c r="G54" s="11" t="s">
        <v>1474</v>
      </c>
      <c r="H54" s="123" t="s">
        <v>2017</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2009</v>
      </c>
      <c r="C55" s="11" t="s">
        <v>2010</v>
      </c>
      <c r="D55" s="11" t="s">
        <v>2011</v>
      </c>
      <c r="E55" s="11">
        <v>1</v>
      </c>
      <c r="F55" s="11">
        <v>1</v>
      </c>
      <c r="G55" s="11" t="s">
        <v>2020</v>
      </c>
      <c r="H55" s="123"/>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4" t="str">
        <f>Subject!P1</f>
        <v>// -------------------------------------------------------------------------------</v>
      </c>
    </row>
    <row r="116" spans="3:3" x14ac:dyDescent="0.75">
      <c r="C116" s="124" t="str">
        <f>Subject!P2</f>
        <v>// Obligations H&amp;N</v>
      </c>
    </row>
    <row r="117" spans="3:3" x14ac:dyDescent="0.75">
      <c r="C117" s="124"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4" t="str">
        <f>Subject!R1</f>
        <v>// -------------------------------------------------------------------------------</v>
      </c>
    </row>
    <row r="175" spans="3:3" x14ac:dyDescent="0.75">
      <c r="C175" s="124" t="str">
        <f>Subject!R2</f>
        <v>// Obligations Sarcoma</v>
      </c>
    </row>
    <row r="176" spans="3:3" x14ac:dyDescent="0.75">
      <c r="C176" s="124"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144" t="s">
        <v>1564</v>
      </c>
      <c r="F4" s="145"/>
      <c r="G4" s="145"/>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1564</v>
      </c>
      <c r="F7" s="145"/>
      <c r="G7" s="145"/>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1544</v>
      </c>
      <c r="E15" s="12"/>
      <c r="F15" s="49" t="s">
        <v>1316</v>
      </c>
      <c r="G15" s="78" t="s">
        <v>2114</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9"/>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1547</v>
      </c>
      <c r="F7" s="145"/>
      <c r="G7" s="14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88.5" x14ac:dyDescent="0.75">
      <c r="A15" s="44"/>
      <c r="B15" s="11" t="str">
        <f>Subject!B11</f>
        <v>smoking</v>
      </c>
      <c r="C15" s="11" t="str">
        <f>Subject!C11</f>
        <v>Smoking</v>
      </c>
      <c r="D15" s="12" t="s">
        <v>1550</v>
      </c>
      <c r="E15" s="12"/>
      <c r="F15" s="49" t="s">
        <v>1316</v>
      </c>
      <c r="G15" s="78"/>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1553</v>
      </c>
      <c r="F7" s="145"/>
      <c r="G7" s="14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73.75" x14ac:dyDescent="0.75">
      <c r="A15" s="44"/>
      <c r="B15" s="11" t="str">
        <f>Subject!B15</f>
        <v>alcohol</v>
      </c>
      <c r="C15" s="11" t="str">
        <f>Subject!C15</f>
        <v>Alcohol</v>
      </c>
      <c r="D15" s="12" t="s">
        <v>1554</v>
      </c>
      <c r="E15" s="12"/>
      <c r="F15" s="49" t="s">
        <v>1316</v>
      </c>
      <c r="G15" s="78"/>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1555</v>
      </c>
      <c r="F7" s="145"/>
      <c r="G7" s="14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8" t="s">
        <v>2018</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1556</v>
      </c>
      <c r="E16" s="11"/>
      <c r="F16" s="49" t="s">
        <v>1294</v>
      </c>
      <c r="G16" s="78"/>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1556</v>
      </c>
      <c r="E17" s="11"/>
      <c r="F17" s="49" t="s">
        <v>1316</v>
      </c>
      <c r="G17" s="78"/>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1556</v>
      </c>
      <c r="E18" s="11"/>
      <c r="F18" s="49" t="s">
        <v>1316</v>
      </c>
      <c r="G18" s="78"/>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1556</v>
      </c>
      <c r="E19" s="11"/>
      <c r="F19" s="49" t="s">
        <v>1316</v>
      </c>
      <c r="G19" s="78"/>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1556</v>
      </c>
      <c r="E20" s="11"/>
      <c r="F20" s="49" t="s">
        <v>1316</v>
      </c>
      <c r="G20" s="78"/>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1556</v>
      </c>
      <c r="E21" s="11"/>
      <c r="F21" s="49" t="s">
        <v>1316</v>
      </c>
      <c r="G21" s="78"/>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1556</v>
      </c>
      <c r="E22" s="11"/>
      <c r="F22" s="49" t="s">
        <v>1316</v>
      </c>
      <c r="G22" s="78"/>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1556</v>
      </c>
      <c r="E23" s="11"/>
      <c r="F23" s="49" t="s">
        <v>1316</v>
      </c>
      <c r="G23" s="78"/>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1556</v>
      </c>
      <c r="E24" s="11"/>
      <c r="F24" s="49" t="s">
        <v>1316</v>
      </c>
      <c r="G24" s="78"/>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1556</v>
      </c>
      <c r="E25" s="12"/>
      <c r="F25" s="49" t="s">
        <v>1316</v>
      </c>
      <c r="G25" s="78"/>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1556</v>
      </c>
      <c r="E26" s="12"/>
      <c r="F26" s="49" t="s">
        <v>1316</v>
      </c>
      <c r="G26" s="78"/>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1556</v>
      </c>
      <c r="E27" s="12"/>
      <c r="F27" s="49" t="s">
        <v>1316</v>
      </c>
      <c r="G27" s="78"/>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1556</v>
      </c>
      <c r="E28" s="12"/>
      <c r="F28" s="49" t="s">
        <v>1316</v>
      </c>
      <c r="G28" s="78"/>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1556</v>
      </c>
      <c r="E29" s="12"/>
      <c r="F29" s="49" t="s">
        <v>1316</v>
      </c>
      <c r="G29" s="78"/>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1556</v>
      </c>
      <c r="E30" s="12"/>
      <c r="F30" s="49" t="s">
        <v>1316</v>
      </c>
      <c r="G30" s="78"/>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1556</v>
      </c>
      <c r="E31" s="12"/>
      <c r="F31" s="49" t="s">
        <v>1316</v>
      </c>
      <c r="G31" s="78"/>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1556</v>
      </c>
      <c r="E32" s="12"/>
      <c r="F32" s="49" t="s">
        <v>1316</v>
      </c>
      <c r="G32" s="78"/>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1556</v>
      </c>
      <c r="E33" s="12"/>
      <c r="F33" s="49" t="s">
        <v>1316</v>
      </c>
      <c r="G33" s="78"/>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1556</v>
      </c>
      <c r="E34" s="12"/>
      <c r="F34" s="49" t="s">
        <v>1316</v>
      </c>
      <c r="G34" s="78"/>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1556</v>
      </c>
      <c r="E35" s="12"/>
      <c r="F35" s="49" t="s">
        <v>1316</v>
      </c>
      <c r="G35" s="78"/>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1556</v>
      </c>
      <c r="E36" s="12"/>
      <c r="F36" s="49" t="s">
        <v>1316</v>
      </c>
      <c r="G36" s="78" t="s">
        <v>2018</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1557</v>
      </c>
      <c r="F7" s="145"/>
      <c r="G7" s="14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1558</v>
      </c>
      <c r="E15" s="12"/>
      <c r="F15" s="49" t="s">
        <v>1317</v>
      </c>
      <c r="G15" s="78"/>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8"/>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8"/>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8"/>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8"/>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8"/>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8"/>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8"/>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8"/>
      <c r="H23" s="43"/>
      <c r="I23" s="12"/>
      <c r="J23" s="12"/>
      <c r="K23" s="12"/>
      <c r="L23" s="12"/>
      <c r="M23" s="12"/>
      <c r="N23" s="2"/>
      <c r="P23" s="11">
        <v>9</v>
      </c>
      <c r="Q23" s="11">
        <f t="shared" si="7"/>
        <v>1</v>
      </c>
      <c r="R23" s="11">
        <f t="shared" si="8"/>
        <v>3</v>
      </c>
      <c r="S23" s="12"/>
    </row>
    <row r="24" spans="1:19" x14ac:dyDescent="0.75">
      <c r="A24" s="44"/>
      <c r="B24" s="69"/>
      <c r="C24" s="69"/>
      <c r="D24" s="88" t="s">
        <v>1481</v>
      </c>
      <c r="E24" s="89" t="str">
        <f>$E$3</f>
        <v>http://hl7.eu/fhir/ig/idea4rc/StructureDefinition/Subject</v>
      </c>
      <c r="F24" s="90"/>
      <c r="G24" s="91"/>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88" t="s">
        <v>1482</v>
      </c>
      <c r="E25" s="89" t="s">
        <v>1559</v>
      </c>
      <c r="F25" s="90"/>
      <c r="G25" s="91"/>
      <c r="H25" s="43"/>
      <c r="I25" s="91"/>
      <c r="J25" s="91"/>
      <c r="K25" s="91"/>
      <c r="L25" s="91"/>
      <c r="M25" s="91"/>
      <c r="N25" s="91"/>
      <c r="P25" s="11"/>
      <c r="Q25" s="11"/>
      <c r="R25" s="11"/>
      <c r="S25" s="12"/>
    </row>
    <row r="26" spans="1:19" ht="44.25" customHeight="1" x14ac:dyDescent="0.75">
      <c r="A26" s="44"/>
      <c r="B26" s="69"/>
      <c r="C26" s="69"/>
      <c r="D26" s="88"/>
      <c r="E26" s="89"/>
      <c r="F26" s="90"/>
      <c r="G26" s="91"/>
      <c r="H26" s="43"/>
      <c r="I26" s="91"/>
      <c r="J26" s="91"/>
      <c r="K26" s="91"/>
      <c r="L26" s="91"/>
      <c r="M26" s="91"/>
      <c r="N26" s="91"/>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1642</v>
      </c>
      <c r="E27" s="12"/>
      <c r="F27" s="49" t="s">
        <v>1317</v>
      </c>
      <c r="G27" s="138" t="s">
        <v>2316</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8"/>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8"/>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8"/>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8"/>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8"/>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8"/>
      <c r="H33" s="43"/>
      <c r="I33" s="12"/>
      <c r="J33" s="12"/>
      <c r="K33" s="12"/>
      <c r="L33" s="12"/>
      <c r="M33" s="12"/>
      <c r="N33" s="12"/>
      <c r="P33" s="11">
        <v>7</v>
      </c>
      <c r="Q33" s="11">
        <f t="shared" si="12"/>
        <v>1</v>
      </c>
      <c r="R33" s="11">
        <f t="shared" si="13"/>
        <v>1</v>
      </c>
      <c r="S33" s="12"/>
    </row>
    <row r="34" spans="1:19" x14ac:dyDescent="0.75">
      <c r="B34" s="11"/>
      <c r="C34" s="11"/>
      <c r="D34" s="12"/>
      <c r="E34" s="12"/>
      <c r="F34" s="49"/>
      <c r="G34" s="78"/>
      <c r="H34" s="43"/>
      <c r="I34" s="12"/>
      <c r="J34" s="12"/>
      <c r="K34" s="12"/>
      <c r="L34" s="12"/>
      <c r="M34" s="12"/>
      <c r="N34" s="12"/>
      <c r="P34" s="11">
        <v>8</v>
      </c>
      <c r="Q34" s="11">
        <f t="shared" si="12"/>
        <v>1</v>
      </c>
      <c r="R34" s="11">
        <f t="shared" si="13"/>
        <v>2</v>
      </c>
      <c r="S34" s="12"/>
    </row>
    <row r="35" spans="1:19" x14ac:dyDescent="0.75">
      <c r="B35" s="11"/>
      <c r="C35" s="11"/>
      <c r="D35" s="12"/>
      <c r="E35" s="12"/>
      <c r="F35" s="49"/>
      <c r="G35" s="78"/>
      <c r="H35" s="43"/>
      <c r="I35" s="12"/>
      <c r="J35" s="12"/>
      <c r="K35" s="12"/>
      <c r="L35" s="12"/>
      <c r="M35" s="12"/>
      <c r="N35" s="12"/>
      <c r="P35" s="11">
        <v>9</v>
      </c>
      <c r="Q35" s="11">
        <f t="shared" si="12"/>
        <v>1</v>
      </c>
      <c r="R35" s="11">
        <f t="shared" si="13"/>
        <v>3</v>
      </c>
      <c r="S35" s="12"/>
    </row>
    <row r="36" spans="1:19" x14ac:dyDescent="0.75">
      <c r="B36" s="11"/>
      <c r="C36" s="11"/>
      <c r="D36" s="12"/>
      <c r="E36" s="12"/>
      <c r="F36" s="49"/>
      <c r="G36" s="78"/>
      <c r="H36" s="43"/>
      <c r="I36" s="12"/>
      <c r="J36" s="12"/>
      <c r="K36" s="12"/>
      <c r="L36" s="12"/>
      <c r="M36" s="12"/>
      <c r="N36" s="12"/>
      <c r="P36" s="11">
        <v>10</v>
      </c>
      <c r="Q36" s="11">
        <f t="shared" si="12"/>
        <v>1</v>
      </c>
      <c r="R36" s="11">
        <f t="shared" si="13"/>
        <v>4</v>
      </c>
      <c r="S36" s="12"/>
    </row>
    <row r="37" spans="1:19" x14ac:dyDescent="0.75">
      <c r="B37" s="11"/>
      <c r="C37" s="11"/>
      <c r="D37" s="12"/>
      <c r="E37" s="12"/>
      <c r="F37" s="49"/>
      <c r="G37" s="78"/>
      <c r="H37" s="43"/>
      <c r="I37" s="12"/>
      <c r="J37" s="12"/>
      <c r="K37" s="12"/>
      <c r="L37" s="12"/>
      <c r="M37" s="12"/>
      <c r="N37" s="12"/>
      <c r="P37" s="11">
        <v>11</v>
      </c>
      <c r="Q37" s="11">
        <f t="shared" si="12"/>
        <v>1</v>
      </c>
      <c r="R37" s="11">
        <f t="shared" si="13"/>
        <v>5</v>
      </c>
      <c r="S37" s="12"/>
    </row>
    <row r="38" spans="1:19" x14ac:dyDescent="0.75">
      <c r="B38" s="11"/>
      <c r="C38" s="11"/>
      <c r="D38" s="12"/>
      <c r="E38" s="12"/>
      <c r="F38" s="49"/>
      <c r="G38" s="78"/>
      <c r="H38" s="43"/>
      <c r="I38" s="12"/>
      <c r="J38" s="12"/>
      <c r="K38" s="12"/>
      <c r="L38" s="12"/>
      <c r="M38" s="12"/>
      <c r="N38" s="12"/>
      <c r="P38" s="11">
        <v>12</v>
      </c>
      <c r="Q38" s="11">
        <f t="shared" si="12"/>
        <v>1</v>
      </c>
      <c r="R38" s="11">
        <f t="shared" si="13"/>
        <v>6</v>
      </c>
      <c r="S38" s="12"/>
    </row>
    <row r="39" spans="1:19" x14ac:dyDescent="0.75">
      <c r="B39" s="11"/>
      <c r="C39" s="11"/>
      <c r="D39" s="12"/>
      <c r="E39" s="12"/>
      <c r="F39" s="49"/>
      <c r="G39" s="78"/>
      <c r="H39" s="43"/>
      <c r="I39" s="12"/>
      <c r="J39" s="12"/>
      <c r="K39" s="12"/>
      <c r="L39" s="12"/>
      <c r="M39" s="12"/>
      <c r="N39" s="12"/>
      <c r="P39" s="11">
        <v>13</v>
      </c>
      <c r="Q39" s="11">
        <f t="shared" si="12"/>
        <v>2</v>
      </c>
      <c r="R39" s="11">
        <f t="shared" si="13"/>
        <v>1</v>
      </c>
      <c r="S39" s="12"/>
    </row>
    <row r="40" spans="1:19" x14ac:dyDescent="0.75">
      <c r="B40" s="11"/>
      <c r="C40" s="11"/>
      <c r="D40" s="12"/>
      <c r="E40" s="12"/>
      <c r="F40" s="49"/>
      <c r="G40" s="78"/>
      <c r="H40" s="43"/>
      <c r="I40" s="12"/>
      <c r="J40" s="12"/>
      <c r="K40" s="12"/>
      <c r="L40" s="12"/>
      <c r="M40" s="12"/>
      <c r="N40" s="12"/>
      <c r="P40" s="11">
        <v>14</v>
      </c>
      <c r="Q40" s="11">
        <f t="shared" si="12"/>
        <v>2</v>
      </c>
      <c r="R40" s="11">
        <f t="shared" si="13"/>
        <v>2</v>
      </c>
      <c r="S40" s="12"/>
    </row>
    <row r="41" spans="1:19" x14ac:dyDescent="0.75">
      <c r="B41" s="11"/>
      <c r="C41" s="11"/>
      <c r="D41" s="12"/>
      <c r="E41" s="12"/>
      <c r="F41" s="49"/>
      <c r="G41" s="78"/>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88" t="s">
        <v>1481</v>
      </c>
      <c r="E45" s="89" t="str">
        <f>$E$3</f>
        <v>http://hl7.eu/fhir/ig/idea4rc/StructureDefinition/Subject</v>
      </c>
      <c r="F45" s="90"/>
      <c r="G45" s="91"/>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88" t="s">
        <v>1482</v>
      </c>
      <c r="E46" s="89" t="s">
        <v>2021</v>
      </c>
      <c r="F46" s="90"/>
      <c r="G46" s="91"/>
      <c r="H46" s="43"/>
      <c r="I46" s="91"/>
      <c r="J46" s="91"/>
      <c r="K46" s="91"/>
      <c r="L46" s="91"/>
      <c r="M46" s="91"/>
      <c r="N46" s="91"/>
      <c r="P46" s="11"/>
      <c r="Q46" s="11"/>
      <c r="R46" s="11"/>
      <c r="S46" s="12"/>
    </row>
    <row r="47" spans="1:19" ht="44.25" customHeight="1" x14ac:dyDescent="0.75">
      <c r="A47" s="44"/>
      <c r="B47" s="69"/>
      <c r="C47" s="69"/>
      <c r="D47" s="88"/>
      <c r="E47" s="89"/>
      <c r="F47" s="90"/>
      <c r="G47" s="91"/>
      <c r="H47" s="43"/>
      <c r="I47" s="91"/>
      <c r="J47" s="91"/>
      <c r="K47" s="91"/>
      <c r="L47" s="91"/>
      <c r="M47" s="91"/>
      <c r="N47" s="91"/>
      <c r="P47" s="69"/>
      <c r="Q47" s="69"/>
      <c r="R47" s="69"/>
      <c r="S47" s="70"/>
    </row>
    <row r="48" spans="1:19" s="2" customFormat="1" ht="44.25" x14ac:dyDescent="0.75">
      <c r="A48"/>
      <c r="B48" s="11" t="str">
        <f>Subject!B17</f>
        <v>charlsonComorbidityIndex</v>
      </c>
      <c r="C48" s="11" t="str">
        <f>Subject!C17</f>
        <v>Charlson Comorbidity index</v>
      </c>
      <c r="D48" s="12" t="s">
        <v>1558</v>
      </c>
      <c r="E48" s="12"/>
      <c r="F48" s="49" t="s">
        <v>1317</v>
      </c>
      <c r="G48" s="138" t="s">
        <v>2315</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88" t="s">
        <v>1481</v>
      </c>
      <c r="E62" s="89" t="str">
        <f>$E$3</f>
        <v>http://hl7.eu/fhir/ig/idea4rc/StructureDefinition/Subject</v>
      </c>
      <c r="F62" s="90"/>
      <c r="G62" s="91"/>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88" t="s">
        <v>1482</v>
      </c>
      <c r="E63" s="89" t="s">
        <v>2022</v>
      </c>
      <c r="F63" s="90"/>
      <c r="G63" s="91"/>
      <c r="H63" s="43"/>
      <c r="I63" s="91"/>
      <c r="J63" s="91"/>
      <c r="K63" s="91"/>
      <c r="L63" s="91"/>
      <c r="M63" s="91"/>
      <c r="N63" s="91"/>
      <c r="P63" s="11"/>
      <c r="Q63" s="11"/>
      <c r="R63" s="11"/>
      <c r="S63" s="12"/>
    </row>
    <row r="64" spans="1:19" ht="44.25" customHeight="1" x14ac:dyDescent="0.75">
      <c r="A64" s="44"/>
      <c r="B64" s="69"/>
      <c r="C64" s="69"/>
      <c r="D64" s="88"/>
      <c r="E64" s="89"/>
      <c r="F64" s="90"/>
      <c r="G64" s="91"/>
      <c r="H64" s="43"/>
      <c r="I64" s="91"/>
      <c r="J64" s="91"/>
      <c r="K64" s="91"/>
      <c r="L64" s="91"/>
      <c r="M64" s="91"/>
      <c r="N64" s="12"/>
      <c r="P64" s="69"/>
      <c r="Q64" s="69"/>
      <c r="R64" s="69"/>
      <c r="S64" s="70"/>
    </row>
    <row r="65" spans="1:19" s="2" customFormat="1" ht="73.75" x14ac:dyDescent="0.75">
      <c r="A65"/>
      <c r="B65" s="11" t="str">
        <f>Subject!B16</f>
        <v>bMI</v>
      </c>
      <c r="C65" s="11" t="str">
        <f>Subject!C16</f>
        <v xml:space="preserve">Height/weight (BMI)
</v>
      </c>
      <c r="D65" s="12" t="s">
        <v>1642</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88" t="s">
        <v>1481</v>
      </c>
      <c r="E74" s="89" t="str">
        <f>$E$3</f>
        <v>http://hl7.eu/fhir/ig/idea4rc/StructureDefinition/Subject</v>
      </c>
      <c r="F74" s="90"/>
      <c r="G74" s="91"/>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88" t="s">
        <v>1482</v>
      </c>
      <c r="E75" s="89" t="s">
        <v>2308</v>
      </c>
      <c r="F75" s="90"/>
      <c r="G75" s="91"/>
      <c r="H75" s="43"/>
      <c r="I75" s="91"/>
      <c r="J75" s="91"/>
      <c r="K75" s="91"/>
      <c r="L75" s="91"/>
      <c r="M75" s="91"/>
      <c r="N75" s="91"/>
      <c r="P75" s="11"/>
      <c r="Q75" s="11"/>
      <c r="R75" s="11"/>
      <c r="S75" s="12"/>
    </row>
    <row r="76" spans="1:19" ht="44.25" customHeight="1" x14ac:dyDescent="0.75">
      <c r="A76" s="44"/>
      <c r="B76" s="69"/>
      <c r="C76" s="69"/>
      <c r="D76" s="88"/>
      <c r="E76" s="89"/>
      <c r="F76" s="90"/>
      <c r="G76" s="91"/>
      <c r="H76" s="43"/>
      <c r="I76" s="91"/>
      <c r="J76" s="91"/>
      <c r="K76" s="91"/>
      <c r="L76" s="91"/>
      <c r="M76" s="91"/>
      <c r="N76" s="12"/>
      <c r="P76" s="69"/>
      <c r="Q76" s="69"/>
      <c r="R76" s="69"/>
      <c r="S76" s="70"/>
    </row>
    <row r="77" spans="1:19" s="2" customFormat="1" ht="88.5" x14ac:dyDescent="0.75">
      <c r="A77"/>
      <c r="B77" s="11" t="str">
        <f>Subject!B53</f>
        <v>occurrenceOfOtherCancer</v>
      </c>
      <c r="C77" s="11" t="str">
        <f>Subject!C53</f>
        <v>Occurrence of other cancer</v>
      </c>
      <c r="D77" s="12" t="s">
        <v>1642</v>
      </c>
      <c r="E77" s="12"/>
      <c r="F77" s="49" t="s">
        <v>1317</v>
      </c>
      <c r="G77" s="138" t="s">
        <v>2309</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9"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88" t="s">
        <v>1481</v>
      </c>
      <c r="E86" s="89" t="str">
        <f>$E$3</f>
        <v>http://hl7.eu/fhir/ig/idea4rc/StructureDefinition/Subject</v>
      </c>
      <c r="F86" s="90"/>
      <c r="G86" s="91"/>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88" t="s">
        <v>1482</v>
      </c>
      <c r="E87" s="89" t="s">
        <v>2310</v>
      </c>
      <c r="F87" s="90"/>
      <c r="G87" s="91"/>
      <c r="H87" s="43"/>
      <c r="I87" s="91"/>
      <c r="J87" s="91"/>
      <c r="K87" s="91"/>
      <c r="L87" s="91"/>
      <c r="M87" s="91"/>
      <c r="N87" s="91"/>
      <c r="P87" s="11"/>
      <c r="Q87" s="11"/>
      <c r="R87" s="11"/>
      <c r="S87" s="12"/>
    </row>
    <row r="88" spans="1:19" ht="44.25" customHeight="1" x14ac:dyDescent="0.75">
      <c r="A88" s="44"/>
      <c r="B88" s="69"/>
      <c r="C88" s="69"/>
      <c r="D88" s="88"/>
      <c r="E88" s="89"/>
      <c r="F88" s="90"/>
      <c r="G88" s="91"/>
      <c r="H88" s="43"/>
      <c r="I88" s="91"/>
      <c r="J88" s="91"/>
      <c r="K88" s="91"/>
      <c r="L88" s="91"/>
      <c r="M88" s="91"/>
      <c r="N88" s="12"/>
      <c r="P88" s="69"/>
      <c r="Q88" s="69"/>
      <c r="R88" s="69"/>
      <c r="S88" s="70"/>
    </row>
    <row r="89" spans="1:19" s="2" customFormat="1" ht="88.5" x14ac:dyDescent="0.75">
      <c r="A89"/>
      <c r="B89" s="11" t="str">
        <f>Subject!B54</f>
        <v>previousCancerTreatment</v>
      </c>
      <c r="C89" s="11" t="str">
        <f>Subject!C54</f>
        <v>Previous cancer treatment</v>
      </c>
      <c r="D89" s="12" t="s">
        <v>1642</v>
      </c>
      <c r="E89" s="12"/>
      <c r="F89" s="49" t="s">
        <v>1317</v>
      </c>
      <c r="G89" s="138" t="s">
        <v>2311</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9"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88" t="s">
        <v>1481</v>
      </c>
      <c r="E99" s="89" t="str">
        <f>$E$3</f>
        <v>http://hl7.eu/fhir/ig/idea4rc/StructureDefinition/Subject</v>
      </c>
      <c r="F99" s="90"/>
      <c r="G99" s="91"/>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88" t="s">
        <v>1482</v>
      </c>
      <c r="E100" s="89" t="s">
        <v>2314</v>
      </c>
      <c r="F100" s="90"/>
      <c r="G100" s="91"/>
      <c r="H100" s="43"/>
      <c r="I100" s="91"/>
      <c r="J100" s="91"/>
      <c r="K100" s="91"/>
      <c r="L100" s="91"/>
      <c r="M100" s="91"/>
      <c r="N100" s="91"/>
      <c r="P100" s="11"/>
      <c r="Q100" s="11"/>
      <c r="R100" s="11"/>
      <c r="S100" s="12"/>
    </row>
    <row r="101" spans="1:19" ht="44.25" customHeight="1" x14ac:dyDescent="0.75">
      <c r="A101" s="44"/>
      <c r="B101" s="69"/>
      <c r="C101" s="69"/>
      <c r="D101" s="88"/>
      <c r="E101" s="89"/>
      <c r="F101" s="90"/>
      <c r="G101" s="91"/>
      <c r="H101" s="43"/>
      <c r="I101" s="91"/>
      <c r="J101" s="91"/>
      <c r="K101" s="91"/>
      <c r="L101" s="91"/>
      <c r="M101" s="91"/>
      <c r="N101" s="12"/>
      <c r="P101" s="69"/>
      <c r="Q101" s="69"/>
      <c r="R101" s="69"/>
      <c r="S101" s="70"/>
    </row>
    <row r="102" spans="1:19" s="2" customFormat="1" ht="73.75" x14ac:dyDescent="0.75">
      <c r="A102"/>
      <c r="B102" s="11" t="str">
        <f>Subject!B55</f>
        <v>lastContact</v>
      </c>
      <c r="C102" s="11" t="str">
        <f>Subject!C55</f>
        <v>Last Contact</v>
      </c>
      <c r="D102" s="12" t="s">
        <v>2313</v>
      </c>
      <c r="E102" s="12"/>
      <c r="F102" s="49" t="s">
        <v>1317</v>
      </c>
      <c r="G102" s="138" t="s">
        <v>2312</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9"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1560</v>
      </c>
    </row>
    <row r="3" spans="2:7" x14ac:dyDescent="0.75">
      <c r="B3" s="24" t="s">
        <v>20</v>
      </c>
    </row>
    <row r="4" spans="2:7" x14ac:dyDescent="0.75">
      <c r="B4" s="107" t="str">
        <f>"Instance: "&amp;'Subject-ConceptMap-1'!C4</f>
        <v>Instance: subject2FHIR</v>
      </c>
    </row>
    <row r="5" spans="2:7" x14ac:dyDescent="0.75">
      <c r="B5" s="107" t="s">
        <v>1334</v>
      </c>
    </row>
    <row r="6" spans="2:7" x14ac:dyDescent="0.75">
      <c r="B6" s="107" t="s">
        <v>1325</v>
      </c>
    </row>
    <row r="7" spans="2:7" x14ac:dyDescent="0.75">
      <c r="B7" s="107" t="s">
        <v>1486</v>
      </c>
    </row>
    <row r="8" spans="2:7" x14ac:dyDescent="0.75">
      <c r="B8" s="107" t="str">
        <f>"* name = ##34#"&amp;'Subject-ConceptMap-1'!C3&amp;"##34#"</f>
        <v>* name = ##34#Subject2FHIR##34#</v>
      </c>
    </row>
    <row r="9" spans="2:7" x14ac:dyDescent="0.75">
      <c r="B9" s="107" t="str">
        <f>"* title = ##34#"&amp;'Subject-ConceptMap-1'!C5&amp;"##34#"</f>
        <v>* title = ##34#Subject Model to this guide Map##34#</v>
      </c>
    </row>
    <row r="10" spans="2:7" x14ac:dyDescent="0.75">
      <c r="B10" s="107" t="s">
        <v>1326</v>
      </c>
    </row>
    <row r="11" spans="2:7" x14ac:dyDescent="0.75">
      <c r="B11" s="107" t="s">
        <v>1327</v>
      </c>
    </row>
    <row r="12" spans="2:7" x14ac:dyDescent="0.75">
      <c r="B12" s="107" t="str">
        <f>"* description = ##34#"&amp;'Subject-ConceptMap-1'!C8&amp;"##34#"</f>
        <v>* description = ##34#Subject Model to this guide Map##34#</v>
      </c>
    </row>
    <row r="13" spans="2:7" x14ac:dyDescent="0.75">
      <c r="B13" s="107" t="str">
        <f>"* purpose = ##34#"&amp;'Subject-ConceptMap-1'!C9&amp;"##34#"</f>
        <v>* purpose = ##34#It shows how the Subject model is mapped into this guide##34#</v>
      </c>
    </row>
    <row r="14" spans="2:7" x14ac:dyDescent="0.75">
      <c r="B14" s="108" t="str">
        <f>"* sourceUri = ##34#"&amp;'Subject-ConceptMap-1'!E3&amp;"##34#"</f>
        <v>* sourceUri = ##34#http://hl7.eu/fhir/ig/idea4rc/StructureDefinition/Subject##34#</v>
      </c>
    </row>
    <row r="15" spans="2:7" x14ac:dyDescent="0.75">
      <c r="B15" s="108" t="str">
        <f>"* targetUri = ##34#"&amp;'Subject-ConceptMap-1'!E4&amp;"##34#"</f>
        <v>* targetUri = ##34#http://hl7.eu/fhir/ig/idea4rc/StructureDefinition/patient-eu-i4rc##34#</v>
      </c>
    </row>
    <row r="16" spans="2:7" x14ac:dyDescent="0.75">
      <c r="B16" s="109" t="str">
        <f>"* group[+].source = ##34#"&amp;'Subject-ConceptMap-1'!E6&amp;"##34#"</f>
        <v>* group[+].source = ##34#http://hl7.eu/fhir/ig/idea4rc/StructureDefinition/Subject##34#</v>
      </c>
    </row>
    <row r="17" spans="2:7" x14ac:dyDescent="0.75">
      <c r="B17" s="109" t="str">
        <f>"* group[=].target = ##34#"&amp;'Subject-ConceptMap-1'!E7&amp;"##34#"</f>
        <v>* group[=].target = ##34#http://hl7.eu/fhir/ig/idea4rc/StructureDefinition/patient-eu-i4rc##34#</v>
      </c>
    </row>
    <row r="18" spans="2:7" x14ac:dyDescent="0.75">
      <c r="B18" s="110"/>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1"/>
    </row>
    <row r="125" spans="2:2" x14ac:dyDescent="0.75">
      <c r="B125" s="109" t="str">
        <f>"* group[+].source = ##34#"&amp;'Subject-ConceptMap-2'!E6&amp;"##34#"</f>
        <v>* group[+].source = ##34#http://hl7.eu/fhir/ig/idea4rc/StructureDefinition/Subject##34#</v>
      </c>
    </row>
    <row r="126" spans="2:2" x14ac:dyDescent="0.75">
      <c r="B126" s="112" t="str">
        <f>"* group[=].target = ##34#"&amp;'Subject-ConceptMap-2'!E7&amp;"##34#"</f>
        <v>* group[=].target = ##34#http://hl7.eu/fhir/ig/idea4rc/StructureDefinition/observation-tobaccouse-eu-i4rc##34#</v>
      </c>
    </row>
    <row r="127" spans="2:2" x14ac:dyDescent="0.75">
      <c r="B127" s="113"/>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1"/>
    </row>
    <row r="157" spans="2:3" x14ac:dyDescent="0.75">
      <c r="B157" s="109" t="str">
        <f>"* group[+].source = ##34#"&amp;'Subject-ConceptMap-3'!E6&amp;"##34#"</f>
        <v>* group[+].source = ##34#http://hl7.eu/fhir/ig/idea4rc/StructureDefinition/Subject##34#</v>
      </c>
    </row>
    <row r="158" spans="2:3" x14ac:dyDescent="0.75">
      <c r="B158" s="112" t="str">
        <f>"* group[=].target = ##34#"&amp;'Subject-ConceptMap-3'!E7&amp;"##34#"</f>
        <v>* group[=].target = ##34#http://hl7.eu/fhir/ig/idea4rc/StructureDefinition/observation-alcoholuse-eu-i4rc##34#</v>
      </c>
    </row>
    <row r="159" spans="2:3" x14ac:dyDescent="0.75">
      <c r="B159" s="114"/>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1"/>
    </row>
    <row r="171" spans="2:3" x14ac:dyDescent="0.75">
      <c r="B171" s="112" t="str">
        <f>"* group[+].source = ##34#"&amp;'Subject-ConceptMap-4'!E6&amp;"##34#"</f>
        <v>* group[+].source = ##34#http://hl7.eu/fhir/ig/idea4rc/StructureDefinition/Subject##34#</v>
      </c>
    </row>
    <row r="172" spans="2:3" x14ac:dyDescent="0.75">
      <c r="B172" s="112" t="str">
        <f>"* group[=].target = ##34#"&amp;'Subject-ConceptMap-4'!E7&amp;"##34#"</f>
        <v>* group[=].target = ##34#http://hl7.eu/fhir/ig/idea4rc/StructureDefinition/observation-comorbidity-eu-i4rc##34#</v>
      </c>
    </row>
    <row r="173" spans="2:3" x14ac:dyDescent="0.75">
      <c r="B173" s="113"/>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3"/>
    </row>
    <row r="377" spans="2:2" s="7" customFormat="1" x14ac:dyDescent="0.75">
      <c r="B377" s="115" t="str">
        <f>"* group[+].source = ##34#"&amp;'Subject-ConceptMap-5-x'!E6&amp;"##34#"</f>
        <v>* group[+].source = ##34#http://hl7.eu/fhir/ig/idea4rc/StructureDefinition/Subject##34#</v>
      </c>
    </row>
    <row r="378" spans="2:2" s="7" customFormat="1" x14ac:dyDescent="0.75">
      <c r="B378" s="115" t="str">
        <f>"* group[=].target = ##34#"&amp;'Subject-ConceptMap-5-x'!E7&amp;"##34#"</f>
        <v>* group[=].target = ##34#http://hl7.eu/fhir/ig/idea4rc/StructureDefinition/observation-karnofsky-performance-statuseu-i4rc##34#</v>
      </c>
    </row>
    <row r="379" spans="2:2" s="7" customFormat="1" x14ac:dyDescent="0.75">
      <c r="B379" s="113"/>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1"/>
    </row>
    <row r="391" spans="2:2" x14ac:dyDescent="0.75">
      <c r="B391" s="112" t="str">
        <f>"* group[+].source = ##34#"&amp;'Subject-ConceptMap-5-x'!E24&amp;"##34#"</f>
        <v>* group[+].source = ##34#http://hl7.eu/fhir/ig/idea4rc/StructureDefinition/Subject##34#</v>
      </c>
    </row>
    <row r="392" spans="2:2" x14ac:dyDescent="0.75">
      <c r="B392" s="112" t="str">
        <f>"* group[=].target = ##34#"&amp;'Subject-ConceptMap-5-x'!E25&amp;"##34#"</f>
        <v>* group[=].target = ##34#http://hl7.eu/fhir/ig/idea4rc/StructureDefinition/observation-ecog-performance-status-eu-i4rc##34#</v>
      </c>
    </row>
    <row r="393" spans="2:2" x14ac:dyDescent="0.75">
      <c r="B393" s="113"/>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1"/>
    </row>
    <row r="404" spans="2:2" x14ac:dyDescent="0.75">
      <c r="B404" s="112" t="str">
        <f>"* group[+].source = ##34#"&amp;'Subject-ConceptMap-5-x'!E45&amp;"##34#"</f>
        <v>* group[+].source = ##34#http://hl7.eu/fhir/ig/idea4rc/StructureDefinition/Subject##34#</v>
      </c>
    </row>
    <row r="405" spans="2:2" x14ac:dyDescent="0.75">
      <c r="B405" s="112" t="str">
        <f>"* group[=].target = ##34#"&amp;'Subject-ConceptMap-5-x'!E46&amp;"##34#"</f>
        <v>* group[=].target = ##34#http://hl7.eu/fhir/ig/idea4rc/StructureDefinition/observation-cci-eu-i4rc##34#</v>
      </c>
    </row>
    <row r="406" spans="2:2" x14ac:dyDescent="0.75">
      <c r="B406" s="113"/>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2" t="str">
        <f>B404</f>
        <v>* group[+].source = ##34#http://hl7.eu/fhir/ig/idea4rc/StructureDefinition/Subject##34#</v>
      </c>
    </row>
    <row r="416" spans="2:2" x14ac:dyDescent="0.75">
      <c r="B416" s="112" t="str">
        <f>"* group[=].target = ##34#"&amp;'Subject-ConceptMap-5-x'!E63&amp;"##34#"</f>
        <v>* group[=].target = ##34#http://hl7.org/fhir/StructureDefinition/bmi##34#</v>
      </c>
    </row>
    <row r="417" spans="2:2" x14ac:dyDescent="0.75">
      <c r="B417" s="113"/>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2" t="str">
        <f>B415</f>
        <v>* group[+].source = ##34#http://hl7.eu/fhir/ig/idea4rc/StructureDefinition/Subject##34#</v>
      </c>
    </row>
    <row r="427" spans="2:2" x14ac:dyDescent="0.75">
      <c r="B427" s="112" t="str">
        <f>"* group[=].target = ##34#"&amp;'Subject-ConceptMap-5-x'!E75&amp;"##34#"</f>
        <v>* group[=].target = ##34#http://hl7.eu/fhir/ig/idea4rc/StructureDefinition/observation-yesNo-eu-i4rc##34#</v>
      </c>
    </row>
    <row r="428" spans="2:2" x14ac:dyDescent="0.75">
      <c r="B428" s="113"/>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2" t="str">
        <f>B426</f>
        <v>* group[+].source = ##34#http://hl7.eu/fhir/ig/idea4rc/StructureDefinition/Subject##34#</v>
      </c>
    </row>
    <row r="438" spans="2:2" x14ac:dyDescent="0.75">
      <c r="B438" s="112" t="str">
        <f>"* group[=].target = ##34#"&amp;'Subject-ConceptMap-5-x'!E87&amp;"##34#"</f>
        <v>* group[=].target = ##34#http://hl7.eu/fhir/ig/idea4rc/StructureDefinition/observation-treatment-eu-i4rc##34#</v>
      </c>
    </row>
    <row r="439" spans="2:2" x14ac:dyDescent="0.75">
      <c r="B439" s="113"/>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2" t="str">
        <f>B437</f>
        <v>* group[+].source = ##34#http://hl7.eu/fhir/ig/idea4rc/StructureDefinition/Subject##34#</v>
      </c>
    </row>
    <row r="449" spans="2:2" x14ac:dyDescent="0.75">
      <c r="B449" s="112" t="str">
        <f>"* group[=].target = ##34#"&amp;'Subject-ConceptMap-5-x'!E100&amp;"##34#"</f>
        <v>* group[=].target = ##34#http://hl7.eu/fhir/ig/idea4rc/StructureDefinition/observation-dateLastContact-eu-i4rc##34#</v>
      </c>
    </row>
    <row r="450" spans="2:2" x14ac:dyDescent="0.75">
      <c r="B450" s="113"/>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1939</v>
      </c>
      <c r="L4" s="16" t="str">
        <f>CONCATENATE("Logical: ",B4)</f>
        <v>Logical: HospitalPatientRecordsI4rc</v>
      </c>
    </row>
    <row r="5" spans="1:18" ht="15.5" thickBot="1" x14ac:dyDescent="0.9">
      <c r="A5" s="14" t="s">
        <v>16</v>
      </c>
      <c r="B5" s="30" t="s">
        <v>1864</v>
      </c>
      <c r="L5" s="16" t="str">
        <f>CONCATENATE("Id: ",B5)</f>
        <v>Id: HospitalPatientRecords</v>
      </c>
    </row>
    <row r="6" spans="1:18" ht="15.5" thickBot="1" x14ac:dyDescent="0.9">
      <c r="A6" s="14" t="s">
        <v>10</v>
      </c>
      <c r="B6" s="30" t="s">
        <v>1865</v>
      </c>
      <c r="L6" s="17" t="str">
        <f>CONCATENATE("Title: ##34#",B6,"##34#")</f>
        <v>Title: ##34#Hospital Patient Records##34#</v>
      </c>
    </row>
    <row r="7" spans="1:18" x14ac:dyDescent="0.75">
      <c r="A7" s="26" t="s">
        <v>2</v>
      </c>
      <c r="B7" s="98" t="s">
        <v>1865</v>
      </c>
      <c r="C7" s="9" t="s">
        <v>3</v>
      </c>
      <c r="D7" s="1" t="s">
        <v>4</v>
      </c>
      <c r="E7" s="3" t="s">
        <v>5</v>
      </c>
      <c r="F7" s="3" t="s">
        <v>6</v>
      </c>
      <c r="G7" s="3" t="s">
        <v>7</v>
      </c>
      <c r="H7" s="64" t="s">
        <v>1384</v>
      </c>
      <c r="I7" s="122" t="s">
        <v>2110</v>
      </c>
      <c r="J7" s="122" t="s">
        <v>2111</v>
      </c>
      <c r="L7" s="17" t="str">
        <f>CONCATENATE("Description: "," ##334#",B7,"##334#",)</f>
        <v>Description:  ##334#Hospital Patient Records##334#</v>
      </c>
    </row>
    <row r="8" spans="1:18" ht="44.25" x14ac:dyDescent="0.75">
      <c r="A8" s="59">
        <v>0</v>
      </c>
      <c r="B8" s="11" t="s">
        <v>1493</v>
      </c>
      <c r="C8" s="11" t="s">
        <v>14</v>
      </c>
      <c r="D8" s="11" t="s">
        <v>1471</v>
      </c>
      <c r="E8" s="11">
        <v>1</v>
      </c>
      <c r="F8" s="11">
        <v>1</v>
      </c>
      <c r="G8" s="73" t="s">
        <v>1472</v>
      </c>
      <c r="H8" s="11" t="s">
        <v>1854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1855</v>
      </c>
      <c r="C9" s="11" t="s">
        <v>1856</v>
      </c>
      <c r="D9" s="11" t="s">
        <v>1857</v>
      </c>
      <c r="E9" s="11">
        <v>1</v>
      </c>
      <c r="F9" s="11">
        <v>1</v>
      </c>
      <c r="G9" s="74" t="s">
        <v>1</v>
      </c>
      <c r="H9" s="11" t="s">
        <v>1858</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1863</v>
      </c>
      <c r="C10" s="11" t="s">
        <v>1852</v>
      </c>
      <c r="D10" s="11" t="s">
        <v>1853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1859</v>
      </c>
      <c r="C11" s="11" t="s">
        <v>1860</v>
      </c>
      <c r="D11" s="11" t="s">
        <v>1861</v>
      </c>
      <c r="E11" s="11">
        <v>1</v>
      </c>
      <c r="F11" s="11">
        <v>1</v>
      </c>
      <c r="G11" s="11" t="s">
        <v>43</v>
      </c>
      <c r="H11" s="11" t="s">
        <v>1862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HospitalPatientRecords!L1</f>
        <v>//===================================================</v>
      </c>
    </row>
    <row r="2" spans="3:7" ht="16.75" thickBot="1" x14ac:dyDescent="0.9">
      <c r="C2" s="24" t="str">
        <f>HospitalPatientRecords!L2</f>
        <v>//  Logical Model</v>
      </c>
      <c r="G2" s="29" t="s">
        <v>1866</v>
      </c>
    </row>
    <row r="3" spans="3:7" x14ac:dyDescent="0.75">
      <c r="C3" s="24" t="str">
        <f>HospitalPatientRecords!L3</f>
        <v>//===================================================</v>
      </c>
    </row>
    <row r="4" spans="3:7" x14ac:dyDescent="0.75">
      <c r="C4" s="102" t="str">
        <f>HospitalPatientRecords!L4</f>
        <v>Logical: HospitalPatientRecordsI4rc</v>
      </c>
    </row>
    <row r="5" spans="3:7" x14ac:dyDescent="0.75">
      <c r="C5" s="102" t="str">
        <f>HospitalPatientRecords!L5</f>
        <v>Id: HospitalPatientRecords</v>
      </c>
    </row>
    <row r="6" spans="3:7" x14ac:dyDescent="0.75">
      <c r="C6" s="102" t="str">
        <f>HospitalPatientRecords!L6</f>
        <v>Title: ##34#Hospital Patient Records##34#</v>
      </c>
    </row>
    <row r="7" spans="3:7" x14ac:dyDescent="0.75">
      <c r="C7" s="102" t="str">
        <f>HospitalPatientRecords!L7</f>
        <v>Description:  ##334#Hospital Patient Records##334#</v>
      </c>
    </row>
    <row r="8" spans="3:7" ht="29.5" x14ac:dyDescent="0.75">
      <c r="C8" s="103"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3" t="str">
        <f>IF(HospitalPatientRecords!L9="*  ..  ##34###34# ##334###334#","//--- END",HospitalPatientRecords!L9)</f>
        <v>* hospital 1..1 BackboneElement ##34#Hospital##34# ##334#Hospital element containing the data regarding the patient followed by the hospital##334#</v>
      </c>
    </row>
    <row r="10" spans="3:7" x14ac:dyDescent="0.75">
      <c r="C10" s="103" t="str">
        <f>IF(HospitalPatientRecords!L10="*  ..  ##34###34# ##334###334#","//--- END",HospitalPatientRecords!L10)</f>
        <v>* hospital.name 1..1 string ##34#Hospital Name##34# ##334#Hospital where the patients is included in the registry##334#</v>
      </c>
    </row>
    <row r="11" spans="3:7" ht="59" x14ac:dyDescent="0.75">
      <c r="C11" s="103"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3" t="str">
        <f>IF(HospitalPatientRecords!L12="*  ..  ##34###34# ##334###334#","//--- END",HospitalPatientRecords!L12)</f>
        <v>//--- END</v>
      </c>
    </row>
    <row r="13" spans="3:7" x14ac:dyDescent="0.75">
      <c r="C13" s="103" t="str">
        <f>IF(HospitalPatientRecords!L13="*  ..  ##34###34# ##334###334#","//--- END",HospitalPatientRecords!L13)</f>
        <v>//--- END</v>
      </c>
    </row>
    <row r="14" spans="3:7" x14ac:dyDescent="0.75">
      <c r="C14" s="103" t="str">
        <f>IF(HospitalPatientRecords!L14="*  ..  ##34###34# ##334###334#","//--- END",HospitalPatientRecords!L14)</f>
        <v>//--- END</v>
      </c>
    </row>
    <row r="18" spans="3:3" x14ac:dyDescent="0.75">
      <c r="C18" s="101" t="s">
        <v>1387</v>
      </c>
    </row>
    <row r="19" spans="3:3" x14ac:dyDescent="0.75">
      <c r="C19" s="24" t="s">
        <v>1421</v>
      </c>
    </row>
    <row r="20" spans="3:3" x14ac:dyDescent="0.75">
      <c r="C20" s="24" t="s">
        <v>1387</v>
      </c>
    </row>
    <row r="21" spans="3:3" ht="29.5" x14ac:dyDescent="0.75">
      <c r="C21" s="103" t="str">
        <f>IF(HospitalPatientRecords!N8="*  ..  ##34###34# ##334###334#","//--- END",HospitalPatientRecords!N8)</f>
        <v>* patient ^comment = ##334#A patient element data
-##334#</v>
      </c>
    </row>
    <row r="22" spans="3:3" ht="29.5" x14ac:dyDescent="0.75">
      <c r="C22" s="103" t="str">
        <f>IF(HospitalPatientRecords!N9="*  ..  ##34###34# ##334###334#","//--- END",HospitalPatientRecords!N9)</f>
        <v>* hospital ^comment = ##334#A hospital element data
-##334#</v>
      </c>
    </row>
    <row r="23" spans="3:3" x14ac:dyDescent="0.75">
      <c r="C23" s="103" t="str">
        <f>IF(HospitalPatientRecords!N10="*  ..  ##34###34# ##334###334#","//--- END",HospitalPatientRecords!N10)</f>
        <v/>
      </c>
    </row>
    <row r="24" spans="3:3" ht="29.5" x14ac:dyDescent="0.75">
      <c r="C24" s="103" t="str">
        <f>IF(HospitalPatientRecords!N11="*  ..  ##34###34# ##334###334#","//--- END",HospitalPatientRecords!N11)</f>
        <v>* firstContactDate ^comment = ##334#Date
-##334#</v>
      </c>
    </row>
    <row r="25" spans="3:3" x14ac:dyDescent="0.75">
      <c r="C25" s="103" t="str">
        <f>IF(HospitalPatientRecords!N12="*  ..  ##34###34# ##334###334#","//--- END",HospitalPatientRecords!N12)</f>
        <v>//--- END</v>
      </c>
    </row>
    <row r="26" spans="3:3" x14ac:dyDescent="0.75">
      <c r="C26" s="103" t="str">
        <f>IF(HospitalPatientRecords!N13="*  ..  ##34###34# ##334###334#","//--- END",HospitalPatientRecords!N13)</f>
        <v>//--- END</v>
      </c>
    </row>
    <row r="27" spans="3:3" x14ac:dyDescent="0.75">
      <c r="C27" s="103" t="str">
        <f>IF(HospitalPatientRecords!N14="*  ..  ##34###34# ##334###334#","//--- END",HospitalPatientRecords!N14)</f>
        <v>//--- END</v>
      </c>
    </row>
    <row r="30" spans="3:3" x14ac:dyDescent="0.75">
      <c r="C30" s="101" t="str">
        <f>HospitalPatientRecords!P1</f>
        <v>// -------------------------------------------------------------------------------</v>
      </c>
    </row>
    <row r="31" spans="3:3" x14ac:dyDescent="0.75">
      <c r="C31" s="24" t="str">
        <f>HospitalPatientRecords!P2</f>
        <v>// Obligations H&amp;N</v>
      </c>
    </row>
    <row r="32" spans="3:3" x14ac:dyDescent="0.75">
      <c r="C32" s="24" t="str">
        <f>HospitalPatientRecords!P3</f>
        <v>// -------------------------------------------------------------------------------</v>
      </c>
    </row>
    <row r="33" spans="3:3" x14ac:dyDescent="0.75">
      <c r="C33" s="103" t="str">
        <f>IF(HospitalPatientRecords!P8="*  ..  ##34###34# ##334###334#","//--- END",HospitalPatientRecords!P8)</f>
        <v>* patient insert ObligationActorAndCode($actor-headneck, #handle)</v>
      </c>
    </row>
    <row r="34" spans="3:3" x14ac:dyDescent="0.75">
      <c r="C34" s="103" t="str">
        <f>IF(HospitalPatientRecords!P9="*  ..  ##34###34# ##334###334#","//--- END",HospitalPatientRecords!P9)</f>
        <v>* hospital insert ObligationActorAndCode($actor-headneck, #handle)</v>
      </c>
    </row>
    <row r="35" spans="3:3" x14ac:dyDescent="0.75">
      <c r="C35" s="103" t="str">
        <f>IF(HospitalPatientRecords!P10="*  ..  ##34###34# ##334###334#","//--- END",HospitalPatientRecords!P10)</f>
        <v>* hospital.name insert ObligationActorAndCode($actor-headneck, #handle)</v>
      </c>
    </row>
    <row r="36" spans="3:3" x14ac:dyDescent="0.75">
      <c r="C36" s="103" t="str">
        <f>IF(HospitalPatientRecords!P11="*  ..  ##34###34# ##334###334#","//--- END",HospitalPatientRecords!P11)</f>
        <v>* firstContactDate insert ObligationActorAndCode($actor-headneck, #handle)</v>
      </c>
    </row>
    <row r="37" spans="3:3" x14ac:dyDescent="0.75">
      <c r="C37" s="103" t="str">
        <f>IF(HospitalPatientRecords!P12="*  ..  ##34###34# ##334###334#","//--- END",HospitalPatientRecords!P12)</f>
        <v>//--- END</v>
      </c>
    </row>
    <row r="38" spans="3:3" x14ac:dyDescent="0.75">
      <c r="C38" s="103" t="str">
        <f>IF(HospitalPatientRecords!P13="*  ..  ##34###34# ##334###334#","//--- END",HospitalPatientRecords!P13)</f>
        <v>//--- END</v>
      </c>
    </row>
    <row r="39" spans="3:3" x14ac:dyDescent="0.75">
      <c r="C39" s="103" t="str">
        <f>IF(HospitalPatientRecords!P14="*  ..  ##34###34# ##334###334#","//--- END",HospitalPatientRecords!P14)</f>
        <v>//--- END</v>
      </c>
    </row>
    <row r="42" spans="3:3" x14ac:dyDescent="0.75">
      <c r="C42" s="101"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3" t="str">
        <f>IF(HospitalPatientRecords!R8="*  ..  ##34###34# ##334###334#","//--- END",HospitalPatientRecords!R8)</f>
        <v/>
      </c>
    </row>
    <row r="46" spans="3:3" x14ac:dyDescent="0.75">
      <c r="C46" s="103" t="str">
        <f>IF(HospitalPatientRecords!R9="*  ..  ##34###34# ##334###334#","//--- END",HospitalPatientRecords!R9)</f>
        <v/>
      </c>
    </row>
    <row r="47" spans="3:3" x14ac:dyDescent="0.75">
      <c r="C47" s="103" t="str">
        <f>IF(HospitalPatientRecords!R10="*  ..  ##34###34# ##334###334#","//--- END",HospitalPatientRecords!R10)</f>
        <v/>
      </c>
    </row>
    <row r="48" spans="3:3" x14ac:dyDescent="0.75">
      <c r="C48" s="103" t="str">
        <f>IF(HospitalPatientRecords!R11="*  ..  ##34###34# ##334###334#","//--- END",HospitalPatientRecords!R11)</f>
        <v/>
      </c>
    </row>
    <row r="49" spans="3:3" x14ac:dyDescent="0.75">
      <c r="C49" s="103" t="str">
        <f>IF(HospitalPatientRecords!R12="*  ..  ##34###34# ##334###334#","//--- END",HospitalPatientRecords!R12)</f>
        <v>//--- END</v>
      </c>
    </row>
    <row r="50" spans="3:3" x14ac:dyDescent="0.75">
      <c r="C50" s="103" t="str">
        <f>IF(HospitalPatientRecords!R13="*  ..  ##34###34# ##334###334#","//--- END",HospitalPatientRecords!R13)</f>
        <v>//--- END</v>
      </c>
    </row>
    <row r="51" spans="3:3" x14ac:dyDescent="0.75">
      <c r="C51" s="103"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1949</v>
      </c>
      <c r="D3" s="47" t="s">
        <v>1479</v>
      </c>
      <c r="E3" s="72" t="str">
        <f>$C$1&amp;B14</f>
        <v>http://hl7.eu/fhir/ig/idea4rc/StructureDefinition/HospitalPatientRecords</v>
      </c>
    </row>
    <row r="4" spans="1:19" x14ac:dyDescent="0.75">
      <c r="B4" s="47" t="s">
        <v>16</v>
      </c>
      <c r="C4" s="28" t="s">
        <v>1949</v>
      </c>
      <c r="D4" s="47" t="s">
        <v>1480</v>
      </c>
      <c r="E4" s="144" t="s">
        <v>1952</v>
      </c>
      <c r="F4" s="145"/>
      <c r="G4" s="145"/>
    </row>
    <row r="5" spans="1:19" x14ac:dyDescent="0.75">
      <c r="B5" s="47" t="s">
        <v>10</v>
      </c>
      <c r="C5" s="7" t="s">
        <v>1950</v>
      </c>
      <c r="D5" s="47"/>
      <c r="E5" s="7"/>
    </row>
    <row r="6" spans="1:19" x14ac:dyDescent="0.75">
      <c r="B6" s="47" t="s">
        <v>18</v>
      </c>
      <c r="C6" s="41"/>
      <c r="D6" s="47" t="s">
        <v>1481</v>
      </c>
      <c r="E6" s="144" t="str">
        <f>E3</f>
        <v>http://hl7.eu/fhir/ig/idea4rc/StructureDefinition/HospitalPatientRecords</v>
      </c>
      <c r="F6" s="145"/>
      <c r="G6" s="145"/>
    </row>
    <row r="7" spans="1:19" x14ac:dyDescent="0.75">
      <c r="B7" s="47" t="s">
        <v>15</v>
      </c>
      <c r="C7" s="73"/>
      <c r="D7" s="47" t="s">
        <v>1482</v>
      </c>
      <c r="E7" s="144" t="str">
        <f>E4</f>
        <v>http://hl7.eu/fhir/ig/idea4rc/StructureDefinition/episodeOfCare-eu-i4rc</v>
      </c>
      <c r="F7" s="145"/>
      <c r="G7" s="145"/>
    </row>
    <row r="8" spans="1:19" ht="45" thickBot="1" x14ac:dyDescent="0.9">
      <c r="B8" s="47" t="s">
        <v>1483</v>
      </c>
      <c r="C8" t="s">
        <v>1950</v>
      </c>
      <c r="D8" s="47"/>
      <c r="E8" s="7"/>
      <c r="I8" s="12" t="s">
        <v>1289</v>
      </c>
      <c r="J8" s="12" t="s">
        <v>1290</v>
      </c>
      <c r="K8" s="12" t="s">
        <v>1291</v>
      </c>
      <c r="L8" s="12" t="s">
        <v>1292</v>
      </c>
      <c r="M8" s="11" t="s">
        <v>1293</v>
      </c>
      <c r="P8" s="34" t="s">
        <v>1328</v>
      </c>
      <c r="Q8" s="34">
        <v>6</v>
      </c>
    </row>
    <row r="9" spans="1:19" ht="30.25" thickBot="1" x14ac:dyDescent="0.9">
      <c r="B9" s="47" t="s">
        <v>1484</v>
      </c>
      <c r="C9" s="12" t="s">
        <v>1951</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1953</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78"/>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1954</v>
      </c>
      <c r="E16" s="12"/>
      <c r="F16" s="49" t="s">
        <v>1316</v>
      </c>
      <c r="G16" s="78"/>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1955</v>
      </c>
      <c r="E17" s="12"/>
      <c r="F17" s="49" t="s">
        <v>1316</v>
      </c>
      <c r="G17" s="78"/>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1956</v>
      </c>
      <c r="E18" s="12"/>
      <c r="F18" s="49" t="s">
        <v>1317</v>
      </c>
      <c r="G18" s="78"/>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8"/>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8"/>
      <c r="P45" s="11">
        <v>31</v>
      </c>
      <c r="Q45" s="11">
        <f t="shared" si="13"/>
        <v>5</v>
      </c>
      <c r="R45" s="11">
        <f t="shared" si="14"/>
        <v>1</v>
      </c>
      <c r="S45" s="12" cm="1">
        <f t="array" ref="S45">INDEX('HospitalPatientRec-ConceptMap-1'!$I$15:$N$124,Q45+1,R45)</f>
        <v>0</v>
      </c>
    </row>
    <row r="46" spans="1:19" x14ac:dyDescent="0.75">
      <c r="B46" s="11"/>
      <c r="C46" s="11"/>
      <c r="D46" s="12"/>
      <c r="E46" s="12"/>
      <c r="F46" s="49"/>
      <c r="G46" s="78"/>
      <c r="P46" s="11">
        <v>32</v>
      </c>
      <c r="Q46" s="11">
        <f t="shared" si="13"/>
        <v>5</v>
      </c>
      <c r="R46" s="11">
        <f t="shared" si="14"/>
        <v>2</v>
      </c>
      <c r="S46" s="12" cm="1">
        <f t="array" ref="S46">INDEX('HospitalPatientRec-ConceptMap-1'!$I$15:$N$124,Q46+1,R46)</f>
        <v>0</v>
      </c>
    </row>
    <row r="47" spans="1:19" x14ac:dyDescent="0.75">
      <c r="B47" s="11"/>
      <c r="C47" s="11"/>
      <c r="D47" s="12"/>
      <c r="E47" s="12"/>
      <c r="F47" s="49"/>
      <c r="G47" s="78"/>
      <c r="P47" s="11">
        <v>33</v>
      </c>
      <c r="Q47" s="11">
        <f t="shared" si="13"/>
        <v>5</v>
      </c>
      <c r="R47" s="11">
        <f t="shared" si="14"/>
        <v>3</v>
      </c>
      <c r="S47" s="12" cm="1">
        <f t="array" ref="S47">INDEX('HospitalPatientRec-ConceptMap-1'!$I$15:$N$124,Q47+1,R47)</f>
        <v>0</v>
      </c>
    </row>
    <row r="48" spans="1:19" x14ac:dyDescent="0.75">
      <c r="B48" s="11"/>
      <c r="C48" s="11"/>
      <c r="D48" s="12"/>
      <c r="E48" s="12"/>
      <c r="F48" s="49"/>
      <c r="G48" s="78"/>
      <c r="P48" s="11">
        <v>34</v>
      </c>
      <c r="Q48" s="11">
        <f t="shared" si="13"/>
        <v>5</v>
      </c>
      <c r="R48" s="11">
        <f t="shared" si="14"/>
        <v>4</v>
      </c>
      <c r="S48" s="12" cm="1">
        <f t="array" ref="S48">INDEX('HospitalPatientRec-ConceptMap-1'!$I$15:$N$124,Q48+1,R48)</f>
        <v>0</v>
      </c>
    </row>
    <row r="49" spans="2:19" x14ac:dyDescent="0.75">
      <c r="B49" s="11"/>
      <c r="C49" s="11"/>
      <c r="D49" s="12"/>
      <c r="E49" s="12"/>
      <c r="F49" s="49"/>
      <c r="G49" s="78"/>
      <c r="P49" s="11">
        <v>35</v>
      </c>
      <c r="Q49" s="11">
        <f t="shared" si="13"/>
        <v>5</v>
      </c>
      <c r="R49" s="11">
        <f t="shared" si="14"/>
        <v>5</v>
      </c>
      <c r="S49" s="12" cm="1">
        <f t="array" ref="S49">INDEX('HospitalPatientRec-ConceptMap-1'!$I$15:$N$124,Q49+1,R49)</f>
        <v>0</v>
      </c>
    </row>
    <row r="50" spans="2:19" x14ac:dyDescent="0.75">
      <c r="B50" s="11"/>
      <c r="C50" s="11"/>
      <c r="D50" s="12"/>
      <c r="E50" s="12"/>
      <c r="F50" s="49"/>
      <c r="G50" s="78"/>
      <c r="P50" s="11">
        <v>36</v>
      </c>
      <c r="Q50" s="11">
        <f t="shared" si="13"/>
        <v>5</v>
      </c>
      <c r="R50" s="11">
        <f t="shared" si="14"/>
        <v>6</v>
      </c>
      <c r="S50" s="12" cm="1">
        <f t="array" ref="S50">INDEX('HospitalPatientRec-ConceptMap-1'!$I$15:$N$124,Q50+1,R50)</f>
        <v>0</v>
      </c>
    </row>
    <row r="51" spans="2:19" x14ac:dyDescent="0.75">
      <c r="B51" s="11"/>
      <c r="C51" s="11"/>
      <c r="D51" s="12"/>
      <c r="E51" s="12"/>
      <c r="F51" s="49"/>
      <c r="G51" s="78"/>
      <c r="P51" s="11">
        <v>37</v>
      </c>
      <c r="Q51" s="11">
        <f t="shared" si="13"/>
        <v>6</v>
      </c>
      <c r="R51" s="11">
        <f t="shared" si="14"/>
        <v>1</v>
      </c>
      <c r="S51" s="12" cm="1">
        <f t="array" ref="S51">INDEX('HospitalPatientRec-ConceptMap-1'!$I$15:$N$124,Q51+1,R51)</f>
        <v>0</v>
      </c>
    </row>
    <row r="52" spans="2:19" x14ac:dyDescent="0.75">
      <c r="B52" s="11"/>
      <c r="C52" s="11"/>
      <c r="D52" s="12"/>
      <c r="E52" s="12"/>
      <c r="F52" s="49"/>
      <c r="G52" s="78"/>
      <c r="P52" s="11">
        <v>38</v>
      </c>
      <c r="Q52" s="11">
        <f t="shared" si="13"/>
        <v>6</v>
      </c>
      <c r="R52" s="11">
        <f t="shared" si="14"/>
        <v>2</v>
      </c>
      <c r="S52" s="12" cm="1">
        <f t="array" ref="S52">INDEX('HospitalPatientRec-ConceptMap-1'!$I$15:$N$124,Q52+1,R52)</f>
        <v>0</v>
      </c>
    </row>
    <row r="53" spans="2:19" x14ac:dyDescent="0.75">
      <c r="B53" s="11"/>
      <c r="C53" s="11"/>
      <c r="D53" s="12"/>
      <c r="E53" s="12"/>
      <c r="F53" s="49"/>
      <c r="G53" s="78"/>
      <c r="P53" s="11">
        <v>39</v>
      </c>
      <c r="Q53" s="11">
        <f t="shared" si="13"/>
        <v>6</v>
      </c>
      <c r="R53" s="11">
        <f t="shared" si="14"/>
        <v>3</v>
      </c>
      <c r="S53" s="12" cm="1">
        <f t="array" ref="S53">INDEX('HospitalPatientRec-ConceptMap-1'!$I$15:$N$124,Q53+1,R53)</f>
        <v>0</v>
      </c>
    </row>
    <row r="54" spans="2:19" x14ac:dyDescent="0.75">
      <c r="B54" s="11"/>
      <c r="C54" s="11"/>
      <c r="D54" s="12"/>
      <c r="E54" s="12"/>
      <c r="F54" s="49"/>
      <c r="G54" s="78"/>
      <c r="P54" s="11">
        <v>40</v>
      </c>
      <c r="Q54" s="11">
        <f t="shared" si="13"/>
        <v>6</v>
      </c>
      <c r="R54" s="11">
        <f t="shared" si="14"/>
        <v>4</v>
      </c>
      <c r="S54" s="12" cm="1">
        <f t="array" ref="S54">INDEX('HospitalPatientRec-ConceptMap-1'!$I$15:$N$124,Q54+1,R54)</f>
        <v>0</v>
      </c>
    </row>
    <row r="55" spans="2:19" x14ac:dyDescent="0.75">
      <c r="B55" s="11"/>
      <c r="C55" s="11"/>
      <c r="D55" s="12"/>
      <c r="E55" s="12"/>
      <c r="F55" s="49"/>
      <c r="G55" s="78"/>
      <c r="P55" s="11">
        <v>41</v>
      </c>
      <c r="Q55" s="11">
        <f t="shared" si="13"/>
        <v>6</v>
      </c>
      <c r="R55" s="11">
        <f t="shared" si="14"/>
        <v>5</v>
      </c>
      <c r="S55" s="12" cm="1">
        <f t="array" ref="S55">INDEX('HospitalPatientRec-ConceptMap-1'!$I$15:$N$124,Q55+1,R55)</f>
        <v>0</v>
      </c>
    </row>
    <row r="56" spans="2:19" x14ac:dyDescent="0.75">
      <c r="B56" s="11"/>
      <c r="C56" s="11"/>
      <c r="D56" s="12"/>
      <c r="E56" s="12"/>
      <c r="F56" s="49"/>
      <c r="G56" s="78"/>
      <c r="P56" s="11">
        <v>42</v>
      </c>
      <c r="Q56" s="11">
        <f t="shared" si="13"/>
        <v>6</v>
      </c>
      <c r="R56" s="11">
        <f t="shared" si="14"/>
        <v>6</v>
      </c>
      <c r="S56" s="12" cm="1">
        <f t="array" ref="S56">INDEX('HospitalPatientRec-ConceptMap-1'!$I$15:$N$124,Q56+1,R56)</f>
        <v>0</v>
      </c>
    </row>
    <row r="57" spans="2:19" x14ac:dyDescent="0.75">
      <c r="B57" s="11"/>
      <c r="C57" s="11"/>
      <c r="D57" s="12"/>
      <c r="E57" s="12"/>
      <c r="F57" s="49"/>
      <c r="G57" s="78"/>
      <c r="P57" s="11">
        <v>43</v>
      </c>
      <c r="Q57" s="11">
        <f t="shared" si="13"/>
        <v>7</v>
      </c>
      <c r="R57" s="11">
        <f t="shared" si="14"/>
        <v>1</v>
      </c>
      <c r="S57" s="12" cm="1">
        <f t="array" ref="S57">INDEX('HospitalPatientRec-ConceptMap-1'!$I$15:$N$124,Q57+1,R57)</f>
        <v>0</v>
      </c>
    </row>
    <row r="58" spans="2:19" x14ac:dyDescent="0.75">
      <c r="B58" s="11"/>
      <c r="C58" s="11"/>
      <c r="D58" s="12"/>
      <c r="E58" s="12"/>
      <c r="F58" s="49"/>
      <c r="G58" s="78"/>
      <c r="P58" s="11">
        <v>44</v>
      </c>
      <c r="Q58" s="11">
        <f t="shared" si="13"/>
        <v>7</v>
      </c>
      <c r="R58" s="11">
        <f t="shared" si="14"/>
        <v>2</v>
      </c>
      <c r="S58" s="12" cm="1">
        <f t="array" ref="S58">INDEX('HospitalPatientRec-ConceptMap-1'!$I$15:$N$124,Q58+1,R58)</f>
        <v>0</v>
      </c>
    </row>
    <row r="59" spans="2:19" x14ac:dyDescent="0.75">
      <c r="B59" s="11"/>
      <c r="C59" s="11"/>
      <c r="D59" s="12"/>
      <c r="E59" s="12"/>
      <c r="F59" s="49"/>
      <c r="G59" s="78"/>
      <c r="P59" s="11">
        <v>45</v>
      </c>
      <c r="Q59" s="11">
        <f t="shared" si="13"/>
        <v>7</v>
      </c>
      <c r="R59" s="11">
        <f t="shared" si="14"/>
        <v>3</v>
      </c>
      <c r="S59" s="12" cm="1">
        <f t="array" ref="S59">INDEX('HospitalPatientRec-ConceptMap-1'!$I$15:$N$124,Q59+1,R59)</f>
        <v>0</v>
      </c>
    </row>
    <row r="60" spans="2:19" x14ac:dyDescent="0.75">
      <c r="B60" s="11"/>
      <c r="C60" s="11"/>
      <c r="D60" s="12"/>
      <c r="E60" s="12"/>
      <c r="F60" s="49"/>
      <c r="G60" s="78"/>
      <c r="P60" s="11">
        <v>46</v>
      </c>
      <c r="Q60" s="11">
        <f t="shared" si="13"/>
        <v>7</v>
      </c>
      <c r="R60" s="11">
        <f t="shared" si="14"/>
        <v>4</v>
      </c>
      <c r="S60" s="12" cm="1">
        <f t="array" ref="S60">INDEX('HospitalPatientRec-ConceptMap-1'!$I$15:$N$124,Q60+1,R60)</f>
        <v>0</v>
      </c>
    </row>
    <row r="61" spans="2:19" x14ac:dyDescent="0.75">
      <c r="B61" s="11"/>
      <c r="C61" s="11"/>
      <c r="D61" s="12"/>
      <c r="E61" s="12"/>
      <c r="F61" s="49"/>
      <c r="G61" s="78"/>
      <c r="P61" s="11">
        <v>47</v>
      </c>
      <c r="Q61" s="11">
        <f t="shared" si="13"/>
        <v>7</v>
      </c>
      <c r="R61" s="11">
        <f t="shared" si="14"/>
        <v>5</v>
      </c>
      <c r="S61" s="12" cm="1">
        <f t="array" ref="S61">INDEX('HospitalPatientRec-ConceptMap-1'!$I$15:$N$124,Q61+1,R61)</f>
        <v>0</v>
      </c>
    </row>
    <row r="62" spans="2:19" x14ac:dyDescent="0.75">
      <c r="B62" s="11"/>
      <c r="C62" s="11"/>
      <c r="D62" s="12"/>
      <c r="E62" s="12"/>
      <c r="F62" s="49"/>
      <c r="G62" s="78"/>
      <c r="P62" s="11">
        <v>48</v>
      </c>
      <c r="Q62" s="11">
        <f t="shared" si="13"/>
        <v>7</v>
      </c>
      <c r="R62" s="11">
        <f t="shared" si="14"/>
        <v>6</v>
      </c>
      <c r="S62" s="12" cm="1">
        <f t="array" ref="S62">INDEX('HospitalPatientRec-ConceptMap-1'!$I$15:$N$124,Q62+1,R62)</f>
        <v>0</v>
      </c>
    </row>
    <row r="63" spans="2:19" x14ac:dyDescent="0.75">
      <c r="B63" s="11"/>
      <c r="C63" s="11"/>
      <c r="D63" s="12"/>
      <c r="E63" s="12"/>
      <c r="F63" s="49"/>
      <c r="G63" s="78"/>
      <c r="P63" s="11">
        <v>49</v>
      </c>
      <c r="Q63" s="11">
        <f t="shared" si="13"/>
        <v>8</v>
      </c>
      <c r="R63" s="11">
        <f t="shared" si="14"/>
        <v>1</v>
      </c>
      <c r="S63" s="12" cm="1">
        <f t="array" ref="S63">INDEX('HospitalPatientRec-ConceptMap-1'!$I$15:$N$124,Q63+1,R63)</f>
        <v>0</v>
      </c>
    </row>
    <row r="64" spans="2:19" x14ac:dyDescent="0.75">
      <c r="B64" s="11"/>
      <c r="C64" s="11"/>
      <c r="D64" s="12"/>
      <c r="E64" s="12"/>
      <c r="F64" s="49"/>
      <c r="G64" s="78"/>
      <c r="P64" s="11">
        <v>50</v>
      </c>
      <c r="Q64" s="11">
        <f t="shared" si="13"/>
        <v>8</v>
      </c>
      <c r="R64" s="11">
        <f t="shared" si="14"/>
        <v>2</v>
      </c>
      <c r="S64" s="12" cm="1">
        <f t="array" ref="S64">INDEX('HospitalPatientRec-ConceptMap-1'!$I$15:$N$124,Q64+1,R64)</f>
        <v>0</v>
      </c>
    </row>
    <row r="65" spans="2:19" x14ac:dyDescent="0.75">
      <c r="B65" s="11"/>
      <c r="C65" s="11"/>
      <c r="D65" s="12"/>
      <c r="E65" s="12"/>
      <c r="F65" s="49"/>
      <c r="G65" s="78"/>
      <c r="P65" s="11">
        <v>51</v>
      </c>
      <c r="Q65" s="11">
        <f t="shared" si="13"/>
        <v>8</v>
      </c>
      <c r="R65" s="11">
        <f t="shared" si="14"/>
        <v>3</v>
      </c>
      <c r="S65" s="12" cm="1">
        <f t="array" ref="S65">INDEX('HospitalPatientRec-ConceptMap-1'!$I$15:$N$124,Q65+1,R65)</f>
        <v>0</v>
      </c>
    </row>
    <row r="66" spans="2:19" x14ac:dyDescent="0.75">
      <c r="B66" s="11"/>
      <c r="C66" s="11"/>
      <c r="D66" s="12"/>
      <c r="E66" s="12"/>
      <c r="F66" s="49"/>
      <c r="G66" s="78"/>
      <c r="P66" s="11">
        <v>52</v>
      </c>
      <c r="Q66" s="11">
        <f t="shared" si="13"/>
        <v>8</v>
      </c>
      <c r="R66" s="11">
        <f t="shared" si="14"/>
        <v>4</v>
      </c>
      <c r="S66" s="12" cm="1">
        <f t="array" ref="S66">INDEX('HospitalPatientRec-ConceptMap-1'!$I$15:$N$124,Q66+1,R66)</f>
        <v>0</v>
      </c>
    </row>
    <row r="67" spans="2:19" x14ac:dyDescent="0.75">
      <c r="B67" s="11"/>
      <c r="C67" s="11"/>
      <c r="D67" s="12"/>
      <c r="E67" s="12"/>
      <c r="F67" s="49"/>
      <c r="G67" s="78"/>
      <c r="P67" s="11">
        <v>53</v>
      </c>
      <c r="Q67" s="11">
        <f t="shared" si="13"/>
        <v>8</v>
      </c>
      <c r="R67" s="11">
        <f t="shared" si="14"/>
        <v>5</v>
      </c>
      <c r="S67" s="12" cm="1">
        <f t="array" ref="S67">INDEX('HospitalPatientRec-ConceptMap-1'!$I$15:$N$124,Q67+1,R67)</f>
        <v>0</v>
      </c>
    </row>
    <row r="68" spans="2:19" x14ac:dyDescent="0.75">
      <c r="B68" s="11"/>
      <c r="C68" s="11"/>
      <c r="D68" s="12"/>
      <c r="E68" s="12"/>
      <c r="F68" s="49"/>
      <c r="G68" s="78"/>
      <c r="P68" s="11">
        <v>54</v>
      </c>
      <c r="Q68" s="11">
        <f t="shared" si="13"/>
        <v>8</v>
      </c>
      <c r="R68" s="11">
        <f t="shared" si="14"/>
        <v>6</v>
      </c>
      <c r="S68" s="12" cm="1">
        <f t="array" ref="S68">INDEX('HospitalPatientRec-ConceptMap-1'!$I$15:$N$124,Q68+1,R68)</f>
        <v>0</v>
      </c>
    </row>
    <row r="69" spans="2:19" x14ac:dyDescent="0.75">
      <c r="B69" s="11"/>
      <c r="C69" s="11"/>
      <c r="D69" s="12"/>
      <c r="E69" s="12"/>
      <c r="F69" s="49"/>
      <c r="G69" s="78"/>
      <c r="P69" s="11">
        <v>55</v>
      </c>
      <c r="Q69" s="11">
        <f t="shared" si="13"/>
        <v>9</v>
      </c>
      <c r="R69" s="11">
        <f t="shared" si="14"/>
        <v>1</v>
      </c>
      <c r="S69" s="12" cm="1">
        <f t="array" ref="S69">INDEX('HospitalPatientRec-ConceptMap-1'!$I$15:$N$124,Q69+1,R69)</f>
        <v>0</v>
      </c>
    </row>
    <row r="70" spans="2:19" x14ac:dyDescent="0.75">
      <c r="B70" s="11"/>
      <c r="C70" s="11"/>
      <c r="D70" s="12"/>
      <c r="E70" s="12"/>
      <c r="F70" s="49"/>
      <c r="G70" s="78"/>
      <c r="P70" s="11">
        <v>56</v>
      </c>
      <c r="Q70" s="11">
        <f t="shared" si="13"/>
        <v>9</v>
      </c>
      <c r="R70" s="11">
        <f t="shared" si="14"/>
        <v>2</v>
      </c>
      <c r="S70" s="12" cm="1">
        <f t="array" ref="S70">INDEX('HospitalPatientRec-ConceptMap-1'!$I$15:$N$124,Q70+1,R70)</f>
        <v>0</v>
      </c>
    </row>
    <row r="71" spans="2:19" x14ac:dyDescent="0.75">
      <c r="B71" s="11"/>
      <c r="C71" s="11"/>
      <c r="D71" s="12"/>
      <c r="E71" s="12"/>
      <c r="F71" s="49"/>
      <c r="G71" s="78"/>
      <c r="P71" s="11">
        <v>57</v>
      </c>
      <c r="Q71" s="11">
        <f t="shared" si="13"/>
        <v>9</v>
      </c>
      <c r="R71" s="11">
        <f t="shared" si="14"/>
        <v>3</v>
      </c>
      <c r="S71" s="12" cm="1">
        <f t="array" ref="S71">INDEX('HospitalPatientRec-ConceptMap-1'!$I$15:$N$124,Q71+1,R71)</f>
        <v>0</v>
      </c>
    </row>
    <row r="72" spans="2:19" x14ac:dyDescent="0.75">
      <c r="B72" s="11"/>
      <c r="C72" s="11"/>
      <c r="D72" s="12"/>
      <c r="E72" s="12"/>
      <c r="F72" s="49"/>
      <c r="G72" s="78"/>
      <c r="P72" s="11">
        <v>58</v>
      </c>
      <c r="Q72" s="11">
        <f t="shared" si="13"/>
        <v>9</v>
      </c>
      <c r="R72" s="11">
        <f t="shared" si="14"/>
        <v>4</v>
      </c>
      <c r="S72" s="12" cm="1">
        <f t="array" ref="S72">INDEX('HospitalPatientRec-ConceptMap-1'!$I$15:$N$124,Q72+1,R72)</f>
        <v>0</v>
      </c>
    </row>
    <row r="73" spans="2:19" x14ac:dyDescent="0.75">
      <c r="B73" s="11"/>
      <c r="C73" s="11"/>
      <c r="D73" s="12"/>
      <c r="E73" s="12"/>
      <c r="F73" s="49"/>
      <c r="G73" s="78"/>
      <c r="P73" s="11">
        <v>59</v>
      </c>
      <c r="Q73" s="11">
        <f t="shared" si="13"/>
        <v>9</v>
      </c>
      <c r="R73" s="11">
        <f t="shared" si="14"/>
        <v>5</v>
      </c>
      <c r="S73" s="12" cm="1">
        <f t="array" ref="S73">INDEX('HospitalPatientRec-ConceptMap-1'!$I$15:$N$124,Q73+1,R73)</f>
        <v>0</v>
      </c>
    </row>
    <row r="74" spans="2:19" x14ac:dyDescent="0.75">
      <c r="B74" s="11"/>
      <c r="C74" s="11"/>
      <c r="D74" s="12"/>
      <c r="E74" s="12"/>
      <c r="F74" s="49"/>
      <c r="G74" s="78"/>
      <c r="P74" s="11">
        <v>60</v>
      </c>
      <c r="Q74" s="11">
        <f t="shared" si="13"/>
        <v>9</v>
      </c>
      <c r="R74" s="11">
        <f t="shared" si="14"/>
        <v>6</v>
      </c>
      <c r="S74" s="12" cm="1">
        <f t="array" ref="S74">INDEX('HospitalPatientRec-ConceptMap-1'!$I$15:$N$124,Q74+1,R74)</f>
        <v>0</v>
      </c>
    </row>
    <row r="75" spans="2:19" x14ac:dyDescent="0.75">
      <c r="B75" s="11"/>
      <c r="C75" s="11"/>
      <c r="D75" s="12"/>
      <c r="E75" s="12"/>
      <c r="F75" s="49"/>
      <c r="G75" s="78"/>
      <c r="P75" s="11">
        <v>61</v>
      </c>
      <c r="Q75" s="11">
        <f t="shared" si="13"/>
        <v>10</v>
      </c>
      <c r="R75" s="11">
        <f t="shared" si="14"/>
        <v>1</v>
      </c>
      <c r="S75" s="12" cm="1">
        <f t="array" ref="S75">INDEX('HospitalPatientRec-ConceptMap-1'!$I$15:$N$124,Q75+1,R75)</f>
        <v>0</v>
      </c>
    </row>
    <row r="76" spans="2:19" x14ac:dyDescent="0.75">
      <c r="B76" s="11"/>
      <c r="C76" s="11"/>
      <c r="D76" s="12"/>
      <c r="E76" s="12"/>
      <c r="F76" s="49"/>
      <c r="G76" s="78"/>
      <c r="P76" s="11">
        <v>62</v>
      </c>
      <c r="Q76" s="11">
        <f t="shared" si="13"/>
        <v>10</v>
      </c>
      <c r="R76" s="11">
        <f t="shared" si="14"/>
        <v>2</v>
      </c>
      <c r="S76" s="12" cm="1">
        <f t="array" ref="S76">INDEX('HospitalPatientRec-ConceptMap-1'!$I$15:$N$124,Q76+1,R76)</f>
        <v>0</v>
      </c>
    </row>
    <row r="77" spans="2:19" x14ac:dyDescent="0.75">
      <c r="B77" s="11"/>
      <c r="C77" s="11"/>
      <c r="D77" s="12"/>
      <c r="E77" s="12"/>
      <c r="F77" s="49"/>
      <c r="G77" s="78"/>
      <c r="P77" s="11">
        <v>63</v>
      </c>
      <c r="Q77" s="11">
        <f t="shared" si="13"/>
        <v>10</v>
      </c>
      <c r="R77" s="11">
        <f t="shared" si="14"/>
        <v>3</v>
      </c>
      <c r="S77" s="12" cm="1">
        <f t="array" ref="S77">INDEX('HospitalPatientRec-ConceptMap-1'!$I$15:$N$124,Q77+1,R77)</f>
        <v>0</v>
      </c>
    </row>
    <row r="78" spans="2:19" x14ac:dyDescent="0.75">
      <c r="B78" s="11"/>
      <c r="C78" s="11"/>
      <c r="D78" s="12"/>
      <c r="E78" s="12"/>
      <c r="F78" s="49"/>
      <c r="G78" s="78"/>
      <c r="P78" s="11">
        <v>64</v>
      </c>
      <c r="Q78" s="11">
        <f t="shared" si="13"/>
        <v>10</v>
      </c>
      <c r="R78" s="11">
        <f t="shared" si="14"/>
        <v>4</v>
      </c>
      <c r="S78" s="12" cm="1">
        <f t="array" ref="S78">INDEX('HospitalPatientRec-ConceptMap-1'!$I$15:$N$124,Q78+1,R78)</f>
        <v>0</v>
      </c>
    </row>
    <row r="79" spans="2:19" x14ac:dyDescent="0.75">
      <c r="B79" s="11"/>
      <c r="C79" s="11"/>
      <c r="D79" s="12"/>
      <c r="E79" s="12"/>
      <c r="F79" s="49"/>
      <c r="G79" s="78"/>
      <c r="P79" s="11">
        <v>65</v>
      </c>
      <c r="Q79" s="11">
        <f t="shared" si="13"/>
        <v>10</v>
      </c>
      <c r="R79" s="11">
        <f t="shared" si="14"/>
        <v>5</v>
      </c>
      <c r="S79" s="12" cm="1">
        <f t="array" ref="S79">INDEX('HospitalPatientRec-ConceptMap-1'!$I$15:$N$124,Q79+1,R79)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8"/>
      <c r="P81" s="11">
        <v>67</v>
      </c>
      <c r="Q81" s="11">
        <f t="shared" si="15"/>
        <v>11</v>
      </c>
      <c r="R81" s="11">
        <f t="shared" si="16"/>
        <v>1</v>
      </c>
      <c r="S81" s="12" cm="1">
        <f t="array" ref="S81">INDEX('HospitalPatientRec-ConceptMap-1'!$I$15:$N$124,Q81+1,R81)</f>
        <v>0</v>
      </c>
    </row>
    <row r="82" spans="2:19" x14ac:dyDescent="0.75">
      <c r="B82" s="11"/>
      <c r="C82" s="11"/>
      <c r="D82" s="12"/>
      <c r="E82" s="12"/>
      <c r="F82" s="49"/>
      <c r="G82" s="78"/>
      <c r="P82" s="11">
        <v>68</v>
      </c>
      <c r="Q82" s="11">
        <f t="shared" si="15"/>
        <v>11</v>
      </c>
      <c r="R82" s="11">
        <f t="shared" si="16"/>
        <v>2</v>
      </c>
      <c r="S82" s="12" cm="1">
        <f t="array" ref="S82">INDEX('HospitalPatientRec-ConceptMap-1'!$I$15:$N$124,Q82+1,R82)</f>
        <v>0</v>
      </c>
    </row>
    <row r="83" spans="2:19" x14ac:dyDescent="0.75">
      <c r="B83" s="11"/>
      <c r="C83" s="11"/>
      <c r="D83" s="12"/>
      <c r="E83" s="12"/>
      <c r="F83" s="49"/>
      <c r="G83" s="78"/>
      <c r="P83" s="11">
        <v>69</v>
      </c>
      <c r="Q83" s="11">
        <f t="shared" si="15"/>
        <v>11</v>
      </c>
      <c r="R83" s="11">
        <f t="shared" si="16"/>
        <v>3</v>
      </c>
      <c r="S83" s="12" cm="1">
        <f t="array" ref="S83">INDEX('HospitalPatientRec-ConceptMap-1'!$I$15:$N$124,Q83+1,R83)</f>
        <v>0</v>
      </c>
    </row>
    <row r="84" spans="2:19" x14ac:dyDescent="0.75">
      <c r="B84" s="11"/>
      <c r="C84" s="11"/>
      <c r="D84" s="12"/>
      <c r="E84" s="12"/>
      <c r="F84" s="49"/>
      <c r="G84" s="78"/>
      <c r="P84" s="11">
        <v>70</v>
      </c>
      <c r="Q84" s="11">
        <f t="shared" si="15"/>
        <v>11</v>
      </c>
      <c r="R84" s="11">
        <f t="shared" si="16"/>
        <v>4</v>
      </c>
      <c r="S84" s="12" cm="1">
        <f t="array" ref="S84">INDEX('HospitalPatientRec-ConceptMap-1'!$I$15:$N$124,Q84+1,R84)</f>
        <v>0</v>
      </c>
    </row>
    <row r="85" spans="2:19" x14ac:dyDescent="0.75">
      <c r="B85" s="11"/>
      <c r="C85" s="11"/>
      <c r="D85" s="12"/>
      <c r="E85" s="12"/>
      <c r="F85" s="49"/>
      <c r="G85" s="78"/>
      <c r="P85" s="11">
        <v>71</v>
      </c>
      <c r="Q85" s="11">
        <f t="shared" si="15"/>
        <v>11</v>
      </c>
      <c r="R85" s="11">
        <f t="shared" si="16"/>
        <v>5</v>
      </c>
      <c r="S85" s="12" cm="1">
        <f t="array" ref="S85">INDEX('HospitalPatientRec-ConceptMap-1'!$I$15:$N$124,Q85+1,R85)</f>
        <v>0</v>
      </c>
    </row>
    <row r="86" spans="2:19" x14ac:dyDescent="0.75">
      <c r="B86" s="11"/>
      <c r="C86" s="11"/>
      <c r="D86" s="12"/>
      <c r="E86" s="12"/>
      <c r="F86" s="49"/>
      <c r="G86" s="78"/>
      <c r="P86" s="11">
        <v>72</v>
      </c>
      <c r="Q86" s="11">
        <f t="shared" si="15"/>
        <v>11</v>
      </c>
      <c r="R86" s="11">
        <f t="shared" si="16"/>
        <v>6</v>
      </c>
      <c r="S86" s="12" cm="1">
        <f t="array" ref="S86">INDEX('HospitalPatientRec-ConceptMap-1'!$I$15:$N$124,Q86+1,R86)</f>
        <v>0</v>
      </c>
    </row>
    <row r="87" spans="2:19" x14ac:dyDescent="0.75">
      <c r="B87" s="11"/>
      <c r="C87" s="11"/>
      <c r="D87" s="12"/>
      <c r="E87" s="12"/>
      <c r="F87" s="49"/>
      <c r="G87" s="78"/>
      <c r="P87" s="11">
        <v>73</v>
      </c>
      <c r="Q87" s="11">
        <f t="shared" si="15"/>
        <v>12</v>
      </c>
      <c r="R87" s="11">
        <f t="shared" si="16"/>
        <v>1</v>
      </c>
      <c r="S87" s="12" cm="1">
        <f t="array" ref="S87">INDEX('HospitalPatientRec-ConceptMap-1'!$I$15:$N$124,Q87+1,R87)</f>
        <v>0</v>
      </c>
    </row>
    <row r="88" spans="2:19" x14ac:dyDescent="0.75">
      <c r="B88" s="11"/>
      <c r="C88" s="11"/>
      <c r="D88" s="12"/>
      <c r="E88" s="12"/>
      <c r="F88" s="49"/>
      <c r="G88" s="78"/>
      <c r="P88" s="11">
        <v>74</v>
      </c>
      <c r="Q88" s="11">
        <f t="shared" si="15"/>
        <v>12</v>
      </c>
      <c r="R88" s="11">
        <f t="shared" si="16"/>
        <v>2</v>
      </c>
      <c r="S88" s="12" cm="1">
        <f t="array" ref="S88">INDEX('HospitalPatientRec-ConceptMap-1'!$I$15:$N$124,Q88+1,R88)</f>
        <v>0</v>
      </c>
    </row>
    <row r="89" spans="2:19" x14ac:dyDescent="0.75">
      <c r="B89" s="11"/>
      <c r="C89" s="11"/>
      <c r="D89" s="12"/>
      <c r="E89" s="12"/>
      <c r="F89" s="49"/>
      <c r="G89" s="78"/>
      <c r="P89" s="11">
        <v>75</v>
      </c>
      <c r="Q89" s="11">
        <f t="shared" si="15"/>
        <v>12</v>
      </c>
      <c r="R89" s="11">
        <f t="shared" si="16"/>
        <v>3</v>
      </c>
      <c r="S89" s="12" cm="1">
        <f t="array" ref="S89">INDEX('HospitalPatientRec-ConceptMap-1'!$I$15:$N$124,Q89+1,R89)</f>
        <v>0</v>
      </c>
    </row>
    <row r="90" spans="2:19" x14ac:dyDescent="0.75">
      <c r="B90" s="11"/>
      <c r="C90" s="11"/>
      <c r="D90" s="12"/>
      <c r="E90" s="12"/>
      <c r="F90" s="49"/>
      <c r="G90" s="78"/>
      <c r="P90" s="11">
        <v>76</v>
      </c>
      <c r="Q90" s="11">
        <f t="shared" si="15"/>
        <v>12</v>
      </c>
      <c r="R90" s="11">
        <f t="shared" si="16"/>
        <v>4</v>
      </c>
      <c r="S90" s="12" cm="1">
        <f t="array" ref="S90">INDEX('HospitalPatientRec-ConceptMap-1'!$I$15:$N$124,Q90+1,R90)</f>
        <v>0</v>
      </c>
    </row>
    <row r="91" spans="2:19" x14ac:dyDescent="0.75">
      <c r="B91" s="11"/>
      <c r="C91" s="11"/>
      <c r="D91" s="12"/>
      <c r="E91" s="12"/>
      <c r="F91" s="49"/>
      <c r="G91" s="78"/>
      <c r="P91" s="11">
        <v>77</v>
      </c>
      <c r="Q91" s="11">
        <f t="shared" si="15"/>
        <v>12</v>
      </c>
      <c r="R91" s="11">
        <f t="shared" si="16"/>
        <v>5</v>
      </c>
      <c r="S91" s="12" cm="1">
        <f t="array" ref="S91">INDEX('HospitalPatientRec-ConceptMap-1'!$I$15:$N$124,Q91+1,R91)</f>
        <v>0</v>
      </c>
    </row>
    <row r="92" spans="2:19" x14ac:dyDescent="0.75">
      <c r="B92" s="11"/>
      <c r="C92" s="11"/>
      <c r="D92" s="12"/>
      <c r="E92" s="12"/>
      <c r="F92" s="49"/>
      <c r="G92" s="78"/>
      <c r="P92" s="11">
        <v>78</v>
      </c>
      <c r="Q92" s="11">
        <f t="shared" si="15"/>
        <v>12</v>
      </c>
      <c r="R92" s="11">
        <f t="shared" si="16"/>
        <v>6</v>
      </c>
      <c r="S92" s="12" cm="1">
        <f t="array" ref="S92">INDEX('HospitalPatientRec-ConceptMap-1'!$I$15:$N$124,Q92+1,R92)</f>
        <v>0</v>
      </c>
    </row>
    <row r="93" spans="2:19" x14ac:dyDescent="0.75">
      <c r="B93" s="11"/>
      <c r="C93" s="11"/>
      <c r="D93" s="12"/>
      <c r="E93" s="12"/>
      <c r="F93" s="49"/>
      <c r="G93" s="78"/>
      <c r="P93" s="11">
        <v>79</v>
      </c>
      <c r="Q93" s="11">
        <f t="shared" si="15"/>
        <v>13</v>
      </c>
      <c r="R93" s="11">
        <f t="shared" si="16"/>
        <v>1</v>
      </c>
      <c r="S93" s="12" cm="1">
        <f t="array" ref="S93">INDEX('HospitalPatientRec-ConceptMap-1'!$I$15:$N$124,Q93+1,R93)</f>
        <v>0</v>
      </c>
    </row>
    <row r="94" spans="2:19" x14ac:dyDescent="0.75">
      <c r="B94" s="11"/>
      <c r="C94" s="11"/>
      <c r="D94" s="12"/>
      <c r="E94" s="12"/>
      <c r="F94" s="49"/>
      <c r="G94" s="78"/>
      <c r="P94" s="11">
        <v>80</v>
      </c>
      <c r="Q94" s="11">
        <f t="shared" si="15"/>
        <v>13</v>
      </c>
      <c r="R94" s="11">
        <f t="shared" si="16"/>
        <v>2</v>
      </c>
      <c r="S94" s="12" cm="1">
        <f t="array" ref="S94">INDEX('HospitalPatientRec-ConceptMap-1'!$I$15:$N$124,Q94+1,R94)</f>
        <v>0</v>
      </c>
    </row>
    <row r="95" spans="2:19" x14ac:dyDescent="0.75">
      <c r="B95" s="11"/>
      <c r="C95" s="11"/>
      <c r="D95" s="12"/>
      <c r="E95" s="12"/>
      <c r="F95" s="49"/>
      <c r="G95" s="78"/>
      <c r="P95" s="11">
        <v>81</v>
      </c>
      <c r="Q95" s="11">
        <f t="shared" si="15"/>
        <v>13</v>
      </c>
      <c r="R95" s="11">
        <f t="shared" si="16"/>
        <v>3</v>
      </c>
      <c r="S95" s="12" cm="1">
        <f t="array" ref="S95">INDEX('HospitalPatientRec-ConceptMap-1'!$I$15:$N$124,Q95+1,R95)</f>
        <v>0</v>
      </c>
    </row>
    <row r="96" spans="2:19" x14ac:dyDescent="0.75">
      <c r="B96" s="11"/>
      <c r="C96" s="11"/>
      <c r="D96" s="12"/>
      <c r="E96" s="12"/>
      <c r="F96" s="49"/>
      <c r="G96" s="78"/>
      <c r="P96" s="11">
        <v>82</v>
      </c>
      <c r="Q96" s="11">
        <f t="shared" si="15"/>
        <v>13</v>
      </c>
      <c r="R96" s="11">
        <f t="shared" si="16"/>
        <v>4</v>
      </c>
      <c r="S96" s="12" cm="1">
        <f t="array" ref="S96">INDEX('HospitalPatientRec-ConceptMap-1'!$I$15:$N$124,Q96+1,R96)</f>
        <v>0</v>
      </c>
    </row>
    <row r="97" spans="2:19" x14ac:dyDescent="0.75">
      <c r="B97" s="11"/>
      <c r="C97" s="11"/>
      <c r="D97" s="12"/>
      <c r="E97" s="12"/>
      <c r="F97" s="49"/>
      <c r="G97" s="78"/>
      <c r="P97" s="11">
        <v>83</v>
      </c>
      <c r="Q97" s="11">
        <f t="shared" si="15"/>
        <v>13</v>
      </c>
      <c r="R97" s="11">
        <f t="shared" si="16"/>
        <v>5</v>
      </c>
      <c r="S97" s="12" cm="1">
        <f t="array" ref="S97">INDEX('HospitalPatientRec-ConceptMap-1'!$I$15:$N$124,Q97+1,R97)</f>
        <v>0</v>
      </c>
    </row>
    <row r="98" spans="2:19" x14ac:dyDescent="0.75">
      <c r="B98" s="11"/>
      <c r="C98" s="11"/>
      <c r="D98" s="12"/>
      <c r="E98" s="12"/>
      <c r="F98" s="49"/>
      <c r="G98" s="78"/>
      <c r="P98" s="11">
        <v>84</v>
      </c>
      <c r="Q98" s="11">
        <f t="shared" si="15"/>
        <v>13</v>
      </c>
      <c r="R98" s="11">
        <f t="shared" si="16"/>
        <v>6</v>
      </c>
      <c r="S98" s="12" cm="1">
        <f t="array" ref="S98">INDEX('HospitalPatientRec-ConceptMap-1'!$I$15:$N$124,Q98+1,R98)</f>
        <v>0</v>
      </c>
    </row>
    <row r="99" spans="2:19" x14ac:dyDescent="0.75">
      <c r="B99" s="11"/>
      <c r="C99" s="11"/>
      <c r="D99" s="12"/>
      <c r="E99" s="12"/>
      <c r="F99" s="49"/>
      <c r="G99" s="78"/>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8"/>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8"/>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8"/>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8"/>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8"/>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8"/>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8"/>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8"/>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8"/>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8"/>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8"/>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8"/>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8"/>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8"/>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1887</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6"/>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Normal="100" workbookViewId="0">
      <selection activeCell="D1" sqref="D1:I1048576"/>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1943</v>
      </c>
      <c r="L4" s="16" t="str">
        <f>CONCATENATE("Logical: ",B4)</f>
        <v>Logical: PatientFollowUpI4rc</v>
      </c>
    </row>
    <row r="5" spans="1:18" ht="15.5" thickBot="1" x14ac:dyDescent="0.9">
      <c r="A5" s="14" t="s">
        <v>16</v>
      </c>
      <c r="B5" s="30" t="s">
        <v>1883</v>
      </c>
      <c r="L5" s="16" t="str">
        <f>CONCATENATE("Id: ",B5)</f>
        <v>Id: PatientFollowUp</v>
      </c>
    </row>
    <row r="6" spans="1:18" ht="15.5" thickBot="1" x14ac:dyDescent="0.9">
      <c r="A6" s="14" t="s">
        <v>10</v>
      </c>
      <c r="B6" s="30" t="s">
        <v>1884</v>
      </c>
      <c r="L6" s="17" t="str">
        <f>CONCATENATE("Title: ##34#",B6,"##34#")</f>
        <v>Title: ##34#Patient Follow Up##34#</v>
      </c>
    </row>
    <row r="7" spans="1:18" x14ac:dyDescent="0.75">
      <c r="A7" s="26" t="s">
        <v>2</v>
      </c>
      <c r="B7" s="30" t="s">
        <v>1884</v>
      </c>
      <c r="C7" s="9" t="s">
        <v>3</v>
      </c>
      <c r="D7" s="1" t="s">
        <v>4</v>
      </c>
      <c r="E7" s="3" t="s">
        <v>5</v>
      </c>
      <c r="F7" s="3" t="s">
        <v>6</v>
      </c>
      <c r="G7" s="3" t="s">
        <v>7</v>
      </c>
      <c r="H7" s="64" t="s">
        <v>1384</v>
      </c>
      <c r="I7" s="122" t="s">
        <v>2110</v>
      </c>
      <c r="J7" s="122" t="s">
        <v>2111</v>
      </c>
      <c r="L7" s="17" t="str">
        <f>CONCATENATE("Description: "," ##334#",B7,"##334#",)</f>
        <v>Description:  ##334#Patient Follow Up##334#</v>
      </c>
    </row>
    <row r="8" spans="1:18" ht="29.5" x14ac:dyDescent="0.75">
      <c r="A8" s="59">
        <v>0</v>
      </c>
      <c r="B8" s="11" t="s">
        <v>1493</v>
      </c>
      <c r="C8" s="11" t="s">
        <v>14</v>
      </c>
      <c r="D8" s="11" t="s">
        <v>1867</v>
      </c>
      <c r="E8" s="11">
        <v>1</v>
      </c>
      <c r="F8" s="11">
        <v>1</v>
      </c>
      <c r="G8" s="73"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1868</v>
      </c>
      <c r="C9" s="11" t="s">
        <v>1869</v>
      </c>
      <c r="D9" s="11" t="s">
        <v>1870</v>
      </c>
      <c r="E9" s="11">
        <v>1</v>
      </c>
      <c r="F9" s="11">
        <v>1</v>
      </c>
      <c r="G9" s="74"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1871</v>
      </c>
      <c r="C10" s="11" t="s">
        <v>1872</v>
      </c>
      <c r="D10" s="11" t="s">
        <v>1873</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1874</v>
      </c>
      <c r="C11" s="11" t="s">
        <v>1875</v>
      </c>
      <c r="D11" s="11" t="s">
        <v>1876</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1877</v>
      </c>
      <c r="C12" s="11" t="s">
        <v>1878</v>
      </c>
      <c r="D12" s="11" t="s">
        <v>1879</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1880</v>
      </c>
      <c r="C13" s="11" t="s">
        <v>1881</v>
      </c>
      <c r="D13" s="11" t="s">
        <v>1882</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1885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C10"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1958</v>
      </c>
      <c r="D3" s="47" t="s">
        <v>1479</v>
      </c>
      <c r="E3" s="72" t="str">
        <f>$C$1&amp;B14</f>
        <v>http://hl7.eu/fhir/ig/idea4rc/StructureDefinition/PatientFollowUpI4rc</v>
      </c>
    </row>
    <row r="4" spans="1:19" x14ac:dyDescent="0.75">
      <c r="B4" s="47" t="s">
        <v>16</v>
      </c>
      <c r="C4" s="28" t="s">
        <v>1958</v>
      </c>
      <c r="D4" s="47" t="s">
        <v>1480</v>
      </c>
      <c r="E4" s="144" t="s">
        <v>1957</v>
      </c>
      <c r="F4" s="145"/>
      <c r="G4" s="145"/>
    </row>
    <row r="5" spans="1:19" x14ac:dyDescent="0.75">
      <c r="B5" s="47" t="s">
        <v>10</v>
      </c>
      <c r="C5" s="7" t="s">
        <v>1959</v>
      </c>
      <c r="D5" s="47"/>
      <c r="E5" s="7"/>
    </row>
    <row r="6" spans="1:19" x14ac:dyDescent="0.75">
      <c r="B6" s="47" t="s">
        <v>18</v>
      </c>
      <c r="C6" s="41"/>
      <c r="D6" s="47" t="s">
        <v>1481</v>
      </c>
      <c r="E6" s="144" t="str">
        <f>E3</f>
        <v>http://hl7.eu/fhir/ig/idea4rc/StructureDefinition/PatientFollowUpI4rc</v>
      </c>
      <c r="F6" s="145"/>
      <c r="G6" s="145"/>
    </row>
    <row r="7" spans="1:19" x14ac:dyDescent="0.75">
      <c r="B7" s="47" t="s">
        <v>15</v>
      </c>
      <c r="C7" s="73"/>
      <c r="D7" s="47" t="s">
        <v>1482</v>
      </c>
      <c r="E7" s="144" t="str">
        <f>C1&amp;"encounter-followup-eu-i4rc"</f>
        <v>http://hl7.eu/fhir/ig/idea4rc/StructureDefinition/encounter-followup-eu-i4rc</v>
      </c>
      <c r="F7" s="145"/>
      <c r="G7" s="145"/>
    </row>
    <row r="8" spans="1:19" ht="45" thickBot="1" x14ac:dyDescent="0.9">
      <c r="B8" s="47" t="s">
        <v>1483</v>
      </c>
      <c r="C8" s="7" t="s">
        <v>1959</v>
      </c>
      <c r="D8" s="47"/>
      <c r="E8" s="7"/>
      <c r="I8" s="12" t="s">
        <v>1289</v>
      </c>
      <c r="J8" s="12" t="s">
        <v>1290</v>
      </c>
      <c r="K8" s="12" t="s">
        <v>1291</v>
      </c>
      <c r="L8" s="12" t="s">
        <v>1292</v>
      </c>
      <c r="M8" s="11" t="s">
        <v>1293</v>
      </c>
      <c r="P8" s="34" t="s">
        <v>1328</v>
      </c>
      <c r="Q8" s="34">
        <v>6</v>
      </c>
    </row>
    <row r="9" spans="1:19" ht="30.25" thickBot="1" x14ac:dyDescent="0.9">
      <c r="B9" s="47" t="s">
        <v>1484</v>
      </c>
      <c r="C9" s="12" t="s">
        <v>1960</v>
      </c>
      <c r="D9" s="94"/>
      <c r="E9" s="146"/>
      <c r="F9" s="147"/>
      <c r="G9" s="148"/>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1961</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2317</v>
      </c>
      <c r="E16" s="12"/>
      <c r="F16" s="49" t="s">
        <v>1294</v>
      </c>
      <c r="G16" s="78" t="s">
        <v>2318</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1962</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2317</v>
      </c>
      <c r="E18" s="12"/>
      <c r="F18" s="49" t="s">
        <v>1294</v>
      </c>
      <c r="G18" s="78" t="s">
        <v>2321</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2317</v>
      </c>
      <c r="E19" s="12"/>
      <c r="F19" s="49" t="s">
        <v>1294</v>
      </c>
      <c r="G19" s="78" t="s">
        <v>2321</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2317</v>
      </c>
      <c r="E20" s="12"/>
      <c r="F20" s="49" t="s">
        <v>1294</v>
      </c>
      <c r="G20" s="78" t="s">
        <v>2321</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44.25"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8"/>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8"/>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8"/>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8"/>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8"/>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8"/>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8"/>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8"/>
      <c r="P51" s="11">
        <v>37</v>
      </c>
      <c r="Q51" s="11">
        <f t="shared" si="13"/>
        <v>6</v>
      </c>
      <c r="R51" s="11">
        <f t="shared" si="14"/>
        <v>1</v>
      </c>
      <c r="S51" s="12" cm="1">
        <f t="array" ref="S51">INDEX('PatientFollowUp-ConceptMap-1'!$I$15:$N$54,Q51+1,R51)</f>
        <v>0</v>
      </c>
    </row>
    <row r="52" spans="2:19" x14ac:dyDescent="0.75">
      <c r="B52" s="11"/>
      <c r="C52" s="11"/>
      <c r="D52" s="12"/>
      <c r="E52" s="12"/>
      <c r="F52" s="49"/>
      <c r="G52" s="78"/>
      <c r="P52" s="11">
        <v>38</v>
      </c>
      <c r="Q52" s="11">
        <f t="shared" si="13"/>
        <v>6</v>
      </c>
      <c r="R52" s="11">
        <f t="shared" si="14"/>
        <v>2</v>
      </c>
      <c r="S52" s="12" cm="1">
        <f t="array" ref="S52">INDEX('PatientFollowUp-ConceptMap-1'!$I$15:$N$54,Q52+1,R52)</f>
        <v>0</v>
      </c>
    </row>
    <row r="53" spans="2:19" x14ac:dyDescent="0.75">
      <c r="B53" s="11"/>
      <c r="C53" s="11"/>
      <c r="D53" s="12"/>
      <c r="E53" s="12"/>
      <c r="F53" s="49"/>
      <c r="G53" s="78"/>
      <c r="P53" s="11">
        <v>39</v>
      </c>
      <c r="Q53" s="11">
        <f t="shared" si="13"/>
        <v>6</v>
      </c>
      <c r="R53" s="11">
        <f t="shared" si="14"/>
        <v>3</v>
      </c>
      <c r="S53" s="12" cm="1">
        <f t="array" ref="S53">INDEX('PatientFollowUp-ConceptMap-1'!$I$15:$N$54,Q53+1,R53)</f>
        <v>0</v>
      </c>
    </row>
    <row r="54" spans="2:19" x14ac:dyDescent="0.75">
      <c r="B54" s="11"/>
      <c r="C54" s="11"/>
      <c r="D54" s="12"/>
      <c r="E54" s="12"/>
      <c r="F54" s="49"/>
      <c r="G54" s="78"/>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8" workbookViewId="0">
      <selection activeCell="G20" sqref="G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1958</v>
      </c>
      <c r="D3" s="47" t="s">
        <v>1479</v>
      </c>
      <c r="E3" s="72" t="str">
        <f>$C$1&amp;B14</f>
        <v>http://hl7.eu/fhir/ig/idea4rc/StructureDefinition/PatientFollowUpI4rc</v>
      </c>
    </row>
    <row r="4" spans="1:19" x14ac:dyDescent="0.75">
      <c r="B4" s="47" t="s">
        <v>16</v>
      </c>
      <c r="C4" s="28" t="s">
        <v>1958</v>
      </c>
      <c r="D4" s="47" t="s">
        <v>1480</v>
      </c>
      <c r="E4" s="144" t="s">
        <v>1957</v>
      </c>
      <c r="F4" s="145"/>
      <c r="G4" s="145"/>
    </row>
    <row r="5" spans="1:19" x14ac:dyDescent="0.75">
      <c r="B5" s="47" t="s">
        <v>10</v>
      </c>
      <c r="C5" s="7" t="s">
        <v>1959</v>
      </c>
      <c r="D5" s="47"/>
      <c r="E5" s="7"/>
    </row>
    <row r="6" spans="1:19" x14ac:dyDescent="0.75">
      <c r="B6" s="47" t="s">
        <v>18</v>
      </c>
      <c r="C6" s="41"/>
      <c r="D6" s="47" t="s">
        <v>1481</v>
      </c>
      <c r="E6" s="144" t="str">
        <f>E3</f>
        <v>http://hl7.eu/fhir/ig/idea4rc/StructureDefinition/PatientFollowUpI4rc</v>
      </c>
      <c r="F6" s="145"/>
      <c r="G6" s="145"/>
    </row>
    <row r="7" spans="1:19" x14ac:dyDescent="0.75">
      <c r="B7" s="47" t="s">
        <v>15</v>
      </c>
      <c r="C7" s="73"/>
      <c r="D7" s="47" t="s">
        <v>1482</v>
      </c>
      <c r="E7" s="144" t="str">
        <f>C1&amp;"Condition-primaryCancer-eu-i4rc"</f>
        <v>http://hl7.eu/fhir/ig/idea4rc/StructureDefinition/Condition-primaryCancer-eu-i4rc</v>
      </c>
      <c r="F7" s="145"/>
      <c r="G7" s="145"/>
    </row>
    <row r="8" spans="1:19" ht="45" thickBot="1" x14ac:dyDescent="0.9">
      <c r="B8" s="47" t="s">
        <v>1483</v>
      </c>
      <c r="C8" s="7" t="s">
        <v>1959</v>
      </c>
      <c r="D8" s="47"/>
      <c r="E8" s="7"/>
      <c r="I8" s="12" t="s">
        <v>1289</v>
      </c>
      <c r="J8" s="12" t="s">
        <v>1290</v>
      </c>
      <c r="K8" s="12" t="s">
        <v>1291</v>
      </c>
      <c r="L8" s="12" t="s">
        <v>1292</v>
      </c>
      <c r="M8" s="11" t="s">
        <v>1293</v>
      </c>
      <c r="P8" s="34" t="s">
        <v>1328</v>
      </c>
      <c r="Q8" s="34">
        <v>6</v>
      </c>
    </row>
    <row r="9" spans="1:19" ht="30.25" thickBot="1" x14ac:dyDescent="0.9">
      <c r="B9" s="47" t="s">
        <v>1484</v>
      </c>
      <c r="C9" s="12" t="s">
        <v>1960</v>
      </c>
      <c r="D9" s="94"/>
      <c r="E9" s="146"/>
      <c r="F9" s="147"/>
      <c r="G9" s="148"/>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1961</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103.25" x14ac:dyDescent="0.75">
      <c r="A16" s="44"/>
      <c r="B16" s="11" t="str">
        <f>PatientFollowUp!B9</f>
        <v>statusAtLastFollowUp</v>
      </c>
      <c r="C16" s="11" t="str">
        <f>PatientFollowUp!C9</f>
        <v>Status at last follow-up</v>
      </c>
      <c r="D16" s="12" t="s">
        <v>1622</v>
      </c>
      <c r="E16" s="12"/>
      <c r="F16" s="49" t="s">
        <v>1316</v>
      </c>
      <c r="G16" s="78" t="s">
        <v>2319</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8"/>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8" t="s">
        <v>2320</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2337</v>
      </c>
      <c r="E19" s="12"/>
      <c r="F19" s="49" t="s">
        <v>1316</v>
      </c>
      <c r="G19" s="78" t="s">
        <v>2338</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1625</v>
      </c>
      <c r="E20" s="12"/>
      <c r="F20" s="49" t="s">
        <v>1316</v>
      </c>
      <c r="G20" s="78" t="s">
        <v>2320</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8"/>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8"/>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ht="29.5" x14ac:dyDescent="0.75">
      <c r="A26" s="44"/>
      <c r="B26" s="11"/>
      <c r="C26" s="11"/>
      <c r="D26" s="12"/>
      <c r="E26" s="12"/>
      <c r="F26" s="49"/>
      <c r="G26" s="78"/>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8"/>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8"/>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8"/>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8"/>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8"/>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8"/>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8"/>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8"/>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8"/>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8"/>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8"/>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8"/>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8"/>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8"/>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8"/>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8"/>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8"/>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8"/>
      <c r="P51" s="11">
        <v>37</v>
      </c>
      <c r="Q51" s="11">
        <f t="shared" si="15"/>
        <v>6</v>
      </c>
      <c r="R51" s="11">
        <f t="shared" si="16"/>
        <v>1</v>
      </c>
      <c r="S51" s="12" cm="1">
        <f t="array" ref="S51">INDEX('PatientFollowUp-ConceptMap-2'!$I$15:$N$54,Q51+1,R51)</f>
        <v>0</v>
      </c>
    </row>
    <row r="52" spans="2:19" x14ac:dyDescent="0.75">
      <c r="B52" s="11"/>
      <c r="C52" s="11"/>
      <c r="D52" s="12"/>
      <c r="E52" s="12"/>
      <c r="F52" s="49"/>
      <c r="G52" s="78"/>
      <c r="P52" s="11">
        <v>38</v>
      </c>
      <c r="Q52" s="11">
        <f t="shared" si="15"/>
        <v>6</v>
      </c>
      <c r="R52" s="11">
        <f t="shared" si="16"/>
        <v>2</v>
      </c>
      <c r="S52" s="12" cm="1">
        <f t="array" ref="S52">INDEX('PatientFollowUp-ConceptMap-2'!$I$15:$N$54,Q52+1,R52)</f>
        <v>0</v>
      </c>
    </row>
    <row r="53" spans="2:19" x14ac:dyDescent="0.75">
      <c r="B53" s="11"/>
      <c r="C53" s="11"/>
      <c r="D53" s="12"/>
      <c r="E53" s="12"/>
      <c r="F53" s="49"/>
      <c r="G53" s="78"/>
      <c r="P53" s="11">
        <v>39</v>
      </c>
      <c r="Q53" s="11">
        <f t="shared" si="15"/>
        <v>6</v>
      </c>
      <c r="R53" s="11">
        <f t="shared" si="16"/>
        <v>3</v>
      </c>
      <c r="S53" s="12" cm="1">
        <f t="array" ref="S53">INDEX('PatientFollowUp-ConceptMap-2'!$I$15:$N$54,Q53+1,R53)</f>
        <v>0</v>
      </c>
    </row>
    <row r="54" spans="2:19" x14ac:dyDescent="0.75">
      <c r="B54" s="11"/>
      <c r="C54" s="11"/>
      <c r="D54" s="12"/>
      <c r="E54" s="12"/>
      <c r="F54" s="49"/>
      <c r="G54" s="78"/>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1886</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6"/>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29.5"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6"/>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9" zoomScaleNormal="100" workbookViewId="0">
      <selection activeCell="B54" sqref="B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1565</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22" t="s">
        <v>2110</v>
      </c>
      <c r="J7" s="122" t="s">
        <v>2111</v>
      </c>
      <c r="L7" s="17" t="str">
        <f>CONCATENATE("Description: "," ##334#",B7,"##334#",)</f>
        <v>Description:  ##334#Cancer Episode
Maturity Level: 0 Draft##334#</v>
      </c>
    </row>
    <row r="8" spans="1:18" ht="44.25" x14ac:dyDescent="0.75">
      <c r="A8" s="11">
        <v>0</v>
      </c>
      <c r="B8" s="11"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1494</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2023</v>
      </c>
      <c r="C10" t="s">
        <v>2024</v>
      </c>
      <c r="D10" s="2" t="s">
        <v>2025</v>
      </c>
      <c r="E10" s="11">
        <v>1</v>
      </c>
      <c r="F10" s="11">
        <v>1</v>
      </c>
      <c r="G10" s="12" t="s">
        <v>1474</v>
      </c>
      <c r="H10" s="2" t="s">
        <v>2104</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1495</v>
      </c>
      <c r="C11" s="12" t="s">
        <v>1351</v>
      </c>
      <c r="D11" s="12" t="s">
        <v>1470</v>
      </c>
      <c r="E11" s="11">
        <v>1</v>
      </c>
      <c r="F11" s="11">
        <v>1</v>
      </c>
      <c r="G11" s="12"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1496</v>
      </c>
      <c r="C12" s="12" t="s">
        <v>1352</v>
      </c>
      <c r="D12" s="12" t="s">
        <v>1353</v>
      </c>
      <c r="E12" s="11">
        <v>1</v>
      </c>
      <c r="F12" s="11">
        <v>1</v>
      </c>
      <c r="G12" s="12"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2026</v>
      </c>
      <c r="C13" t="s">
        <v>2027</v>
      </c>
      <c r="D13" s="2" t="s">
        <v>2028</v>
      </c>
      <c r="E13" s="11">
        <v>1</v>
      </c>
      <c r="F13" s="11">
        <v>1</v>
      </c>
      <c r="G13" s="12" t="s">
        <v>44</v>
      </c>
      <c r="H13" s="2" t="s">
        <v>2105</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1497</v>
      </c>
      <c r="C14" s="12" t="s">
        <v>1469</v>
      </c>
      <c r="D14" s="12" t="s">
        <v>1468</v>
      </c>
      <c r="E14" s="11">
        <v>0</v>
      </c>
      <c r="F14" s="11">
        <v>1</v>
      </c>
      <c r="G14" s="12" t="s">
        <v>1474</v>
      </c>
      <c r="H14" s="2" t="s">
        <v>2106</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2130</v>
      </c>
      <c r="C15" s="4" t="s">
        <v>2131</v>
      </c>
      <c r="D15" s="4" t="s">
        <v>2131</v>
      </c>
      <c r="E15" s="6">
        <v>1</v>
      </c>
      <c r="F15" s="6">
        <v>1</v>
      </c>
      <c r="G15" s="4" t="s">
        <v>1</v>
      </c>
      <c r="H15" s="4" t="s">
        <v>2107</v>
      </c>
      <c r="I15" s="12" t="b">
        <v>1</v>
      </c>
      <c r="J15" s="12" t="b">
        <v>1</v>
      </c>
      <c r="K15" s="125"/>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2132</v>
      </c>
      <c r="C16" s="12" t="s">
        <v>1354</v>
      </c>
      <c r="D16" s="12" t="s">
        <v>1355</v>
      </c>
      <c r="E16" s="11">
        <v>1</v>
      </c>
      <c r="F16" s="11">
        <v>1</v>
      </c>
      <c r="G16" s="12" t="s">
        <v>1474</v>
      </c>
      <c r="H16" s="2" t="s">
        <v>2085</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2133</v>
      </c>
      <c r="C17" s="12" t="s">
        <v>1356</v>
      </c>
      <c r="D17" s="12" t="s">
        <v>1357</v>
      </c>
      <c r="E17" s="11">
        <v>1</v>
      </c>
      <c r="F17" s="11">
        <v>1</v>
      </c>
      <c r="G17" s="12" t="s">
        <v>1474</v>
      </c>
      <c r="H17" s="2" t="s">
        <v>2086</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2134</v>
      </c>
      <c r="C18" s="12" t="s">
        <v>1358</v>
      </c>
      <c r="D18" s="12" t="s">
        <v>1359</v>
      </c>
      <c r="E18" s="11">
        <v>1</v>
      </c>
      <c r="F18" s="11">
        <v>1</v>
      </c>
      <c r="G18" s="12" t="s">
        <v>1474</v>
      </c>
      <c r="H18" s="2" t="s">
        <v>2087</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2135</v>
      </c>
      <c r="C19" s="12" t="s">
        <v>1360</v>
      </c>
      <c r="D19" s="12" t="s">
        <v>1361</v>
      </c>
      <c r="E19" s="11">
        <v>1</v>
      </c>
      <c r="F19" s="11">
        <v>1</v>
      </c>
      <c r="G19" s="12" t="s">
        <v>1474</v>
      </c>
      <c r="H19" s="2" t="s">
        <v>2088</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2136</v>
      </c>
      <c r="C20" s="120" t="s">
        <v>1362</v>
      </c>
      <c r="D20" s="120" t="s">
        <v>1363</v>
      </c>
      <c r="E20" s="3">
        <v>1</v>
      </c>
      <c r="F20" s="3">
        <v>1</v>
      </c>
      <c r="G20" s="120" t="s">
        <v>1474</v>
      </c>
      <c r="H20" s="2" t="s">
        <v>2089</v>
      </c>
      <c r="I20" s="12" t="b">
        <v>1</v>
      </c>
      <c r="J20" s="12" t="b">
        <v>1</v>
      </c>
      <c r="K20" s="25"/>
      <c r="L20" s="120" t="str">
        <f t="shared" si="1"/>
        <v>* hnClassification.histologySNUC 1..1 CodeableConcept ##34#Histology Sinonasal undifferentiated carcinoma##34# ##334#Specifies the histological subgroup for sinonasl undifferentiated carcinomas##334#</v>
      </c>
      <c r="M20"/>
      <c r="N20" s="120"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2137</v>
      </c>
      <c r="C21" s="11" t="s">
        <v>2029</v>
      </c>
      <c r="D21" s="12" t="s">
        <v>2030</v>
      </c>
      <c r="E21" s="11">
        <v>1</v>
      </c>
      <c r="F21" s="11">
        <v>1</v>
      </c>
      <c r="G21" s="12" t="s">
        <v>1474</v>
      </c>
      <c r="H21" s="12" t="s">
        <v>2090</v>
      </c>
      <c r="I21" s="12" t="b">
        <v>0</v>
      </c>
      <c r="J21" s="12" t="b">
        <v>1</v>
      </c>
      <c r="K21" s="117"/>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2138</v>
      </c>
      <c r="C22" s="11" t="s">
        <v>2031</v>
      </c>
      <c r="D22" s="74" t="s">
        <v>2031</v>
      </c>
      <c r="E22" s="11">
        <v>1</v>
      </c>
      <c r="F22" s="11">
        <v>1</v>
      </c>
      <c r="G22" s="12" t="s">
        <v>1474</v>
      </c>
      <c r="H22" s="12" t="s">
        <v>2091</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2139</v>
      </c>
      <c r="C23" s="11" t="s">
        <v>2032</v>
      </c>
      <c r="D23" s="11" t="s">
        <v>2032</v>
      </c>
      <c r="E23" s="11">
        <v>1</v>
      </c>
      <c r="F23" s="11">
        <v>1</v>
      </c>
      <c r="G23" s="12" t="s">
        <v>1474</v>
      </c>
      <c r="H23" s="12" t="s">
        <v>2092</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21" t="s">
        <v>2323</v>
      </c>
      <c r="B24" s="6" t="s">
        <v>2129</v>
      </c>
      <c r="C24" s="6" t="s">
        <v>2140</v>
      </c>
      <c r="D24" s="6" t="s">
        <v>2140</v>
      </c>
      <c r="E24" s="6">
        <v>1</v>
      </c>
      <c r="F24" s="6">
        <v>1</v>
      </c>
      <c r="G24" s="12" t="s">
        <v>1</v>
      </c>
      <c r="H24" s="61"/>
      <c r="I24" s="12" t="b">
        <v>0</v>
      </c>
      <c r="J24" s="12" t="b">
        <v>1</v>
      </c>
      <c r="K24" s="126"/>
      <c r="L24" s="119" t="str">
        <f t="shared" si="1"/>
        <v>* sarcomaClassification 1..1 BackboneElement ##34#Sarcoma classification##34# ##334#Sarcoma classification##334#</v>
      </c>
      <c r="M24"/>
      <c r="N24" s="119" t="str">
        <f t="shared" si="2"/>
        <v/>
      </c>
      <c r="P24" s="12" t="str">
        <f t="shared" si="3"/>
        <v/>
      </c>
      <c r="Q24"/>
      <c r="R24" s="12" t="str">
        <f t="shared" si="4"/>
        <v>* sarcomaClassification insert ObligationActorAndCode($actor-sarcoma-i4rc, #handle)</v>
      </c>
    </row>
    <row r="25" spans="1:18" s="2" customFormat="1" ht="324.5" x14ac:dyDescent="0.75">
      <c r="A25" s="11">
        <v>16</v>
      </c>
      <c r="B25" s="11" t="s">
        <v>2141</v>
      </c>
      <c r="C25" s="11" t="s">
        <v>2033</v>
      </c>
      <c r="D25" s="11" t="s">
        <v>2033</v>
      </c>
      <c r="E25" s="11">
        <v>1</v>
      </c>
      <c r="F25" s="11">
        <v>1</v>
      </c>
      <c r="G25" s="12" t="s">
        <v>1474</v>
      </c>
      <c r="H25" s="2" t="s">
        <v>2093</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2142</v>
      </c>
      <c r="C26" s="11" t="s">
        <v>2034</v>
      </c>
      <c r="D26" s="11" t="s">
        <v>2034</v>
      </c>
      <c r="E26" s="11">
        <v>1</v>
      </c>
      <c r="F26" s="11">
        <v>1</v>
      </c>
      <c r="G26" s="12" t="s">
        <v>1474</v>
      </c>
      <c r="H26" s="2" t="s">
        <v>2094</v>
      </c>
      <c r="I26" s="12" t="b">
        <v>0</v>
      </c>
      <c r="J26" s="12" t="b">
        <v>1</v>
      </c>
      <c r="K26" s="118"/>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2143</v>
      </c>
      <c r="C27" s="11" t="s">
        <v>2035</v>
      </c>
      <c r="D27" s="11" t="s">
        <v>2035</v>
      </c>
      <c r="E27" s="11">
        <v>1</v>
      </c>
      <c r="F27" s="11">
        <v>1</v>
      </c>
      <c r="G27" s="12" t="s">
        <v>1474</v>
      </c>
      <c r="H27" s="2" t="s">
        <v>2095</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2144</v>
      </c>
      <c r="C28" s="11" t="s">
        <v>2036</v>
      </c>
      <c r="D28" s="11" t="s">
        <v>2036</v>
      </c>
      <c r="E28" s="11">
        <v>1</v>
      </c>
      <c r="F28" s="11">
        <v>1</v>
      </c>
      <c r="G28" s="12" t="s">
        <v>1474</v>
      </c>
      <c r="H28" s="12" t="s">
        <v>2096</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2145</v>
      </c>
      <c r="C29" s="11" t="s">
        <v>2037</v>
      </c>
      <c r="D29" s="11" t="s">
        <v>2037</v>
      </c>
      <c r="E29" s="11">
        <v>1</v>
      </c>
      <c r="F29" s="11">
        <v>1</v>
      </c>
      <c r="G29" s="12" t="s">
        <v>1474</v>
      </c>
      <c r="H29" s="12" t="s">
        <v>2097</v>
      </c>
      <c r="I29" s="12" t="b">
        <v>0</v>
      </c>
      <c r="J29" s="12" t="b">
        <v>1</v>
      </c>
      <c r="K29" s="117"/>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2146</v>
      </c>
      <c r="C30" s="11" t="s">
        <v>2038</v>
      </c>
      <c r="D30" s="11" t="s">
        <v>2038</v>
      </c>
      <c r="E30" s="11">
        <v>1</v>
      </c>
      <c r="F30" s="11">
        <v>1</v>
      </c>
      <c r="G30" s="12" t="s">
        <v>1474</v>
      </c>
      <c r="H30" s="12" t="s">
        <v>2098</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2147</v>
      </c>
      <c r="C31" s="11" t="s">
        <v>2039</v>
      </c>
      <c r="D31" s="11" t="s">
        <v>2039</v>
      </c>
      <c r="E31" s="11">
        <v>1</v>
      </c>
      <c r="F31" s="11">
        <v>1</v>
      </c>
      <c r="G31" s="12" t="s">
        <v>1474</v>
      </c>
      <c r="H31" s="12" t="s">
        <v>2099</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2148</v>
      </c>
      <c r="C32" s="11" t="s">
        <v>2040</v>
      </c>
      <c r="D32" s="11" t="s">
        <v>2040</v>
      </c>
      <c r="E32" s="11">
        <v>1</v>
      </c>
      <c r="F32" s="11">
        <v>1</v>
      </c>
      <c r="G32" s="12" t="s">
        <v>1474</v>
      </c>
      <c r="H32" s="12" t="s">
        <v>2100</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2149</v>
      </c>
      <c r="C33" s="11" t="s">
        <v>2041</v>
      </c>
      <c r="D33" s="11" t="s">
        <v>2041</v>
      </c>
      <c r="E33" s="11">
        <v>1</v>
      </c>
      <c r="F33" s="11">
        <v>1</v>
      </c>
      <c r="G33" s="12" t="s">
        <v>1474</v>
      </c>
      <c r="H33" s="12" t="s">
        <v>2101</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2150</v>
      </c>
      <c r="C34" s="11" t="s">
        <v>2042</v>
      </c>
      <c r="D34" s="11" t="s">
        <v>2042</v>
      </c>
      <c r="E34" s="11">
        <v>1</v>
      </c>
      <c r="F34" s="11">
        <v>1</v>
      </c>
      <c r="G34" s="12" t="s">
        <v>1474</v>
      </c>
      <c r="H34" s="12" t="s">
        <v>2102</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2151</v>
      </c>
      <c r="C35" s="11" t="s">
        <v>2043</v>
      </c>
      <c r="D35" s="11" t="s">
        <v>2043</v>
      </c>
      <c r="E35" s="11">
        <v>1</v>
      </c>
      <c r="F35" s="11">
        <v>1</v>
      </c>
      <c r="G35" s="12" t="s">
        <v>1474</v>
      </c>
      <c r="H35" s="12" t="s">
        <v>2103</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2062</v>
      </c>
      <c r="C36" s="11" t="s">
        <v>2062</v>
      </c>
      <c r="D36" s="11" t="s">
        <v>2062</v>
      </c>
      <c r="E36" s="11">
        <v>1</v>
      </c>
      <c r="F36" s="116">
        <v>1</v>
      </c>
      <c r="G36" s="12" t="s">
        <v>1</v>
      </c>
      <c r="H36" s="12"/>
      <c r="I36" s="12" t="b">
        <v>1</v>
      </c>
      <c r="J36" s="12" t="b">
        <v>0</v>
      </c>
      <c r="K36" s="126"/>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2153</v>
      </c>
      <c r="C37" s="12" t="s">
        <v>1364</v>
      </c>
      <c r="D37" s="12" t="s">
        <v>1365</v>
      </c>
      <c r="E37" s="11">
        <v>1</v>
      </c>
      <c r="F37" s="11">
        <v>1</v>
      </c>
      <c r="G37" s="12" t="s">
        <v>1474</v>
      </c>
      <c r="H37" s="12" t="s">
        <v>2068</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2154</v>
      </c>
      <c r="C38" s="12" t="s">
        <v>1366</v>
      </c>
      <c r="D38" s="12" t="s">
        <v>1367</v>
      </c>
      <c r="E38" s="11">
        <v>1</v>
      </c>
      <c r="F38" s="11">
        <v>1</v>
      </c>
      <c r="G38" s="12" t="s">
        <v>1474</v>
      </c>
      <c r="H38" s="12" t="s">
        <v>2069</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2155</v>
      </c>
      <c r="C39" s="119" t="s">
        <v>1368</v>
      </c>
      <c r="D39" s="119" t="s">
        <v>1369</v>
      </c>
      <c r="E39" s="46">
        <v>1</v>
      </c>
      <c r="F39" s="46">
        <v>1</v>
      </c>
      <c r="G39" s="119" t="s">
        <v>1474</v>
      </c>
      <c r="H39" s="119" t="s">
        <v>2070</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2156</v>
      </c>
      <c r="C40" s="12" t="s">
        <v>1370</v>
      </c>
      <c r="D40" s="12" t="s">
        <v>1371</v>
      </c>
      <c r="E40" s="11">
        <v>1</v>
      </c>
      <c r="F40" s="11">
        <v>1</v>
      </c>
      <c r="G40" s="12" t="s">
        <v>1474</v>
      </c>
      <c r="H40" s="12" t="s">
        <v>2071</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2157</v>
      </c>
      <c r="C41" s="12" t="s">
        <v>1372</v>
      </c>
      <c r="D41" s="12" t="s">
        <v>1373</v>
      </c>
      <c r="E41" s="11">
        <v>1</v>
      </c>
      <c r="F41" s="11">
        <v>1</v>
      </c>
      <c r="G41" s="12" t="s">
        <v>1474</v>
      </c>
      <c r="H41" s="12" t="s">
        <v>2072</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2158</v>
      </c>
      <c r="C42" s="12" t="s">
        <v>1374</v>
      </c>
      <c r="D42" s="12" t="s">
        <v>1375</v>
      </c>
      <c r="E42" s="11">
        <v>1</v>
      </c>
      <c r="F42" s="11">
        <v>1</v>
      </c>
      <c r="G42" s="12" t="s">
        <v>1474</v>
      </c>
      <c r="H42" s="12" t="s">
        <v>2073</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2159</v>
      </c>
      <c r="C43" s="12" t="s">
        <v>1376</v>
      </c>
      <c r="D43" s="12" t="s">
        <v>1377</v>
      </c>
      <c r="E43" s="11">
        <v>1</v>
      </c>
      <c r="F43" s="11">
        <v>1</v>
      </c>
      <c r="G43" s="12" t="s">
        <v>1474</v>
      </c>
      <c r="H43" s="12" t="s">
        <v>2074</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2160</v>
      </c>
      <c r="C44" s="11" t="s">
        <v>2044</v>
      </c>
      <c r="D44" s="12" t="s">
        <v>2045</v>
      </c>
      <c r="E44" s="11">
        <v>1</v>
      </c>
      <c r="F44" s="11">
        <v>1</v>
      </c>
      <c r="G44" s="12" t="s">
        <v>1474</v>
      </c>
      <c r="H44" s="12" t="s">
        <v>2075</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2063</v>
      </c>
      <c r="C45" s="11" t="s">
        <v>2046</v>
      </c>
      <c r="D45" s="12" t="s">
        <v>2045</v>
      </c>
      <c r="E45" s="11">
        <v>1</v>
      </c>
      <c r="F45" s="11">
        <v>1</v>
      </c>
      <c r="G45" s="12" t="s">
        <v>1474</v>
      </c>
      <c r="H45" s="12" t="s">
        <v>2076</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2064</v>
      </c>
      <c r="C46" s="11" t="s">
        <v>2047</v>
      </c>
      <c r="D46" s="12" t="s">
        <v>2045</v>
      </c>
      <c r="E46" s="11">
        <v>1</v>
      </c>
      <c r="F46" s="11">
        <v>1</v>
      </c>
      <c r="G46" s="12" t="s">
        <v>1474</v>
      </c>
      <c r="H46" s="12" t="s">
        <v>2077</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2065</v>
      </c>
      <c r="C47" s="11" t="s">
        <v>2048</v>
      </c>
      <c r="D47" s="12" t="s">
        <v>2045</v>
      </c>
      <c r="E47" s="11">
        <v>1</v>
      </c>
      <c r="F47" s="11">
        <v>1</v>
      </c>
      <c r="G47" s="12" t="s">
        <v>1474</v>
      </c>
      <c r="H47" s="12" t="s">
        <v>2078</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2066</v>
      </c>
      <c r="C48" s="11" t="s">
        <v>2049</v>
      </c>
      <c r="D48" s="12" t="s">
        <v>2045</v>
      </c>
      <c r="E48" s="11">
        <v>1</v>
      </c>
      <c r="F48" s="11">
        <v>1</v>
      </c>
      <c r="G48" s="12" t="s">
        <v>1474</v>
      </c>
      <c r="H48" s="12" t="s">
        <v>2079</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2067</v>
      </c>
      <c r="C49" s="11" t="s">
        <v>2050</v>
      </c>
      <c r="D49" s="12" t="s">
        <v>2045</v>
      </c>
      <c r="E49" s="11">
        <v>1</v>
      </c>
      <c r="F49" s="11">
        <v>1</v>
      </c>
      <c r="G49" s="12" t="s">
        <v>1474</v>
      </c>
      <c r="H49" s="12" t="s">
        <v>2080</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2324</v>
      </c>
      <c r="C50" s="11" t="s">
        <v>2051</v>
      </c>
      <c r="D50" s="12" t="s">
        <v>2045</v>
      </c>
      <c r="E50" s="11">
        <v>1</v>
      </c>
      <c r="F50" s="11">
        <v>1</v>
      </c>
      <c r="G50" s="12" t="s">
        <v>1474</v>
      </c>
      <c r="H50" s="12" t="s">
        <v>2081</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2152</v>
      </c>
      <c r="C51" s="11" t="s">
        <v>2052</v>
      </c>
      <c r="D51" s="12" t="s">
        <v>2045</v>
      </c>
      <c r="E51" s="11">
        <v>1</v>
      </c>
      <c r="F51" s="11">
        <v>1</v>
      </c>
      <c r="G51" s="12" t="s">
        <v>1474</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2053</v>
      </c>
      <c r="C52" s="11" t="s">
        <v>2054</v>
      </c>
      <c r="D52" s="12" t="s">
        <v>2055</v>
      </c>
      <c r="E52" s="11">
        <v>1</v>
      </c>
      <c r="F52" s="11">
        <v>1</v>
      </c>
      <c r="G52" s="12" t="s">
        <v>2019</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2056</v>
      </c>
      <c r="C53" s="11" t="s">
        <v>2057</v>
      </c>
      <c r="D53" s="12" t="s">
        <v>2058</v>
      </c>
      <c r="E53" s="11">
        <v>1</v>
      </c>
      <c r="F53" s="11">
        <v>1</v>
      </c>
      <c r="G53" s="12" t="s">
        <v>1474</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2059</v>
      </c>
      <c r="C54" s="11" t="s">
        <v>2060</v>
      </c>
      <c r="D54" s="12" t="s">
        <v>2061</v>
      </c>
      <c r="E54" s="11">
        <v>1</v>
      </c>
      <c r="F54" s="11">
        <v>1</v>
      </c>
      <c r="G54" s="12" t="s">
        <v>2019</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1498</v>
      </c>
      <c r="C55" s="12" t="s">
        <v>1378</v>
      </c>
      <c r="D55" s="12" t="s">
        <v>1379</v>
      </c>
      <c r="E55" s="11">
        <v>0</v>
      </c>
      <c r="F55" s="11">
        <v>1</v>
      </c>
      <c r="G55" s="12" t="s">
        <v>1474</v>
      </c>
      <c r="H55" s="12" t="s">
        <v>2082</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1499</v>
      </c>
      <c r="C56" s="12" t="s">
        <v>1380</v>
      </c>
      <c r="D56" s="12" t="s">
        <v>1381</v>
      </c>
      <c r="E56" s="11">
        <v>0</v>
      </c>
      <c r="F56" s="11">
        <v>1</v>
      </c>
      <c r="G56" s="12" t="s">
        <v>1474</v>
      </c>
      <c r="H56" s="12" t="s">
        <v>2083</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1500</v>
      </c>
      <c r="C57" s="12" t="s">
        <v>1828</v>
      </c>
      <c r="D57" s="12" t="s">
        <v>1382</v>
      </c>
      <c r="E57" s="11">
        <v>0</v>
      </c>
      <c r="F57" s="11">
        <v>1</v>
      </c>
      <c r="G57" s="12" t="s">
        <v>1474</v>
      </c>
      <c r="H57" s="12" t="s">
        <v>2084</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4" t="str">
        <f>CancerEpisode!P1</f>
        <v>// -------------------------------------------------------------------------------</v>
      </c>
    </row>
    <row r="125" spans="3:3" x14ac:dyDescent="0.75">
      <c r="C125" s="124" t="str">
        <f>CancerEpisode!P2</f>
        <v>// Obligations H&amp;N</v>
      </c>
    </row>
    <row r="126" spans="3:3" x14ac:dyDescent="0.75">
      <c r="C126" s="124"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4" t="str">
        <f>CancerEpisode!R1</f>
        <v>// -------------------------------------------------------------------------------</v>
      </c>
    </row>
    <row r="184" spans="3:3" x14ac:dyDescent="0.75">
      <c r="C184" s="124" t="str">
        <f>CancerEpisode!R2</f>
        <v>// Obligations Sarcoma</v>
      </c>
    </row>
    <row r="185" spans="3:3" x14ac:dyDescent="0.75">
      <c r="C185" s="124"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1"/>
  <sheetViews>
    <sheetView zoomScale="85" zoomScaleNormal="85" workbookViewId="0">
      <selection activeCell="G1" sqref="G1:G1048576"/>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144" t="s">
        <v>1492</v>
      </c>
      <c r="F4" s="145"/>
      <c r="G4" s="145"/>
    </row>
    <row r="5" spans="1:19" x14ac:dyDescent="0.75">
      <c r="B5" s="47" t="s">
        <v>10</v>
      </c>
      <c r="C5" s="7" t="s">
        <v>1489</v>
      </c>
      <c r="D5" s="47"/>
      <c r="E5" s="7"/>
    </row>
    <row r="6" spans="1:19" x14ac:dyDescent="0.75">
      <c r="B6" s="47" t="s">
        <v>18</v>
      </c>
      <c r="C6" s="41"/>
      <c r="D6" s="47" t="s">
        <v>1481</v>
      </c>
      <c r="E6" s="144" t="str">
        <f>E3</f>
        <v>http://hl7.eu/fhir/ig/idea4rc/StructureDefinition/CancerEpisode</v>
      </c>
      <c r="F6" s="145"/>
      <c r="G6" s="145"/>
    </row>
    <row r="7" spans="1:19" x14ac:dyDescent="0.75">
      <c r="B7" s="47" t="s">
        <v>15</v>
      </c>
      <c r="C7" s="73"/>
      <c r="D7" s="47" t="s">
        <v>1482</v>
      </c>
      <c r="E7" s="144" t="s">
        <v>1492</v>
      </c>
      <c r="F7" s="145"/>
      <c r="G7" s="145"/>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3"/>
      <c r="B14" s="4" t="str">
        <f>CancerEpisode!B5</f>
        <v>CancerEpisode</v>
      </c>
      <c r="C14" s="11"/>
      <c r="D14" s="4" t="s">
        <v>1501</v>
      </c>
      <c r="E14" s="6"/>
      <c r="F14" s="49"/>
      <c r="G14" s="49"/>
      <c r="I14" s="12"/>
      <c r="J14" s="11"/>
      <c r="K14" s="11"/>
      <c r="L14" s="11"/>
      <c r="M14" s="48"/>
      <c r="N14" s="51"/>
    </row>
    <row r="15" spans="1:19" ht="44.25" x14ac:dyDescent="0.75">
      <c r="A15" s="12"/>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INDEX('CancerEpisode-ConceptMap-1'!$I$15:$N$153,Q15+1,R15)</f>
        <v>* group[=].element[+].code = #CancerEpisode.patient</v>
      </c>
    </row>
    <row r="16" spans="1:19" ht="73.75" x14ac:dyDescent="0.75">
      <c r="A16" s="12"/>
      <c r="B16" s="11" t="str">
        <f>CancerEpisode!B9</f>
        <v>dateOfDiagnosis</v>
      </c>
      <c r="C16" s="11" t="str">
        <f>CancerEpisode!C9</f>
        <v>Date of diagnosis (biopsy or surgical piece)</v>
      </c>
      <c r="D16" s="12" t="s">
        <v>1505</v>
      </c>
      <c r="E16" s="11"/>
      <c r="F16" s="49" t="s">
        <v>1294</v>
      </c>
      <c r="G16" s="75"/>
      <c r="H16" s="43"/>
      <c r="I16" s="12" t="str">
        <f>"* group[=].element[+].code = #"&amp;$B$14&amp;"."&amp;B16</f>
        <v>* group[=].element[+].code = #CancerEpisode.dateOfDiagnosis</v>
      </c>
      <c r="J16" s="12" t="str">
        <f t="shared" ref="J16" si="7">"* group[=].element[=].display = ##34#"&amp;C16&amp;"##34#"</f>
        <v>* group[=].element[=].display = ##34#Date of diagnosis (biopsy or surgical piece)##34#</v>
      </c>
      <c r="K16" s="12" t="str">
        <f t="shared" ref="K16" si="8">IF(F16="unmatched","//-- unmatched","* group[=].element[=].target.code = #"&amp;$D$14&amp;"."&amp;D16)</f>
        <v>* group[=].element[=].target.code = #Condition.extension:assertedDate.valueDateTime</v>
      </c>
      <c r="L16" s="12" t="str">
        <f t="shared" ref="L16" si="9">IF(F16="unmatched","//-- unmatched","* group[=].element[=].target.display = ##34#"&amp;E16&amp;"##34#")</f>
        <v>* group[=].element[=].target.display = ##34###34#</v>
      </c>
      <c r="M16" s="12" t="str">
        <f t="shared" ref="M16" si="10">"* group[=].element[=].target.equivalence = #"&amp;F16</f>
        <v>* group[=].element[=].target.equivalence = #relatedto</v>
      </c>
      <c r="N16" s="12" t="str">
        <f t="shared" ref="N16" si="11">IF(G16&lt;&gt;"",CONCATENATE("* group[=].element[=].target.comment = ","##34#",G16,"##34#"),"")</f>
        <v/>
      </c>
      <c r="P16" s="11">
        <v>2</v>
      </c>
      <c r="Q16" s="11">
        <f t="shared" ref="Q16:Q79" si="12">IF(MOD(P16,$Q$8)=0,P16/$Q$8-1,INT(P16/$Q$8))</f>
        <v>0</v>
      </c>
      <c r="R16" s="11">
        <f t="shared" ref="R16:R79" si="13">IF(MOD(P16,$Q$8)=0,$Q$8,MOD(P16,$Q$8))</f>
        <v>2</v>
      </c>
      <c r="S16" s="12" t="str" cm="1">
        <f t="array" ref="S16">INDEX('CancerEpisode-ConceptMap-1'!$I$15:$N$153,Q16+1,R16)</f>
        <v>* group[=].element[=].display = ##34#Patient##34#</v>
      </c>
    </row>
    <row r="17" spans="1:19" ht="44.25" x14ac:dyDescent="0.75">
      <c r="A17" s="12"/>
      <c r="B17" s="11" t="str">
        <f>CancerEpisode!B9</f>
        <v>dateOfDiagnosis</v>
      </c>
      <c r="C17" s="11" t="str">
        <f>CancerEpisode!C9</f>
        <v>Date of diagnosis (biopsy or surgical piece)</v>
      </c>
      <c r="D17" t="s">
        <v>2336</v>
      </c>
      <c r="E17" s="11"/>
      <c r="F17" s="49" t="s">
        <v>1294</v>
      </c>
      <c r="G17" s="75"/>
      <c r="H17" s="43"/>
      <c r="I17" s="12" t="str">
        <f t="shared" ref="I17:I18" si="14">"* group[=].element[+].code = #"&amp;$B$14&amp;"."&amp;B17</f>
        <v>* group[=].element[+].code = #CancerEpisode.dateOfDiagnosis</v>
      </c>
      <c r="J17" s="12" t="str">
        <f t="shared" ref="J17:J18" si="15">"* group[=].element[=].display = ##34#"&amp;C17&amp;"##34#"</f>
        <v>* group[=].element[=].display = ##34#Date of diagnosis (biopsy or surgical piece)##34#</v>
      </c>
      <c r="K17" s="12" t="str">
        <f t="shared" ref="K17:K18" si="16">IF(F17="unmatched","//-- unmatched","* group[=].element[=].target.code = #"&amp;$D$14&amp;"."&amp;D17)</f>
        <v>* group[=].element[=].target.code = #Condition.onsetDateTime</v>
      </c>
      <c r="L17" s="12" t="str">
        <f t="shared" ref="L17:L18" si="17">IF(F17="unmatched","//-- unmatched","* group[=].element[=].target.display = ##34#"&amp;E17&amp;"##34#")</f>
        <v>* group[=].element[=].target.display = ##34###34#</v>
      </c>
      <c r="M17" s="12" t="str">
        <f t="shared" ref="M17:M18" si="18">"* group[=].element[=].target.equivalence = #"&amp;F17</f>
        <v>* group[=].element[=].target.equivalence = #relatedto</v>
      </c>
      <c r="N17" s="12" t="str">
        <f t="shared" ref="N17:N18" si="19">IF(G17&lt;&gt;"",CONCATENATE("* group[=].element[=].target.comment = ","##34#",G17,"##34#"),"")</f>
        <v/>
      </c>
      <c r="P17" s="11">
        <v>3</v>
      </c>
      <c r="Q17" s="11">
        <f t="shared" si="12"/>
        <v>0</v>
      </c>
      <c r="R17" s="11">
        <f t="shared" si="13"/>
        <v>3</v>
      </c>
      <c r="S17" s="12" t="str" cm="1">
        <f t="array" ref="S17">INDEX('CancerEpisode-ConceptMap-1'!$I$15:$N$153,Q17+1,R17)</f>
        <v>* group[=].element[=].target.code = #Condition.subject</v>
      </c>
    </row>
    <row r="18" spans="1:19" ht="73.75" x14ac:dyDescent="0.75">
      <c r="A18" s="12"/>
      <c r="B18" s="11" t="str">
        <f>CancerEpisode!B9</f>
        <v>dateOfDiagnosis</v>
      </c>
      <c r="C18" s="11" t="str">
        <f>CancerEpisode!C9</f>
        <v>Date of diagnosis (biopsy or surgical piece)</v>
      </c>
      <c r="D18" s="12" t="s">
        <v>2335</v>
      </c>
      <c r="E18" s="11"/>
      <c r="F18" s="49" t="s">
        <v>1294</v>
      </c>
      <c r="G18" s="75" t="s">
        <v>2334</v>
      </c>
      <c r="H18" s="43"/>
      <c r="I18" s="12" t="str">
        <f t="shared" si="14"/>
        <v>* group[=].element[+].code = #CancerEpisode.dateOfDiagnosis</v>
      </c>
      <c r="J18" s="12" t="str">
        <f t="shared" si="15"/>
        <v>* group[=].element[=].display = ##34#Date of diagnosis (biopsy or surgical piece)##34#</v>
      </c>
      <c r="K18" s="12" t="str">
        <f t="shared" si="16"/>
        <v>* group[=].element[=].target.code = #Condition.evidence:diagnosisDetails.date</v>
      </c>
      <c r="L18" s="12" t="str">
        <f t="shared" si="17"/>
        <v>* group[=].element[=].target.display = ##34###34#</v>
      </c>
      <c r="M18" s="12" t="str">
        <f t="shared" si="18"/>
        <v>* group[=].element[=].target.equivalence = #relatedto</v>
      </c>
      <c r="N18" s="12" t="str">
        <f t="shared" si="19"/>
        <v>* group[=].element[=].target.comment = ##34#see details in group2##34#</v>
      </c>
      <c r="P18" s="11">
        <v>4</v>
      </c>
      <c r="Q18" s="11">
        <f t="shared" si="12"/>
        <v>0</v>
      </c>
      <c r="R18" s="11">
        <f t="shared" si="13"/>
        <v>4</v>
      </c>
      <c r="S18" s="12" t="str" cm="1">
        <f t="array" ref="S18">INDEX('CancerEpisode-ConceptMap-1'!$I$15:$N$153,Q18+1,R18)</f>
        <v>* group[=].element[=].target.display = ##34###34#</v>
      </c>
    </row>
    <row r="19" spans="1:19" ht="73.75" x14ac:dyDescent="0.75">
      <c r="A19" s="12"/>
      <c r="B19" s="11" t="str">
        <f>CancerEpisode!B10</f>
        <v>typeOfBiopsy</v>
      </c>
      <c r="C19" s="11" t="str">
        <f>CancerEpisode!C10</f>
        <v>Type of biopsy</v>
      </c>
      <c r="D19" s="12" t="s">
        <v>2335</v>
      </c>
      <c r="E19" s="11"/>
      <c r="F19" s="49" t="s">
        <v>1294</v>
      </c>
      <c r="G19" s="75" t="s">
        <v>2334</v>
      </c>
      <c r="H19" s="43"/>
      <c r="I19" s="12" t="str">
        <f t="shared" ref="I19:I66" si="20">"* group[=].element[+].code = #"&amp;$B$14&amp;"."&amp;B19</f>
        <v>* group[=].element[+].code = #CancerEpisode.typeOfBiopsy</v>
      </c>
      <c r="J19" s="12" t="str">
        <f t="shared" ref="J19:J66" si="21">"* group[=].element[=].display = ##34#"&amp;C19&amp;"##34#"</f>
        <v>* group[=].element[=].display = ##34#Type of biopsy##34#</v>
      </c>
      <c r="K19" s="12" t="str">
        <f t="shared" ref="K19:K66" si="22">IF(F19="unmatched","//-- unmatched","* group[=].element[=].target.code = #"&amp;$D$14&amp;"."&amp;D19)</f>
        <v>* group[=].element[=].target.code = #Condition.evidence:diagnosisDetails.date</v>
      </c>
      <c r="L19" s="12" t="str">
        <f t="shared" ref="L19:L66" si="23">IF(F19="unmatched","//-- unmatched","* group[=].element[=].target.display = ##34#"&amp;E19&amp;"##34#")</f>
        <v>* group[=].element[=].target.display = ##34###34#</v>
      </c>
      <c r="M19" s="12" t="str">
        <f t="shared" ref="M19:M66" si="24">"* group[=].element[=].target.equivalence = #"&amp;F19</f>
        <v>* group[=].element[=].target.equivalence = #relatedto</v>
      </c>
      <c r="N19" s="12" t="str">
        <f t="shared" ref="N19:N66" si="25">IF(G19&lt;&gt;"",CONCATENATE("* group[=].element[=].target.comment = ","##34#",G19,"##34#"),"")</f>
        <v>* group[=].element[=].target.comment = ##34#see details in group2##34#</v>
      </c>
      <c r="P19" s="11">
        <v>5</v>
      </c>
      <c r="Q19" s="11">
        <f t="shared" si="12"/>
        <v>0</v>
      </c>
      <c r="R19" s="11">
        <f t="shared" si="13"/>
        <v>5</v>
      </c>
      <c r="S19" s="12" t="str" cm="1">
        <f t="array" ref="S19">INDEX('CancerEpisode-ConceptMap-1'!$I$15:$N$153,Q19+1,R19)</f>
        <v>* group[=].element[=].target.equivalence = #equivalent</v>
      </c>
    </row>
    <row r="20" spans="1:19" ht="103.25" x14ac:dyDescent="0.75">
      <c r="A20" s="12"/>
      <c r="B20" s="11" t="str">
        <f>CancerEpisode!B11</f>
        <v>biopsyDoneBy</v>
      </c>
      <c r="C20" s="11" t="str">
        <f>CancerEpisode!C11</f>
        <v>Biopsy done by</v>
      </c>
      <c r="D20" s="12" t="s">
        <v>1506</v>
      </c>
      <c r="E20" s="11"/>
      <c r="F20" s="49" t="s">
        <v>1294</v>
      </c>
      <c r="G20" s="77" t="s">
        <v>1566</v>
      </c>
      <c r="H20" s="43"/>
      <c r="I20" s="12" t="str">
        <f t="shared" si="20"/>
        <v>* group[=].element[+].code = #CancerEpisode.biopsyDoneBy</v>
      </c>
      <c r="J20" s="12" t="str">
        <f t="shared" si="21"/>
        <v>* group[=].element[=].display = ##34#Biopsy done by##34#</v>
      </c>
      <c r="K20" s="12" t="str">
        <f t="shared" si="22"/>
        <v>* group[=].element[=].target.code = #Condition.evidence:diagnosisDetails.detail.performer</v>
      </c>
      <c r="L20" s="12" t="str">
        <f t="shared" si="23"/>
        <v>* group[=].element[=].target.display = ##34###34#</v>
      </c>
      <c r="M20" s="12" t="str">
        <f t="shared" si="24"/>
        <v>* group[=].element[=].target.equivalence = #relatedto</v>
      </c>
      <c r="N20" s="12" t="str">
        <f t="shared" si="25"/>
        <v>* group[=].element[=].target.comment = ##34#detail  id ofType Observation and conformsTo http://hl7.eu/fhir/ig/idea4rc/StructureDefinition/Observation-diagnosis-eu-i4rc##34#</v>
      </c>
      <c r="P20" s="11">
        <v>6</v>
      </c>
      <c r="Q20" s="11">
        <f t="shared" si="12"/>
        <v>0</v>
      </c>
      <c r="R20" s="11">
        <f t="shared" si="13"/>
        <v>6</v>
      </c>
      <c r="S20" s="12" t="str" cm="1">
        <f t="array" ref="S20">INDEX('CancerEpisode-ConceptMap-1'!$I$15:$N$153,Q20+1,R20)</f>
        <v/>
      </c>
    </row>
    <row r="21" spans="1:19" ht="73.75" x14ac:dyDescent="0.75">
      <c r="A21" s="12"/>
      <c r="B21" s="11" t="str">
        <f>CancerEpisode!B12</f>
        <v>ageAtDiagnosis</v>
      </c>
      <c r="C21" s="11" t="str">
        <f>CancerEpisode!C12</f>
        <v>Age at diagnosis</v>
      </c>
      <c r="D21" s="12" t="s">
        <v>1504</v>
      </c>
      <c r="E21" s="11"/>
      <c r="F21" s="49" t="s">
        <v>1317</v>
      </c>
      <c r="G21" s="78" t="s">
        <v>1507</v>
      </c>
      <c r="H21" s="43"/>
      <c r="I21" s="12" t="str">
        <f t="shared" si="20"/>
        <v>* group[=].element[+].code = #CancerEpisode.ageAtDiagnosis</v>
      </c>
      <c r="J21" s="12" t="str">
        <f t="shared" si="21"/>
        <v>* group[=].element[=].display = ##34#Age at diagnosis##34#</v>
      </c>
      <c r="K21" s="12" t="str">
        <f t="shared" si="22"/>
        <v>* group[=].element[=].target.code = #Condition.onsetAge</v>
      </c>
      <c r="L21" s="12" t="str">
        <f t="shared" si="23"/>
        <v>* group[=].element[=].target.display = ##34###34#</v>
      </c>
      <c r="M21" s="12" t="str">
        <f t="shared" si="24"/>
        <v>* group[=].element[=].target.equivalence = #equal</v>
      </c>
      <c r="N21" s="12" t="str">
        <f t="shared" si="25"/>
        <v>* group[=].element[=].target.comment = ##34#to be checked if an onSetdatTime or period is needed##34#</v>
      </c>
      <c r="P21" s="11">
        <v>7</v>
      </c>
      <c r="Q21" s="11">
        <f t="shared" si="12"/>
        <v>1</v>
      </c>
      <c r="R21" s="11">
        <f t="shared" si="13"/>
        <v>1</v>
      </c>
      <c r="S21" s="12" t="str" cm="1">
        <f t="array" ref="S21">INDEX('CancerEpisode-ConceptMap-1'!$I$15:$N$153,Q21+1,R21)</f>
        <v>* group[=].element[+].code = #CancerEpisode.dateOfDiagnosis</v>
      </c>
    </row>
    <row r="22" spans="1:19" ht="118" x14ac:dyDescent="0.75">
      <c r="A22" s="12"/>
      <c r="B22" s="11" t="str">
        <f>CancerEpisode!B13</f>
        <v>radiotherapyInducedSarcoma</v>
      </c>
      <c r="C22" s="11" t="str">
        <f>CancerEpisode!C13</f>
        <v>Radiotherapy induced sarcoma</v>
      </c>
      <c r="D22" s="12" t="s">
        <v>2333</v>
      </c>
      <c r="E22" s="11"/>
      <c r="F22" s="49" t="s">
        <v>1316</v>
      </c>
      <c r="G22" s="78" t="s">
        <v>2340</v>
      </c>
      <c r="H22" s="43"/>
      <c r="I22" s="12" t="str">
        <f t="shared" si="20"/>
        <v>* group[=].element[+].code = #CancerEpisode.radiotherapyInducedSarcoma</v>
      </c>
      <c r="J22" s="12" t="str">
        <f t="shared" si="21"/>
        <v>* group[=].element[=].display = ##34#Radiotherapy induced sarcoma##34#</v>
      </c>
      <c r="K22" s="12" t="str">
        <f t="shared" si="22"/>
        <v>* group[=].element[=].target.code = #Condition.extension:condition-dueTo</v>
      </c>
      <c r="L22" s="12" t="str">
        <f t="shared" si="23"/>
        <v>* group[=].element[=].target.display = ##34###34#</v>
      </c>
      <c r="M22" s="12" t="str">
        <f t="shared" si="24"/>
        <v>* group[=].element[=].target.equivalence = #equivalent</v>
      </c>
      <c r="N22" s="12" t="str">
        <f t="shared" si="25"/>
        <v>* group[=].element[=].target.comment = ##34#Is true if  extension:condition-dueTo.valueCodeableConcept = $sct#108290001 'Radiation oncology AND/OR radiotherapy'##34#</v>
      </c>
      <c r="P22" s="11">
        <v>8</v>
      </c>
      <c r="Q22" s="11">
        <f t="shared" si="12"/>
        <v>1</v>
      </c>
      <c r="R22" s="11">
        <f t="shared" si="13"/>
        <v>2</v>
      </c>
      <c r="S22" s="12" t="str" cm="1">
        <f t="array" ref="S22">INDEX('CancerEpisode-ConceptMap-1'!$I$15:$N$153,Q22+1,R22)</f>
        <v>* group[=].element[=].display = ##34#Date of diagnosis (biopsy or surgical piece)##34#</v>
      </c>
    </row>
    <row r="23" spans="1:19" ht="44.25" x14ac:dyDescent="0.75">
      <c r="A23" s="12"/>
      <c r="B23" s="11" t="str">
        <f>CancerEpisode!B14</f>
        <v>grading</v>
      </c>
      <c r="C23" s="11" t="str">
        <f>CancerEpisode!C14</f>
        <v>Grading</v>
      </c>
      <c r="D23" s="79" t="s">
        <v>1508</v>
      </c>
      <c r="E23" s="11"/>
      <c r="F23" s="49" t="s">
        <v>1294</v>
      </c>
      <c r="G23" s="49" t="s">
        <v>1485</v>
      </c>
      <c r="H23" s="43"/>
      <c r="I23" s="12" t="str">
        <f t="shared" si="20"/>
        <v>* group[=].element[+].code = #CancerEpisode.grading</v>
      </c>
      <c r="J23" s="12" t="str">
        <f t="shared" si="21"/>
        <v>* group[=].element[=].display = ##34#Grading##34#</v>
      </c>
      <c r="K23" s="12" t="str">
        <f t="shared" si="22"/>
        <v>* group[=].element[=].target.code = #Condition.stage.summary</v>
      </c>
      <c r="L23" s="12" t="str">
        <f t="shared" si="23"/>
        <v>* group[=].element[=].target.display = ##34###34#</v>
      </c>
      <c r="M23" s="12" t="str">
        <f t="shared" si="24"/>
        <v>* group[=].element[=].target.equivalence = #relatedto</v>
      </c>
      <c r="N23" s="12" t="str">
        <f t="shared" si="25"/>
        <v>* group[=].element[=].target.comment = ##34#to be checked##34#</v>
      </c>
      <c r="P23" s="11">
        <v>9</v>
      </c>
      <c r="Q23" s="11">
        <f t="shared" si="12"/>
        <v>1</v>
      </c>
      <c r="R23" s="11">
        <f t="shared" si="13"/>
        <v>3</v>
      </c>
      <c r="S23" s="12" t="str" cm="1">
        <f t="array" ref="S23">INDEX('CancerEpisode-ConceptMap-1'!$I$15:$N$153,Q23+1,R23)</f>
        <v>* group[=].element[=].target.code = #Condition.extension:assertedDate.valueDateTime</v>
      </c>
    </row>
    <row r="24" spans="1:19" ht="147.5" x14ac:dyDescent="0.75">
      <c r="A24" s="12"/>
      <c r="B24" s="11" t="str">
        <f>CancerEpisode!B15</f>
        <v>hnClassification</v>
      </c>
      <c r="C24" s="11" t="str">
        <f>CancerEpisode!C15</f>
        <v>Classification for Head and Neck tumors</v>
      </c>
      <c r="D24" s="12" t="s">
        <v>1538</v>
      </c>
      <c r="E24" s="11"/>
      <c r="F24" s="49" t="s">
        <v>1294</v>
      </c>
      <c r="G24" s="77" t="s">
        <v>2322</v>
      </c>
      <c r="H24" s="43"/>
      <c r="I24" s="12" t="str">
        <f t="shared" si="20"/>
        <v>* group[=].element[+].code = #CancerEpisode.hnClassification</v>
      </c>
      <c r="J24" s="12" t="str">
        <f t="shared" si="21"/>
        <v>* group[=].element[=].display = ##34#Classification for Head and Neck tumors##34#</v>
      </c>
      <c r="K24" s="12" t="str">
        <f t="shared" si="22"/>
        <v>* group[=].element[=].target.code = #Condition.extension:histologyMorphologyBehavior.valueCodeableConcept</v>
      </c>
      <c r="L24" s="12" t="str">
        <f t="shared" si="23"/>
        <v>* group[=].element[=].target.display = ##34###34#</v>
      </c>
      <c r="M24" s="12" t="str">
        <f t="shared" si="24"/>
        <v>* group[=].element[=].target.equivalence = #relatedto</v>
      </c>
      <c r="N24" s="12" t="str">
        <f t="shared" si="25"/>
        <v>* group[=].element[=].target.comment = ##34#To be further analyzed, at this stage mapped as the condition.code.
Clarify if it is a morphology/hystology classification.
This comment applies to all the inlcuded elements.##34#</v>
      </c>
      <c r="P24" s="11">
        <v>10</v>
      </c>
      <c r="Q24" s="11">
        <f t="shared" si="12"/>
        <v>1</v>
      </c>
      <c r="R24" s="11">
        <f t="shared" si="13"/>
        <v>4</v>
      </c>
      <c r="S24" s="12" t="str" cm="1">
        <f t="array" ref="S24">INDEX('CancerEpisode-ConceptMap-1'!$I$15:$N$153,Q24+1,R24)</f>
        <v>* group[=].element[=].target.display = ##34###34#</v>
      </c>
    </row>
    <row r="25" spans="1:19" ht="44.25" x14ac:dyDescent="0.75">
      <c r="A25" s="12"/>
      <c r="B25" s="11" t="str">
        <f>CancerEpisode!B16</f>
        <v>hnClassification.histologySquamous</v>
      </c>
      <c r="C25" s="11" t="str">
        <f>CancerEpisode!C16</f>
        <v>Histology Squamous</v>
      </c>
      <c r="D25" s="12" t="s">
        <v>1329</v>
      </c>
      <c r="E25" s="11"/>
      <c r="F25" s="49" t="s">
        <v>1294</v>
      </c>
      <c r="G25" s="97"/>
      <c r="H25" s="43"/>
      <c r="I25" s="12" t="str">
        <f t="shared" si="20"/>
        <v>* group[=].element[+].code = #CancerEpisode.hnClassification.histologySquamous</v>
      </c>
      <c r="J25" s="12" t="str">
        <f t="shared" si="21"/>
        <v>* group[=].element[=].display = ##34#Histology Squamous##34#</v>
      </c>
      <c r="K25" s="12" t="str">
        <f t="shared" si="22"/>
        <v>* group[=].element[=].target.code = #Condition.code</v>
      </c>
      <c r="L25" s="12" t="str">
        <f t="shared" si="23"/>
        <v>* group[=].element[=].target.display = ##34###34#</v>
      </c>
      <c r="M25" s="12" t="str">
        <f t="shared" si="24"/>
        <v>* group[=].element[=].target.equivalence = #relatedto</v>
      </c>
      <c r="N25" s="12" t="str">
        <f t="shared" si="25"/>
        <v/>
      </c>
      <c r="P25" s="11">
        <v>11</v>
      </c>
      <c r="Q25" s="11">
        <f t="shared" si="12"/>
        <v>1</v>
      </c>
      <c r="R25" s="11">
        <f t="shared" si="13"/>
        <v>5</v>
      </c>
      <c r="S25" s="12" t="str" cm="1">
        <f t="array" ref="S25">INDEX('CancerEpisode-ConceptMap-1'!$I$15:$N$153,Q25+1,R25)</f>
        <v>* group[=].element[=].target.equivalence = #relatedto</v>
      </c>
    </row>
    <row r="26" spans="1:19" ht="44.25" x14ac:dyDescent="0.75">
      <c r="A26" s="12"/>
      <c r="B26" s="11" t="str">
        <f>CancerEpisode!B17</f>
        <v>hnClassification.histologyAdenocarcinoma</v>
      </c>
      <c r="C26" s="11" t="str">
        <f>CancerEpisode!C17</f>
        <v>Histology Adenocarcinoma</v>
      </c>
      <c r="D26" s="12" t="s">
        <v>1329</v>
      </c>
      <c r="E26" s="11"/>
      <c r="F26" s="49" t="s">
        <v>1294</v>
      </c>
      <c r="G26" s="97"/>
      <c r="H26" s="43"/>
      <c r="I26" s="12" t="str">
        <f t="shared" si="20"/>
        <v>* group[=].element[+].code = #CancerEpisode.hnClassification.histologyAdenocarcinoma</v>
      </c>
      <c r="J26" s="12" t="str">
        <f t="shared" si="21"/>
        <v>* group[=].element[=].display = ##34#Histology Adenocarcinoma##34#</v>
      </c>
      <c r="K26" s="12" t="str">
        <f t="shared" si="22"/>
        <v>* group[=].element[=].target.code = #Condition.code</v>
      </c>
      <c r="L26" s="12" t="str">
        <f t="shared" si="23"/>
        <v>* group[=].element[=].target.display = ##34###34#</v>
      </c>
      <c r="M26" s="12" t="str">
        <f t="shared" si="24"/>
        <v>* group[=].element[=].target.equivalence = #relatedto</v>
      </c>
      <c r="N26" s="12" t="str">
        <f t="shared" si="25"/>
        <v/>
      </c>
      <c r="P26" s="11">
        <v>12</v>
      </c>
      <c r="Q26" s="11">
        <f t="shared" si="12"/>
        <v>1</v>
      </c>
      <c r="R26" s="11">
        <f t="shared" si="13"/>
        <v>6</v>
      </c>
      <c r="S26" s="12" t="str" cm="1">
        <f t="array" ref="S26">INDEX('CancerEpisode-ConceptMap-1'!$I$15:$N$153,Q26+1,R26)</f>
        <v/>
      </c>
    </row>
    <row r="27" spans="1:19" ht="44.25" x14ac:dyDescent="0.75">
      <c r="A27" s="12"/>
      <c r="B27" s="11" t="str">
        <f>CancerEpisode!B18</f>
        <v>hnClassification.histologyNeuroendocrine</v>
      </c>
      <c r="C27" s="11" t="str">
        <f>CancerEpisode!C18</f>
        <v>Histology Neuroendocrine</v>
      </c>
      <c r="D27" s="12" t="s">
        <v>1329</v>
      </c>
      <c r="E27" s="11"/>
      <c r="F27" s="49" t="s">
        <v>1294</v>
      </c>
      <c r="G27" s="97"/>
      <c r="H27" s="43"/>
      <c r="I27" s="12" t="str">
        <f t="shared" si="20"/>
        <v>* group[=].element[+].code = #CancerEpisode.hnClassification.histologyNeuroendocrine</v>
      </c>
      <c r="J27" s="12" t="str">
        <f t="shared" si="21"/>
        <v>* group[=].element[=].display = ##34#Histology Neuroendocrine##34#</v>
      </c>
      <c r="K27" s="12" t="str">
        <f t="shared" si="22"/>
        <v>* group[=].element[=].target.code = #Condition.code</v>
      </c>
      <c r="L27" s="12" t="str">
        <f t="shared" si="23"/>
        <v>* group[=].element[=].target.display = ##34###34#</v>
      </c>
      <c r="M27" s="12" t="str">
        <f t="shared" si="24"/>
        <v>* group[=].element[=].target.equivalence = #relatedto</v>
      </c>
      <c r="N27" s="12" t="str">
        <f t="shared" si="25"/>
        <v/>
      </c>
      <c r="P27" s="11">
        <v>13</v>
      </c>
      <c r="Q27" s="11">
        <f t="shared" si="12"/>
        <v>2</v>
      </c>
      <c r="R27" s="11">
        <f t="shared" si="13"/>
        <v>1</v>
      </c>
      <c r="S27" s="12" t="str" cm="1">
        <f t="array" ref="S27">INDEX('CancerEpisode-ConceptMap-1'!$I$15:$N$153,Q27+1,R27)</f>
        <v>* group[=].element[+].code = #CancerEpisode.dateOfDiagnosis</v>
      </c>
    </row>
    <row r="28" spans="1:19" ht="44.25" x14ac:dyDescent="0.75">
      <c r="A28" s="12" t="str">
        <f>CancerEpisode!B19</f>
        <v>hnClassification.histologyOdontogenicCarcinoma</v>
      </c>
      <c r="B28" s="11" t="str">
        <f>CancerEpisode!B19</f>
        <v>hnClassification.histologyOdontogenicCarcinoma</v>
      </c>
      <c r="C28" s="11" t="str">
        <f>CancerEpisode!C19</f>
        <v>Histology Odontogenic Carcinoma</v>
      </c>
      <c r="D28" s="12" t="s">
        <v>1329</v>
      </c>
      <c r="E28" s="11"/>
      <c r="F28" s="49" t="s">
        <v>1294</v>
      </c>
      <c r="G28" s="97"/>
      <c r="H28" s="43"/>
      <c r="I28" s="12" t="str">
        <f t="shared" si="20"/>
        <v>* group[=].element[+].code = #CancerEpisode.hnClassification.histologyOdontogenicCarcinoma</v>
      </c>
      <c r="J28" s="12" t="str">
        <f t="shared" si="21"/>
        <v>* group[=].element[=].display = ##34#Histology Odontogenic Carcinoma##34#</v>
      </c>
      <c r="K28" s="12" t="str">
        <f t="shared" si="22"/>
        <v>* group[=].element[=].target.code = #Condition.code</v>
      </c>
      <c r="L28" s="12" t="str">
        <f t="shared" si="23"/>
        <v>* group[=].element[=].target.display = ##34###34#</v>
      </c>
      <c r="M28" s="12" t="str">
        <f t="shared" si="24"/>
        <v>* group[=].element[=].target.equivalence = #relatedto</v>
      </c>
      <c r="N28" s="12" t="str">
        <f t="shared" si="25"/>
        <v/>
      </c>
      <c r="P28" s="11">
        <v>14</v>
      </c>
      <c r="Q28" s="11">
        <f t="shared" si="12"/>
        <v>2</v>
      </c>
      <c r="R28" s="11">
        <f t="shared" si="13"/>
        <v>2</v>
      </c>
      <c r="S28" s="12" t="str" cm="1">
        <f t="array" ref="S28">INDEX('CancerEpisode-ConceptMap-1'!$I$15:$N$153,Q28+1,R28)</f>
        <v>* group[=].element[=].display = ##34#Date of diagnosis (biopsy or surgical piece)##34#</v>
      </c>
    </row>
    <row r="29" spans="1:19" ht="44.25" x14ac:dyDescent="0.75">
      <c r="A29" s="12" t="str">
        <f>CancerEpisode!B20</f>
        <v>hnClassification.histologySNUC</v>
      </c>
      <c r="B29" s="11" t="str">
        <f>CancerEpisode!B20</f>
        <v>hnClassification.histologySNUC</v>
      </c>
      <c r="C29" s="11" t="str">
        <f>CancerEpisode!C20</f>
        <v>Histology Sinonasal undifferentiated carcinoma</v>
      </c>
      <c r="D29" s="12" t="s">
        <v>1329</v>
      </c>
      <c r="E29" s="12"/>
      <c r="F29" s="49" t="s">
        <v>1294</v>
      </c>
      <c r="G29" s="97"/>
      <c r="H29" s="43"/>
      <c r="I29" s="12" t="str">
        <f t="shared" si="20"/>
        <v>* group[=].element[+].code = #CancerEpisode.hnClassification.histologySNUC</v>
      </c>
      <c r="J29" s="12" t="str">
        <f t="shared" si="21"/>
        <v>* group[=].element[=].display = ##34#Histology Sinonasal undifferentiated carcinoma##34#</v>
      </c>
      <c r="K29" s="12" t="str">
        <f t="shared" si="22"/>
        <v>* group[=].element[=].target.code = #Condition.code</v>
      </c>
      <c r="L29" s="12" t="str">
        <f t="shared" si="23"/>
        <v>* group[=].element[=].target.display = ##34###34#</v>
      </c>
      <c r="M29" s="12" t="str">
        <f t="shared" si="24"/>
        <v>* group[=].element[=].target.equivalence = #relatedto</v>
      </c>
      <c r="N29" s="12" t="str">
        <f t="shared" si="25"/>
        <v/>
      </c>
      <c r="P29" s="11">
        <v>15</v>
      </c>
      <c r="Q29" s="11">
        <f t="shared" si="12"/>
        <v>2</v>
      </c>
      <c r="R29" s="11">
        <f t="shared" si="13"/>
        <v>3</v>
      </c>
      <c r="S29" s="12" t="str" cm="1">
        <f t="array" ref="S29">INDEX('CancerEpisode-ConceptMap-1'!$I$15:$N$153,Q29+1,R29)</f>
        <v>* group[=].element[=].target.code = #Condition.onsetDateTime</v>
      </c>
    </row>
    <row r="30" spans="1:19" ht="44.25" x14ac:dyDescent="0.75">
      <c r="A30" s="12" t="str">
        <f>CancerEpisode!B21</f>
        <v>hnClassification.adipocyticTumours</v>
      </c>
      <c r="B30" s="11" t="str">
        <f>CancerEpisode!B21</f>
        <v>hnClassification.adipocyticTumours</v>
      </c>
      <c r="C30" s="11" t="str">
        <f>CancerEpisode!C21</f>
        <v>Histology subgroup Adipocytic tumours</v>
      </c>
      <c r="D30" s="12" t="s">
        <v>1329</v>
      </c>
      <c r="E30" s="12"/>
      <c r="F30" s="49" t="s">
        <v>1294</v>
      </c>
      <c r="G30" s="97"/>
      <c r="H30" s="43"/>
      <c r="I30" s="12" t="str">
        <f t="shared" si="20"/>
        <v>* group[=].element[+].code = #CancerEpisode.hnClassification.adipocyticTumours</v>
      </c>
      <c r="J30" s="12" t="str">
        <f t="shared" si="21"/>
        <v>* group[=].element[=].display = ##34#Histology subgroup Adipocytic tumours##34#</v>
      </c>
      <c r="K30" s="12" t="str">
        <f t="shared" si="22"/>
        <v>* group[=].element[=].target.code = #Condition.code</v>
      </c>
      <c r="L30" s="12" t="str">
        <f t="shared" si="23"/>
        <v>* group[=].element[=].target.display = ##34###34#</v>
      </c>
      <c r="M30" s="12" t="str">
        <f t="shared" si="24"/>
        <v>* group[=].element[=].target.equivalence = #relatedto</v>
      </c>
      <c r="N30" s="12" t="str">
        <f t="shared" si="25"/>
        <v/>
      </c>
      <c r="P30" s="11">
        <v>16</v>
      </c>
      <c r="Q30" s="11">
        <f t="shared" si="12"/>
        <v>2</v>
      </c>
      <c r="R30" s="11">
        <f t="shared" si="13"/>
        <v>4</v>
      </c>
      <c r="S30" s="12" t="str" cm="1">
        <f t="array" ref="S30">INDEX('CancerEpisode-ConceptMap-1'!$I$15:$N$153,Q30+1,R30)</f>
        <v>* group[=].element[=].target.display = ##34###34#</v>
      </c>
    </row>
    <row r="31" spans="1:19" ht="44.25" x14ac:dyDescent="0.75">
      <c r="A31" s="12" t="str">
        <f>CancerEpisode!B22</f>
        <v>hnClassification.fmtTumours</v>
      </c>
      <c r="B31" s="11" t="str">
        <f>CancerEpisode!B22</f>
        <v>hnClassification.fmtTumours</v>
      </c>
      <c r="C31" s="11" t="str">
        <f>CancerEpisode!C22</f>
        <v>Histology subgroup Fibroblastic and myofibroblastic tumours</v>
      </c>
      <c r="D31" s="12" t="s">
        <v>1329</v>
      </c>
      <c r="E31" s="12"/>
      <c r="F31" s="49" t="s">
        <v>1294</v>
      </c>
      <c r="G31" s="97"/>
      <c r="H31" s="43"/>
      <c r="I31" s="12" t="str">
        <f t="shared" si="20"/>
        <v>* group[=].element[+].code = #CancerEpisode.hnClassification.fmtTumours</v>
      </c>
      <c r="J31" s="12" t="str">
        <f t="shared" si="21"/>
        <v>* group[=].element[=].display = ##34#Histology subgroup Fibroblastic and myofibroblastic tumours##34#</v>
      </c>
      <c r="K31" s="12" t="str">
        <f t="shared" si="22"/>
        <v>* group[=].element[=].target.code = #Condition.code</v>
      </c>
      <c r="L31" s="12" t="str">
        <f t="shared" si="23"/>
        <v>* group[=].element[=].target.display = ##34###34#</v>
      </c>
      <c r="M31" s="12" t="str">
        <f t="shared" si="24"/>
        <v>* group[=].element[=].target.equivalence = #relatedto</v>
      </c>
      <c r="N31" s="12" t="str">
        <f t="shared" si="25"/>
        <v/>
      </c>
      <c r="P31" s="11">
        <v>17</v>
      </c>
      <c r="Q31" s="11">
        <f t="shared" si="12"/>
        <v>2</v>
      </c>
      <c r="R31" s="11">
        <f t="shared" si="13"/>
        <v>5</v>
      </c>
      <c r="S31" s="12" t="str" cm="1">
        <f t="array" ref="S31">INDEX('CancerEpisode-ConceptMap-1'!$I$15:$N$153,Q31+1,R31)</f>
        <v>* group[=].element[=].target.equivalence = #relatedto</v>
      </c>
    </row>
    <row r="32" spans="1:19" ht="59" x14ac:dyDescent="0.75">
      <c r="A32" s="12" t="str">
        <f>CancerEpisode!B23</f>
        <v>hnClassification.socalledFibrohistiocyticTumours</v>
      </c>
      <c r="B32" s="11" t="str">
        <f>CancerEpisode!B23</f>
        <v>hnClassification.socalledFibrohistiocyticTumours</v>
      </c>
      <c r="C32" s="11" t="str">
        <f>CancerEpisode!C23</f>
        <v xml:space="preserve">Histology subgroup So-called fibrohistiocytic tumours
</v>
      </c>
      <c r="D32" s="12" t="s">
        <v>1329</v>
      </c>
      <c r="E32" s="12"/>
      <c r="F32" s="49" t="s">
        <v>1294</v>
      </c>
      <c r="G32" s="97"/>
      <c r="H32" s="43"/>
      <c r="I32" s="12" t="str">
        <f t="shared" si="20"/>
        <v>* group[=].element[+].code = #CancerEpisode.hnClassification.socalledFibrohistiocyticTumours</v>
      </c>
      <c r="J32" s="12" t="str">
        <f t="shared" si="21"/>
        <v>* group[=].element[=].display = ##34#Histology subgroup So-called fibrohistiocytic tumours
##34#</v>
      </c>
      <c r="K32" s="12" t="str">
        <f t="shared" si="22"/>
        <v>* group[=].element[=].target.code = #Condition.code</v>
      </c>
      <c r="L32" s="12" t="str">
        <f t="shared" si="23"/>
        <v>* group[=].element[=].target.display = ##34###34#</v>
      </c>
      <c r="M32" s="12" t="str">
        <f t="shared" si="24"/>
        <v>* group[=].element[=].target.equivalence = #relatedto</v>
      </c>
      <c r="N32" s="12" t="str">
        <f t="shared" si="25"/>
        <v/>
      </c>
      <c r="P32" s="11">
        <v>18</v>
      </c>
      <c r="Q32" s="11">
        <f t="shared" si="12"/>
        <v>2</v>
      </c>
      <c r="R32" s="11">
        <f t="shared" si="13"/>
        <v>6</v>
      </c>
      <c r="S32" s="12" t="str" cm="1">
        <f t="array" ref="S32">INDEX('CancerEpisode-ConceptMap-1'!$I$15:$N$153,Q32+1,R32)</f>
        <v/>
      </c>
    </row>
    <row r="33" spans="1:19" ht="147.5" x14ac:dyDescent="0.75">
      <c r="A33" s="12" t="str">
        <f>CancerEpisode!B24</f>
        <v>sarcomaClassification</v>
      </c>
      <c r="B33" s="11" t="str">
        <f>CancerEpisode!B24</f>
        <v>sarcomaClassification</v>
      </c>
      <c r="C33" s="11" t="str">
        <f>CancerEpisode!C24</f>
        <v>Sarcoma classification</v>
      </c>
      <c r="D33" s="12" t="s">
        <v>1329</v>
      </c>
      <c r="E33" s="12"/>
      <c r="F33" s="49" t="s">
        <v>1294</v>
      </c>
      <c r="G33" s="77" t="s">
        <v>2322</v>
      </c>
      <c r="H33" s="43"/>
      <c r="I33" s="12" t="str">
        <f t="shared" si="20"/>
        <v>* group[=].element[+].code = #CancerEpisode.sarcomaClassification</v>
      </c>
      <c r="J33" s="12" t="str">
        <f t="shared" si="21"/>
        <v>* group[=].element[=].display = ##34#Sarcoma classification##34#</v>
      </c>
      <c r="K33" s="12" t="str">
        <f t="shared" si="22"/>
        <v>* group[=].element[=].target.code = #Condition.code</v>
      </c>
      <c r="L33" s="12" t="str">
        <f t="shared" si="23"/>
        <v>* group[=].element[=].target.display = ##34###34#</v>
      </c>
      <c r="M33" s="12" t="str">
        <f t="shared" si="24"/>
        <v>* group[=].element[=].target.equivalence = #relatedto</v>
      </c>
      <c r="N33" s="12" t="str">
        <f t="shared" si="25"/>
        <v>* group[=].element[=].target.comment = ##34#To be further analyzed, at this stage mapped as the condition.code.
Clarify if it is a morphology/hystology classification.
This comment applies to all the inlcuded elements.##34#</v>
      </c>
      <c r="P33" s="11">
        <v>19</v>
      </c>
      <c r="Q33" s="11">
        <f t="shared" si="12"/>
        <v>3</v>
      </c>
      <c r="R33" s="11">
        <f t="shared" si="13"/>
        <v>1</v>
      </c>
      <c r="S33" s="12" t="str" cm="1">
        <f t="array" ref="S33">INDEX('CancerEpisode-ConceptMap-1'!$I$15:$N$153,Q33+1,R33)</f>
        <v>* group[=].element[+].code = #CancerEpisode.dateOfDiagnosis</v>
      </c>
    </row>
    <row r="34" spans="1:19" ht="44.25" x14ac:dyDescent="0.75">
      <c r="A34" s="12" t="str">
        <f>CancerEpisode!B25</f>
        <v>sarcomaClassification.vascularTumours</v>
      </c>
      <c r="B34" s="11" t="str">
        <f>CancerEpisode!B25</f>
        <v>sarcomaClassification.vascularTumours</v>
      </c>
      <c r="C34" s="11" t="str">
        <f>CancerEpisode!C25</f>
        <v xml:space="preserve">Vascular tumours </v>
      </c>
      <c r="D34" s="12" t="s">
        <v>1329</v>
      </c>
      <c r="E34" s="12"/>
      <c r="F34" s="49" t="s">
        <v>1294</v>
      </c>
      <c r="G34" s="97"/>
      <c r="H34" s="43"/>
      <c r="I34" s="12" t="str">
        <f t="shared" si="20"/>
        <v>* group[=].element[+].code = #CancerEpisode.sarcomaClassification.vascularTumours</v>
      </c>
      <c r="J34" s="12" t="str">
        <f t="shared" si="21"/>
        <v>* group[=].element[=].display = ##34#Vascular tumours ##34#</v>
      </c>
      <c r="K34" s="12" t="str">
        <f t="shared" si="22"/>
        <v>* group[=].element[=].target.code = #Condition.code</v>
      </c>
      <c r="L34" s="12" t="str">
        <f t="shared" si="23"/>
        <v>* group[=].element[=].target.display = ##34###34#</v>
      </c>
      <c r="M34" s="12" t="str">
        <f t="shared" si="24"/>
        <v>* group[=].element[=].target.equivalence = #relatedto</v>
      </c>
      <c r="N34" s="12" t="str">
        <f t="shared" si="25"/>
        <v/>
      </c>
      <c r="P34" s="11">
        <v>20</v>
      </c>
      <c r="Q34" s="11">
        <f t="shared" si="12"/>
        <v>3</v>
      </c>
      <c r="R34" s="11">
        <f t="shared" si="13"/>
        <v>2</v>
      </c>
      <c r="S34" s="12" t="str" cm="1">
        <f t="array" ref="S34">INDEX('CancerEpisode-ConceptMap-1'!$I$15:$N$153,Q34+1,R34)</f>
        <v>* group[=].element[=].display = ##34#Date of diagnosis (biopsy or surgical piece)##34#</v>
      </c>
    </row>
    <row r="35" spans="1:19" ht="44.25" x14ac:dyDescent="0.75">
      <c r="A35" s="12" t="str">
        <f>CancerEpisode!B26</f>
        <v>sarcomaClassification.pericyticPerivascularTumours</v>
      </c>
      <c r="B35" s="11" t="str">
        <f>CancerEpisode!B26</f>
        <v>sarcomaClassification.pericyticPerivascularTumours</v>
      </c>
      <c r="C35" s="11" t="str">
        <f>CancerEpisode!C26</f>
        <v xml:space="preserve">Pericytic (perivascular) tumours
</v>
      </c>
      <c r="D35" s="12" t="s">
        <v>1329</v>
      </c>
      <c r="E35" s="12"/>
      <c r="F35" s="49" t="s">
        <v>1294</v>
      </c>
      <c r="G35" s="97"/>
      <c r="H35" s="43"/>
      <c r="I35" s="12" t="str">
        <f t="shared" si="20"/>
        <v>* group[=].element[+].code = #CancerEpisode.sarcomaClassification.pericyticPerivascularTumours</v>
      </c>
      <c r="J35" s="12" t="str">
        <f t="shared" si="21"/>
        <v>* group[=].element[=].display = ##34#Pericytic (perivascular) tumours
##34#</v>
      </c>
      <c r="K35" s="12" t="str">
        <f t="shared" si="22"/>
        <v>* group[=].element[=].target.code = #Condition.code</v>
      </c>
      <c r="L35" s="12" t="str">
        <f t="shared" si="23"/>
        <v>* group[=].element[=].target.display = ##34###34#</v>
      </c>
      <c r="M35" s="12" t="str">
        <f t="shared" si="24"/>
        <v>* group[=].element[=].target.equivalence = #relatedto</v>
      </c>
      <c r="N35" s="12" t="str">
        <f t="shared" si="25"/>
        <v/>
      </c>
      <c r="P35" s="11">
        <v>21</v>
      </c>
      <c r="Q35" s="11">
        <f t="shared" si="12"/>
        <v>3</v>
      </c>
      <c r="R35" s="11">
        <f t="shared" si="13"/>
        <v>3</v>
      </c>
      <c r="S35" s="12" t="str" cm="1">
        <f t="array" ref="S35">INDEX('CancerEpisode-ConceptMap-1'!$I$15:$N$153,Q35+1,R35)</f>
        <v>* group[=].element[=].target.code = #Condition.evidence:diagnosisDetails.date</v>
      </c>
    </row>
    <row r="36" spans="1:19" ht="44.25" x14ac:dyDescent="0.75">
      <c r="A36" s="12" t="str">
        <f>CancerEpisode!B27</f>
        <v>sarcomaClassification.smoothMuscleTumours</v>
      </c>
      <c r="B36" s="11" t="str">
        <f>CancerEpisode!B27</f>
        <v>sarcomaClassification.smoothMuscleTumours</v>
      </c>
      <c r="C36" s="11" t="str">
        <f>CancerEpisode!C27</f>
        <v>Smooth muscle tumours</v>
      </c>
      <c r="D36" s="12" t="s">
        <v>1329</v>
      </c>
      <c r="E36" s="12"/>
      <c r="F36" s="49" t="s">
        <v>1294</v>
      </c>
      <c r="G36" s="97"/>
      <c r="H36" s="43"/>
      <c r="I36" s="12" t="str">
        <f t="shared" si="20"/>
        <v>* group[=].element[+].code = #CancerEpisode.sarcomaClassification.smoothMuscleTumours</v>
      </c>
      <c r="J36" s="12" t="str">
        <f t="shared" si="21"/>
        <v>* group[=].element[=].display = ##34#Smooth muscle tumours##34#</v>
      </c>
      <c r="K36" s="12" t="str">
        <f t="shared" si="22"/>
        <v>* group[=].element[=].target.code = #Condition.code</v>
      </c>
      <c r="L36" s="12" t="str">
        <f t="shared" si="23"/>
        <v>* group[=].element[=].target.display = ##34###34#</v>
      </c>
      <c r="M36" s="12" t="str">
        <f t="shared" si="24"/>
        <v>* group[=].element[=].target.equivalence = #relatedto</v>
      </c>
      <c r="N36" s="12" t="str">
        <f t="shared" si="25"/>
        <v/>
      </c>
      <c r="P36" s="11">
        <v>22</v>
      </c>
      <c r="Q36" s="11">
        <f t="shared" si="12"/>
        <v>3</v>
      </c>
      <c r="R36" s="11">
        <f t="shared" si="13"/>
        <v>4</v>
      </c>
      <c r="S36" s="12" t="str" cm="1">
        <f t="array" ref="S36">INDEX('CancerEpisode-ConceptMap-1'!$I$15:$N$153,Q36+1,R36)</f>
        <v>* group[=].element[=].target.display = ##34###34#</v>
      </c>
    </row>
    <row r="37" spans="1:19" ht="44.25" x14ac:dyDescent="0.75">
      <c r="A37" s="12" t="str">
        <f>CancerEpisode!B28</f>
        <v>sarcomaClassification.skeletalMuscleTumours</v>
      </c>
      <c r="B37" s="11" t="str">
        <f>CancerEpisode!B28</f>
        <v>sarcomaClassification.skeletalMuscleTumours</v>
      </c>
      <c r="C37" s="11" t="str">
        <f>CancerEpisode!C28</f>
        <v>Skeletal muscle tumours</v>
      </c>
      <c r="D37" s="12" t="s">
        <v>1329</v>
      </c>
      <c r="E37" s="12"/>
      <c r="F37" s="49" t="s">
        <v>1294</v>
      </c>
      <c r="G37" s="97"/>
      <c r="H37" s="43"/>
      <c r="I37" s="12" t="str">
        <f t="shared" si="20"/>
        <v>* group[=].element[+].code = #CancerEpisode.sarcomaClassification.skeletalMuscleTumours</v>
      </c>
      <c r="J37" s="12" t="str">
        <f t="shared" si="21"/>
        <v>* group[=].element[=].display = ##34#Skeletal muscle tumours##34#</v>
      </c>
      <c r="K37" s="12" t="str">
        <f t="shared" si="22"/>
        <v>* group[=].element[=].target.code = #Condition.code</v>
      </c>
      <c r="L37" s="12" t="str">
        <f t="shared" si="23"/>
        <v>* group[=].element[=].target.display = ##34###34#</v>
      </c>
      <c r="M37" s="12" t="str">
        <f t="shared" si="24"/>
        <v>* group[=].element[=].target.equivalence = #relatedto</v>
      </c>
      <c r="N37" s="12" t="str">
        <f t="shared" si="25"/>
        <v/>
      </c>
      <c r="P37" s="11">
        <v>23</v>
      </c>
      <c r="Q37" s="11">
        <f t="shared" si="12"/>
        <v>3</v>
      </c>
      <c r="R37" s="11">
        <f t="shared" si="13"/>
        <v>5</v>
      </c>
      <c r="S37" s="12" t="str" cm="1">
        <f t="array" ref="S37">INDEX('CancerEpisode-ConceptMap-1'!$I$15:$N$153,Q37+1,R37)</f>
        <v>* group[=].element[=].target.equivalence = #relatedto</v>
      </c>
    </row>
    <row r="38" spans="1:19" ht="44.25" x14ac:dyDescent="0.75">
      <c r="A38" s="12" t="str">
        <f>CancerEpisode!B29</f>
        <v>sarcomaClassification.chondroOsseousTumours</v>
      </c>
      <c r="B38" s="11" t="str">
        <f>CancerEpisode!B29</f>
        <v>sarcomaClassification.chondroOsseousTumours</v>
      </c>
      <c r="C38" s="11" t="str">
        <f>CancerEpisode!C29</f>
        <v xml:space="preserve">Chondro-osseous tumours
</v>
      </c>
      <c r="D38" s="12" t="s">
        <v>1329</v>
      </c>
      <c r="E38" s="12"/>
      <c r="F38" s="49" t="s">
        <v>1294</v>
      </c>
      <c r="G38" s="97"/>
      <c r="H38" s="43"/>
      <c r="I38" s="12" t="str">
        <f t="shared" si="20"/>
        <v>* group[=].element[+].code = #CancerEpisode.sarcomaClassification.chondroOsseousTumours</v>
      </c>
      <c r="J38" s="12" t="str">
        <f t="shared" si="21"/>
        <v>* group[=].element[=].display = ##34#Chondro-osseous tumours
##34#</v>
      </c>
      <c r="K38" s="12" t="str">
        <f t="shared" si="22"/>
        <v>* group[=].element[=].target.code = #Condition.code</v>
      </c>
      <c r="L38" s="12" t="str">
        <f t="shared" si="23"/>
        <v>* group[=].element[=].target.display = ##34###34#</v>
      </c>
      <c r="M38" s="12" t="str">
        <f t="shared" si="24"/>
        <v>* group[=].element[=].target.equivalence = #relatedto</v>
      </c>
      <c r="N38" s="12" t="str">
        <f t="shared" si="25"/>
        <v/>
      </c>
      <c r="P38" s="11">
        <v>24</v>
      </c>
      <c r="Q38" s="11">
        <f t="shared" si="12"/>
        <v>3</v>
      </c>
      <c r="R38" s="11">
        <f t="shared" si="13"/>
        <v>6</v>
      </c>
      <c r="S38" s="12" t="str" cm="1">
        <f t="array" ref="S38">INDEX('CancerEpisode-ConceptMap-1'!$I$15:$N$153,Q38+1,R38)</f>
        <v>* group[=].element[=].target.comment = ##34#see details in group2##34#</v>
      </c>
    </row>
    <row r="39" spans="1:19" ht="44.25" x14ac:dyDescent="0.75">
      <c r="A39" s="12" t="str">
        <f>CancerEpisode!B30</f>
        <v>sarcomaClassification.peripheralNerveSheathTumours</v>
      </c>
      <c r="B39" s="11" t="str">
        <f>CancerEpisode!B30</f>
        <v>sarcomaClassification.peripheralNerveSheathTumours</v>
      </c>
      <c r="C39" s="11" t="str">
        <f>CancerEpisode!C30</f>
        <v>Peripheral nerve sheath tumours</v>
      </c>
      <c r="D39" s="12" t="s">
        <v>1329</v>
      </c>
      <c r="E39" s="12"/>
      <c r="F39" s="49" t="s">
        <v>1294</v>
      </c>
      <c r="G39" s="97"/>
      <c r="H39" s="43"/>
      <c r="I39" s="12" t="str">
        <f t="shared" si="20"/>
        <v>* group[=].element[+].code = #CancerEpisode.sarcomaClassification.peripheralNerveSheathTumours</v>
      </c>
      <c r="J39" s="12" t="str">
        <f t="shared" si="21"/>
        <v>* group[=].element[=].display = ##34#Peripheral nerve sheath tumours##34#</v>
      </c>
      <c r="K39" s="12" t="str">
        <f t="shared" si="22"/>
        <v>* group[=].element[=].target.code = #Condition.code</v>
      </c>
      <c r="L39" s="12" t="str">
        <f t="shared" si="23"/>
        <v>* group[=].element[=].target.display = ##34###34#</v>
      </c>
      <c r="M39" s="12" t="str">
        <f t="shared" si="24"/>
        <v>* group[=].element[=].target.equivalence = #relatedto</v>
      </c>
      <c r="N39" s="12" t="str">
        <f t="shared" si="25"/>
        <v/>
      </c>
      <c r="P39" s="11">
        <v>25</v>
      </c>
      <c r="Q39" s="11">
        <f t="shared" si="12"/>
        <v>4</v>
      </c>
      <c r="R39" s="11">
        <f t="shared" si="13"/>
        <v>1</v>
      </c>
      <c r="S39" s="12" t="str" cm="1">
        <f t="array" ref="S39">INDEX('CancerEpisode-ConceptMap-1'!$I$15:$N$153,Q39+1,R39)</f>
        <v>* group[=].element[+].code = #CancerEpisode.typeOfBiopsy</v>
      </c>
    </row>
    <row r="40" spans="1:19" ht="44.25" x14ac:dyDescent="0.75">
      <c r="A40" s="12" t="str">
        <f>CancerEpisode!B31</f>
        <v>sarcomaClassification.tumoursOfUncertainDifferentiation</v>
      </c>
      <c r="B40" s="11" t="str">
        <f>CancerEpisode!B31</f>
        <v>sarcomaClassification.tumoursOfUncertainDifferentiation</v>
      </c>
      <c r="C40" s="11" t="str">
        <f>CancerEpisode!C31</f>
        <v>Tumours of uncertain differentiation</v>
      </c>
      <c r="D40" s="12" t="s">
        <v>1329</v>
      </c>
      <c r="E40" s="12"/>
      <c r="F40" s="49" t="s">
        <v>1294</v>
      </c>
      <c r="G40" s="97"/>
      <c r="H40" s="43"/>
      <c r="I40" s="12" t="str">
        <f t="shared" si="20"/>
        <v>* group[=].element[+].code = #CancerEpisode.sarcomaClassification.tumoursOfUncertainDifferentiation</v>
      </c>
      <c r="J40" s="12" t="str">
        <f t="shared" si="21"/>
        <v>* group[=].element[=].display = ##34#Tumours of uncertain differentiation##34#</v>
      </c>
      <c r="K40" s="12" t="str">
        <f t="shared" si="22"/>
        <v>* group[=].element[=].target.code = #Condition.code</v>
      </c>
      <c r="L40" s="12" t="str">
        <f t="shared" si="23"/>
        <v>* group[=].element[=].target.display = ##34###34#</v>
      </c>
      <c r="M40" s="12" t="str">
        <f t="shared" si="24"/>
        <v>* group[=].element[=].target.equivalence = #relatedto</v>
      </c>
      <c r="N40" s="12" t="str">
        <f t="shared" si="25"/>
        <v/>
      </c>
      <c r="P40" s="11">
        <v>26</v>
      </c>
      <c r="Q40" s="11">
        <f t="shared" si="12"/>
        <v>4</v>
      </c>
      <c r="R40" s="11">
        <f t="shared" si="13"/>
        <v>2</v>
      </c>
      <c r="S40" s="12" t="str" cm="1">
        <f t="array" ref="S40">INDEX('CancerEpisode-ConceptMap-1'!$I$15:$N$153,Q40+1,R40)</f>
        <v>* group[=].element[=].display = ##34#Type of biopsy##34#</v>
      </c>
    </row>
    <row r="41" spans="1:19" ht="44.25" x14ac:dyDescent="0.75">
      <c r="A41" s="12" t="str">
        <f>CancerEpisode!B32</f>
        <v>sarcomaClassification.undifSmallRCelSarcBonAndSofTis</v>
      </c>
      <c r="B41" s="11" t="str">
        <f>CancerEpisode!B32</f>
        <v>sarcomaClassification.undifSmallRCelSarcBonAndSofTis</v>
      </c>
      <c r="C41" s="11" t="str">
        <f>CancerEpisode!C32</f>
        <v>Undifferentiated small round cell sarcomas of bone and soft tissue</v>
      </c>
      <c r="D41" s="12" t="s">
        <v>1329</v>
      </c>
      <c r="E41" s="12"/>
      <c r="F41" s="49" t="s">
        <v>1294</v>
      </c>
      <c r="G41" s="97"/>
      <c r="H41" s="43"/>
      <c r="I41" s="12" t="str">
        <f t="shared" si="20"/>
        <v>* group[=].element[+].code = #CancerEpisode.sarcomaClassification.undifSmallRCelSarcBonAndSofTis</v>
      </c>
      <c r="J41" s="12" t="str">
        <f t="shared" si="21"/>
        <v>* group[=].element[=].display = ##34#Undifferentiated small round cell sarcomas of bone and soft tissue##34#</v>
      </c>
      <c r="K41" s="12" t="str">
        <f t="shared" si="22"/>
        <v>* group[=].element[=].target.code = #Condition.code</v>
      </c>
      <c r="L41" s="12" t="str">
        <f t="shared" si="23"/>
        <v>* group[=].element[=].target.display = ##34###34#</v>
      </c>
      <c r="M41" s="12" t="str">
        <f t="shared" si="24"/>
        <v>* group[=].element[=].target.equivalence = #relatedto</v>
      </c>
      <c r="N41" s="12" t="str">
        <f t="shared" si="25"/>
        <v/>
      </c>
      <c r="P41" s="11">
        <v>27</v>
      </c>
      <c r="Q41" s="11">
        <f t="shared" si="12"/>
        <v>4</v>
      </c>
      <c r="R41" s="11">
        <f t="shared" si="13"/>
        <v>3</v>
      </c>
      <c r="S41" s="12" t="str" cm="1">
        <f t="array" ref="S41">INDEX('CancerEpisode-ConceptMap-1'!$I$15:$N$153,Q41+1,R41)</f>
        <v>* group[=].element[=].target.code = #Condition.evidence:diagnosisDetails.date</v>
      </c>
    </row>
    <row r="42" spans="1:19" ht="44.25" x14ac:dyDescent="0.75">
      <c r="A42" s="12" t="str">
        <f>CancerEpisode!B33</f>
        <v>sarcomaClassification.endStrAndRelatedTumours</v>
      </c>
      <c r="B42" s="11" t="str">
        <f>CancerEpisode!B33</f>
        <v>sarcomaClassification.endStrAndRelatedTumours</v>
      </c>
      <c r="C42" s="11" t="str">
        <f>CancerEpisode!C33</f>
        <v>Endometrial stromal and related tumours</v>
      </c>
      <c r="D42" s="12" t="s">
        <v>1329</v>
      </c>
      <c r="E42" s="12"/>
      <c r="F42" s="49" t="s">
        <v>1294</v>
      </c>
      <c r="G42" s="97"/>
      <c r="H42" s="43"/>
      <c r="I42" s="12" t="str">
        <f t="shared" si="20"/>
        <v>* group[=].element[+].code = #CancerEpisode.sarcomaClassification.endStrAndRelatedTumours</v>
      </c>
      <c r="J42" s="12" t="str">
        <f t="shared" si="21"/>
        <v>* group[=].element[=].display = ##34#Endometrial stromal and related tumours##34#</v>
      </c>
      <c r="K42" s="12" t="str">
        <f t="shared" si="22"/>
        <v>* group[=].element[=].target.code = #Condition.code</v>
      </c>
      <c r="L42" s="12" t="str">
        <f t="shared" si="23"/>
        <v>* group[=].element[=].target.display = ##34###34#</v>
      </c>
      <c r="M42" s="12" t="str">
        <f t="shared" si="24"/>
        <v>* group[=].element[=].target.equivalence = #relatedto</v>
      </c>
      <c r="N42" s="12" t="str">
        <f t="shared" si="25"/>
        <v/>
      </c>
      <c r="P42" s="11">
        <v>28</v>
      </c>
      <c r="Q42" s="11">
        <f t="shared" si="12"/>
        <v>4</v>
      </c>
      <c r="R42" s="11">
        <f t="shared" si="13"/>
        <v>4</v>
      </c>
      <c r="S42" s="12" t="str" cm="1">
        <f t="array" ref="S42">INDEX('CancerEpisode-ConceptMap-1'!$I$15:$N$153,Q42+1,R42)</f>
        <v>* group[=].element[=].target.display = ##34###34#</v>
      </c>
    </row>
    <row r="43" spans="1:19" ht="44.25" x14ac:dyDescent="0.75">
      <c r="A43" s="12" t="str">
        <f>CancerEpisode!B34</f>
        <v>sarcomaClassification.miscellaniousMesenchimalTumors</v>
      </c>
      <c r="B43" s="11" t="str">
        <f>CancerEpisode!B34</f>
        <v>sarcomaClassification.miscellaniousMesenchimalTumors</v>
      </c>
      <c r="C43" s="11" t="str">
        <f>CancerEpisode!C34</f>
        <v>Miscellanious mesenchimal tumors</v>
      </c>
      <c r="D43" s="12" t="s">
        <v>1329</v>
      </c>
      <c r="E43" s="12"/>
      <c r="F43" s="49" t="s">
        <v>1294</v>
      </c>
      <c r="G43" s="97"/>
      <c r="H43" s="43"/>
      <c r="I43" s="12" t="str">
        <f t="shared" si="20"/>
        <v>* group[=].element[+].code = #CancerEpisode.sarcomaClassification.miscellaniousMesenchimalTumors</v>
      </c>
      <c r="J43" s="12" t="str">
        <f t="shared" si="21"/>
        <v>* group[=].element[=].display = ##34#Miscellanious mesenchimal tumors##34#</v>
      </c>
      <c r="K43" s="12" t="str">
        <f t="shared" si="22"/>
        <v>* group[=].element[=].target.code = #Condition.code</v>
      </c>
      <c r="L43" s="12" t="str">
        <f t="shared" si="23"/>
        <v>* group[=].element[=].target.display = ##34###34#</v>
      </c>
      <c r="M43" s="12" t="str">
        <f t="shared" si="24"/>
        <v>* group[=].element[=].target.equivalence = #relatedto</v>
      </c>
      <c r="N43" s="12" t="str">
        <f t="shared" si="25"/>
        <v/>
      </c>
      <c r="P43" s="11">
        <v>29</v>
      </c>
      <c r="Q43" s="11">
        <f t="shared" si="12"/>
        <v>4</v>
      </c>
      <c r="R43" s="11">
        <f t="shared" si="13"/>
        <v>5</v>
      </c>
      <c r="S43" s="12" t="str" cm="1">
        <f t="array" ref="S43">INDEX('CancerEpisode-ConceptMap-1'!$I$15:$N$153,Q43+1,R43)</f>
        <v>* group[=].element[=].target.equivalence = #relatedto</v>
      </c>
    </row>
    <row r="44" spans="1:19" ht="44.25" x14ac:dyDescent="0.75">
      <c r="A44" s="12" t="str">
        <f>CancerEpisode!B35</f>
        <v>sarcomaClassification.mixedEpithelialAndMesenchymalTumours</v>
      </c>
      <c r="B44" s="11" t="str">
        <f>CancerEpisode!B35</f>
        <v>sarcomaClassification.mixedEpithelialAndMesenchymalTumours</v>
      </c>
      <c r="C44" s="11" t="str">
        <f>CancerEpisode!C35</f>
        <v>Mixed epithelial and mesenchymal tumours</v>
      </c>
      <c r="D44" s="12" t="s">
        <v>1329</v>
      </c>
      <c r="E44" s="12"/>
      <c r="F44" s="49" t="s">
        <v>1294</v>
      </c>
      <c r="G44" s="97"/>
      <c r="H44" s="43"/>
      <c r="I44" s="12" t="str">
        <f t="shared" si="20"/>
        <v>* group[=].element[+].code = #CancerEpisode.sarcomaClassification.mixedEpithelialAndMesenchymalTumours</v>
      </c>
      <c r="J44" s="12" t="str">
        <f t="shared" si="21"/>
        <v>* group[=].element[=].display = ##34#Mixed epithelial and mesenchymal tumours##34#</v>
      </c>
      <c r="K44" s="12" t="str">
        <f t="shared" si="22"/>
        <v>* group[=].element[=].target.code = #Condition.code</v>
      </c>
      <c r="L44" s="12" t="str">
        <f t="shared" si="23"/>
        <v>* group[=].element[=].target.display = ##34###34#</v>
      </c>
      <c r="M44" s="12" t="str">
        <f t="shared" si="24"/>
        <v>* group[=].element[=].target.equivalence = #relatedto</v>
      </c>
      <c r="N44" s="12" t="str">
        <f t="shared" si="25"/>
        <v/>
      </c>
      <c r="P44" s="11">
        <v>30</v>
      </c>
      <c r="Q44" s="11">
        <f t="shared" si="12"/>
        <v>4</v>
      </c>
      <c r="R44" s="11">
        <f t="shared" si="13"/>
        <v>6</v>
      </c>
      <c r="S44" s="12" t="str" cm="1">
        <f t="array" ref="S44">INDEX('CancerEpisode-ConceptMap-1'!$I$15:$N$153,Q44+1,R44)</f>
        <v>* group[=].element[=].target.comment = ##34#see details in group2##34#</v>
      </c>
    </row>
    <row r="45" spans="1:19" ht="44.25" x14ac:dyDescent="0.75">
      <c r="A45" s="12" t="str">
        <f>CancerEpisode!B36</f>
        <v>subsites</v>
      </c>
      <c r="B45" s="11" t="str">
        <f>CancerEpisode!B36</f>
        <v>subsites</v>
      </c>
      <c r="C45" s="11" t="str">
        <f>CancerEpisode!C36</f>
        <v>subsites</v>
      </c>
      <c r="D45" s="12" t="s">
        <v>1625</v>
      </c>
      <c r="E45" s="12"/>
      <c r="F45" s="49" t="s">
        <v>1316</v>
      </c>
      <c r="G45" s="97"/>
      <c r="H45" s="43"/>
      <c r="I45" s="12" t="str">
        <f t="shared" si="20"/>
        <v>* group[=].element[+].code = #CancerEpisode.subsites</v>
      </c>
      <c r="J45" s="12" t="str">
        <f t="shared" si="21"/>
        <v>* group[=].element[=].display = ##34#subsites##34#</v>
      </c>
      <c r="K45" s="12" t="str">
        <f t="shared" si="22"/>
        <v>* group[=].element[=].target.code = #Condition.bodySite</v>
      </c>
      <c r="L45" s="12" t="str">
        <f t="shared" si="23"/>
        <v>* group[=].element[=].target.display = ##34###34#</v>
      </c>
      <c r="M45" s="12" t="str">
        <f t="shared" si="24"/>
        <v>* group[=].element[=].target.equivalence = #equivalent</v>
      </c>
      <c r="N45" s="12" t="str">
        <f t="shared" si="25"/>
        <v/>
      </c>
      <c r="P45" s="11">
        <v>31</v>
      </c>
      <c r="Q45" s="11">
        <f t="shared" si="12"/>
        <v>5</v>
      </c>
      <c r="R45" s="11">
        <f t="shared" si="13"/>
        <v>1</v>
      </c>
      <c r="S45" s="12" t="str" cm="1">
        <f t="array" ref="S45">INDEX('CancerEpisode-ConceptMap-1'!$I$15:$N$153,Q45+1,R45)</f>
        <v>* group[=].element[+].code = #CancerEpisode.biopsyDoneBy</v>
      </c>
    </row>
    <row r="46" spans="1:19" ht="44.25" x14ac:dyDescent="0.75">
      <c r="A46" s="12" t="str">
        <f>CancerEpisode!B37</f>
        <v>subsites.nasalCavityAndParanasalSinuses</v>
      </c>
      <c r="B46" s="11" t="str">
        <f>CancerEpisode!B37</f>
        <v>subsites.nasalCavityAndParanasalSinuses</v>
      </c>
      <c r="C46" s="11" t="str">
        <f>CancerEpisode!C37</f>
        <v>Nasal cavity and paranasal sinuses subsite</v>
      </c>
      <c r="D46" s="12" t="s">
        <v>1625</v>
      </c>
      <c r="E46" s="12"/>
      <c r="F46" s="49" t="s">
        <v>1316</v>
      </c>
      <c r="G46" s="97"/>
      <c r="H46" s="43"/>
      <c r="I46" s="12" t="str">
        <f t="shared" si="20"/>
        <v>* group[=].element[+].code = #CancerEpisode.subsites.nasalCavityAndParanasalSinuses</v>
      </c>
      <c r="J46" s="12" t="str">
        <f t="shared" si="21"/>
        <v>* group[=].element[=].display = ##34#Nasal cavity and paranasal sinuses subsite##34#</v>
      </c>
      <c r="K46" s="12" t="str">
        <f t="shared" si="22"/>
        <v>* group[=].element[=].target.code = #Condition.bodySite</v>
      </c>
      <c r="L46" s="12" t="str">
        <f t="shared" si="23"/>
        <v>* group[=].element[=].target.display = ##34###34#</v>
      </c>
      <c r="M46" s="12" t="str">
        <f t="shared" si="24"/>
        <v>* group[=].element[=].target.equivalence = #equivalent</v>
      </c>
      <c r="N46" s="12" t="str">
        <f t="shared" si="25"/>
        <v/>
      </c>
      <c r="P46" s="11">
        <v>32</v>
      </c>
      <c r="Q46" s="11">
        <f t="shared" si="12"/>
        <v>5</v>
      </c>
      <c r="R46" s="11">
        <f t="shared" si="13"/>
        <v>2</v>
      </c>
      <c r="S46" s="12" t="str" cm="1">
        <f t="array" ref="S46">INDEX('CancerEpisode-ConceptMap-1'!$I$15:$N$153,Q46+1,R46)</f>
        <v>* group[=].element[=].display = ##34#Biopsy done by##34#</v>
      </c>
    </row>
    <row r="47" spans="1:19" ht="44.25" x14ac:dyDescent="0.75">
      <c r="A47" s="12" t="str">
        <f>CancerEpisode!B38</f>
        <v>subsites.nasopharynx</v>
      </c>
      <c r="B47" s="11" t="str">
        <f>CancerEpisode!B38</f>
        <v>subsites.nasopharynx</v>
      </c>
      <c r="C47" s="11" t="str">
        <f>CancerEpisode!C38</f>
        <v>Nasopharynx  subsite</v>
      </c>
      <c r="D47" s="12" t="s">
        <v>1625</v>
      </c>
      <c r="E47" s="12"/>
      <c r="F47" s="49" t="s">
        <v>1316</v>
      </c>
      <c r="G47" s="97"/>
      <c r="H47" s="43"/>
      <c r="I47" s="12" t="str">
        <f t="shared" si="20"/>
        <v>* group[=].element[+].code = #CancerEpisode.subsites.nasopharynx</v>
      </c>
      <c r="J47" s="12" t="str">
        <f t="shared" si="21"/>
        <v>* group[=].element[=].display = ##34#Nasopharynx  subsite##34#</v>
      </c>
      <c r="K47" s="12" t="str">
        <f t="shared" si="22"/>
        <v>* group[=].element[=].target.code = #Condition.bodySite</v>
      </c>
      <c r="L47" s="12" t="str">
        <f t="shared" si="23"/>
        <v>* group[=].element[=].target.display = ##34###34#</v>
      </c>
      <c r="M47" s="12" t="str">
        <f t="shared" si="24"/>
        <v>* group[=].element[=].target.equivalence = #equivalent</v>
      </c>
      <c r="N47" s="12" t="str">
        <f t="shared" si="25"/>
        <v/>
      </c>
      <c r="P47" s="11">
        <v>33</v>
      </c>
      <c r="Q47" s="11">
        <f t="shared" si="12"/>
        <v>5</v>
      </c>
      <c r="R47" s="11">
        <f t="shared" si="13"/>
        <v>3</v>
      </c>
      <c r="S47" s="12" t="str" cm="1">
        <f t="array" ref="S47">INDEX('CancerEpisode-ConceptMap-1'!$I$15:$N$153,Q47+1,R47)</f>
        <v>* group[=].element[=].target.code = #Condition.evidence:diagnosisDetails.detail.performer</v>
      </c>
    </row>
    <row r="48" spans="1:19" ht="44.25" x14ac:dyDescent="0.75">
      <c r="A48" s="12" t="str">
        <f>CancerEpisode!B39</f>
        <v>subsites.hypopharynx</v>
      </c>
      <c r="B48" s="11" t="str">
        <f>CancerEpisode!B39</f>
        <v>subsites.hypopharynx</v>
      </c>
      <c r="C48" s="11" t="str">
        <f>CancerEpisode!C39</f>
        <v>Hypopharynx subsite</v>
      </c>
      <c r="D48" s="12" t="s">
        <v>1625</v>
      </c>
      <c r="E48" s="12"/>
      <c r="F48" s="49" t="s">
        <v>1316</v>
      </c>
      <c r="G48" s="97"/>
      <c r="H48" s="43"/>
      <c r="I48" s="12" t="str">
        <f t="shared" si="20"/>
        <v>* group[=].element[+].code = #CancerEpisode.subsites.hypopharynx</v>
      </c>
      <c r="J48" s="12" t="str">
        <f t="shared" si="21"/>
        <v>* group[=].element[=].display = ##34#Hypopharynx subsite##34#</v>
      </c>
      <c r="K48" s="12" t="str">
        <f t="shared" si="22"/>
        <v>* group[=].element[=].target.code = #Condition.bodySite</v>
      </c>
      <c r="L48" s="12" t="str">
        <f t="shared" si="23"/>
        <v>* group[=].element[=].target.display = ##34###34#</v>
      </c>
      <c r="M48" s="12" t="str">
        <f t="shared" si="24"/>
        <v>* group[=].element[=].target.equivalence = #equivalent</v>
      </c>
      <c r="N48" s="12" t="str">
        <f t="shared" si="25"/>
        <v/>
      </c>
      <c r="P48" s="11">
        <v>34</v>
      </c>
      <c r="Q48" s="11">
        <f t="shared" si="12"/>
        <v>5</v>
      </c>
      <c r="R48" s="11">
        <f t="shared" si="13"/>
        <v>4</v>
      </c>
      <c r="S48" s="12" t="str" cm="1">
        <f t="array" ref="S48">INDEX('CancerEpisode-ConceptMap-1'!$I$15:$N$153,Q48+1,R48)</f>
        <v>* group[=].element[=].target.display = ##34###34#</v>
      </c>
    </row>
    <row r="49" spans="1:19" ht="44.25" x14ac:dyDescent="0.75">
      <c r="A49" s="12" t="str">
        <f>CancerEpisode!B40</f>
        <v>subsites.oropharynx</v>
      </c>
      <c r="B49" s="11" t="str">
        <f>CancerEpisode!B40</f>
        <v>subsites.oropharynx</v>
      </c>
      <c r="C49" s="11" t="str">
        <f>CancerEpisode!C40</f>
        <v>Oropharynx subsite</v>
      </c>
      <c r="D49" s="12" t="s">
        <v>1625</v>
      </c>
      <c r="E49" s="12"/>
      <c r="F49" s="49" t="s">
        <v>1316</v>
      </c>
      <c r="G49" s="97"/>
      <c r="H49" s="43"/>
      <c r="I49" s="12" t="str">
        <f t="shared" si="20"/>
        <v>* group[=].element[+].code = #CancerEpisode.subsites.oropharynx</v>
      </c>
      <c r="J49" s="12" t="str">
        <f t="shared" si="21"/>
        <v>* group[=].element[=].display = ##34#Oropharynx subsite##34#</v>
      </c>
      <c r="K49" s="12" t="str">
        <f t="shared" si="22"/>
        <v>* group[=].element[=].target.code = #Condition.bodySite</v>
      </c>
      <c r="L49" s="12" t="str">
        <f t="shared" si="23"/>
        <v>* group[=].element[=].target.display = ##34###34#</v>
      </c>
      <c r="M49" s="12" t="str">
        <f t="shared" si="24"/>
        <v>* group[=].element[=].target.equivalence = #equivalent</v>
      </c>
      <c r="N49" s="12" t="str">
        <f t="shared" si="25"/>
        <v/>
      </c>
      <c r="P49" s="11">
        <v>35</v>
      </c>
      <c r="Q49" s="11">
        <f t="shared" si="12"/>
        <v>5</v>
      </c>
      <c r="R49" s="11">
        <f t="shared" si="13"/>
        <v>5</v>
      </c>
      <c r="S49" s="12" t="str" cm="1">
        <f t="array" ref="S49">INDEX('CancerEpisode-ConceptMap-1'!$I$15:$N$153,Q49+1,R49)</f>
        <v>* group[=].element[=].target.equivalence = #relatedto</v>
      </c>
    </row>
    <row r="50" spans="1:19" ht="44.25" x14ac:dyDescent="0.75">
      <c r="A50" s="12" t="str">
        <f>CancerEpisode!B41</f>
        <v>subsites.larynx</v>
      </c>
      <c r="B50" s="11" t="str">
        <f>CancerEpisode!B41</f>
        <v>subsites.larynx</v>
      </c>
      <c r="C50" s="11" t="str">
        <f>CancerEpisode!C41</f>
        <v>Larynx subsite</v>
      </c>
      <c r="D50" s="12" t="s">
        <v>1625</v>
      </c>
      <c r="E50" s="12"/>
      <c r="F50" s="49" t="s">
        <v>1316</v>
      </c>
      <c r="G50" s="97"/>
      <c r="H50" s="43"/>
      <c r="I50" s="12" t="str">
        <f t="shared" si="20"/>
        <v>* group[=].element[+].code = #CancerEpisode.subsites.larynx</v>
      </c>
      <c r="J50" s="12" t="str">
        <f t="shared" si="21"/>
        <v>* group[=].element[=].display = ##34#Larynx subsite##34#</v>
      </c>
      <c r="K50" s="12" t="str">
        <f t="shared" si="22"/>
        <v>* group[=].element[=].target.code = #Condition.bodySite</v>
      </c>
      <c r="L50" s="12" t="str">
        <f t="shared" si="23"/>
        <v>* group[=].element[=].target.display = ##34###34#</v>
      </c>
      <c r="M50" s="12" t="str">
        <f t="shared" si="24"/>
        <v>* group[=].element[=].target.equivalence = #equivalent</v>
      </c>
      <c r="N50" s="12" t="str">
        <f t="shared" si="25"/>
        <v/>
      </c>
      <c r="P50" s="11">
        <v>36</v>
      </c>
      <c r="Q50" s="11">
        <f t="shared" si="12"/>
        <v>5</v>
      </c>
      <c r="R50" s="11">
        <f t="shared" si="13"/>
        <v>6</v>
      </c>
      <c r="S50" s="12" t="str" cm="1">
        <f t="array" ref="S50">INDEX('CancerEpisode-ConceptMap-1'!$I$15:$N$153,Q50+1,R50)</f>
        <v>* group[=].element[=].target.comment = ##34#detail  id ofType Observation and conformsTo http://hl7.eu/fhir/ig/idea4rc/StructureDefinition/Observation-diagnosis-eu-i4rc##34#</v>
      </c>
    </row>
    <row r="51" spans="1:19" ht="44.25" x14ac:dyDescent="0.75">
      <c r="A51" s="12" t="str">
        <f>CancerEpisode!B42</f>
        <v>subsites.oralCavity</v>
      </c>
      <c r="B51" s="11" t="str">
        <f>CancerEpisode!B42</f>
        <v>subsites.oralCavity</v>
      </c>
      <c r="C51" s="11" t="str">
        <f>CancerEpisode!C42</f>
        <v>Oral cavity subsite</v>
      </c>
      <c r="D51" s="12" t="s">
        <v>1625</v>
      </c>
      <c r="E51" s="12"/>
      <c r="F51" s="49" t="s">
        <v>1316</v>
      </c>
      <c r="G51" s="97"/>
      <c r="H51" s="43"/>
      <c r="I51" s="12" t="str">
        <f t="shared" si="20"/>
        <v>* group[=].element[+].code = #CancerEpisode.subsites.oralCavity</v>
      </c>
      <c r="J51" s="12" t="str">
        <f t="shared" si="21"/>
        <v>* group[=].element[=].display = ##34#Oral cavity subsite##34#</v>
      </c>
      <c r="K51" s="12" t="str">
        <f t="shared" si="22"/>
        <v>* group[=].element[=].target.code = #Condition.bodySite</v>
      </c>
      <c r="L51" s="12" t="str">
        <f t="shared" si="23"/>
        <v>* group[=].element[=].target.display = ##34###34#</v>
      </c>
      <c r="M51" s="12" t="str">
        <f t="shared" si="24"/>
        <v>* group[=].element[=].target.equivalence = #equivalent</v>
      </c>
      <c r="N51" s="12" t="str">
        <f t="shared" si="25"/>
        <v/>
      </c>
      <c r="P51" s="11">
        <v>37</v>
      </c>
      <c r="Q51" s="11">
        <f t="shared" si="12"/>
        <v>6</v>
      </c>
      <c r="R51" s="11">
        <f t="shared" si="13"/>
        <v>1</v>
      </c>
      <c r="S51" s="12" t="str" cm="1">
        <f t="array" ref="S51">INDEX('CancerEpisode-ConceptMap-1'!$I$15:$N$153,Q51+1,R51)</f>
        <v>* group[=].element[+].code = #CancerEpisode.ageAtDiagnosis</v>
      </c>
    </row>
    <row r="52" spans="1:19" ht="44.25" x14ac:dyDescent="0.75">
      <c r="A52" s="12" t="str">
        <f>CancerEpisode!B43</f>
        <v>subsites.lip</v>
      </c>
      <c r="B52" s="11" t="str">
        <f>CancerEpisode!B43</f>
        <v>subsites.lip</v>
      </c>
      <c r="C52" s="11" t="str">
        <f>CancerEpisode!C43</f>
        <v>Lip subsite</v>
      </c>
      <c r="D52" s="12" t="s">
        <v>1625</v>
      </c>
      <c r="E52" s="12"/>
      <c r="F52" s="49" t="s">
        <v>1316</v>
      </c>
      <c r="G52" s="97"/>
      <c r="H52" s="43"/>
      <c r="I52" s="12" t="str">
        <f t="shared" si="20"/>
        <v>* group[=].element[+].code = #CancerEpisode.subsites.lip</v>
      </c>
      <c r="J52" s="12" t="str">
        <f t="shared" si="21"/>
        <v>* group[=].element[=].display = ##34#Lip subsite##34#</v>
      </c>
      <c r="K52" s="12" t="str">
        <f t="shared" si="22"/>
        <v>* group[=].element[=].target.code = #Condition.bodySite</v>
      </c>
      <c r="L52" s="12" t="str">
        <f t="shared" si="23"/>
        <v>* group[=].element[=].target.display = ##34###34#</v>
      </c>
      <c r="M52" s="12" t="str">
        <f t="shared" si="24"/>
        <v>* group[=].element[=].target.equivalence = #equivalent</v>
      </c>
      <c r="N52" s="12" t="str">
        <f t="shared" si="25"/>
        <v/>
      </c>
      <c r="P52" s="11">
        <v>38</v>
      </c>
      <c r="Q52" s="11">
        <f t="shared" si="12"/>
        <v>6</v>
      </c>
      <c r="R52" s="11">
        <f t="shared" si="13"/>
        <v>2</v>
      </c>
      <c r="S52" s="12" t="str" cm="1">
        <f t="array" ref="S52">INDEX('CancerEpisode-ConceptMap-1'!$I$15:$N$153,Q52+1,R52)</f>
        <v>* group[=].element[=].display = ##34#Age at diagnosis##34#</v>
      </c>
    </row>
    <row r="53" spans="1:19" ht="44.25" x14ac:dyDescent="0.75">
      <c r="A53" s="12" t="str">
        <f>CancerEpisode!B44</f>
        <v>subsites.upperAndLowerLimbs</v>
      </c>
      <c r="B53" s="11" t="str">
        <f>CancerEpisode!B44</f>
        <v>subsites.upperAndLowerLimbs</v>
      </c>
      <c r="C53" s="11" t="str">
        <f>CancerEpisode!C44</f>
        <v>Upper and Lower limbs subsite</v>
      </c>
      <c r="D53" s="12" t="s">
        <v>1625</v>
      </c>
      <c r="E53" s="12"/>
      <c r="F53" s="49" t="s">
        <v>1316</v>
      </c>
      <c r="G53" s="97"/>
      <c r="H53" s="43"/>
      <c r="I53" s="12" t="str">
        <f t="shared" si="20"/>
        <v>* group[=].element[+].code = #CancerEpisode.subsites.upperAndLowerLimbs</v>
      </c>
      <c r="J53" s="12" t="str">
        <f t="shared" si="21"/>
        <v>* group[=].element[=].display = ##34#Upper and Lower limbs subsite##34#</v>
      </c>
      <c r="K53" s="12" t="str">
        <f t="shared" si="22"/>
        <v>* group[=].element[=].target.code = #Condition.bodySite</v>
      </c>
      <c r="L53" s="12" t="str">
        <f t="shared" si="23"/>
        <v>* group[=].element[=].target.display = ##34###34#</v>
      </c>
      <c r="M53" s="12" t="str">
        <f t="shared" si="24"/>
        <v>* group[=].element[=].target.equivalence = #equivalent</v>
      </c>
      <c r="N53" s="12" t="str">
        <f t="shared" si="25"/>
        <v/>
      </c>
      <c r="P53" s="11">
        <v>39</v>
      </c>
      <c r="Q53" s="11">
        <f t="shared" si="12"/>
        <v>6</v>
      </c>
      <c r="R53" s="11">
        <f t="shared" si="13"/>
        <v>3</v>
      </c>
      <c r="S53" s="12" t="str" cm="1">
        <f t="array" ref="S53">INDEX('CancerEpisode-ConceptMap-1'!$I$15:$N$153,Q53+1,R53)</f>
        <v>* group[=].element[=].target.code = #Condition.onsetAge</v>
      </c>
    </row>
    <row r="54" spans="1:19" ht="44.25" x14ac:dyDescent="0.75">
      <c r="A54" s="12" t="str">
        <f>CancerEpisode!B45</f>
        <v>subsites.trunkWallSubsite</v>
      </c>
      <c r="B54" s="11" t="str">
        <f>CancerEpisode!B45</f>
        <v>subsites.trunkWallSubsite</v>
      </c>
      <c r="C54" s="11" t="str">
        <f>CancerEpisode!C45</f>
        <v>Trunk wall subsite</v>
      </c>
      <c r="D54" s="12" t="s">
        <v>1625</v>
      </c>
      <c r="E54" s="12"/>
      <c r="F54" s="49" t="s">
        <v>1316</v>
      </c>
      <c r="G54" s="97"/>
      <c r="H54" s="43"/>
      <c r="I54" s="12" t="str">
        <f t="shared" si="20"/>
        <v>* group[=].element[+].code = #CancerEpisode.subsites.trunkWallSubsite</v>
      </c>
      <c r="J54" s="12" t="str">
        <f t="shared" si="21"/>
        <v>* group[=].element[=].display = ##34#Trunk wall subsite##34#</v>
      </c>
      <c r="K54" s="12" t="str">
        <f t="shared" si="22"/>
        <v>* group[=].element[=].target.code = #Condition.bodySite</v>
      </c>
      <c r="L54" s="12" t="str">
        <f t="shared" si="23"/>
        <v>* group[=].element[=].target.display = ##34###34#</v>
      </c>
      <c r="M54" s="12" t="str">
        <f t="shared" si="24"/>
        <v>* group[=].element[=].target.equivalence = #equivalent</v>
      </c>
      <c r="N54" s="12" t="str">
        <f t="shared" si="25"/>
        <v/>
      </c>
      <c r="P54" s="11">
        <v>40</v>
      </c>
      <c r="Q54" s="11">
        <f t="shared" si="12"/>
        <v>6</v>
      </c>
      <c r="R54" s="11">
        <f t="shared" si="13"/>
        <v>4</v>
      </c>
      <c r="S54" s="12" t="str" cm="1">
        <f t="array" ref="S54">INDEX('CancerEpisode-ConceptMap-1'!$I$15:$N$153,Q54+1,R54)</f>
        <v>* group[=].element[=].target.display = ##34###34#</v>
      </c>
    </row>
    <row r="55" spans="1:19" ht="44.25" x14ac:dyDescent="0.75">
      <c r="A55" s="12" t="str">
        <f>CancerEpisode!B46</f>
        <v>subsites.intraAbdominalSubsite</v>
      </c>
      <c r="B55" s="11" t="str">
        <f>CancerEpisode!B46</f>
        <v>subsites.intraAbdominalSubsite</v>
      </c>
      <c r="C55" s="11" t="str">
        <f>CancerEpisode!C46</f>
        <v>Intra abdominal subsite</v>
      </c>
      <c r="D55" s="12" t="s">
        <v>1625</v>
      </c>
      <c r="E55" s="12"/>
      <c r="F55" s="49" t="s">
        <v>1316</v>
      </c>
      <c r="G55" s="97"/>
      <c r="H55" s="43"/>
      <c r="I55" s="12" t="str">
        <f t="shared" si="20"/>
        <v>* group[=].element[+].code = #CancerEpisode.subsites.intraAbdominalSubsite</v>
      </c>
      <c r="J55" s="12" t="str">
        <f t="shared" si="21"/>
        <v>* group[=].element[=].display = ##34#Intra abdominal subsite##34#</v>
      </c>
      <c r="K55" s="12" t="str">
        <f t="shared" si="22"/>
        <v>* group[=].element[=].target.code = #Condition.bodySite</v>
      </c>
      <c r="L55" s="12" t="str">
        <f t="shared" si="23"/>
        <v>* group[=].element[=].target.display = ##34###34#</v>
      </c>
      <c r="M55" s="12" t="str">
        <f t="shared" si="24"/>
        <v>* group[=].element[=].target.equivalence = #equivalent</v>
      </c>
      <c r="N55" s="12" t="str">
        <f t="shared" si="25"/>
        <v/>
      </c>
      <c r="P55" s="11">
        <v>41</v>
      </c>
      <c r="Q55" s="11">
        <f t="shared" si="12"/>
        <v>6</v>
      </c>
      <c r="R55" s="11">
        <f t="shared" si="13"/>
        <v>5</v>
      </c>
      <c r="S55" s="12" t="str" cm="1">
        <f t="array" ref="S55">INDEX('CancerEpisode-ConceptMap-1'!$I$15:$N$153,Q55+1,R55)</f>
        <v>* group[=].element[=].target.equivalence = #equal</v>
      </c>
    </row>
    <row r="56" spans="1:19" ht="44.25" x14ac:dyDescent="0.75">
      <c r="A56" s="12" t="str">
        <f>CancerEpisode!B47</f>
        <v>subsites.intraThoracicSubsite</v>
      </c>
      <c r="B56" s="11" t="str">
        <f>CancerEpisode!B47</f>
        <v>subsites.intraThoracicSubsite</v>
      </c>
      <c r="C56" s="11" t="str">
        <f>CancerEpisode!C47</f>
        <v>Intra thoracic subsite</v>
      </c>
      <c r="D56" s="12" t="s">
        <v>1625</v>
      </c>
      <c r="E56" s="12"/>
      <c r="F56" s="49" t="s">
        <v>1316</v>
      </c>
      <c r="G56" s="97"/>
      <c r="H56" s="43"/>
      <c r="I56" s="12" t="str">
        <f t="shared" si="20"/>
        <v>* group[=].element[+].code = #CancerEpisode.subsites.intraThoracicSubsite</v>
      </c>
      <c r="J56" s="12" t="str">
        <f t="shared" si="21"/>
        <v>* group[=].element[=].display = ##34#Intra thoracic subsite##34#</v>
      </c>
      <c r="K56" s="12" t="str">
        <f t="shared" si="22"/>
        <v>* group[=].element[=].target.code = #Condition.bodySite</v>
      </c>
      <c r="L56" s="12" t="str">
        <f t="shared" si="23"/>
        <v>* group[=].element[=].target.display = ##34###34#</v>
      </c>
      <c r="M56" s="12" t="str">
        <f t="shared" si="24"/>
        <v>* group[=].element[=].target.equivalence = #equivalent</v>
      </c>
      <c r="N56" s="12" t="str">
        <f t="shared" si="25"/>
        <v/>
      </c>
      <c r="P56" s="11">
        <v>42</v>
      </c>
      <c r="Q56" s="11">
        <f t="shared" si="12"/>
        <v>6</v>
      </c>
      <c r="R56" s="11">
        <f t="shared" si="13"/>
        <v>6</v>
      </c>
      <c r="S56" s="12" t="str" cm="1">
        <f t="array" ref="S56">INDEX('CancerEpisode-ConceptMap-1'!$I$15:$N$153,Q56+1,R56)</f>
        <v>* group[=].element[=].target.comment = ##34#to be checked if an onSetdatTime or period is needed##34#</v>
      </c>
    </row>
    <row r="57" spans="1:19" ht="44.25" x14ac:dyDescent="0.75">
      <c r="A57" s="12" t="str">
        <f>CancerEpisode!B48</f>
        <v>subsites.genitoUrinarySubsite</v>
      </c>
      <c r="B57" s="11" t="str">
        <f>CancerEpisode!B48</f>
        <v>subsites.genitoUrinarySubsite</v>
      </c>
      <c r="C57" s="11" t="str">
        <f>CancerEpisode!C48</f>
        <v>Genito urinary subsite</v>
      </c>
      <c r="D57" s="12" t="s">
        <v>1625</v>
      </c>
      <c r="E57" s="12"/>
      <c r="F57" s="49" t="s">
        <v>1316</v>
      </c>
      <c r="G57" s="97"/>
      <c r="H57" s="43"/>
      <c r="I57" s="12" t="str">
        <f t="shared" si="20"/>
        <v>* group[=].element[+].code = #CancerEpisode.subsites.genitoUrinarySubsite</v>
      </c>
      <c r="J57" s="12" t="str">
        <f t="shared" si="21"/>
        <v>* group[=].element[=].display = ##34#Genito urinary subsite##34#</v>
      </c>
      <c r="K57" s="12" t="str">
        <f t="shared" si="22"/>
        <v>* group[=].element[=].target.code = #Condition.bodySite</v>
      </c>
      <c r="L57" s="12" t="str">
        <f t="shared" si="23"/>
        <v>* group[=].element[=].target.display = ##34###34#</v>
      </c>
      <c r="M57" s="12" t="str">
        <f t="shared" si="24"/>
        <v>* group[=].element[=].target.equivalence = #equivalent</v>
      </c>
      <c r="N57" s="12" t="str">
        <f t="shared" si="25"/>
        <v/>
      </c>
      <c r="P57" s="11">
        <v>43</v>
      </c>
      <c r="Q57" s="11">
        <f t="shared" si="12"/>
        <v>7</v>
      </c>
      <c r="R57" s="11">
        <f t="shared" si="13"/>
        <v>1</v>
      </c>
      <c r="S57" s="12" t="str" cm="1">
        <f t="array" ref="S57">INDEX('CancerEpisode-ConceptMap-1'!$I$15:$N$153,Q57+1,R57)</f>
        <v>* group[=].element[+].code = #CancerEpisode.radiotherapyInducedSarcoma</v>
      </c>
    </row>
    <row r="58" spans="1:19" ht="44.25" x14ac:dyDescent="0.75">
      <c r="A58" s="12" t="str">
        <f>CancerEpisode!B49</f>
        <v>subsites.headAndNeckSubsite</v>
      </c>
      <c r="B58" s="11" t="str">
        <f>CancerEpisode!B49</f>
        <v>subsites.headAndNeckSubsite</v>
      </c>
      <c r="C58" s="11" t="str">
        <f>CancerEpisode!C49</f>
        <v>Head and Neck subsite</v>
      </c>
      <c r="D58" s="12" t="s">
        <v>1625</v>
      </c>
      <c r="E58" s="12"/>
      <c r="F58" s="49" t="s">
        <v>1316</v>
      </c>
      <c r="G58" s="97"/>
      <c r="H58" s="43"/>
      <c r="I58" s="12" t="str">
        <f t="shared" si="20"/>
        <v>* group[=].element[+].code = #CancerEpisode.subsites.headAndNeckSubsite</v>
      </c>
      <c r="J58" s="12" t="str">
        <f t="shared" si="21"/>
        <v>* group[=].element[=].display = ##34#Head and Neck subsite##34#</v>
      </c>
      <c r="K58" s="12" t="str">
        <f t="shared" si="22"/>
        <v>* group[=].element[=].target.code = #Condition.bodySite</v>
      </c>
      <c r="L58" s="12" t="str">
        <f t="shared" si="23"/>
        <v>* group[=].element[=].target.display = ##34###34#</v>
      </c>
      <c r="M58" s="12" t="str">
        <f t="shared" si="24"/>
        <v>* group[=].element[=].target.equivalence = #equivalent</v>
      </c>
      <c r="N58" s="12" t="str">
        <f t="shared" si="25"/>
        <v/>
      </c>
      <c r="P58" s="11">
        <v>44</v>
      </c>
      <c r="Q58" s="11">
        <f t="shared" si="12"/>
        <v>7</v>
      </c>
      <c r="R58" s="11">
        <f t="shared" si="13"/>
        <v>2</v>
      </c>
      <c r="S58" s="12" t="str" cm="1">
        <f t="array" ref="S58">INDEX('CancerEpisode-ConceptMap-1'!$I$15:$N$153,Q58+1,R58)</f>
        <v>* group[=].element[=].display = ##34#Radiotherapy induced sarcoma##34#</v>
      </c>
    </row>
    <row r="59" spans="1:19" ht="44.25" x14ac:dyDescent="0.75">
      <c r="A59" s="12" t="str">
        <f>CancerEpisode!B50</f>
        <v>subsites.breast</v>
      </c>
      <c r="B59" s="11" t="str">
        <f>CancerEpisode!B50</f>
        <v>subsites.breast</v>
      </c>
      <c r="C59" s="11" t="str">
        <f>CancerEpisode!C50</f>
        <v>Breast subsite</v>
      </c>
      <c r="D59" s="12" t="s">
        <v>1625</v>
      </c>
      <c r="E59" s="12"/>
      <c r="F59" s="49" t="s">
        <v>1316</v>
      </c>
      <c r="G59" s="97"/>
      <c r="H59" s="43"/>
      <c r="I59" s="12" t="str">
        <f t="shared" si="20"/>
        <v>* group[=].element[+].code = #CancerEpisode.subsites.breast</v>
      </c>
      <c r="J59" s="12" t="str">
        <f t="shared" si="21"/>
        <v>* group[=].element[=].display = ##34#Breast subsite##34#</v>
      </c>
      <c r="K59" s="12" t="str">
        <f t="shared" si="22"/>
        <v>* group[=].element[=].target.code = #Condition.bodySite</v>
      </c>
      <c r="L59" s="12" t="str">
        <f t="shared" si="23"/>
        <v>* group[=].element[=].target.display = ##34###34#</v>
      </c>
      <c r="M59" s="12" t="str">
        <f t="shared" si="24"/>
        <v>* group[=].element[=].target.equivalence = #equivalent</v>
      </c>
      <c r="N59" s="12" t="str">
        <f t="shared" si="25"/>
        <v/>
      </c>
      <c r="P59" s="11">
        <v>45</v>
      </c>
      <c r="Q59" s="11">
        <f t="shared" si="12"/>
        <v>7</v>
      </c>
      <c r="R59" s="11">
        <f t="shared" si="13"/>
        <v>3</v>
      </c>
      <c r="S59" s="12" t="str" cm="1">
        <f t="array" ref="S59">INDEX('CancerEpisode-ConceptMap-1'!$I$15:$N$153,Q59+1,R59)</f>
        <v>* group[=].element[=].target.code = #Condition.extension:condition-dueTo</v>
      </c>
    </row>
    <row r="60" spans="1:19" ht="44.25" x14ac:dyDescent="0.75">
      <c r="A60" s="12" t="str">
        <f>CancerEpisode!B51</f>
        <v>subsites.others</v>
      </c>
      <c r="B60" s="11" t="str">
        <f>CancerEpisode!B51</f>
        <v>subsites.others</v>
      </c>
      <c r="C60" s="11" t="str">
        <f>CancerEpisode!C51</f>
        <v>Other subsite</v>
      </c>
      <c r="D60" s="12" t="s">
        <v>1625</v>
      </c>
      <c r="E60" s="12"/>
      <c r="F60" s="49" t="s">
        <v>1316</v>
      </c>
      <c r="G60" s="97"/>
      <c r="H60" s="43"/>
      <c r="I60" s="12" t="str">
        <f t="shared" si="20"/>
        <v>* group[=].element[+].code = #CancerEpisode.subsites.others</v>
      </c>
      <c r="J60" s="12" t="str">
        <f t="shared" si="21"/>
        <v>* group[=].element[=].display = ##34#Other subsite##34#</v>
      </c>
      <c r="K60" s="12" t="str">
        <f t="shared" si="22"/>
        <v>* group[=].element[=].target.code = #Condition.bodySite</v>
      </c>
      <c r="L60" s="12" t="str">
        <f t="shared" si="23"/>
        <v>* group[=].element[=].target.display = ##34###34#</v>
      </c>
      <c r="M60" s="12" t="str">
        <f t="shared" si="24"/>
        <v>* group[=].element[=].target.equivalence = #equivalent</v>
      </c>
      <c r="N60" s="12" t="str">
        <f t="shared" si="25"/>
        <v/>
      </c>
      <c r="P60" s="11">
        <v>46</v>
      </c>
      <c r="Q60" s="11">
        <f t="shared" si="12"/>
        <v>7</v>
      </c>
      <c r="R60" s="11">
        <f t="shared" si="13"/>
        <v>4</v>
      </c>
      <c r="S60" s="12" t="str" cm="1">
        <f t="array" ref="S60">INDEX('CancerEpisode-ConceptMap-1'!$I$15:$N$153,Q60+1,R60)</f>
        <v>* group[=].element[=].target.display = ##34###34#</v>
      </c>
    </row>
    <row r="61" spans="1:19" ht="73.75" x14ac:dyDescent="0.75">
      <c r="A61" s="12" t="str">
        <f>CancerEpisode!B52</f>
        <v>tumorSize</v>
      </c>
      <c r="B61" s="11" t="str">
        <f>CancerEpisode!B52</f>
        <v>tumorSize</v>
      </c>
      <c r="C61" s="11" t="str">
        <f>CancerEpisode!C52</f>
        <v>Tumor Size</v>
      </c>
      <c r="D61" s="12" t="s">
        <v>2331</v>
      </c>
      <c r="E61" s="12"/>
      <c r="F61" s="49" t="s">
        <v>1316</v>
      </c>
      <c r="G61" s="78" t="s">
        <v>2332</v>
      </c>
      <c r="H61" s="43"/>
      <c r="I61" s="12" t="str">
        <f t="shared" si="20"/>
        <v>* group[=].element[+].code = #CancerEpisode.tumorSize</v>
      </c>
      <c r="J61" s="12" t="str">
        <f t="shared" si="21"/>
        <v>* group[=].element[=].display = ##34#Tumor Size##34#</v>
      </c>
      <c r="K61" s="12" t="str">
        <f t="shared" si="22"/>
        <v>* group[=].element[=].target.code = #Condition.evidence.valueQuantity</v>
      </c>
      <c r="L61" s="12" t="str">
        <f t="shared" si="23"/>
        <v>* group[=].element[=].target.display = ##34###34#</v>
      </c>
      <c r="M61" s="12" t="str">
        <f t="shared" si="24"/>
        <v>* group[=].element[=].target.equivalence = #equivalent</v>
      </c>
      <c r="N61" s="12" t="str">
        <f t="shared" si="25"/>
        <v>* group[=].element[=].target.comment = ##34#Where evidence.code is $loinc#21889-1 Size Tumor##34#</v>
      </c>
      <c r="P61" s="11">
        <v>47</v>
      </c>
      <c r="Q61" s="11">
        <f t="shared" si="12"/>
        <v>7</v>
      </c>
      <c r="R61" s="11">
        <f t="shared" si="13"/>
        <v>5</v>
      </c>
      <c r="S61" s="12" t="str" cm="1">
        <f t="array" ref="S61">INDEX('CancerEpisode-ConceptMap-1'!$I$15:$N$153,Q61+1,R61)</f>
        <v>* group[=].element[=].target.equivalence = #equivalent</v>
      </c>
    </row>
    <row r="62" spans="1:19" ht="73.75" x14ac:dyDescent="0.75">
      <c r="A62" s="12" t="str">
        <f>CancerEpisode!B53</f>
        <v>depth</v>
      </c>
      <c r="B62" s="11" t="str">
        <f>CancerEpisode!B53</f>
        <v>depth</v>
      </c>
      <c r="C62" s="11" t="str">
        <f>CancerEpisode!C53</f>
        <v xml:space="preserve">Depth </v>
      </c>
      <c r="D62" s="12" t="s">
        <v>2330</v>
      </c>
      <c r="E62" s="12"/>
      <c r="F62" s="49" t="s">
        <v>1316</v>
      </c>
      <c r="G62" s="78"/>
      <c r="H62" s="43"/>
      <c r="I62" s="12" t="str">
        <f t="shared" si="20"/>
        <v>* group[=].element[+].code = #CancerEpisode.depth</v>
      </c>
      <c r="J62" s="12" t="str">
        <f t="shared" si="21"/>
        <v>* group[=].element[=].display = ##34#Depth ##34#</v>
      </c>
      <c r="K62" s="12" t="str">
        <f t="shared" si="22"/>
        <v>* group[=].element[=].target.code = #Condition.bodySite.extension:locationQualifier</v>
      </c>
      <c r="L62" s="12" t="str">
        <f t="shared" si="23"/>
        <v>* group[=].element[=].target.display = ##34###34#</v>
      </c>
      <c r="M62" s="12" t="str">
        <f t="shared" si="24"/>
        <v>* group[=].element[=].target.equivalence = #equivalent</v>
      </c>
      <c r="N62" s="12" t="str">
        <f t="shared" si="25"/>
        <v/>
      </c>
      <c r="P62" s="11">
        <v>48</v>
      </c>
      <c r="Q62" s="11">
        <f t="shared" si="12"/>
        <v>7</v>
      </c>
      <c r="R62" s="11">
        <f t="shared" si="13"/>
        <v>6</v>
      </c>
      <c r="S62" s="12" t="str" cm="1">
        <f t="array" ref="S62">INDEX('CancerEpisode-ConceptMap-1'!$I$15:$N$153,Q62+1,R62)</f>
        <v>* group[=].element[=].target.comment = ##34#Is true if  extension:condition-dueTo.valueCodeableConcept = $sct#108290001 'Radiation oncology AND/OR radiotherapy'##34#</v>
      </c>
    </row>
    <row r="63" spans="1:19" ht="103.25" x14ac:dyDescent="0.75">
      <c r="A63" s="12" t="str">
        <f>CancerEpisode!B54</f>
        <v>biopsyMitoticCount</v>
      </c>
      <c r="B63" s="11" t="str">
        <f>CancerEpisode!B54</f>
        <v>biopsyMitoticCount</v>
      </c>
      <c r="C63" s="11" t="str">
        <f>CancerEpisode!C54</f>
        <v xml:space="preserve">Biopsy Mitotic count </v>
      </c>
      <c r="D63" s="12" t="s">
        <v>2331</v>
      </c>
      <c r="E63" s="12"/>
      <c r="F63" s="49" t="s">
        <v>1294</v>
      </c>
      <c r="G63" s="92" t="s">
        <v>2327</v>
      </c>
      <c r="H63" s="43"/>
      <c r="I63" s="12" t="str">
        <f t="shared" si="20"/>
        <v>* group[=].element[+].code = #CancerEpisode.biopsyMitoticCount</v>
      </c>
      <c r="J63" s="12" t="str">
        <f t="shared" si="21"/>
        <v>* group[=].element[=].display = ##34#Biopsy Mitotic count ##34#</v>
      </c>
      <c r="K63" s="12" t="str">
        <f t="shared" si="22"/>
        <v>* group[=].element[=].target.code = #Condition.evidence.valueQuantity</v>
      </c>
      <c r="L63" s="12" t="str">
        <f t="shared" si="23"/>
        <v>* group[=].element[=].target.display = ##34###34#</v>
      </c>
      <c r="M63" s="12" t="str">
        <f t="shared" si="24"/>
        <v>* group[=].element[=].target.equivalence = #relatedto</v>
      </c>
      <c r="N63" s="12" t="str">
        <f t="shared" si="25"/>
        <v>* group[=].element[=].target.comment = ##34#Where evidence.code is $sct#371472000 Mitotic count score
NOTE : code to be checked !##34#</v>
      </c>
      <c r="P63" s="11">
        <v>49</v>
      </c>
      <c r="Q63" s="11">
        <f t="shared" si="12"/>
        <v>8</v>
      </c>
      <c r="R63" s="11">
        <f t="shared" si="13"/>
        <v>1</v>
      </c>
      <c r="S63" s="12" t="str" cm="1">
        <f t="array" ref="S63">INDEX('CancerEpisode-ConceptMap-1'!$I$15:$N$153,Q63+1,R63)</f>
        <v>* group[=].element[+].code = #CancerEpisode.grading</v>
      </c>
    </row>
    <row r="64" spans="1:19" ht="103.25" x14ac:dyDescent="0.75">
      <c r="A64" s="12" t="str">
        <f>CancerEpisode!B55</f>
        <v>plasmaticEbvDnaAtBaseline</v>
      </c>
      <c r="B64" s="11" t="str">
        <f>CancerEpisode!B55</f>
        <v>plasmaticEbvDnaAtBaseline</v>
      </c>
      <c r="C64" s="11" t="str">
        <f>CancerEpisode!C55</f>
        <v>Plasmatic EBV DNA at baseline</v>
      </c>
      <c r="D64" s="12" t="s">
        <v>2325</v>
      </c>
      <c r="E64" s="12"/>
      <c r="F64" s="49" t="s">
        <v>1294</v>
      </c>
      <c r="G64" s="92" t="s">
        <v>2326</v>
      </c>
      <c r="H64" s="43"/>
      <c r="I64" s="12" t="str">
        <f t="shared" si="20"/>
        <v>* group[=].element[+].code = #CancerEpisode.plasmaticEbvDnaAtBaseline</v>
      </c>
      <c r="J64" s="12" t="str">
        <f t="shared" si="21"/>
        <v>* group[=].element[=].display = ##34#Plasmatic EBV DNA at baseline##34#</v>
      </c>
      <c r="K64" s="12" t="str">
        <f t="shared" si="22"/>
        <v>* group[=].element[=].target.code = #Condition.evidence.valueCodeableConcept</v>
      </c>
      <c r="L64" s="12" t="str">
        <f t="shared" si="23"/>
        <v>* group[=].element[=].target.display = ##34###34#</v>
      </c>
      <c r="M64" s="12" t="str">
        <f t="shared" si="24"/>
        <v>* group[=].element[=].target.equivalence = #relatedto</v>
      </c>
      <c r="N64" s="12" t="str">
        <f t="shared" si="25"/>
        <v>* group[=].element[=].target.comment = ##34#Where evidence.code is 43730-1 EBV DNA NAA+probe Qn.
NOTE : code to be changed !##34#</v>
      </c>
      <c r="P64" s="11">
        <v>50</v>
      </c>
      <c r="Q64" s="11">
        <f t="shared" si="12"/>
        <v>8</v>
      </c>
      <c r="R64" s="11">
        <f t="shared" si="13"/>
        <v>2</v>
      </c>
      <c r="S64" s="12" t="str" cm="1">
        <f t="array" ref="S64">INDEX('CancerEpisode-ConceptMap-1'!$I$15:$N$153,Q64+1,R64)</f>
        <v>* group[=].element[=].display = ##34#Grading##34#</v>
      </c>
    </row>
    <row r="65" spans="1:19" ht="132.75" x14ac:dyDescent="0.75">
      <c r="A65" s="12" t="str">
        <f>CancerEpisode!B56</f>
        <v>hpvStatus</v>
      </c>
      <c r="B65" s="11" t="str">
        <f>CancerEpisode!B56</f>
        <v>hpvStatus</v>
      </c>
      <c r="C65" s="11" t="str">
        <f>CancerEpisode!C56</f>
        <v>HPV status</v>
      </c>
      <c r="D65" s="12" t="s">
        <v>2325</v>
      </c>
      <c r="E65" s="12"/>
      <c r="F65" s="49" t="s">
        <v>1294</v>
      </c>
      <c r="G65" s="92" t="s">
        <v>2328</v>
      </c>
      <c r="H65" s="43"/>
      <c r="I65" s="12" t="str">
        <f t="shared" si="20"/>
        <v>* group[=].element[+].code = #CancerEpisode.hpvStatus</v>
      </c>
      <c r="J65" s="12" t="str">
        <f t="shared" si="21"/>
        <v>* group[=].element[=].display = ##34#HPV status##34#</v>
      </c>
      <c r="K65" s="12" t="str">
        <f t="shared" si="22"/>
        <v>* group[=].element[=].target.code = #Condition.evidence.valueCodeableConcept</v>
      </c>
      <c r="L65" s="12" t="str">
        <f t="shared" si="23"/>
        <v>* group[=].element[=].target.display = ##34###34#</v>
      </c>
      <c r="M65" s="12" t="str">
        <f t="shared" si="24"/>
        <v>* group[=].element[=].target.equivalence = #relatedto</v>
      </c>
      <c r="N65" s="12" t="str">
        <f t="shared" si="25"/>
        <v>* group[=].element[=].target.comment = ##34#Where evidence.code is 77377-0 HPV 16 and 18 and 31+33+35+39+45+51+52+56+58+59+66+68 DNA (Specimen) [Interp]
NOTE : code to be checked !##34#</v>
      </c>
      <c r="P65" s="11">
        <v>51</v>
      </c>
      <c r="Q65" s="11">
        <f t="shared" si="12"/>
        <v>8</v>
      </c>
      <c r="R65" s="11">
        <f t="shared" si="13"/>
        <v>3</v>
      </c>
      <c r="S65" s="12" t="str" cm="1">
        <f t="array" ref="S65">INDEX('CancerEpisode-ConceptMap-1'!$I$15:$N$153,Q65+1,R65)</f>
        <v>* group[=].element[=].target.code = #Condition.stage.summary</v>
      </c>
    </row>
    <row r="66" spans="1:19" ht="103.25" x14ac:dyDescent="0.75">
      <c r="A66" s="12" t="str">
        <f>CancerEpisode!B57</f>
        <v>crpCReactiveProteinTested</v>
      </c>
      <c r="B66" s="11" t="str">
        <f>CancerEpisode!B57</f>
        <v>crpCReactiveProteinTested</v>
      </c>
      <c r="C66" s="11" t="str">
        <f>CancerEpisode!C57</f>
        <v>CRP - C reactive protein tested</v>
      </c>
      <c r="D66" s="12" t="s">
        <v>2325</v>
      </c>
      <c r="E66" s="12"/>
      <c r="F66" s="49" t="s">
        <v>1294</v>
      </c>
      <c r="G66" s="92" t="s">
        <v>2329</v>
      </c>
      <c r="H66" s="43"/>
      <c r="I66" s="12" t="str">
        <f t="shared" si="20"/>
        <v>* group[=].element[+].code = #CancerEpisode.crpCReactiveProteinTested</v>
      </c>
      <c r="J66" s="12" t="str">
        <f t="shared" si="21"/>
        <v>* group[=].element[=].display = ##34#CRP - C reactive protein tested##34#</v>
      </c>
      <c r="K66" s="12" t="str">
        <f t="shared" si="22"/>
        <v>* group[=].element[=].target.code = #Condition.evidence.valueCodeableConcept</v>
      </c>
      <c r="L66" s="12" t="str">
        <f t="shared" si="23"/>
        <v>* group[=].element[=].target.display = ##34###34#</v>
      </c>
      <c r="M66" s="12" t="str">
        <f t="shared" si="24"/>
        <v>* group[=].element[=].target.equivalence = #relatedto</v>
      </c>
      <c r="N66" s="12" t="str">
        <f t="shared" si="25"/>
        <v>* group[=].element[=].target.comment = ##34#Where evidence.code is 11039-5 C reactive protein [Presence] in Serum or Plasma
NOTE : code to be checked !##34#</v>
      </c>
      <c r="P66" s="11">
        <v>52</v>
      </c>
      <c r="Q66" s="11">
        <f t="shared" si="12"/>
        <v>8</v>
      </c>
      <c r="R66" s="11">
        <f t="shared" si="13"/>
        <v>4</v>
      </c>
      <c r="S66" s="12" t="str" cm="1">
        <f t="array" ref="S66">INDEX('CancerEpisode-ConceptMap-1'!$I$15:$N$153,Q66+1,R66)</f>
        <v>* group[=].element[=].target.display = ##34###34#</v>
      </c>
    </row>
    <row r="67" spans="1:19" x14ac:dyDescent="0.75">
      <c r="A67" s="12"/>
      <c r="B67" s="11"/>
      <c r="C67" s="11"/>
      <c r="D67" s="12"/>
      <c r="E67" s="12"/>
      <c r="F67" s="49"/>
      <c r="G67" s="49"/>
      <c r="H67" s="43"/>
      <c r="K67" s="43"/>
      <c r="L67" s="43"/>
      <c r="M67" s="51"/>
      <c r="N67" s="51"/>
      <c r="P67" s="11">
        <v>53</v>
      </c>
      <c r="Q67" s="11">
        <f t="shared" si="12"/>
        <v>8</v>
      </c>
      <c r="R67" s="11">
        <f t="shared" si="13"/>
        <v>5</v>
      </c>
      <c r="S67" s="12" t="str" cm="1">
        <f t="array" ref="S67">INDEX('CancerEpisode-ConceptMap-1'!$I$15:$N$153,Q67+1,R67)</f>
        <v>* group[=].element[=].target.equivalence = #relatedto</v>
      </c>
    </row>
    <row r="68" spans="1:19" x14ac:dyDescent="0.75">
      <c r="B68" s="11"/>
      <c r="C68" s="11"/>
      <c r="D68" s="12"/>
      <c r="E68" s="12"/>
      <c r="F68" s="49"/>
      <c r="G68" s="49"/>
      <c r="H68" s="43"/>
      <c r="K68" s="43"/>
      <c r="L68" s="43"/>
      <c r="M68" s="51"/>
      <c r="N68" s="51"/>
      <c r="P68" s="11">
        <v>54</v>
      </c>
      <c r="Q68" s="11">
        <f t="shared" si="12"/>
        <v>8</v>
      </c>
      <c r="R68" s="11">
        <f t="shared" si="13"/>
        <v>6</v>
      </c>
      <c r="S68" s="12" t="str" cm="1">
        <f t="array" ref="S68">INDEX('CancerEpisode-ConceptMap-1'!$I$15:$N$153,Q68+1,R68)</f>
        <v>* group[=].element[=].target.comment = ##34#to be checked##34#</v>
      </c>
    </row>
    <row r="69" spans="1:19" s="2" customFormat="1" x14ac:dyDescent="0.75">
      <c r="B69" s="11"/>
      <c r="C69" s="11"/>
      <c r="D69" s="12"/>
      <c r="E69" s="12"/>
      <c r="F69" s="49"/>
      <c r="G69" s="43"/>
      <c r="H69" s="43"/>
      <c r="J69"/>
      <c r="K69" s="43"/>
      <c r="L69" s="43"/>
      <c r="M69" s="51"/>
      <c r="N69" s="51"/>
      <c r="P69" s="11">
        <v>55</v>
      </c>
      <c r="Q69" s="11">
        <f t="shared" si="12"/>
        <v>9</v>
      </c>
      <c r="R69" s="11">
        <f t="shared" si="13"/>
        <v>1</v>
      </c>
      <c r="S69" s="12" t="str" cm="1">
        <f t="array" ref="S69">INDEX('CancerEpisode-ConceptMap-1'!$I$15:$N$153,Q69+1,R69)</f>
        <v>* group[=].element[+].code = #CancerEpisode.hnClassification</v>
      </c>
    </row>
    <row r="70" spans="1:19" s="2" customFormat="1" x14ac:dyDescent="0.75">
      <c r="B70" s="11"/>
      <c r="C70" s="11"/>
      <c r="D70" s="12"/>
      <c r="F70" s="43"/>
      <c r="G70" s="43"/>
      <c r="H70" s="43"/>
      <c r="J70"/>
      <c r="K70" s="43"/>
      <c r="L70" s="43"/>
      <c r="M70" s="51"/>
      <c r="N70" s="51"/>
      <c r="P70" s="11">
        <v>56</v>
      </c>
      <c r="Q70" s="11">
        <f t="shared" si="12"/>
        <v>9</v>
      </c>
      <c r="R70" s="11">
        <f t="shared" si="13"/>
        <v>2</v>
      </c>
      <c r="S70" s="12" t="str" cm="1">
        <f t="array" ref="S70">INDEX('CancerEpisode-ConceptMap-1'!$I$15:$N$153,Q70+1,R70)</f>
        <v>* group[=].element[=].display = ##34#Classification for Head and Neck tumors##34#</v>
      </c>
    </row>
    <row r="71" spans="1:19" s="2" customFormat="1" ht="29.5" x14ac:dyDescent="0.75">
      <c r="B71" s="11"/>
      <c r="C71" s="11"/>
      <c r="D71" s="12"/>
      <c r="F71" s="43"/>
      <c r="G71" s="43"/>
      <c r="H71" s="43"/>
      <c r="J71"/>
      <c r="K71" s="43"/>
      <c r="L71" s="43"/>
      <c r="M71" s="51"/>
      <c r="N71" s="51"/>
      <c r="P71" s="11">
        <v>57</v>
      </c>
      <c r="Q71" s="11">
        <f t="shared" si="12"/>
        <v>9</v>
      </c>
      <c r="R71" s="11">
        <f t="shared" si="13"/>
        <v>3</v>
      </c>
      <c r="S71" s="12" t="str" cm="1">
        <f t="array" ref="S71">INDEX('CancerEpisode-ConceptMap-1'!$I$15:$N$153,Q71+1,R71)</f>
        <v>* group[=].element[=].target.code = #Condition.extension:histologyMorphologyBehavior.valueCodeableConcept</v>
      </c>
    </row>
    <row r="72" spans="1:19" s="2" customFormat="1" x14ac:dyDescent="0.75">
      <c r="B72" s="11"/>
      <c r="C72" s="11"/>
      <c r="D72" s="12"/>
      <c r="F72" s="43"/>
      <c r="G72" s="43"/>
      <c r="H72" s="43"/>
      <c r="J72" s="43"/>
      <c r="K72" s="43"/>
      <c r="L72" s="43"/>
      <c r="M72" s="51"/>
      <c r="N72" s="51"/>
      <c r="P72" s="11">
        <v>58</v>
      </c>
      <c r="Q72" s="11">
        <f t="shared" si="12"/>
        <v>9</v>
      </c>
      <c r="R72" s="11">
        <f t="shared" si="13"/>
        <v>4</v>
      </c>
      <c r="S72" s="12" t="str" cm="1">
        <f t="array" ref="S72">INDEX('CancerEpisode-ConceptMap-1'!$I$15:$N$153,Q72+1,R72)</f>
        <v>* group[=].element[=].target.display = ##34###34#</v>
      </c>
    </row>
    <row r="73" spans="1:19" s="2" customFormat="1" x14ac:dyDescent="0.75">
      <c r="B73" s="11"/>
      <c r="C73" s="11"/>
      <c r="F73" s="43"/>
      <c r="G73" s="43"/>
      <c r="H73" s="43"/>
      <c r="J73" s="43"/>
      <c r="K73" s="43"/>
      <c r="L73" s="43"/>
      <c r="M73" s="51"/>
      <c r="N73" s="51"/>
      <c r="P73" s="11">
        <v>59</v>
      </c>
      <c r="Q73" s="11">
        <f t="shared" si="12"/>
        <v>9</v>
      </c>
      <c r="R73" s="11">
        <f t="shared" si="13"/>
        <v>5</v>
      </c>
      <c r="S73" s="12" t="str" cm="1">
        <f t="array" ref="S73">INDEX('CancerEpisode-ConceptMap-1'!$I$15:$N$153,Q73+1,R73)</f>
        <v>* group[=].element[=].target.equivalence = #relatedto</v>
      </c>
    </row>
    <row r="74" spans="1:19" ht="59" x14ac:dyDescent="0.75">
      <c r="B74" s="11"/>
      <c r="C74" s="11"/>
      <c r="P74" s="11">
        <v>60</v>
      </c>
      <c r="Q74" s="11">
        <f t="shared" si="12"/>
        <v>9</v>
      </c>
      <c r="R74" s="11">
        <f t="shared" si="13"/>
        <v>6</v>
      </c>
      <c r="S74" s="12" t="str" cm="1">
        <f t="array" ref="S74">INDEX('CancerEpisode-ConceptMap-1'!$I$15:$N$153,Q74+1,R74)</f>
        <v>* group[=].element[=].target.comment = ##34#To be further analyzed, at this stage mapped as the condition.code.
Clarify if it is a morphology/hystology classification.
This comment applies to all the inlcuded elements.##34#</v>
      </c>
    </row>
    <row r="75" spans="1:19" x14ac:dyDescent="0.75">
      <c r="B75" s="11"/>
      <c r="C75" s="11"/>
      <c r="P75" s="11">
        <v>61</v>
      </c>
      <c r="Q75" s="11">
        <f t="shared" si="12"/>
        <v>10</v>
      </c>
      <c r="R75" s="11">
        <f t="shared" si="13"/>
        <v>1</v>
      </c>
      <c r="S75" s="12" t="str" cm="1">
        <f t="array" ref="S75">INDEX('CancerEpisode-ConceptMap-1'!$I$15:$N$153,Q75+1,R75)</f>
        <v>* group[=].element[+].code = #CancerEpisode.hnClassification.histologySquamous</v>
      </c>
    </row>
    <row r="76" spans="1:19" x14ac:dyDescent="0.75">
      <c r="P76" s="11">
        <v>62</v>
      </c>
      <c r="Q76" s="11">
        <f t="shared" si="12"/>
        <v>10</v>
      </c>
      <c r="R76" s="11">
        <f t="shared" si="13"/>
        <v>2</v>
      </c>
      <c r="S76" s="12" t="str" cm="1">
        <f t="array" ref="S76">INDEX('CancerEpisode-ConceptMap-1'!$I$15:$N$153,Q76+1,R76)</f>
        <v>* group[=].element[=].display = ##34#Histology Squamous##34#</v>
      </c>
    </row>
    <row r="77" spans="1:19" x14ac:dyDescent="0.75">
      <c r="P77" s="11">
        <v>63</v>
      </c>
      <c r="Q77" s="11">
        <f t="shared" si="12"/>
        <v>10</v>
      </c>
      <c r="R77" s="11">
        <f t="shared" si="13"/>
        <v>3</v>
      </c>
      <c r="S77" s="12" t="str" cm="1">
        <f t="array" ref="S77">INDEX('CancerEpisode-ConceptMap-1'!$I$15:$N$153,Q77+1,R77)</f>
        <v>* group[=].element[=].target.code = #Condition.code</v>
      </c>
    </row>
    <row r="78" spans="1:19" x14ac:dyDescent="0.75">
      <c r="P78" s="11">
        <v>64</v>
      </c>
      <c r="Q78" s="11">
        <f t="shared" si="12"/>
        <v>10</v>
      </c>
      <c r="R78" s="11">
        <f t="shared" si="13"/>
        <v>4</v>
      </c>
      <c r="S78" s="12" t="str" cm="1">
        <f t="array" ref="S78">INDEX('CancerEpisode-ConceptMap-1'!$I$15:$N$153,Q78+1,R78)</f>
        <v>* group[=].element[=].target.display = ##34###34#</v>
      </c>
    </row>
    <row r="79" spans="1:19" x14ac:dyDescent="0.75">
      <c r="P79" s="11">
        <v>65</v>
      </c>
      <c r="Q79" s="11">
        <f t="shared" si="12"/>
        <v>10</v>
      </c>
      <c r="R79" s="11">
        <f t="shared" si="13"/>
        <v>5</v>
      </c>
      <c r="S79" s="12" t="str" cm="1">
        <f t="array" ref="S79">INDEX('CancerEpisode-ConceptMap-1'!$I$15:$N$153,Q79+1,R79)</f>
        <v>* group[=].element[=].target.equivalence = #relatedto</v>
      </c>
    </row>
    <row r="80" spans="1:19" x14ac:dyDescent="0.75">
      <c r="P80" s="11">
        <v>66</v>
      </c>
      <c r="Q80" s="11">
        <f t="shared" ref="Q80:Q143" si="26">IF(MOD(P80,$Q$8)=0,P80/$Q$8-1,INT(P80/$Q$8))</f>
        <v>10</v>
      </c>
      <c r="R80" s="11">
        <f t="shared" ref="R80:R143" si="27">IF(MOD(P80,$Q$8)=0,$Q$8,MOD(P80,$Q$8))</f>
        <v>6</v>
      </c>
      <c r="S80" s="12" t="str" cm="1">
        <f t="array" ref="S80">INDEX('CancerEpisode-ConceptMap-1'!$I$15:$N$153,Q80+1,R80)</f>
        <v/>
      </c>
    </row>
    <row r="81" spans="16:19" ht="29.5" x14ac:dyDescent="0.75">
      <c r="P81" s="11">
        <v>67</v>
      </c>
      <c r="Q81" s="11">
        <f t="shared" si="26"/>
        <v>11</v>
      </c>
      <c r="R81" s="11">
        <f t="shared" si="27"/>
        <v>1</v>
      </c>
      <c r="S81" s="12" t="str" cm="1">
        <f t="array" ref="S81">INDEX('CancerEpisode-ConceptMap-1'!$I$15:$N$153,Q81+1,R81)</f>
        <v>* group[=].element[+].code = #CancerEpisode.hnClassification.histologyAdenocarcinoma</v>
      </c>
    </row>
    <row r="82" spans="16:19" x14ac:dyDescent="0.75">
      <c r="P82" s="11">
        <v>68</v>
      </c>
      <c r="Q82" s="11">
        <f t="shared" si="26"/>
        <v>11</v>
      </c>
      <c r="R82" s="11">
        <f t="shared" si="27"/>
        <v>2</v>
      </c>
      <c r="S82" s="12" t="str" cm="1">
        <f t="array" ref="S82">INDEX('CancerEpisode-ConceptMap-1'!$I$15:$N$153,Q82+1,R82)</f>
        <v>* group[=].element[=].display = ##34#Histology Adenocarcinoma##34#</v>
      </c>
    </row>
    <row r="83" spans="16:19" x14ac:dyDescent="0.75">
      <c r="P83" s="11">
        <v>69</v>
      </c>
      <c r="Q83" s="11">
        <f t="shared" si="26"/>
        <v>11</v>
      </c>
      <c r="R83" s="11">
        <f t="shared" si="27"/>
        <v>3</v>
      </c>
      <c r="S83" s="12" t="str" cm="1">
        <f t="array" ref="S83">INDEX('CancerEpisode-ConceptMap-1'!$I$15:$N$153,Q83+1,R83)</f>
        <v>* group[=].element[=].target.code = #Condition.code</v>
      </c>
    </row>
    <row r="84" spans="16:19" x14ac:dyDescent="0.75">
      <c r="P84" s="11">
        <v>70</v>
      </c>
      <c r="Q84" s="11">
        <f t="shared" si="26"/>
        <v>11</v>
      </c>
      <c r="R84" s="11">
        <f t="shared" si="27"/>
        <v>4</v>
      </c>
      <c r="S84" s="12" t="str" cm="1">
        <f t="array" ref="S84">INDEX('CancerEpisode-ConceptMap-1'!$I$15:$N$153,Q84+1,R84)</f>
        <v>* group[=].element[=].target.display = ##34###34#</v>
      </c>
    </row>
    <row r="85" spans="16:19" x14ac:dyDescent="0.75">
      <c r="P85" s="11">
        <v>71</v>
      </c>
      <c r="Q85" s="11">
        <f t="shared" si="26"/>
        <v>11</v>
      </c>
      <c r="R85" s="11">
        <f t="shared" si="27"/>
        <v>5</v>
      </c>
      <c r="S85" s="12" t="str" cm="1">
        <f t="array" ref="S85">INDEX('CancerEpisode-ConceptMap-1'!$I$15:$N$153,Q85+1,R85)</f>
        <v>* group[=].element[=].target.equivalence = #relatedto</v>
      </c>
    </row>
    <row r="86" spans="16:19" x14ac:dyDescent="0.75">
      <c r="P86" s="11">
        <v>72</v>
      </c>
      <c r="Q86" s="11">
        <f t="shared" si="26"/>
        <v>11</v>
      </c>
      <c r="R86" s="11">
        <f t="shared" si="27"/>
        <v>6</v>
      </c>
      <c r="S86" s="12" t="str" cm="1">
        <f t="array" ref="S86">INDEX('CancerEpisode-ConceptMap-1'!$I$15:$N$153,Q86+1,R86)</f>
        <v/>
      </c>
    </row>
    <row r="87" spans="16:19" ht="29.5" x14ac:dyDescent="0.75">
      <c r="P87" s="11">
        <v>73</v>
      </c>
      <c r="Q87" s="11">
        <f t="shared" si="26"/>
        <v>12</v>
      </c>
      <c r="R87" s="11">
        <f t="shared" si="27"/>
        <v>1</v>
      </c>
      <c r="S87" s="12" t="str" cm="1">
        <f t="array" ref="S87">INDEX('CancerEpisode-ConceptMap-1'!$I$15:$N$153,Q87+1,R87)</f>
        <v>* group[=].element[+].code = #CancerEpisode.hnClassification.histologyNeuroendocrine</v>
      </c>
    </row>
    <row r="88" spans="16:19" x14ac:dyDescent="0.75">
      <c r="P88" s="11">
        <v>74</v>
      </c>
      <c r="Q88" s="11">
        <f t="shared" si="26"/>
        <v>12</v>
      </c>
      <c r="R88" s="11">
        <f t="shared" si="27"/>
        <v>2</v>
      </c>
      <c r="S88" s="12" t="str" cm="1">
        <f t="array" ref="S88">INDEX('CancerEpisode-ConceptMap-1'!$I$15:$N$153,Q88+1,R88)</f>
        <v>* group[=].element[=].display = ##34#Histology Neuroendocrine##34#</v>
      </c>
    </row>
    <row r="89" spans="16:19" x14ac:dyDescent="0.75">
      <c r="P89" s="11">
        <v>75</v>
      </c>
      <c r="Q89" s="11">
        <f t="shared" si="26"/>
        <v>12</v>
      </c>
      <c r="R89" s="11">
        <f t="shared" si="27"/>
        <v>3</v>
      </c>
      <c r="S89" s="12" t="str" cm="1">
        <f t="array" ref="S89">INDEX('CancerEpisode-ConceptMap-1'!$I$15:$N$153,Q89+1,R89)</f>
        <v>* group[=].element[=].target.code = #Condition.code</v>
      </c>
    </row>
    <row r="90" spans="16:19" x14ac:dyDescent="0.75">
      <c r="P90" s="11">
        <v>76</v>
      </c>
      <c r="Q90" s="11">
        <f t="shared" si="26"/>
        <v>12</v>
      </c>
      <c r="R90" s="11">
        <f t="shared" si="27"/>
        <v>4</v>
      </c>
      <c r="S90" s="12" t="str" cm="1">
        <f t="array" ref="S90">INDEX('CancerEpisode-ConceptMap-1'!$I$15:$N$153,Q90+1,R90)</f>
        <v>* group[=].element[=].target.display = ##34###34#</v>
      </c>
    </row>
    <row r="91" spans="16:19" x14ac:dyDescent="0.75">
      <c r="P91" s="11">
        <v>77</v>
      </c>
      <c r="Q91" s="11">
        <f t="shared" si="26"/>
        <v>12</v>
      </c>
      <c r="R91" s="11">
        <f t="shared" si="27"/>
        <v>5</v>
      </c>
      <c r="S91" s="12" t="str" cm="1">
        <f t="array" ref="S91">INDEX('CancerEpisode-ConceptMap-1'!$I$15:$N$153,Q91+1,R91)</f>
        <v>* group[=].element[=].target.equivalence = #relatedto</v>
      </c>
    </row>
    <row r="92" spans="16:19" x14ac:dyDescent="0.75">
      <c r="P92" s="11">
        <v>78</v>
      </c>
      <c r="Q92" s="11">
        <f t="shared" si="26"/>
        <v>12</v>
      </c>
      <c r="R92" s="11">
        <f t="shared" si="27"/>
        <v>6</v>
      </c>
      <c r="S92" s="12" t="str" cm="1">
        <f t="array" ref="S92">INDEX('CancerEpisode-ConceptMap-1'!$I$15:$N$153,Q92+1,R92)</f>
        <v/>
      </c>
    </row>
    <row r="93" spans="16:19" ht="29.5" x14ac:dyDescent="0.75">
      <c r="P93" s="11">
        <v>79</v>
      </c>
      <c r="Q93" s="11">
        <f t="shared" si="26"/>
        <v>13</v>
      </c>
      <c r="R93" s="11">
        <f t="shared" si="27"/>
        <v>1</v>
      </c>
      <c r="S93" s="12" t="str" cm="1">
        <f t="array" ref="S93">INDEX('CancerEpisode-ConceptMap-1'!$I$15:$N$153,Q93+1,R93)</f>
        <v>* group[=].element[+].code = #CancerEpisode.hnClassification.histologyOdontogenicCarcinoma</v>
      </c>
    </row>
    <row r="94" spans="16:19" x14ac:dyDescent="0.75">
      <c r="P94" s="11">
        <v>80</v>
      </c>
      <c r="Q94" s="11">
        <f t="shared" si="26"/>
        <v>13</v>
      </c>
      <c r="R94" s="11">
        <f t="shared" si="27"/>
        <v>2</v>
      </c>
      <c r="S94" s="12" t="str" cm="1">
        <f t="array" ref="S94">INDEX('CancerEpisode-ConceptMap-1'!$I$15:$N$153,Q94+1,R94)</f>
        <v>* group[=].element[=].display = ##34#Histology Odontogenic Carcinoma##34#</v>
      </c>
    </row>
    <row r="95" spans="16:19" x14ac:dyDescent="0.75">
      <c r="P95" s="11">
        <v>81</v>
      </c>
      <c r="Q95" s="11">
        <f t="shared" si="26"/>
        <v>13</v>
      </c>
      <c r="R95" s="11">
        <f t="shared" si="27"/>
        <v>3</v>
      </c>
      <c r="S95" s="12" t="str" cm="1">
        <f t="array" ref="S95">INDEX('CancerEpisode-ConceptMap-1'!$I$15:$N$153,Q95+1,R95)</f>
        <v>* group[=].element[=].target.code = #Condition.code</v>
      </c>
    </row>
    <row r="96" spans="16:19" x14ac:dyDescent="0.75">
      <c r="P96" s="11">
        <v>82</v>
      </c>
      <c r="Q96" s="11">
        <f t="shared" si="26"/>
        <v>13</v>
      </c>
      <c r="R96" s="11">
        <f t="shared" si="27"/>
        <v>4</v>
      </c>
      <c r="S96" s="12" t="str" cm="1">
        <f t="array" ref="S96">INDEX('CancerEpisode-ConceptMap-1'!$I$15:$N$153,Q96+1,R96)</f>
        <v>* group[=].element[=].target.display = ##34###34#</v>
      </c>
    </row>
    <row r="97" spans="16:19" x14ac:dyDescent="0.75">
      <c r="P97" s="11">
        <v>83</v>
      </c>
      <c r="Q97" s="11">
        <f t="shared" si="26"/>
        <v>13</v>
      </c>
      <c r="R97" s="11">
        <f t="shared" si="27"/>
        <v>5</v>
      </c>
      <c r="S97" s="12" t="str" cm="1">
        <f t="array" ref="S97">INDEX('CancerEpisode-ConceptMap-1'!$I$15:$N$153,Q97+1,R97)</f>
        <v>* group[=].element[=].target.equivalence = #relatedto</v>
      </c>
    </row>
    <row r="98" spans="16:19" x14ac:dyDescent="0.75">
      <c r="P98" s="11">
        <v>84</v>
      </c>
      <c r="Q98" s="11">
        <f t="shared" si="26"/>
        <v>13</v>
      </c>
      <c r="R98" s="11">
        <f t="shared" si="27"/>
        <v>6</v>
      </c>
      <c r="S98" s="12" t="str" cm="1">
        <f t="array" ref="S98">INDEX('CancerEpisode-ConceptMap-1'!$I$15:$N$153,Q98+1,R98)</f>
        <v/>
      </c>
    </row>
    <row r="99" spans="16:19" x14ac:dyDescent="0.75">
      <c r="P99" s="11">
        <v>85</v>
      </c>
      <c r="Q99" s="11">
        <f t="shared" si="26"/>
        <v>14</v>
      </c>
      <c r="R99" s="11">
        <f t="shared" si="27"/>
        <v>1</v>
      </c>
      <c r="S99" s="12" t="str" cm="1">
        <f t="array" ref="S99">INDEX('CancerEpisode-ConceptMap-1'!$I$15:$N$153,Q99+1,R99)</f>
        <v>* group[=].element[+].code = #CancerEpisode.hnClassification.histologySNUC</v>
      </c>
    </row>
    <row r="100" spans="16:19" ht="29.5" x14ac:dyDescent="0.75">
      <c r="P100" s="11">
        <v>86</v>
      </c>
      <c r="Q100" s="11">
        <f t="shared" si="26"/>
        <v>14</v>
      </c>
      <c r="R100" s="11">
        <f t="shared" si="27"/>
        <v>2</v>
      </c>
      <c r="S100" s="12" t="str" cm="1">
        <f t="array" ref="S100">INDEX('CancerEpisode-ConceptMap-1'!$I$15:$N$153,Q100+1,R100)</f>
        <v>* group[=].element[=].display = ##34#Histology Sinonasal undifferentiated carcinoma##34#</v>
      </c>
    </row>
    <row r="101" spans="16:19" x14ac:dyDescent="0.75">
      <c r="P101" s="11">
        <v>87</v>
      </c>
      <c r="Q101" s="11">
        <f t="shared" si="26"/>
        <v>14</v>
      </c>
      <c r="R101" s="11">
        <f t="shared" si="27"/>
        <v>3</v>
      </c>
      <c r="S101" s="12" t="str" cm="1">
        <f t="array" ref="S101">INDEX('CancerEpisode-ConceptMap-1'!$I$15:$N$153,Q101+1,R101)</f>
        <v>* group[=].element[=].target.code = #Condition.code</v>
      </c>
    </row>
    <row r="102" spans="16:19" x14ac:dyDescent="0.75">
      <c r="P102" s="11">
        <v>88</v>
      </c>
      <c r="Q102" s="11">
        <f t="shared" si="26"/>
        <v>14</v>
      </c>
      <c r="R102" s="11">
        <f t="shared" si="27"/>
        <v>4</v>
      </c>
      <c r="S102" s="12" t="str" cm="1">
        <f t="array" ref="S102">INDEX('CancerEpisode-ConceptMap-1'!$I$15:$N$153,Q102+1,R102)</f>
        <v>* group[=].element[=].target.display = ##34###34#</v>
      </c>
    </row>
    <row r="103" spans="16:19" x14ac:dyDescent="0.75">
      <c r="P103" s="11">
        <v>89</v>
      </c>
      <c r="Q103" s="11">
        <f t="shared" si="26"/>
        <v>14</v>
      </c>
      <c r="R103" s="11">
        <f t="shared" si="27"/>
        <v>5</v>
      </c>
      <c r="S103" s="12" t="str" cm="1">
        <f t="array" ref="S103">INDEX('CancerEpisode-ConceptMap-1'!$I$15:$N$153,Q103+1,R103)</f>
        <v>* group[=].element[=].target.equivalence = #relatedto</v>
      </c>
    </row>
    <row r="104" spans="16:19" x14ac:dyDescent="0.75">
      <c r="P104" s="11">
        <v>90</v>
      </c>
      <c r="Q104" s="11">
        <f t="shared" si="26"/>
        <v>14</v>
      </c>
      <c r="R104" s="11">
        <f t="shared" si="27"/>
        <v>6</v>
      </c>
      <c r="S104" s="12" t="str" cm="1">
        <f t="array" ref="S104">INDEX('CancerEpisode-ConceptMap-1'!$I$15:$N$153,Q104+1,R104)</f>
        <v/>
      </c>
    </row>
    <row r="105" spans="16:19" x14ac:dyDescent="0.75">
      <c r="P105" s="11">
        <v>91</v>
      </c>
      <c r="Q105" s="11">
        <f t="shared" si="26"/>
        <v>15</v>
      </c>
      <c r="R105" s="11">
        <f t="shared" si="27"/>
        <v>1</v>
      </c>
      <c r="S105" s="12" t="str" cm="1">
        <f t="array" ref="S105">INDEX('CancerEpisode-ConceptMap-1'!$I$15:$N$153,Q105+1,R105)</f>
        <v>* group[=].element[+].code = #CancerEpisode.hnClassification.adipocyticTumours</v>
      </c>
    </row>
    <row r="106" spans="16:19" x14ac:dyDescent="0.75">
      <c r="P106" s="11">
        <v>92</v>
      </c>
      <c r="Q106" s="11">
        <f t="shared" si="26"/>
        <v>15</v>
      </c>
      <c r="R106" s="11">
        <f t="shared" si="27"/>
        <v>2</v>
      </c>
      <c r="S106" s="12" t="str" cm="1">
        <f t="array" ref="S106">INDEX('CancerEpisode-ConceptMap-1'!$I$15:$N$153,Q106+1,R106)</f>
        <v>* group[=].element[=].display = ##34#Histology subgroup Adipocytic tumours##34#</v>
      </c>
    </row>
    <row r="107" spans="16:19" x14ac:dyDescent="0.75">
      <c r="P107" s="11">
        <v>93</v>
      </c>
      <c r="Q107" s="11">
        <f t="shared" si="26"/>
        <v>15</v>
      </c>
      <c r="R107" s="11">
        <f t="shared" si="27"/>
        <v>3</v>
      </c>
      <c r="S107" s="12" t="str" cm="1">
        <f t="array" ref="S107">INDEX('CancerEpisode-ConceptMap-1'!$I$15:$N$153,Q107+1,R107)</f>
        <v>* group[=].element[=].target.code = #Condition.code</v>
      </c>
    </row>
    <row r="108" spans="16:19" x14ac:dyDescent="0.75">
      <c r="P108" s="11">
        <v>94</v>
      </c>
      <c r="Q108" s="11">
        <f t="shared" si="26"/>
        <v>15</v>
      </c>
      <c r="R108" s="11">
        <f t="shared" si="27"/>
        <v>4</v>
      </c>
      <c r="S108" s="12" t="str" cm="1">
        <f t="array" ref="S108">INDEX('CancerEpisode-ConceptMap-1'!$I$15:$N$153,Q108+1,R108)</f>
        <v>* group[=].element[=].target.display = ##34###34#</v>
      </c>
    </row>
    <row r="109" spans="16:19" x14ac:dyDescent="0.75">
      <c r="P109" s="11">
        <v>95</v>
      </c>
      <c r="Q109" s="11">
        <f t="shared" si="26"/>
        <v>15</v>
      </c>
      <c r="R109" s="11">
        <f t="shared" si="27"/>
        <v>5</v>
      </c>
      <c r="S109" s="12" t="str" cm="1">
        <f t="array" ref="S109">INDEX('CancerEpisode-ConceptMap-1'!$I$15:$N$153,Q109+1,R109)</f>
        <v>* group[=].element[=].target.equivalence = #relatedto</v>
      </c>
    </row>
    <row r="110" spans="16:19" x14ac:dyDescent="0.75">
      <c r="P110" s="11">
        <v>96</v>
      </c>
      <c r="Q110" s="11">
        <f t="shared" si="26"/>
        <v>15</v>
      </c>
      <c r="R110" s="11">
        <f t="shared" si="27"/>
        <v>6</v>
      </c>
      <c r="S110" s="12" t="str" cm="1">
        <f t="array" ref="S110">INDEX('CancerEpisode-ConceptMap-1'!$I$15:$N$153,Q110+1,R110)</f>
        <v/>
      </c>
    </row>
    <row r="111" spans="16:19" x14ac:dyDescent="0.75">
      <c r="P111" s="11">
        <v>97</v>
      </c>
      <c r="Q111" s="11">
        <f t="shared" si="26"/>
        <v>16</v>
      </c>
      <c r="R111" s="11">
        <f t="shared" si="27"/>
        <v>1</v>
      </c>
      <c r="S111" s="12" t="str" cm="1">
        <f t="array" ref="S111">INDEX('CancerEpisode-ConceptMap-1'!$I$15:$N$153,Q111+1,R111)</f>
        <v>* group[=].element[+].code = #CancerEpisode.hnClassification.fmtTumours</v>
      </c>
    </row>
    <row r="112" spans="16:19" ht="29.5" x14ac:dyDescent="0.75">
      <c r="P112" s="11">
        <v>98</v>
      </c>
      <c r="Q112" s="11">
        <f t="shared" si="26"/>
        <v>16</v>
      </c>
      <c r="R112" s="11">
        <f t="shared" si="27"/>
        <v>2</v>
      </c>
      <c r="S112" s="12" t="str" cm="1">
        <f t="array" ref="S112">INDEX('CancerEpisode-ConceptMap-1'!$I$15:$N$153,Q112+1,R112)</f>
        <v>* group[=].element[=].display = ##34#Histology subgroup Fibroblastic and myofibroblastic tumours##34#</v>
      </c>
    </row>
    <row r="113" spans="16:19" x14ac:dyDescent="0.75">
      <c r="P113" s="11">
        <v>99</v>
      </c>
      <c r="Q113" s="11">
        <f t="shared" si="26"/>
        <v>16</v>
      </c>
      <c r="R113" s="11">
        <f t="shared" si="27"/>
        <v>3</v>
      </c>
      <c r="S113" s="12" t="str" cm="1">
        <f t="array" ref="S113">INDEX('CancerEpisode-ConceptMap-1'!$I$15:$N$153,Q113+1,R113)</f>
        <v>* group[=].element[=].target.code = #Condition.code</v>
      </c>
    </row>
    <row r="114" spans="16:19" x14ac:dyDescent="0.75">
      <c r="P114" s="11">
        <v>100</v>
      </c>
      <c r="Q114" s="11">
        <f t="shared" si="26"/>
        <v>16</v>
      </c>
      <c r="R114" s="11">
        <f t="shared" si="27"/>
        <v>4</v>
      </c>
      <c r="S114" s="12" t="str" cm="1">
        <f t="array" ref="S114">INDEX('CancerEpisode-ConceptMap-1'!$I$15:$N$153,Q114+1,R114)</f>
        <v>* group[=].element[=].target.display = ##34###34#</v>
      </c>
    </row>
    <row r="115" spans="16:19" x14ac:dyDescent="0.75">
      <c r="P115" s="11">
        <v>101</v>
      </c>
      <c r="Q115" s="11">
        <f t="shared" si="26"/>
        <v>16</v>
      </c>
      <c r="R115" s="11">
        <f t="shared" si="27"/>
        <v>5</v>
      </c>
      <c r="S115" s="12" t="str" cm="1">
        <f t="array" ref="S115">INDEX('CancerEpisode-ConceptMap-1'!$I$15:$N$153,Q115+1,R115)</f>
        <v>* group[=].element[=].target.equivalence = #relatedto</v>
      </c>
    </row>
    <row r="116" spans="16:19" x14ac:dyDescent="0.75">
      <c r="P116" s="11">
        <v>102</v>
      </c>
      <c r="Q116" s="11">
        <f t="shared" si="26"/>
        <v>16</v>
      </c>
      <c r="R116" s="11">
        <f t="shared" si="27"/>
        <v>6</v>
      </c>
      <c r="S116" s="12" t="str" cm="1">
        <f t="array" ref="S116">INDEX('CancerEpisode-ConceptMap-1'!$I$15:$N$153,Q116+1,R116)</f>
        <v/>
      </c>
    </row>
    <row r="117" spans="16:19" ht="29.5" x14ac:dyDescent="0.75">
      <c r="P117" s="11">
        <v>103</v>
      </c>
      <c r="Q117" s="11">
        <f t="shared" si="26"/>
        <v>17</v>
      </c>
      <c r="R117" s="11">
        <f t="shared" si="27"/>
        <v>1</v>
      </c>
      <c r="S117" s="12" t="str" cm="1">
        <f t="array" ref="S117">INDEX('CancerEpisode-ConceptMap-1'!$I$15:$N$153,Q117+1,R117)</f>
        <v>* group[=].element[+].code = #CancerEpisode.hnClassification.socalledFibrohistiocyticTumours</v>
      </c>
    </row>
    <row r="118" spans="16:19" ht="59" x14ac:dyDescent="0.75">
      <c r="P118" s="11">
        <v>104</v>
      </c>
      <c r="Q118" s="11">
        <f t="shared" si="26"/>
        <v>17</v>
      </c>
      <c r="R118" s="11">
        <f t="shared" si="27"/>
        <v>2</v>
      </c>
      <c r="S118" s="12" t="str" cm="1">
        <f t="array" ref="S118">INDEX('CancerEpisode-ConceptMap-1'!$I$15:$N$153,Q118+1,R118)</f>
        <v>* group[=].element[=].display = ##34#Histology subgroup So-called fibrohistiocytic tumours
##34#</v>
      </c>
    </row>
    <row r="119" spans="16:19" x14ac:dyDescent="0.75">
      <c r="P119" s="11">
        <v>105</v>
      </c>
      <c r="Q119" s="11">
        <f t="shared" si="26"/>
        <v>17</v>
      </c>
      <c r="R119" s="11">
        <f t="shared" si="27"/>
        <v>3</v>
      </c>
      <c r="S119" s="12" t="str" cm="1">
        <f t="array" ref="S119">INDEX('CancerEpisode-ConceptMap-1'!$I$15:$N$153,Q119+1,R119)</f>
        <v>* group[=].element[=].target.code = #Condition.code</v>
      </c>
    </row>
    <row r="120" spans="16:19" x14ac:dyDescent="0.75">
      <c r="P120" s="11">
        <v>106</v>
      </c>
      <c r="Q120" s="11">
        <f t="shared" si="26"/>
        <v>17</v>
      </c>
      <c r="R120" s="11">
        <f t="shared" si="27"/>
        <v>4</v>
      </c>
      <c r="S120" s="12" t="str" cm="1">
        <f t="array" ref="S120">INDEX('CancerEpisode-ConceptMap-1'!$I$15:$N$153,Q120+1,R120)</f>
        <v>* group[=].element[=].target.display = ##34###34#</v>
      </c>
    </row>
    <row r="121" spans="16:19" x14ac:dyDescent="0.75">
      <c r="P121" s="11">
        <v>107</v>
      </c>
      <c r="Q121" s="11">
        <f t="shared" si="26"/>
        <v>17</v>
      </c>
      <c r="R121" s="11">
        <f t="shared" si="27"/>
        <v>5</v>
      </c>
      <c r="S121" s="12" t="str" cm="1">
        <f t="array" ref="S121">INDEX('CancerEpisode-ConceptMap-1'!$I$15:$N$153,Q121+1,R121)</f>
        <v>* group[=].element[=].target.equivalence = #relatedto</v>
      </c>
    </row>
    <row r="122" spans="16:19" x14ac:dyDescent="0.75">
      <c r="P122" s="11">
        <v>108</v>
      </c>
      <c r="Q122" s="11">
        <f t="shared" si="26"/>
        <v>17</v>
      </c>
      <c r="R122" s="11">
        <f t="shared" si="27"/>
        <v>6</v>
      </c>
      <c r="S122" s="12" t="str" cm="1">
        <f t="array" ref="S122">INDEX('CancerEpisode-ConceptMap-1'!$I$15:$N$153,Q122+1,R122)</f>
        <v/>
      </c>
    </row>
    <row r="123" spans="16:19" x14ac:dyDescent="0.75">
      <c r="P123" s="11">
        <v>109</v>
      </c>
      <c r="Q123" s="11">
        <f t="shared" si="26"/>
        <v>18</v>
      </c>
      <c r="R123" s="11">
        <f t="shared" si="27"/>
        <v>1</v>
      </c>
      <c r="S123" s="12" t="str" cm="1">
        <f t="array" ref="S123">INDEX('CancerEpisode-ConceptMap-1'!$I$15:$N$153,Q123+1,R123)</f>
        <v>* group[=].element[+].code = #CancerEpisode.sarcomaClassification</v>
      </c>
    </row>
    <row r="124" spans="16:19" x14ac:dyDescent="0.75">
      <c r="P124" s="11">
        <v>110</v>
      </c>
      <c r="Q124" s="11">
        <f t="shared" si="26"/>
        <v>18</v>
      </c>
      <c r="R124" s="11">
        <f t="shared" si="27"/>
        <v>2</v>
      </c>
      <c r="S124" s="12" t="str" cm="1">
        <f t="array" ref="S124">INDEX('CancerEpisode-ConceptMap-1'!$I$15:$N$153,Q124+1,R124)</f>
        <v>* group[=].element[=].display = ##34#Sarcoma classification##34#</v>
      </c>
    </row>
    <row r="125" spans="16:19" x14ac:dyDescent="0.75">
      <c r="P125" s="11">
        <v>111</v>
      </c>
      <c r="Q125" s="11">
        <f t="shared" si="26"/>
        <v>18</v>
      </c>
      <c r="R125" s="11">
        <f t="shared" si="27"/>
        <v>3</v>
      </c>
      <c r="S125" s="12" t="str" cm="1">
        <f t="array" ref="S125">INDEX('CancerEpisode-ConceptMap-1'!$I$15:$N$153,Q125+1,R125)</f>
        <v>* group[=].element[=].target.code = #Condition.code</v>
      </c>
    </row>
    <row r="126" spans="16:19" x14ac:dyDescent="0.75">
      <c r="P126" s="11">
        <v>112</v>
      </c>
      <c r="Q126" s="11">
        <f t="shared" si="26"/>
        <v>18</v>
      </c>
      <c r="R126" s="11">
        <f t="shared" si="27"/>
        <v>4</v>
      </c>
      <c r="S126" s="12" t="str" cm="1">
        <f t="array" ref="S126">INDEX('CancerEpisode-ConceptMap-1'!$I$15:$N$153,Q126+1,R126)</f>
        <v>* group[=].element[=].target.display = ##34###34#</v>
      </c>
    </row>
    <row r="127" spans="16:19" x14ac:dyDescent="0.75">
      <c r="P127" s="11">
        <v>113</v>
      </c>
      <c r="Q127" s="11">
        <f t="shared" si="26"/>
        <v>18</v>
      </c>
      <c r="R127" s="11">
        <f t="shared" si="27"/>
        <v>5</v>
      </c>
      <c r="S127" s="12" t="str" cm="1">
        <f t="array" ref="S127">INDEX('CancerEpisode-ConceptMap-1'!$I$15:$N$153,Q127+1,R127)</f>
        <v>* group[=].element[=].target.equivalence = #relatedto</v>
      </c>
    </row>
    <row r="128" spans="16:19" ht="59" x14ac:dyDescent="0.75">
      <c r="P128" s="11">
        <v>114</v>
      </c>
      <c r="Q128" s="11">
        <f t="shared" si="26"/>
        <v>18</v>
      </c>
      <c r="R128" s="11">
        <f t="shared" si="27"/>
        <v>6</v>
      </c>
      <c r="S128" s="12" t="str" cm="1">
        <f t="array" ref="S128">INDEX('CancerEpisode-ConceptMap-1'!$I$15:$N$153,Q128+1,R128)</f>
        <v>* group[=].element[=].target.comment = ##34#To be further analyzed, at this stage mapped as the condition.code.
Clarify if it is a morphology/hystology classification.
This comment applies to all the inlcuded elements.##34#</v>
      </c>
    </row>
    <row r="129" spans="16:19" x14ac:dyDescent="0.75">
      <c r="P129" s="11">
        <v>115</v>
      </c>
      <c r="Q129" s="11">
        <f t="shared" si="26"/>
        <v>19</v>
      </c>
      <c r="R129" s="11">
        <f t="shared" si="27"/>
        <v>1</v>
      </c>
      <c r="S129" s="12" t="str" cm="1">
        <f t="array" ref="S129">INDEX('CancerEpisode-ConceptMap-1'!$I$15:$N$153,Q129+1,R129)</f>
        <v>* group[=].element[+].code = #CancerEpisode.sarcomaClassification.vascularTumours</v>
      </c>
    </row>
    <row r="130" spans="16:19" x14ac:dyDescent="0.75">
      <c r="P130" s="11">
        <v>116</v>
      </c>
      <c r="Q130" s="11">
        <f t="shared" si="26"/>
        <v>19</v>
      </c>
      <c r="R130" s="11">
        <f t="shared" si="27"/>
        <v>2</v>
      </c>
      <c r="S130" s="12" t="str" cm="1">
        <f t="array" ref="S130">INDEX('CancerEpisode-ConceptMap-1'!$I$15:$N$153,Q130+1,R130)</f>
        <v>* group[=].element[=].display = ##34#Vascular tumours ##34#</v>
      </c>
    </row>
    <row r="131" spans="16:19" x14ac:dyDescent="0.75">
      <c r="P131" s="11">
        <v>117</v>
      </c>
      <c r="Q131" s="11">
        <f t="shared" si="26"/>
        <v>19</v>
      </c>
      <c r="R131" s="11">
        <f t="shared" si="27"/>
        <v>3</v>
      </c>
      <c r="S131" s="12" t="str" cm="1">
        <f t="array" ref="S131">INDEX('CancerEpisode-ConceptMap-1'!$I$15:$N$153,Q131+1,R131)</f>
        <v>* group[=].element[=].target.code = #Condition.code</v>
      </c>
    </row>
    <row r="132" spans="16:19" x14ac:dyDescent="0.75">
      <c r="P132" s="11">
        <v>118</v>
      </c>
      <c r="Q132" s="11">
        <f t="shared" si="26"/>
        <v>19</v>
      </c>
      <c r="R132" s="11">
        <f t="shared" si="27"/>
        <v>4</v>
      </c>
      <c r="S132" s="12" t="str" cm="1">
        <f t="array" ref="S132">INDEX('CancerEpisode-ConceptMap-1'!$I$15:$N$153,Q132+1,R132)</f>
        <v>* group[=].element[=].target.display = ##34###34#</v>
      </c>
    </row>
    <row r="133" spans="16:19" x14ac:dyDescent="0.75">
      <c r="P133" s="11">
        <v>119</v>
      </c>
      <c r="Q133" s="11">
        <f t="shared" si="26"/>
        <v>19</v>
      </c>
      <c r="R133" s="11">
        <f t="shared" si="27"/>
        <v>5</v>
      </c>
      <c r="S133" s="12" t="str" cm="1">
        <f t="array" ref="S133">INDEX('CancerEpisode-ConceptMap-1'!$I$15:$N$153,Q133+1,R133)</f>
        <v>* group[=].element[=].target.equivalence = #relatedto</v>
      </c>
    </row>
    <row r="134" spans="16:19" x14ac:dyDescent="0.75">
      <c r="P134" s="11">
        <v>120</v>
      </c>
      <c r="Q134" s="11">
        <f t="shared" si="26"/>
        <v>19</v>
      </c>
      <c r="R134" s="11">
        <f t="shared" si="27"/>
        <v>6</v>
      </c>
      <c r="S134" s="12" t="str" cm="1">
        <f t="array" ref="S134">INDEX('CancerEpisode-ConceptMap-1'!$I$15:$N$153,Q134+1,R134)</f>
        <v/>
      </c>
    </row>
    <row r="135" spans="16:19" ht="29.5" x14ac:dyDescent="0.75">
      <c r="P135" s="11">
        <v>121</v>
      </c>
      <c r="Q135" s="11">
        <f t="shared" si="26"/>
        <v>20</v>
      </c>
      <c r="R135" s="11">
        <f t="shared" si="27"/>
        <v>1</v>
      </c>
      <c r="S135" s="12" t="str" cm="1">
        <f t="array" ref="S135">INDEX('CancerEpisode-ConceptMap-1'!$I$15:$N$153,Q135+1,R135)</f>
        <v>* group[=].element[+].code = #CancerEpisode.sarcomaClassification.pericyticPerivascularTumours</v>
      </c>
    </row>
    <row r="136" spans="16:19" ht="29.5" x14ac:dyDescent="0.75">
      <c r="P136" s="11">
        <v>122</v>
      </c>
      <c r="Q136" s="11">
        <f t="shared" si="26"/>
        <v>20</v>
      </c>
      <c r="R136" s="11">
        <f t="shared" si="27"/>
        <v>2</v>
      </c>
      <c r="S136" s="12" t="str" cm="1">
        <f t="array" ref="S136">INDEX('CancerEpisode-ConceptMap-1'!$I$15:$N$153,Q136+1,R136)</f>
        <v>* group[=].element[=].display = ##34#Pericytic (perivascular) tumours
##34#</v>
      </c>
    </row>
    <row r="137" spans="16:19" x14ac:dyDescent="0.75">
      <c r="P137" s="11">
        <v>123</v>
      </c>
      <c r="Q137" s="11">
        <f t="shared" si="26"/>
        <v>20</v>
      </c>
      <c r="R137" s="11">
        <f t="shared" si="27"/>
        <v>3</v>
      </c>
      <c r="S137" s="12" t="str" cm="1">
        <f t="array" ref="S137">INDEX('CancerEpisode-ConceptMap-1'!$I$15:$N$153,Q137+1,R137)</f>
        <v>* group[=].element[=].target.code = #Condition.code</v>
      </c>
    </row>
    <row r="138" spans="16:19" x14ac:dyDescent="0.75">
      <c r="P138" s="11">
        <v>124</v>
      </c>
      <c r="Q138" s="11">
        <f t="shared" si="26"/>
        <v>20</v>
      </c>
      <c r="R138" s="11">
        <f t="shared" si="27"/>
        <v>4</v>
      </c>
      <c r="S138" s="12" t="str" cm="1">
        <f t="array" ref="S138">INDEX('CancerEpisode-ConceptMap-1'!$I$15:$N$153,Q138+1,R138)</f>
        <v>* group[=].element[=].target.display = ##34###34#</v>
      </c>
    </row>
    <row r="139" spans="16:19" x14ac:dyDescent="0.75">
      <c r="P139" s="11">
        <v>125</v>
      </c>
      <c r="Q139" s="11">
        <f t="shared" si="26"/>
        <v>20</v>
      </c>
      <c r="R139" s="11">
        <f t="shared" si="27"/>
        <v>5</v>
      </c>
      <c r="S139" s="12" t="str" cm="1">
        <f t="array" ref="S139">INDEX('CancerEpisode-ConceptMap-1'!$I$15:$N$153,Q139+1,R139)</f>
        <v>* group[=].element[=].target.equivalence = #relatedto</v>
      </c>
    </row>
    <row r="140" spans="16:19" x14ac:dyDescent="0.75">
      <c r="P140" s="11">
        <v>126</v>
      </c>
      <c r="Q140" s="11">
        <f t="shared" si="26"/>
        <v>20</v>
      </c>
      <c r="R140" s="11">
        <f t="shared" si="27"/>
        <v>6</v>
      </c>
      <c r="S140" s="12" t="str" cm="1">
        <f t="array" ref="S140">INDEX('CancerEpisode-ConceptMap-1'!$I$15:$N$153,Q140+1,R140)</f>
        <v/>
      </c>
    </row>
    <row r="141" spans="16:19" ht="29.5" x14ac:dyDescent="0.75">
      <c r="P141" s="11">
        <v>127</v>
      </c>
      <c r="Q141" s="11">
        <f t="shared" si="26"/>
        <v>21</v>
      </c>
      <c r="R141" s="11">
        <f t="shared" si="27"/>
        <v>1</v>
      </c>
      <c r="S141" s="12" t="str" cm="1">
        <f t="array" ref="S141">INDEX('CancerEpisode-ConceptMap-1'!$I$15:$N$153,Q141+1,R141)</f>
        <v>* group[=].element[+].code = #CancerEpisode.sarcomaClassification.smoothMuscleTumours</v>
      </c>
    </row>
    <row r="142" spans="16:19" x14ac:dyDescent="0.75">
      <c r="P142" s="11">
        <v>128</v>
      </c>
      <c r="Q142" s="11">
        <f t="shared" si="26"/>
        <v>21</v>
      </c>
      <c r="R142" s="11">
        <f t="shared" si="27"/>
        <v>2</v>
      </c>
      <c r="S142" s="12" t="str" cm="1">
        <f t="array" ref="S142">INDEX('CancerEpisode-ConceptMap-1'!$I$15:$N$153,Q142+1,R142)</f>
        <v>* group[=].element[=].display = ##34#Smooth muscle tumours##34#</v>
      </c>
    </row>
    <row r="143" spans="16:19" x14ac:dyDescent="0.75">
      <c r="P143" s="11">
        <v>129</v>
      </c>
      <c r="Q143" s="11">
        <f t="shared" si="26"/>
        <v>21</v>
      </c>
      <c r="R143" s="11">
        <f t="shared" si="27"/>
        <v>3</v>
      </c>
      <c r="S143" s="12" t="str" cm="1">
        <f t="array" ref="S143">INDEX('CancerEpisode-ConceptMap-1'!$I$15:$N$153,Q143+1,R143)</f>
        <v>* group[=].element[=].target.code = #Condition.code</v>
      </c>
    </row>
    <row r="144" spans="16:19" x14ac:dyDescent="0.75">
      <c r="P144" s="11">
        <v>130</v>
      </c>
      <c r="Q144" s="11">
        <f t="shared" ref="Q144:Q207" si="28">IF(MOD(P144,$Q$8)=0,P144/$Q$8-1,INT(P144/$Q$8))</f>
        <v>21</v>
      </c>
      <c r="R144" s="11">
        <f t="shared" ref="R144:R207" si="29">IF(MOD(P144,$Q$8)=0,$Q$8,MOD(P144,$Q$8))</f>
        <v>4</v>
      </c>
      <c r="S144" s="12" t="str" cm="1">
        <f t="array" ref="S144">INDEX('CancerEpisode-ConceptMap-1'!$I$15:$N$153,Q144+1,R144)</f>
        <v>* group[=].element[=].target.display = ##34###34#</v>
      </c>
    </row>
    <row r="145" spans="16:19" x14ac:dyDescent="0.75">
      <c r="P145" s="11">
        <v>131</v>
      </c>
      <c r="Q145" s="11">
        <f t="shared" si="28"/>
        <v>21</v>
      </c>
      <c r="R145" s="11">
        <f t="shared" si="29"/>
        <v>5</v>
      </c>
      <c r="S145" s="12" t="str" cm="1">
        <f t="array" ref="S145">INDEX('CancerEpisode-ConceptMap-1'!$I$15:$N$153,Q145+1,R145)</f>
        <v>* group[=].element[=].target.equivalence = #relatedto</v>
      </c>
    </row>
    <row r="146" spans="16:19" x14ac:dyDescent="0.75">
      <c r="P146" s="11">
        <v>132</v>
      </c>
      <c r="Q146" s="11">
        <f t="shared" si="28"/>
        <v>21</v>
      </c>
      <c r="R146" s="11">
        <f t="shared" si="29"/>
        <v>6</v>
      </c>
      <c r="S146" s="12" t="str" cm="1">
        <f t="array" ref="S146">INDEX('CancerEpisode-ConceptMap-1'!$I$15:$N$153,Q146+1,R146)</f>
        <v/>
      </c>
    </row>
    <row r="147" spans="16:19" ht="29.5" x14ac:dyDescent="0.75">
      <c r="P147" s="11">
        <v>133</v>
      </c>
      <c r="Q147" s="11">
        <f t="shared" si="28"/>
        <v>22</v>
      </c>
      <c r="R147" s="11">
        <f t="shared" si="29"/>
        <v>1</v>
      </c>
      <c r="S147" s="12" t="str" cm="1">
        <f t="array" ref="S147">INDEX('CancerEpisode-ConceptMap-1'!$I$15:$N$153,Q147+1,R147)</f>
        <v>* group[=].element[+].code = #CancerEpisode.sarcomaClassification.skeletalMuscleTumours</v>
      </c>
    </row>
    <row r="148" spans="16:19" x14ac:dyDescent="0.75">
      <c r="P148" s="11">
        <v>134</v>
      </c>
      <c r="Q148" s="11">
        <f t="shared" si="28"/>
        <v>22</v>
      </c>
      <c r="R148" s="11">
        <f t="shared" si="29"/>
        <v>2</v>
      </c>
      <c r="S148" s="12" t="str" cm="1">
        <f t="array" ref="S148">INDEX('CancerEpisode-ConceptMap-1'!$I$15:$N$153,Q148+1,R148)</f>
        <v>* group[=].element[=].display = ##34#Skeletal muscle tumours##34#</v>
      </c>
    </row>
    <row r="149" spans="16:19" x14ac:dyDescent="0.75">
      <c r="P149" s="11">
        <v>135</v>
      </c>
      <c r="Q149" s="11">
        <f t="shared" si="28"/>
        <v>22</v>
      </c>
      <c r="R149" s="11">
        <f t="shared" si="29"/>
        <v>3</v>
      </c>
      <c r="S149" s="12" t="str" cm="1">
        <f t="array" ref="S149">INDEX('CancerEpisode-ConceptMap-1'!$I$15:$N$153,Q149+1,R149)</f>
        <v>* group[=].element[=].target.code = #Condition.code</v>
      </c>
    </row>
    <row r="150" spans="16:19" x14ac:dyDescent="0.75">
      <c r="P150" s="11">
        <v>136</v>
      </c>
      <c r="Q150" s="11">
        <f t="shared" si="28"/>
        <v>22</v>
      </c>
      <c r="R150" s="11">
        <f t="shared" si="29"/>
        <v>4</v>
      </c>
      <c r="S150" s="12" t="str" cm="1">
        <f t="array" ref="S150">INDEX('CancerEpisode-ConceptMap-1'!$I$15:$N$153,Q150+1,R150)</f>
        <v>* group[=].element[=].target.display = ##34###34#</v>
      </c>
    </row>
    <row r="151" spans="16:19" x14ac:dyDescent="0.75">
      <c r="P151" s="11">
        <v>137</v>
      </c>
      <c r="Q151" s="11">
        <f t="shared" si="28"/>
        <v>22</v>
      </c>
      <c r="R151" s="11">
        <f t="shared" si="29"/>
        <v>5</v>
      </c>
      <c r="S151" s="12" t="str" cm="1">
        <f t="array" ref="S151">INDEX('CancerEpisode-ConceptMap-1'!$I$15:$N$153,Q151+1,R151)</f>
        <v>* group[=].element[=].target.equivalence = #relatedto</v>
      </c>
    </row>
    <row r="152" spans="16:19" x14ac:dyDescent="0.75">
      <c r="P152" s="11">
        <v>138</v>
      </c>
      <c r="Q152" s="11">
        <f t="shared" si="28"/>
        <v>22</v>
      </c>
      <c r="R152" s="11">
        <f t="shared" si="29"/>
        <v>6</v>
      </c>
      <c r="S152" s="12" t="str" cm="1">
        <f t="array" ref="S152">INDEX('CancerEpisode-ConceptMap-1'!$I$15:$N$153,Q152+1,R152)</f>
        <v/>
      </c>
    </row>
    <row r="153" spans="16:19" ht="29.5" x14ac:dyDescent="0.75">
      <c r="P153" s="11">
        <v>139</v>
      </c>
      <c r="Q153" s="11">
        <f t="shared" si="28"/>
        <v>23</v>
      </c>
      <c r="R153" s="11">
        <f t="shared" si="29"/>
        <v>1</v>
      </c>
      <c r="S153" s="12" t="str" cm="1">
        <f t="array" ref="S153">INDEX('CancerEpisode-ConceptMap-1'!$I$15:$N$153,Q153+1,R153)</f>
        <v>* group[=].element[+].code = #CancerEpisode.sarcomaClassification.chondroOsseousTumours</v>
      </c>
    </row>
    <row r="154" spans="16:19" ht="29.5" x14ac:dyDescent="0.75">
      <c r="P154" s="11">
        <v>140</v>
      </c>
      <c r="Q154" s="11">
        <f t="shared" si="28"/>
        <v>23</v>
      </c>
      <c r="R154" s="11">
        <f t="shared" si="29"/>
        <v>2</v>
      </c>
      <c r="S154" s="12" t="str" cm="1">
        <f t="array" ref="S154">INDEX('CancerEpisode-ConceptMap-1'!$I$15:$N$153,Q154+1,R154)</f>
        <v>* group[=].element[=].display = ##34#Chondro-osseous tumours
##34#</v>
      </c>
    </row>
    <row r="155" spans="16:19" x14ac:dyDescent="0.75">
      <c r="P155" s="11">
        <v>141</v>
      </c>
      <c r="Q155" s="11">
        <f t="shared" si="28"/>
        <v>23</v>
      </c>
      <c r="R155" s="11">
        <f t="shared" si="29"/>
        <v>3</v>
      </c>
      <c r="S155" s="12" t="str" cm="1">
        <f t="array" ref="S155">INDEX('CancerEpisode-ConceptMap-1'!$I$15:$N$153,Q155+1,R155)</f>
        <v>* group[=].element[=].target.code = #Condition.code</v>
      </c>
    </row>
    <row r="156" spans="16:19" x14ac:dyDescent="0.75">
      <c r="P156" s="11">
        <v>142</v>
      </c>
      <c r="Q156" s="11">
        <f t="shared" si="28"/>
        <v>23</v>
      </c>
      <c r="R156" s="11">
        <f t="shared" si="29"/>
        <v>4</v>
      </c>
      <c r="S156" s="12" t="str" cm="1">
        <f t="array" ref="S156">INDEX('CancerEpisode-ConceptMap-1'!$I$15:$N$153,Q156+1,R156)</f>
        <v>* group[=].element[=].target.display = ##34###34#</v>
      </c>
    </row>
    <row r="157" spans="16:19" x14ac:dyDescent="0.75">
      <c r="P157" s="11">
        <v>143</v>
      </c>
      <c r="Q157" s="11">
        <f t="shared" si="28"/>
        <v>23</v>
      </c>
      <c r="R157" s="11">
        <f t="shared" si="29"/>
        <v>5</v>
      </c>
      <c r="S157" s="12" t="str" cm="1">
        <f t="array" ref="S157">INDEX('CancerEpisode-ConceptMap-1'!$I$15:$N$153,Q157+1,R157)</f>
        <v>* group[=].element[=].target.equivalence = #relatedto</v>
      </c>
    </row>
    <row r="158" spans="16:19" x14ac:dyDescent="0.75">
      <c r="P158" s="11">
        <v>144</v>
      </c>
      <c r="Q158" s="11">
        <f t="shared" si="28"/>
        <v>23</v>
      </c>
      <c r="R158" s="11">
        <f t="shared" si="29"/>
        <v>6</v>
      </c>
      <c r="S158" s="12" t="str" cm="1">
        <f t="array" ref="S158">INDEX('CancerEpisode-ConceptMap-1'!$I$15:$N$153,Q158+1,R158)</f>
        <v/>
      </c>
    </row>
    <row r="159" spans="16:19" ht="29.5" x14ac:dyDescent="0.75">
      <c r="P159" s="11">
        <v>145</v>
      </c>
      <c r="Q159" s="11">
        <f t="shared" si="28"/>
        <v>24</v>
      </c>
      <c r="R159" s="11">
        <f t="shared" si="29"/>
        <v>1</v>
      </c>
      <c r="S159" s="12" t="str" cm="1">
        <f t="array" ref="S159">INDEX('CancerEpisode-ConceptMap-1'!$I$15:$N$153,Q159+1,R159)</f>
        <v>* group[=].element[+].code = #CancerEpisode.sarcomaClassification.peripheralNerveSheathTumours</v>
      </c>
    </row>
    <row r="160" spans="16:19" x14ac:dyDescent="0.75">
      <c r="P160" s="11">
        <v>146</v>
      </c>
      <c r="Q160" s="11">
        <f t="shared" si="28"/>
        <v>24</v>
      </c>
      <c r="R160" s="11">
        <f t="shared" si="29"/>
        <v>2</v>
      </c>
      <c r="S160" s="12" t="str" cm="1">
        <f t="array" ref="S160">INDEX('CancerEpisode-ConceptMap-1'!$I$15:$N$153,Q160+1,R160)</f>
        <v>* group[=].element[=].display = ##34#Peripheral nerve sheath tumours##34#</v>
      </c>
    </row>
    <row r="161" spans="16:19" x14ac:dyDescent="0.75">
      <c r="P161" s="11">
        <v>147</v>
      </c>
      <c r="Q161" s="11">
        <f t="shared" si="28"/>
        <v>24</v>
      </c>
      <c r="R161" s="11">
        <f t="shared" si="29"/>
        <v>3</v>
      </c>
      <c r="S161" s="12" t="str" cm="1">
        <f t="array" ref="S161">INDEX('CancerEpisode-ConceptMap-1'!$I$15:$N$153,Q161+1,R161)</f>
        <v>* group[=].element[=].target.code = #Condition.code</v>
      </c>
    </row>
    <row r="162" spans="16:19" x14ac:dyDescent="0.75">
      <c r="P162" s="11">
        <v>148</v>
      </c>
      <c r="Q162" s="11">
        <f t="shared" si="28"/>
        <v>24</v>
      </c>
      <c r="R162" s="11">
        <f t="shared" si="29"/>
        <v>4</v>
      </c>
      <c r="S162" s="12" t="str" cm="1">
        <f t="array" ref="S162">INDEX('CancerEpisode-ConceptMap-1'!$I$15:$N$153,Q162+1,R162)</f>
        <v>* group[=].element[=].target.display = ##34###34#</v>
      </c>
    </row>
    <row r="163" spans="16:19" x14ac:dyDescent="0.75">
      <c r="P163" s="11">
        <v>149</v>
      </c>
      <c r="Q163" s="11">
        <f t="shared" si="28"/>
        <v>24</v>
      </c>
      <c r="R163" s="11">
        <f t="shared" si="29"/>
        <v>5</v>
      </c>
      <c r="S163" s="12" t="str" cm="1">
        <f t="array" ref="S163">INDEX('CancerEpisode-ConceptMap-1'!$I$15:$N$153,Q163+1,R163)</f>
        <v>* group[=].element[=].target.equivalence = #relatedto</v>
      </c>
    </row>
    <row r="164" spans="16:19" x14ac:dyDescent="0.75">
      <c r="P164" s="11">
        <v>150</v>
      </c>
      <c r="Q164" s="11">
        <f t="shared" si="28"/>
        <v>24</v>
      </c>
      <c r="R164" s="11">
        <f t="shared" si="29"/>
        <v>6</v>
      </c>
      <c r="S164" s="12" t="str" cm="1">
        <f t="array" ref="S164">INDEX('CancerEpisode-ConceptMap-1'!$I$15:$N$153,Q164+1,R164)</f>
        <v/>
      </c>
    </row>
    <row r="165" spans="16:19" ht="29.5" x14ac:dyDescent="0.75">
      <c r="P165" s="11">
        <v>151</v>
      </c>
      <c r="Q165" s="11">
        <f t="shared" si="28"/>
        <v>25</v>
      </c>
      <c r="R165" s="11">
        <f t="shared" si="29"/>
        <v>1</v>
      </c>
      <c r="S165" s="12" t="str" cm="1">
        <f t="array" ref="S165">INDEX('CancerEpisode-ConceptMap-1'!$I$15:$N$153,Q165+1,R165)</f>
        <v>* group[=].element[+].code = #CancerEpisode.sarcomaClassification.tumoursOfUncertainDifferentiation</v>
      </c>
    </row>
    <row r="166" spans="16:19" x14ac:dyDescent="0.75">
      <c r="P166" s="11">
        <v>152</v>
      </c>
      <c r="Q166" s="11">
        <f t="shared" si="28"/>
        <v>25</v>
      </c>
      <c r="R166" s="11">
        <f t="shared" si="29"/>
        <v>2</v>
      </c>
      <c r="S166" s="12" t="str" cm="1">
        <f t="array" ref="S166">INDEX('CancerEpisode-ConceptMap-1'!$I$15:$N$153,Q166+1,R166)</f>
        <v>* group[=].element[=].display = ##34#Tumours of uncertain differentiation##34#</v>
      </c>
    </row>
    <row r="167" spans="16:19" x14ac:dyDescent="0.75">
      <c r="P167" s="11">
        <v>153</v>
      </c>
      <c r="Q167" s="11">
        <f t="shared" si="28"/>
        <v>25</v>
      </c>
      <c r="R167" s="11">
        <f t="shared" si="29"/>
        <v>3</v>
      </c>
      <c r="S167" s="12" t="str" cm="1">
        <f t="array" ref="S167">INDEX('CancerEpisode-ConceptMap-1'!$I$15:$N$153,Q167+1,R167)</f>
        <v>* group[=].element[=].target.code = #Condition.code</v>
      </c>
    </row>
    <row r="168" spans="16:19" x14ac:dyDescent="0.75">
      <c r="P168" s="11">
        <v>154</v>
      </c>
      <c r="Q168" s="11">
        <f t="shared" si="28"/>
        <v>25</v>
      </c>
      <c r="R168" s="11">
        <f t="shared" si="29"/>
        <v>4</v>
      </c>
      <c r="S168" s="12" t="str" cm="1">
        <f t="array" ref="S168">INDEX('CancerEpisode-ConceptMap-1'!$I$15:$N$153,Q168+1,R168)</f>
        <v>* group[=].element[=].target.display = ##34###34#</v>
      </c>
    </row>
    <row r="169" spans="16:19" x14ac:dyDescent="0.75">
      <c r="P169" s="11">
        <v>155</v>
      </c>
      <c r="Q169" s="11">
        <f t="shared" si="28"/>
        <v>25</v>
      </c>
      <c r="R169" s="11">
        <f t="shared" si="29"/>
        <v>5</v>
      </c>
      <c r="S169" s="12" t="str" cm="1">
        <f t="array" ref="S169">INDEX('CancerEpisode-ConceptMap-1'!$I$15:$N$153,Q169+1,R169)</f>
        <v>* group[=].element[=].target.equivalence = #relatedto</v>
      </c>
    </row>
    <row r="170" spans="16:19" x14ac:dyDescent="0.75">
      <c r="P170" s="11">
        <v>156</v>
      </c>
      <c r="Q170" s="11">
        <f t="shared" si="28"/>
        <v>25</v>
      </c>
      <c r="R170" s="11">
        <f t="shared" si="29"/>
        <v>6</v>
      </c>
      <c r="S170" s="12" t="str" cm="1">
        <f t="array" ref="S170">INDEX('CancerEpisode-ConceptMap-1'!$I$15:$N$153,Q170+1,R170)</f>
        <v/>
      </c>
    </row>
    <row r="171" spans="16:19" ht="29.5" x14ac:dyDescent="0.75">
      <c r="P171" s="11">
        <v>157</v>
      </c>
      <c r="Q171" s="11">
        <f t="shared" si="28"/>
        <v>26</v>
      </c>
      <c r="R171" s="11">
        <f t="shared" si="29"/>
        <v>1</v>
      </c>
      <c r="S171" s="12" t="str" cm="1">
        <f t="array" ref="S171">INDEX('CancerEpisode-ConceptMap-1'!$I$15:$N$153,Q171+1,R171)</f>
        <v>* group[=].element[+].code = #CancerEpisode.sarcomaClassification.undifSmallRCelSarcBonAndSofTis</v>
      </c>
    </row>
    <row r="172" spans="16:19" ht="29.5" x14ac:dyDescent="0.75">
      <c r="P172" s="11">
        <v>158</v>
      </c>
      <c r="Q172" s="11">
        <f t="shared" si="28"/>
        <v>26</v>
      </c>
      <c r="R172" s="11">
        <f t="shared" si="29"/>
        <v>2</v>
      </c>
      <c r="S172" s="12" t="str" cm="1">
        <f t="array" ref="S172">INDEX('CancerEpisode-ConceptMap-1'!$I$15:$N$153,Q172+1,R172)</f>
        <v>* group[=].element[=].display = ##34#Undifferentiated small round cell sarcomas of bone and soft tissue##34#</v>
      </c>
    </row>
    <row r="173" spans="16:19" x14ac:dyDescent="0.75">
      <c r="P173" s="11">
        <v>159</v>
      </c>
      <c r="Q173" s="11">
        <f t="shared" si="28"/>
        <v>26</v>
      </c>
      <c r="R173" s="11">
        <f t="shared" si="29"/>
        <v>3</v>
      </c>
      <c r="S173" s="12" t="str" cm="1">
        <f t="array" ref="S173">INDEX('CancerEpisode-ConceptMap-1'!$I$15:$N$153,Q173+1,R173)</f>
        <v>* group[=].element[=].target.code = #Condition.code</v>
      </c>
    </row>
    <row r="174" spans="16:19" x14ac:dyDescent="0.75">
      <c r="P174" s="11">
        <v>160</v>
      </c>
      <c r="Q174" s="11">
        <f t="shared" si="28"/>
        <v>26</v>
      </c>
      <c r="R174" s="11">
        <f t="shared" si="29"/>
        <v>4</v>
      </c>
      <c r="S174" s="12" t="str" cm="1">
        <f t="array" ref="S174">INDEX('CancerEpisode-ConceptMap-1'!$I$15:$N$153,Q174+1,R174)</f>
        <v>* group[=].element[=].target.display = ##34###34#</v>
      </c>
    </row>
    <row r="175" spans="16:19" x14ac:dyDescent="0.75">
      <c r="P175" s="11">
        <v>161</v>
      </c>
      <c r="Q175" s="11">
        <f t="shared" si="28"/>
        <v>26</v>
      </c>
      <c r="R175" s="11">
        <f t="shared" si="29"/>
        <v>5</v>
      </c>
      <c r="S175" s="12" t="str" cm="1">
        <f t="array" ref="S175">INDEX('CancerEpisode-ConceptMap-1'!$I$15:$N$153,Q175+1,R175)</f>
        <v>* group[=].element[=].target.equivalence = #relatedto</v>
      </c>
    </row>
    <row r="176" spans="16:19" x14ac:dyDescent="0.75">
      <c r="P176" s="11">
        <v>162</v>
      </c>
      <c r="Q176" s="11">
        <f t="shared" si="28"/>
        <v>26</v>
      </c>
      <c r="R176" s="11">
        <f t="shared" si="29"/>
        <v>6</v>
      </c>
      <c r="S176" s="12" t="str" cm="1">
        <f t="array" ref="S176">INDEX('CancerEpisode-ConceptMap-1'!$I$15:$N$153,Q176+1,R176)</f>
        <v/>
      </c>
    </row>
    <row r="177" spans="16:19" ht="29.5" x14ac:dyDescent="0.75">
      <c r="P177" s="11">
        <v>163</v>
      </c>
      <c r="Q177" s="11">
        <f t="shared" si="28"/>
        <v>27</v>
      </c>
      <c r="R177" s="11">
        <f t="shared" si="29"/>
        <v>1</v>
      </c>
      <c r="S177" s="12" t="str" cm="1">
        <f t="array" ref="S177">INDEX('CancerEpisode-ConceptMap-1'!$I$15:$N$153,Q177+1,R177)</f>
        <v>* group[=].element[+].code = #CancerEpisode.sarcomaClassification.endStrAndRelatedTumours</v>
      </c>
    </row>
    <row r="178" spans="16:19" x14ac:dyDescent="0.75">
      <c r="P178" s="11">
        <v>164</v>
      </c>
      <c r="Q178" s="11">
        <f t="shared" si="28"/>
        <v>27</v>
      </c>
      <c r="R178" s="11">
        <f t="shared" si="29"/>
        <v>2</v>
      </c>
      <c r="S178" s="12" t="str" cm="1">
        <f t="array" ref="S178">INDEX('CancerEpisode-ConceptMap-1'!$I$15:$N$153,Q178+1,R178)</f>
        <v>* group[=].element[=].display = ##34#Endometrial stromal and related tumours##34#</v>
      </c>
    </row>
    <row r="179" spans="16:19" x14ac:dyDescent="0.75">
      <c r="P179" s="11">
        <v>165</v>
      </c>
      <c r="Q179" s="11">
        <f t="shared" si="28"/>
        <v>27</v>
      </c>
      <c r="R179" s="11">
        <f t="shared" si="29"/>
        <v>3</v>
      </c>
      <c r="S179" s="12" t="str" cm="1">
        <f t="array" ref="S179">INDEX('CancerEpisode-ConceptMap-1'!$I$15:$N$153,Q179+1,R179)</f>
        <v>* group[=].element[=].target.code = #Condition.code</v>
      </c>
    </row>
    <row r="180" spans="16:19" x14ac:dyDescent="0.75">
      <c r="P180" s="11">
        <v>166</v>
      </c>
      <c r="Q180" s="11">
        <f t="shared" si="28"/>
        <v>27</v>
      </c>
      <c r="R180" s="11">
        <f t="shared" si="29"/>
        <v>4</v>
      </c>
      <c r="S180" s="12" t="str" cm="1">
        <f t="array" ref="S180">INDEX('CancerEpisode-ConceptMap-1'!$I$15:$N$153,Q180+1,R180)</f>
        <v>* group[=].element[=].target.display = ##34###34#</v>
      </c>
    </row>
    <row r="181" spans="16:19" x14ac:dyDescent="0.75">
      <c r="P181" s="11">
        <v>167</v>
      </c>
      <c r="Q181" s="11">
        <f t="shared" si="28"/>
        <v>27</v>
      </c>
      <c r="R181" s="11">
        <f t="shared" si="29"/>
        <v>5</v>
      </c>
      <c r="S181" s="12" t="str" cm="1">
        <f t="array" ref="S181">INDEX('CancerEpisode-ConceptMap-1'!$I$15:$N$153,Q181+1,R181)</f>
        <v>* group[=].element[=].target.equivalence = #relatedto</v>
      </c>
    </row>
    <row r="182" spans="16:19" x14ac:dyDescent="0.75">
      <c r="P182" s="11">
        <v>168</v>
      </c>
      <c r="Q182" s="11">
        <f t="shared" si="28"/>
        <v>27</v>
      </c>
      <c r="R182" s="11">
        <f t="shared" si="29"/>
        <v>6</v>
      </c>
      <c r="S182" s="12" t="str" cm="1">
        <f t="array" ref="S182">INDEX('CancerEpisode-ConceptMap-1'!$I$15:$N$153,Q182+1,R182)</f>
        <v/>
      </c>
    </row>
    <row r="183" spans="16:19" ht="29.5" x14ac:dyDescent="0.75">
      <c r="P183" s="11">
        <v>169</v>
      </c>
      <c r="Q183" s="11">
        <f t="shared" si="28"/>
        <v>28</v>
      </c>
      <c r="R183" s="11">
        <f t="shared" si="29"/>
        <v>1</v>
      </c>
      <c r="S183" s="12" t="str" cm="1">
        <f t="array" ref="S183">INDEX('CancerEpisode-ConceptMap-1'!$I$15:$N$153,Q183+1,R183)</f>
        <v>* group[=].element[+].code = #CancerEpisode.sarcomaClassification.miscellaniousMesenchimalTumors</v>
      </c>
    </row>
    <row r="184" spans="16:19" x14ac:dyDescent="0.75">
      <c r="P184" s="11">
        <v>170</v>
      </c>
      <c r="Q184" s="11">
        <f t="shared" si="28"/>
        <v>28</v>
      </c>
      <c r="R184" s="11">
        <f t="shared" si="29"/>
        <v>2</v>
      </c>
      <c r="S184" s="12" t="str" cm="1">
        <f t="array" ref="S184">INDEX('CancerEpisode-ConceptMap-1'!$I$15:$N$153,Q184+1,R184)</f>
        <v>* group[=].element[=].display = ##34#Miscellanious mesenchimal tumors##34#</v>
      </c>
    </row>
    <row r="185" spans="16:19" x14ac:dyDescent="0.75">
      <c r="P185" s="11">
        <v>171</v>
      </c>
      <c r="Q185" s="11">
        <f t="shared" si="28"/>
        <v>28</v>
      </c>
      <c r="R185" s="11">
        <f t="shared" si="29"/>
        <v>3</v>
      </c>
      <c r="S185" s="12" t="str" cm="1">
        <f t="array" ref="S185">INDEX('CancerEpisode-ConceptMap-1'!$I$15:$N$153,Q185+1,R185)</f>
        <v>* group[=].element[=].target.code = #Condition.code</v>
      </c>
    </row>
    <row r="186" spans="16:19" x14ac:dyDescent="0.75">
      <c r="P186" s="11">
        <v>172</v>
      </c>
      <c r="Q186" s="11">
        <f t="shared" si="28"/>
        <v>28</v>
      </c>
      <c r="R186" s="11">
        <f t="shared" si="29"/>
        <v>4</v>
      </c>
      <c r="S186" s="12" t="str" cm="1">
        <f t="array" ref="S186">INDEX('CancerEpisode-ConceptMap-1'!$I$15:$N$153,Q186+1,R186)</f>
        <v>* group[=].element[=].target.display = ##34###34#</v>
      </c>
    </row>
    <row r="187" spans="16:19" x14ac:dyDescent="0.75">
      <c r="P187" s="11">
        <v>173</v>
      </c>
      <c r="Q187" s="11">
        <f t="shared" si="28"/>
        <v>28</v>
      </c>
      <c r="R187" s="11">
        <f t="shared" si="29"/>
        <v>5</v>
      </c>
      <c r="S187" s="12" t="str" cm="1">
        <f t="array" ref="S187">INDEX('CancerEpisode-ConceptMap-1'!$I$15:$N$153,Q187+1,R187)</f>
        <v>* group[=].element[=].target.equivalence = #relatedto</v>
      </c>
    </row>
    <row r="188" spans="16:19" x14ac:dyDescent="0.75">
      <c r="P188" s="11">
        <v>174</v>
      </c>
      <c r="Q188" s="11">
        <f t="shared" si="28"/>
        <v>28</v>
      </c>
      <c r="R188" s="11">
        <f t="shared" si="29"/>
        <v>6</v>
      </c>
      <c r="S188" s="12" t="str" cm="1">
        <f t="array" ref="S188">INDEX('CancerEpisode-ConceptMap-1'!$I$15:$N$153,Q188+1,R188)</f>
        <v/>
      </c>
    </row>
    <row r="189" spans="16:19" ht="29.5" x14ac:dyDescent="0.75">
      <c r="P189" s="11">
        <v>175</v>
      </c>
      <c r="Q189" s="11">
        <f t="shared" si="28"/>
        <v>29</v>
      </c>
      <c r="R189" s="11">
        <f t="shared" si="29"/>
        <v>1</v>
      </c>
      <c r="S189" s="12" t="str" cm="1">
        <f t="array" ref="S189">INDEX('CancerEpisode-ConceptMap-1'!$I$15:$N$153,Q189+1,R189)</f>
        <v>* group[=].element[+].code = #CancerEpisode.sarcomaClassification.mixedEpithelialAndMesenchymalTumours</v>
      </c>
    </row>
    <row r="190" spans="16:19" ht="29.5" x14ac:dyDescent="0.75">
      <c r="P190" s="11">
        <v>176</v>
      </c>
      <c r="Q190" s="11">
        <f t="shared" si="28"/>
        <v>29</v>
      </c>
      <c r="R190" s="11">
        <f t="shared" si="29"/>
        <v>2</v>
      </c>
      <c r="S190" s="12" t="str" cm="1">
        <f t="array" ref="S190">INDEX('CancerEpisode-ConceptMap-1'!$I$15:$N$153,Q190+1,R190)</f>
        <v>* group[=].element[=].display = ##34#Mixed epithelial and mesenchymal tumours##34#</v>
      </c>
    </row>
    <row r="191" spans="16:19" x14ac:dyDescent="0.75">
      <c r="P191" s="11">
        <v>177</v>
      </c>
      <c r="Q191" s="11">
        <f t="shared" si="28"/>
        <v>29</v>
      </c>
      <c r="R191" s="11">
        <f t="shared" si="29"/>
        <v>3</v>
      </c>
      <c r="S191" s="12" t="str" cm="1">
        <f t="array" ref="S191">INDEX('CancerEpisode-ConceptMap-1'!$I$15:$N$153,Q191+1,R191)</f>
        <v>* group[=].element[=].target.code = #Condition.code</v>
      </c>
    </row>
    <row r="192" spans="16:19" x14ac:dyDescent="0.75">
      <c r="P192" s="11">
        <v>178</v>
      </c>
      <c r="Q192" s="11">
        <f t="shared" si="28"/>
        <v>29</v>
      </c>
      <c r="R192" s="11">
        <f t="shared" si="29"/>
        <v>4</v>
      </c>
      <c r="S192" s="12" t="str" cm="1">
        <f t="array" ref="S192">INDEX('CancerEpisode-ConceptMap-1'!$I$15:$N$153,Q192+1,R192)</f>
        <v>* group[=].element[=].target.display = ##34###34#</v>
      </c>
    </row>
    <row r="193" spans="16:19" x14ac:dyDescent="0.75">
      <c r="P193" s="11">
        <v>179</v>
      </c>
      <c r="Q193" s="11">
        <f t="shared" si="28"/>
        <v>29</v>
      </c>
      <c r="R193" s="11">
        <f t="shared" si="29"/>
        <v>5</v>
      </c>
      <c r="S193" s="12" t="str" cm="1">
        <f t="array" ref="S193">INDEX('CancerEpisode-ConceptMap-1'!$I$15:$N$153,Q193+1,R193)</f>
        <v>* group[=].element[=].target.equivalence = #relatedto</v>
      </c>
    </row>
    <row r="194" spans="16:19" x14ac:dyDescent="0.75">
      <c r="P194" s="11">
        <v>180</v>
      </c>
      <c r="Q194" s="11">
        <f t="shared" si="28"/>
        <v>29</v>
      </c>
      <c r="R194" s="11">
        <f t="shared" si="29"/>
        <v>6</v>
      </c>
      <c r="S194" s="12" t="str" cm="1">
        <f t="array" ref="S194">INDEX('CancerEpisode-ConceptMap-1'!$I$15:$N$153,Q194+1,R194)</f>
        <v/>
      </c>
    </row>
    <row r="195" spans="16:19" x14ac:dyDescent="0.75">
      <c r="P195" s="11">
        <v>181</v>
      </c>
      <c r="Q195" s="11">
        <f t="shared" si="28"/>
        <v>30</v>
      </c>
      <c r="R195" s="11">
        <f t="shared" si="29"/>
        <v>1</v>
      </c>
      <c r="S195" s="12" t="str" cm="1">
        <f t="array" ref="S195">INDEX('CancerEpisode-ConceptMap-1'!$I$15:$N$153,Q195+1,R195)</f>
        <v>* group[=].element[+].code = #CancerEpisode.subsites</v>
      </c>
    </row>
    <row r="196" spans="16:19" x14ac:dyDescent="0.75">
      <c r="P196" s="11">
        <v>182</v>
      </c>
      <c r="Q196" s="11">
        <f t="shared" si="28"/>
        <v>30</v>
      </c>
      <c r="R196" s="11">
        <f t="shared" si="29"/>
        <v>2</v>
      </c>
      <c r="S196" s="12" t="str" cm="1">
        <f t="array" ref="S196">INDEX('CancerEpisode-ConceptMap-1'!$I$15:$N$153,Q196+1,R196)</f>
        <v>* group[=].element[=].display = ##34#subsites##34#</v>
      </c>
    </row>
    <row r="197" spans="16:19" x14ac:dyDescent="0.75">
      <c r="P197" s="11">
        <v>183</v>
      </c>
      <c r="Q197" s="11">
        <f t="shared" si="28"/>
        <v>30</v>
      </c>
      <c r="R197" s="11">
        <f t="shared" si="29"/>
        <v>3</v>
      </c>
      <c r="S197" s="12" t="str" cm="1">
        <f t="array" ref="S197">INDEX('CancerEpisode-ConceptMap-1'!$I$15:$N$153,Q197+1,R197)</f>
        <v>* group[=].element[=].target.code = #Condition.bodySite</v>
      </c>
    </row>
    <row r="198" spans="16:19" x14ac:dyDescent="0.75">
      <c r="P198" s="11">
        <v>184</v>
      </c>
      <c r="Q198" s="11">
        <f t="shared" si="28"/>
        <v>30</v>
      </c>
      <c r="R198" s="11">
        <f t="shared" si="29"/>
        <v>4</v>
      </c>
      <c r="S198" s="12" t="str" cm="1">
        <f t="array" ref="S198">INDEX('CancerEpisode-ConceptMap-1'!$I$15:$N$153,Q198+1,R198)</f>
        <v>* group[=].element[=].target.display = ##34###34#</v>
      </c>
    </row>
    <row r="199" spans="16:19" x14ac:dyDescent="0.75">
      <c r="P199" s="11">
        <v>185</v>
      </c>
      <c r="Q199" s="11">
        <f t="shared" si="28"/>
        <v>30</v>
      </c>
      <c r="R199" s="11">
        <f t="shared" si="29"/>
        <v>5</v>
      </c>
      <c r="S199" s="12" t="str" cm="1">
        <f t="array" ref="S199">INDEX('CancerEpisode-ConceptMap-1'!$I$15:$N$153,Q199+1,R199)</f>
        <v>* group[=].element[=].target.equivalence = #equivalent</v>
      </c>
    </row>
    <row r="200" spans="16:19" x14ac:dyDescent="0.75">
      <c r="P200" s="11">
        <v>186</v>
      </c>
      <c r="Q200" s="11">
        <f t="shared" si="28"/>
        <v>30</v>
      </c>
      <c r="R200" s="11">
        <f t="shared" si="29"/>
        <v>6</v>
      </c>
      <c r="S200" s="12" t="str" cm="1">
        <f t="array" ref="S200">INDEX('CancerEpisode-ConceptMap-1'!$I$15:$N$153,Q200+1,R200)</f>
        <v/>
      </c>
    </row>
    <row r="201" spans="16:19" ht="29.5" x14ac:dyDescent="0.75">
      <c r="P201" s="11">
        <v>187</v>
      </c>
      <c r="Q201" s="11">
        <f t="shared" si="28"/>
        <v>31</v>
      </c>
      <c r="R201" s="11">
        <f t="shared" si="29"/>
        <v>1</v>
      </c>
      <c r="S201" s="12" t="str" cm="1">
        <f t="array" ref="S201">INDEX('CancerEpisode-ConceptMap-1'!$I$15:$N$153,Q201+1,R201)</f>
        <v>* group[=].element[+].code = #CancerEpisode.subsites.nasalCavityAndParanasalSinuses</v>
      </c>
    </row>
    <row r="202" spans="16:19" ht="29.5" x14ac:dyDescent="0.75">
      <c r="P202" s="11">
        <v>188</v>
      </c>
      <c r="Q202" s="11">
        <f t="shared" si="28"/>
        <v>31</v>
      </c>
      <c r="R202" s="11">
        <f t="shared" si="29"/>
        <v>2</v>
      </c>
      <c r="S202" s="12" t="str" cm="1">
        <f t="array" ref="S202">INDEX('CancerEpisode-ConceptMap-1'!$I$15:$N$153,Q202+1,R202)</f>
        <v>* group[=].element[=].display = ##34#Nasal cavity and paranasal sinuses subsite##34#</v>
      </c>
    </row>
    <row r="203" spans="16:19" x14ac:dyDescent="0.75">
      <c r="P203" s="11">
        <v>189</v>
      </c>
      <c r="Q203" s="11">
        <f t="shared" si="28"/>
        <v>31</v>
      </c>
      <c r="R203" s="11">
        <f t="shared" si="29"/>
        <v>3</v>
      </c>
      <c r="S203" s="12" t="str" cm="1">
        <f t="array" ref="S203">INDEX('CancerEpisode-ConceptMap-1'!$I$15:$N$153,Q203+1,R203)</f>
        <v>* group[=].element[=].target.code = #Condition.bodySite</v>
      </c>
    </row>
    <row r="204" spans="16:19" x14ac:dyDescent="0.75">
      <c r="P204" s="11">
        <v>190</v>
      </c>
      <c r="Q204" s="11">
        <f t="shared" si="28"/>
        <v>31</v>
      </c>
      <c r="R204" s="11">
        <f t="shared" si="29"/>
        <v>4</v>
      </c>
      <c r="S204" s="12" t="str" cm="1">
        <f t="array" ref="S204">INDEX('CancerEpisode-ConceptMap-1'!$I$15:$N$153,Q204+1,R204)</f>
        <v>* group[=].element[=].target.display = ##34###34#</v>
      </c>
    </row>
    <row r="205" spans="16:19" x14ac:dyDescent="0.75">
      <c r="P205" s="11">
        <v>191</v>
      </c>
      <c r="Q205" s="11">
        <f t="shared" si="28"/>
        <v>31</v>
      </c>
      <c r="R205" s="11">
        <f t="shared" si="29"/>
        <v>5</v>
      </c>
      <c r="S205" s="12" t="str" cm="1">
        <f t="array" ref="S205">INDEX('CancerEpisode-ConceptMap-1'!$I$15:$N$153,Q205+1,R205)</f>
        <v>* group[=].element[=].target.equivalence = #equivalent</v>
      </c>
    </row>
    <row r="206" spans="16:19" x14ac:dyDescent="0.75">
      <c r="P206" s="11">
        <v>192</v>
      </c>
      <c r="Q206" s="11">
        <f t="shared" si="28"/>
        <v>31</v>
      </c>
      <c r="R206" s="11">
        <f t="shared" si="29"/>
        <v>6</v>
      </c>
      <c r="S206" s="12" t="str" cm="1">
        <f t="array" ref="S206">INDEX('CancerEpisode-ConceptMap-1'!$I$15:$N$153,Q206+1,R206)</f>
        <v/>
      </c>
    </row>
    <row r="207" spans="16:19" x14ac:dyDescent="0.75">
      <c r="P207" s="11">
        <v>193</v>
      </c>
      <c r="Q207" s="11">
        <f t="shared" si="28"/>
        <v>32</v>
      </c>
      <c r="R207" s="11">
        <f t="shared" si="29"/>
        <v>1</v>
      </c>
      <c r="S207" s="12" t="str" cm="1">
        <f t="array" ref="S207">INDEX('CancerEpisode-ConceptMap-1'!$I$15:$N$153,Q207+1,R207)</f>
        <v>* group[=].element[+].code = #CancerEpisode.subsites.nasopharynx</v>
      </c>
    </row>
    <row r="208" spans="16:19" x14ac:dyDescent="0.75">
      <c r="P208" s="11">
        <v>194</v>
      </c>
      <c r="Q208" s="11">
        <f t="shared" ref="Q208:Q271" si="30">IF(MOD(P208,$Q$8)=0,P208/$Q$8-1,INT(P208/$Q$8))</f>
        <v>32</v>
      </c>
      <c r="R208" s="11">
        <f t="shared" ref="R208:R271" si="31">IF(MOD(P208,$Q$8)=0,$Q$8,MOD(P208,$Q$8))</f>
        <v>2</v>
      </c>
      <c r="S208" s="12" t="str" cm="1">
        <f t="array" ref="S208">INDEX('CancerEpisode-ConceptMap-1'!$I$15:$N$153,Q208+1,R208)</f>
        <v>* group[=].element[=].display = ##34#Nasopharynx  subsite##34#</v>
      </c>
    </row>
    <row r="209" spans="16:19" x14ac:dyDescent="0.75">
      <c r="P209" s="11">
        <v>195</v>
      </c>
      <c r="Q209" s="11">
        <f t="shared" si="30"/>
        <v>32</v>
      </c>
      <c r="R209" s="11">
        <f t="shared" si="31"/>
        <v>3</v>
      </c>
      <c r="S209" s="12" t="str" cm="1">
        <f t="array" ref="S209">INDEX('CancerEpisode-ConceptMap-1'!$I$15:$N$153,Q209+1,R209)</f>
        <v>* group[=].element[=].target.code = #Condition.bodySite</v>
      </c>
    </row>
    <row r="210" spans="16:19" x14ac:dyDescent="0.75">
      <c r="P210" s="11">
        <v>196</v>
      </c>
      <c r="Q210" s="11">
        <f t="shared" si="30"/>
        <v>32</v>
      </c>
      <c r="R210" s="11">
        <f t="shared" si="31"/>
        <v>4</v>
      </c>
      <c r="S210" s="12" t="str" cm="1">
        <f t="array" ref="S210">INDEX('CancerEpisode-ConceptMap-1'!$I$15:$N$153,Q210+1,R210)</f>
        <v>* group[=].element[=].target.display = ##34###34#</v>
      </c>
    </row>
    <row r="211" spans="16:19" x14ac:dyDescent="0.75">
      <c r="P211" s="11">
        <v>197</v>
      </c>
      <c r="Q211" s="11">
        <f t="shared" si="30"/>
        <v>32</v>
      </c>
      <c r="R211" s="11">
        <f t="shared" si="31"/>
        <v>5</v>
      </c>
      <c r="S211" s="12" t="str" cm="1">
        <f t="array" ref="S211">INDEX('CancerEpisode-ConceptMap-1'!$I$15:$N$153,Q211+1,R211)</f>
        <v>* group[=].element[=].target.equivalence = #equivalent</v>
      </c>
    </row>
    <row r="212" spans="16:19" x14ac:dyDescent="0.75">
      <c r="P212" s="11">
        <v>198</v>
      </c>
      <c r="Q212" s="11">
        <f t="shared" si="30"/>
        <v>32</v>
      </c>
      <c r="R212" s="11">
        <f t="shared" si="31"/>
        <v>6</v>
      </c>
      <c r="S212" s="12" t="str" cm="1">
        <f t="array" ref="S212">INDEX('CancerEpisode-ConceptMap-1'!$I$15:$N$153,Q212+1,R212)</f>
        <v/>
      </c>
    </row>
    <row r="213" spans="16:19" x14ac:dyDescent="0.75">
      <c r="P213" s="11">
        <v>199</v>
      </c>
      <c r="Q213" s="11">
        <f t="shared" si="30"/>
        <v>33</v>
      </c>
      <c r="R213" s="11">
        <f t="shared" si="31"/>
        <v>1</v>
      </c>
      <c r="S213" s="12" t="str" cm="1">
        <f t="array" ref="S213">INDEX('CancerEpisode-ConceptMap-1'!$I$15:$N$153,Q213+1,R213)</f>
        <v>* group[=].element[+].code = #CancerEpisode.subsites.hypopharynx</v>
      </c>
    </row>
    <row r="214" spans="16:19" x14ac:dyDescent="0.75">
      <c r="P214" s="11">
        <v>200</v>
      </c>
      <c r="Q214" s="11">
        <f t="shared" si="30"/>
        <v>33</v>
      </c>
      <c r="R214" s="11">
        <f t="shared" si="31"/>
        <v>2</v>
      </c>
      <c r="S214" s="12" t="str" cm="1">
        <f t="array" ref="S214">INDEX('CancerEpisode-ConceptMap-1'!$I$15:$N$153,Q214+1,R214)</f>
        <v>* group[=].element[=].display = ##34#Hypopharynx subsite##34#</v>
      </c>
    </row>
    <row r="215" spans="16:19" x14ac:dyDescent="0.75">
      <c r="P215" s="11">
        <v>201</v>
      </c>
      <c r="Q215" s="11">
        <f t="shared" si="30"/>
        <v>33</v>
      </c>
      <c r="R215" s="11">
        <f t="shared" si="31"/>
        <v>3</v>
      </c>
      <c r="S215" s="12" t="str" cm="1">
        <f t="array" ref="S215">INDEX('CancerEpisode-ConceptMap-1'!$I$15:$N$153,Q215+1,R215)</f>
        <v>* group[=].element[=].target.code = #Condition.bodySite</v>
      </c>
    </row>
    <row r="216" spans="16:19" x14ac:dyDescent="0.75">
      <c r="P216" s="11">
        <v>202</v>
      </c>
      <c r="Q216" s="11">
        <f t="shared" si="30"/>
        <v>33</v>
      </c>
      <c r="R216" s="11">
        <f t="shared" si="31"/>
        <v>4</v>
      </c>
      <c r="S216" s="12" t="str" cm="1">
        <f t="array" ref="S216">INDEX('CancerEpisode-ConceptMap-1'!$I$15:$N$153,Q216+1,R216)</f>
        <v>* group[=].element[=].target.display = ##34###34#</v>
      </c>
    </row>
    <row r="217" spans="16:19" x14ac:dyDescent="0.75">
      <c r="P217" s="11">
        <v>203</v>
      </c>
      <c r="Q217" s="11">
        <f t="shared" si="30"/>
        <v>33</v>
      </c>
      <c r="R217" s="11">
        <f t="shared" si="31"/>
        <v>5</v>
      </c>
      <c r="S217" s="12" t="str" cm="1">
        <f t="array" ref="S217">INDEX('CancerEpisode-ConceptMap-1'!$I$15:$N$153,Q217+1,R217)</f>
        <v>* group[=].element[=].target.equivalence = #equivalent</v>
      </c>
    </row>
    <row r="218" spans="16:19" x14ac:dyDescent="0.75">
      <c r="P218" s="11">
        <v>204</v>
      </c>
      <c r="Q218" s="11">
        <f t="shared" si="30"/>
        <v>33</v>
      </c>
      <c r="R218" s="11">
        <f t="shared" si="31"/>
        <v>6</v>
      </c>
      <c r="S218" s="12" t="str" cm="1">
        <f t="array" ref="S218">INDEX('CancerEpisode-ConceptMap-1'!$I$15:$N$153,Q218+1,R218)</f>
        <v/>
      </c>
    </row>
    <row r="219" spans="16:19" x14ac:dyDescent="0.75">
      <c r="P219" s="11">
        <v>205</v>
      </c>
      <c r="Q219" s="11">
        <f t="shared" si="30"/>
        <v>34</v>
      </c>
      <c r="R219" s="11">
        <f t="shared" si="31"/>
        <v>1</v>
      </c>
      <c r="S219" s="12" t="str" cm="1">
        <f t="array" ref="S219">INDEX('CancerEpisode-ConceptMap-1'!$I$15:$N$153,Q219+1,R219)</f>
        <v>* group[=].element[+].code = #CancerEpisode.subsites.oropharynx</v>
      </c>
    </row>
    <row r="220" spans="16:19" x14ac:dyDescent="0.75">
      <c r="P220" s="11">
        <v>206</v>
      </c>
      <c r="Q220" s="11">
        <f t="shared" si="30"/>
        <v>34</v>
      </c>
      <c r="R220" s="11">
        <f t="shared" si="31"/>
        <v>2</v>
      </c>
      <c r="S220" s="12" t="str" cm="1">
        <f t="array" ref="S220">INDEX('CancerEpisode-ConceptMap-1'!$I$15:$N$153,Q220+1,R220)</f>
        <v>* group[=].element[=].display = ##34#Oropharynx subsite##34#</v>
      </c>
    </row>
    <row r="221" spans="16:19" x14ac:dyDescent="0.75">
      <c r="P221" s="11">
        <v>207</v>
      </c>
      <c r="Q221" s="11">
        <f t="shared" si="30"/>
        <v>34</v>
      </c>
      <c r="R221" s="11">
        <f t="shared" si="31"/>
        <v>3</v>
      </c>
      <c r="S221" s="12" t="str" cm="1">
        <f t="array" ref="S221">INDEX('CancerEpisode-ConceptMap-1'!$I$15:$N$153,Q221+1,R221)</f>
        <v>* group[=].element[=].target.code = #Condition.bodySite</v>
      </c>
    </row>
    <row r="222" spans="16:19" x14ac:dyDescent="0.75">
      <c r="P222" s="11">
        <v>208</v>
      </c>
      <c r="Q222" s="11">
        <f t="shared" si="30"/>
        <v>34</v>
      </c>
      <c r="R222" s="11">
        <f t="shared" si="31"/>
        <v>4</v>
      </c>
      <c r="S222" s="12" t="str" cm="1">
        <f t="array" ref="S222">INDEX('CancerEpisode-ConceptMap-1'!$I$15:$N$153,Q222+1,R222)</f>
        <v>* group[=].element[=].target.display = ##34###34#</v>
      </c>
    </row>
    <row r="223" spans="16:19" x14ac:dyDescent="0.75">
      <c r="P223" s="11">
        <v>209</v>
      </c>
      <c r="Q223" s="11">
        <f t="shared" si="30"/>
        <v>34</v>
      </c>
      <c r="R223" s="11">
        <f t="shared" si="31"/>
        <v>5</v>
      </c>
      <c r="S223" s="12" t="str" cm="1">
        <f t="array" ref="S223">INDEX('CancerEpisode-ConceptMap-1'!$I$15:$N$153,Q223+1,R223)</f>
        <v>* group[=].element[=].target.equivalence = #equivalent</v>
      </c>
    </row>
    <row r="224" spans="16:19" x14ac:dyDescent="0.75">
      <c r="P224" s="11">
        <v>210</v>
      </c>
      <c r="Q224" s="11">
        <f t="shared" si="30"/>
        <v>34</v>
      </c>
      <c r="R224" s="11">
        <f t="shared" si="31"/>
        <v>6</v>
      </c>
      <c r="S224" s="12" t="str" cm="1">
        <f t="array" ref="S224">INDEX('CancerEpisode-ConceptMap-1'!$I$15:$N$153,Q224+1,R224)</f>
        <v/>
      </c>
    </row>
    <row r="225" spans="16:19" x14ac:dyDescent="0.75">
      <c r="P225" s="11">
        <v>211</v>
      </c>
      <c r="Q225" s="11">
        <f t="shared" si="30"/>
        <v>35</v>
      </c>
      <c r="R225" s="11">
        <f t="shared" si="31"/>
        <v>1</v>
      </c>
      <c r="S225" s="12" t="str" cm="1">
        <f t="array" ref="S225">INDEX('CancerEpisode-ConceptMap-1'!$I$15:$N$153,Q225+1,R225)</f>
        <v>* group[=].element[+].code = #CancerEpisode.subsites.larynx</v>
      </c>
    </row>
    <row r="226" spans="16:19" x14ac:dyDescent="0.75">
      <c r="P226" s="11">
        <v>212</v>
      </c>
      <c r="Q226" s="11">
        <f t="shared" si="30"/>
        <v>35</v>
      </c>
      <c r="R226" s="11">
        <f t="shared" si="31"/>
        <v>2</v>
      </c>
      <c r="S226" s="12" t="str" cm="1">
        <f t="array" ref="S226">INDEX('CancerEpisode-ConceptMap-1'!$I$15:$N$153,Q226+1,R226)</f>
        <v>* group[=].element[=].display = ##34#Larynx subsite##34#</v>
      </c>
    </row>
    <row r="227" spans="16:19" x14ac:dyDescent="0.75">
      <c r="P227" s="11">
        <v>213</v>
      </c>
      <c r="Q227" s="11">
        <f t="shared" si="30"/>
        <v>35</v>
      </c>
      <c r="R227" s="11">
        <f t="shared" si="31"/>
        <v>3</v>
      </c>
      <c r="S227" s="12" t="str" cm="1">
        <f t="array" ref="S227">INDEX('CancerEpisode-ConceptMap-1'!$I$15:$N$153,Q227+1,R227)</f>
        <v>* group[=].element[=].target.code = #Condition.bodySite</v>
      </c>
    </row>
    <row r="228" spans="16:19" x14ac:dyDescent="0.75">
      <c r="P228" s="11">
        <v>214</v>
      </c>
      <c r="Q228" s="11">
        <f t="shared" si="30"/>
        <v>35</v>
      </c>
      <c r="R228" s="11">
        <f t="shared" si="31"/>
        <v>4</v>
      </c>
      <c r="S228" s="12" t="str" cm="1">
        <f t="array" ref="S228">INDEX('CancerEpisode-ConceptMap-1'!$I$15:$N$153,Q228+1,R228)</f>
        <v>* group[=].element[=].target.display = ##34###34#</v>
      </c>
    </row>
    <row r="229" spans="16:19" x14ac:dyDescent="0.75">
      <c r="P229" s="11">
        <v>215</v>
      </c>
      <c r="Q229" s="11">
        <f t="shared" si="30"/>
        <v>35</v>
      </c>
      <c r="R229" s="11">
        <f t="shared" si="31"/>
        <v>5</v>
      </c>
      <c r="S229" s="12" t="str" cm="1">
        <f t="array" ref="S229">INDEX('CancerEpisode-ConceptMap-1'!$I$15:$N$153,Q229+1,R229)</f>
        <v>* group[=].element[=].target.equivalence = #equivalent</v>
      </c>
    </row>
    <row r="230" spans="16:19" x14ac:dyDescent="0.75">
      <c r="P230" s="11">
        <v>216</v>
      </c>
      <c r="Q230" s="11">
        <f t="shared" si="30"/>
        <v>35</v>
      </c>
      <c r="R230" s="11">
        <f t="shared" si="31"/>
        <v>6</v>
      </c>
      <c r="S230" s="12" t="str" cm="1">
        <f t="array" ref="S230">INDEX('CancerEpisode-ConceptMap-1'!$I$15:$N$153,Q230+1,R230)</f>
        <v/>
      </c>
    </row>
    <row r="231" spans="16:19" x14ac:dyDescent="0.75">
      <c r="P231" s="11">
        <v>217</v>
      </c>
      <c r="Q231" s="11">
        <f t="shared" si="30"/>
        <v>36</v>
      </c>
      <c r="R231" s="11">
        <f t="shared" si="31"/>
        <v>1</v>
      </c>
      <c r="S231" s="12" t="str" cm="1">
        <f t="array" ref="S231">INDEX('CancerEpisode-ConceptMap-1'!$I$15:$N$153,Q231+1,R231)</f>
        <v>* group[=].element[+].code = #CancerEpisode.subsites.oralCavity</v>
      </c>
    </row>
    <row r="232" spans="16:19" x14ac:dyDescent="0.75">
      <c r="P232" s="11">
        <v>218</v>
      </c>
      <c r="Q232" s="11">
        <f t="shared" si="30"/>
        <v>36</v>
      </c>
      <c r="R232" s="11">
        <f t="shared" si="31"/>
        <v>2</v>
      </c>
      <c r="S232" s="12" t="str" cm="1">
        <f t="array" ref="S232">INDEX('CancerEpisode-ConceptMap-1'!$I$15:$N$153,Q232+1,R232)</f>
        <v>* group[=].element[=].display = ##34#Oral cavity subsite##34#</v>
      </c>
    </row>
    <row r="233" spans="16:19" x14ac:dyDescent="0.75">
      <c r="P233" s="11">
        <v>219</v>
      </c>
      <c r="Q233" s="11">
        <f t="shared" si="30"/>
        <v>36</v>
      </c>
      <c r="R233" s="11">
        <f t="shared" si="31"/>
        <v>3</v>
      </c>
      <c r="S233" s="12" t="str" cm="1">
        <f t="array" ref="S233">INDEX('CancerEpisode-ConceptMap-1'!$I$15:$N$153,Q233+1,R233)</f>
        <v>* group[=].element[=].target.code = #Condition.bodySite</v>
      </c>
    </row>
    <row r="234" spans="16:19" x14ac:dyDescent="0.75">
      <c r="P234" s="11">
        <v>220</v>
      </c>
      <c r="Q234" s="11">
        <f t="shared" si="30"/>
        <v>36</v>
      </c>
      <c r="R234" s="11">
        <f t="shared" si="31"/>
        <v>4</v>
      </c>
      <c r="S234" s="12" t="str" cm="1">
        <f t="array" ref="S234">INDEX('CancerEpisode-ConceptMap-1'!$I$15:$N$153,Q234+1,R234)</f>
        <v>* group[=].element[=].target.display = ##34###34#</v>
      </c>
    </row>
    <row r="235" spans="16:19" x14ac:dyDescent="0.75">
      <c r="P235" s="11">
        <v>221</v>
      </c>
      <c r="Q235" s="11">
        <f t="shared" si="30"/>
        <v>36</v>
      </c>
      <c r="R235" s="11">
        <f t="shared" si="31"/>
        <v>5</v>
      </c>
      <c r="S235" s="12" t="str" cm="1">
        <f t="array" ref="S235">INDEX('CancerEpisode-ConceptMap-1'!$I$15:$N$153,Q235+1,R235)</f>
        <v>* group[=].element[=].target.equivalence = #equivalent</v>
      </c>
    </row>
    <row r="236" spans="16:19" x14ac:dyDescent="0.75">
      <c r="P236" s="11">
        <v>222</v>
      </c>
      <c r="Q236" s="11">
        <f t="shared" si="30"/>
        <v>36</v>
      </c>
      <c r="R236" s="11">
        <f t="shared" si="31"/>
        <v>6</v>
      </c>
      <c r="S236" s="12" t="str" cm="1">
        <f t="array" ref="S236">INDEX('CancerEpisode-ConceptMap-1'!$I$15:$N$153,Q236+1,R236)</f>
        <v/>
      </c>
    </row>
    <row r="237" spans="16:19" x14ac:dyDescent="0.75">
      <c r="P237" s="11">
        <v>223</v>
      </c>
      <c r="Q237" s="11">
        <f t="shared" si="30"/>
        <v>37</v>
      </c>
      <c r="R237" s="11">
        <f t="shared" si="31"/>
        <v>1</v>
      </c>
      <c r="S237" s="12" t="str" cm="1">
        <f t="array" ref="S237">INDEX('CancerEpisode-ConceptMap-1'!$I$15:$N$153,Q237+1,R237)</f>
        <v>* group[=].element[+].code = #CancerEpisode.subsites.lip</v>
      </c>
    </row>
    <row r="238" spans="16:19" x14ac:dyDescent="0.75">
      <c r="P238" s="11">
        <v>224</v>
      </c>
      <c r="Q238" s="11">
        <f t="shared" si="30"/>
        <v>37</v>
      </c>
      <c r="R238" s="11">
        <f t="shared" si="31"/>
        <v>2</v>
      </c>
      <c r="S238" s="12" t="str" cm="1">
        <f t="array" ref="S238">INDEX('CancerEpisode-ConceptMap-1'!$I$15:$N$153,Q238+1,R238)</f>
        <v>* group[=].element[=].display = ##34#Lip subsite##34#</v>
      </c>
    </row>
    <row r="239" spans="16:19" x14ac:dyDescent="0.75">
      <c r="P239" s="11">
        <v>225</v>
      </c>
      <c r="Q239" s="11">
        <f t="shared" si="30"/>
        <v>37</v>
      </c>
      <c r="R239" s="11">
        <f t="shared" si="31"/>
        <v>3</v>
      </c>
      <c r="S239" s="12" t="str" cm="1">
        <f t="array" ref="S239">INDEX('CancerEpisode-ConceptMap-1'!$I$15:$N$153,Q239+1,R239)</f>
        <v>* group[=].element[=].target.code = #Condition.bodySite</v>
      </c>
    </row>
    <row r="240" spans="16:19" x14ac:dyDescent="0.75">
      <c r="P240" s="11">
        <v>226</v>
      </c>
      <c r="Q240" s="11">
        <f t="shared" si="30"/>
        <v>37</v>
      </c>
      <c r="R240" s="11">
        <f t="shared" si="31"/>
        <v>4</v>
      </c>
      <c r="S240" s="12" t="str" cm="1">
        <f t="array" ref="S240">INDEX('CancerEpisode-ConceptMap-1'!$I$15:$N$153,Q240+1,R240)</f>
        <v>* group[=].element[=].target.display = ##34###34#</v>
      </c>
    </row>
    <row r="241" spans="16:19" x14ac:dyDescent="0.75">
      <c r="P241" s="11">
        <v>227</v>
      </c>
      <c r="Q241" s="11">
        <f t="shared" si="30"/>
        <v>37</v>
      </c>
      <c r="R241" s="11">
        <f t="shared" si="31"/>
        <v>5</v>
      </c>
      <c r="S241" s="12" t="str" cm="1">
        <f t="array" ref="S241">INDEX('CancerEpisode-ConceptMap-1'!$I$15:$N$153,Q241+1,R241)</f>
        <v>* group[=].element[=].target.equivalence = #equivalent</v>
      </c>
    </row>
    <row r="242" spans="16:19" x14ac:dyDescent="0.75">
      <c r="P242" s="11">
        <v>228</v>
      </c>
      <c r="Q242" s="11">
        <f t="shared" si="30"/>
        <v>37</v>
      </c>
      <c r="R242" s="11">
        <f t="shared" si="31"/>
        <v>6</v>
      </c>
      <c r="S242" s="12" t="str" cm="1">
        <f t="array" ref="S242">INDEX('CancerEpisode-ConceptMap-1'!$I$15:$N$153,Q242+1,R242)</f>
        <v/>
      </c>
    </row>
    <row r="243" spans="16:19" x14ac:dyDescent="0.75">
      <c r="P243" s="11">
        <v>229</v>
      </c>
      <c r="Q243" s="11">
        <f t="shared" si="30"/>
        <v>38</v>
      </c>
      <c r="R243" s="11">
        <f t="shared" si="31"/>
        <v>1</v>
      </c>
      <c r="S243" s="12" t="str" cm="1">
        <f t="array" ref="S243">INDEX('CancerEpisode-ConceptMap-1'!$I$15:$N$153,Q243+1,R243)</f>
        <v>* group[=].element[+].code = #CancerEpisode.subsites.upperAndLowerLimbs</v>
      </c>
    </row>
    <row r="244" spans="16:19" x14ac:dyDescent="0.75">
      <c r="P244" s="11">
        <v>230</v>
      </c>
      <c r="Q244" s="11">
        <f t="shared" si="30"/>
        <v>38</v>
      </c>
      <c r="R244" s="11">
        <f t="shared" si="31"/>
        <v>2</v>
      </c>
      <c r="S244" s="12" t="str" cm="1">
        <f t="array" ref="S244">INDEX('CancerEpisode-ConceptMap-1'!$I$15:$N$153,Q244+1,R244)</f>
        <v>* group[=].element[=].display = ##34#Upper and Lower limbs subsite##34#</v>
      </c>
    </row>
    <row r="245" spans="16:19" x14ac:dyDescent="0.75">
      <c r="P245" s="11">
        <v>231</v>
      </c>
      <c r="Q245" s="11">
        <f t="shared" si="30"/>
        <v>38</v>
      </c>
      <c r="R245" s="11">
        <f t="shared" si="31"/>
        <v>3</v>
      </c>
      <c r="S245" s="12" t="str" cm="1">
        <f t="array" ref="S245">INDEX('CancerEpisode-ConceptMap-1'!$I$15:$N$153,Q245+1,R245)</f>
        <v>* group[=].element[=].target.code = #Condition.bodySite</v>
      </c>
    </row>
    <row r="246" spans="16:19" x14ac:dyDescent="0.75">
      <c r="P246" s="11">
        <v>232</v>
      </c>
      <c r="Q246" s="11">
        <f t="shared" si="30"/>
        <v>38</v>
      </c>
      <c r="R246" s="11">
        <f t="shared" si="31"/>
        <v>4</v>
      </c>
      <c r="S246" s="12" t="str" cm="1">
        <f t="array" ref="S246">INDEX('CancerEpisode-ConceptMap-1'!$I$15:$N$153,Q246+1,R246)</f>
        <v>* group[=].element[=].target.display = ##34###34#</v>
      </c>
    </row>
    <row r="247" spans="16:19" x14ac:dyDescent="0.75">
      <c r="P247" s="11">
        <v>233</v>
      </c>
      <c r="Q247" s="11">
        <f t="shared" si="30"/>
        <v>38</v>
      </c>
      <c r="R247" s="11">
        <f t="shared" si="31"/>
        <v>5</v>
      </c>
      <c r="S247" s="12" t="str" cm="1">
        <f t="array" ref="S247">INDEX('CancerEpisode-ConceptMap-1'!$I$15:$N$153,Q247+1,R247)</f>
        <v>* group[=].element[=].target.equivalence = #equivalent</v>
      </c>
    </row>
    <row r="248" spans="16:19" x14ac:dyDescent="0.75">
      <c r="P248" s="11">
        <v>234</v>
      </c>
      <c r="Q248" s="11">
        <f t="shared" si="30"/>
        <v>38</v>
      </c>
      <c r="R248" s="11">
        <f t="shared" si="31"/>
        <v>6</v>
      </c>
      <c r="S248" s="12" t="str" cm="1">
        <f t="array" ref="S248">INDEX('CancerEpisode-ConceptMap-1'!$I$15:$N$153,Q248+1,R248)</f>
        <v/>
      </c>
    </row>
    <row r="249" spans="16:19" x14ac:dyDescent="0.75">
      <c r="P249" s="11">
        <v>235</v>
      </c>
      <c r="Q249" s="11">
        <f t="shared" si="30"/>
        <v>39</v>
      </c>
      <c r="R249" s="11">
        <f t="shared" si="31"/>
        <v>1</v>
      </c>
      <c r="S249" s="12" t="str" cm="1">
        <f t="array" ref="S249">INDEX('CancerEpisode-ConceptMap-1'!$I$15:$N$153,Q249+1,R249)</f>
        <v>* group[=].element[+].code = #CancerEpisode.subsites.trunkWallSubsite</v>
      </c>
    </row>
    <row r="250" spans="16:19" x14ac:dyDescent="0.75">
      <c r="P250" s="11">
        <v>236</v>
      </c>
      <c r="Q250" s="11">
        <f t="shared" si="30"/>
        <v>39</v>
      </c>
      <c r="R250" s="11">
        <f t="shared" si="31"/>
        <v>2</v>
      </c>
      <c r="S250" s="12" t="str" cm="1">
        <f t="array" ref="S250">INDEX('CancerEpisode-ConceptMap-1'!$I$15:$N$153,Q250+1,R250)</f>
        <v>* group[=].element[=].display = ##34#Trunk wall subsite##34#</v>
      </c>
    </row>
    <row r="251" spans="16:19" x14ac:dyDescent="0.75">
      <c r="P251" s="11">
        <v>237</v>
      </c>
      <c r="Q251" s="11">
        <f t="shared" si="30"/>
        <v>39</v>
      </c>
      <c r="R251" s="11">
        <f t="shared" si="31"/>
        <v>3</v>
      </c>
      <c r="S251" s="12" t="str" cm="1">
        <f t="array" ref="S251">INDEX('CancerEpisode-ConceptMap-1'!$I$15:$N$153,Q251+1,R251)</f>
        <v>* group[=].element[=].target.code = #Condition.bodySite</v>
      </c>
    </row>
    <row r="252" spans="16:19" x14ac:dyDescent="0.75">
      <c r="P252" s="11">
        <v>238</v>
      </c>
      <c r="Q252" s="11">
        <f t="shared" si="30"/>
        <v>39</v>
      </c>
      <c r="R252" s="11">
        <f t="shared" si="31"/>
        <v>4</v>
      </c>
      <c r="S252" s="12" t="str" cm="1">
        <f t="array" ref="S252">INDEX('CancerEpisode-ConceptMap-1'!$I$15:$N$153,Q252+1,R252)</f>
        <v>* group[=].element[=].target.display = ##34###34#</v>
      </c>
    </row>
    <row r="253" spans="16:19" x14ac:dyDescent="0.75">
      <c r="P253" s="11">
        <v>239</v>
      </c>
      <c r="Q253" s="11">
        <f t="shared" si="30"/>
        <v>39</v>
      </c>
      <c r="R253" s="11">
        <f t="shared" si="31"/>
        <v>5</v>
      </c>
      <c r="S253" s="12" t="str" cm="1">
        <f t="array" ref="S253">INDEX('CancerEpisode-ConceptMap-1'!$I$15:$N$153,Q253+1,R253)</f>
        <v>* group[=].element[=].target.equivalence = #equivalent</v>
      </c>
    </row>
    <row r="254" spans="16:19" x14ac:dyDescent="0.75">
      <c r="P254" s="11">
        <v>240</v>
      </c>
      <c r="Q254" s="11">
        <f t="shared" si="30"/>
        <v>39</v>
      </c>
      <c r="R254" s="11">
        <f t="shared" si="31"/>
        <v>6</v>
      </c>
      <c r="S254" s="12" t="str" cm="1">
        <f t="array" ref="S254">INDEX('CancerEpisode-ConceptMap-1'!$I$15:$N$153,Q254+1,R254)</f>
        <v/>
      </c>
    </row>
    <row r="255" spans="16:19" x14ac:dyDescent="0.75">
      <c r="P255" s="11">
        <v>241</v>
      </c>
      <c r="Q255" s="11">
        <f t="shared" si="30"/>
        <v>40</v>
      </c>
      <c r="R255" s="11">
        <f t="shared" si="31"/>
        <v>1</v>
      </c>
      <c r="S255" s="12" t="str" cm="1">
        <f t="array" ref="S255">INDEX('CancerEpisode-ConceptMap-1'!$I$15:$N$153,Q255+1,R255)</f>
        <v>* group[=].element[+].code = #CancerEpisode.subsites.intraAbdominalSubsite</v>
      </c>
    </row>
    <row r="256" spans="16:19" x14ac:dyDescent="0.75">
      <c r="P256" s="11">
        <v>242</v>
      </c>
      <c r="Q256" s="11">
        <f t="shared" si="30"/>
        <v>40</v>
      </c>
      <c r="R256" s="11">
        <f t="shared" si="31"/>
        <v>2</v>
      </c>
      <c r="S256" s="12" t="str" cm="1">
        <f t="array" ref="S256">INDEX('CancerEpisode-ConceptMap-1'!$I$15:$N$153,Q256+1,R256)</f>
        <v>* group[=].element[=].display = ##34#Intra abdominal subsite##34#</v>
      </c>
    </row>
    <row r="257" spans="16:19" x14ac:dyDescent="0.75">
      <c r="P257" s="11">
        <v>243</v>
      </c>
      <c r="Q257" s="11">
        <f t="shared" si="30"/>
        <v>40</v>
      </c>
      <c r="R257" s="11">
        <f t="shared" si="31"/>
        <v>3</v>
      </c>
      <c r="S257" s="12" t="str" cm="1">
        <f t="array" ref="S257">INDEX('CancerEpisode-ConceptMap-1'!$I$15:$N$153,Q257+1,R257)</f>
        <v>* group[=].element[=].target.code = #Condition.bodySite</v>
      </c>
    </row>
    <row r="258" spans="16:19" x14ac:dyDescent="0.75">
      <c r="P258" s="11">
        <v>244</v>
      </c>
      <c r="Q258" s="11">
        <f t="shared" si="30"/>
        <v>40</v>
      </c>
      <c r="R258" s="11">
        <f t="shared" si="31"/>
        <v>4</v>
      </c>
      <c r="S258" s="12" t="str" cm="1">
        <f t="array" ref="S258">INDEX('CancerEpisode-ConceptMap-1'!$I$15:$N$153,Q258+1,R258)</f>
        <v>* group[=].element[=].target.display = ##34###34#</v>
      </c>
    </row>
    <row r="259" spans="16:19" x14ac:dyDescent="0.75">
      <c r="P259" s="11">
        <v>245</v>
      </c>
      <c r="Q259" s="11">
        <f t="shared" si="30"/>
        <v>40</v>
      </c>
      <c r="R259" s="11">
        <f t="shared" si="31"/>
        <v>5</v>
      </c>
      <c r="S259" s="12" t="str" cm="1">
        <f t="array" ref="S259">INDEX('CancerEpisode-ConceptMap-1'!$I$15:$N$153,Q259+1,R259)</f>
        <v>* group[=].element[=].target.equivalence = #equivalent</v>
      </c>
    </row>
    <row r="260" spans="16:19" x14ac:dyDescent="0.75">
      <c r="P260" s="11">
        <v>246</v>
      </c>
      <c r="Q260" s="11">
        <f t="shared" si="30"/>
        <v>40</v>
      </c>
      <c r="R260" s="11">
        <f t="shared" si="31"/>
        <v>6</v>
      </c>
      <c r="S260" s="12" t="str" cm="1">
        <f t="array" ref="S260">INDEX('CancerEpisode-ConceptMap-1'!$I$15:$N$153,Q260+1,R260)</f>
        <v/>
      </c>
    </row>
    <row r="261" spans="16:19" x14ac:dyDescent="0.75">
      <c r="P261" s="11">
        <v>247</v>
      </c>
      <c r="Q261" s="11">
        <f t="shared" si="30"/>
        <v>41</v>
      </c>
      <c r="R261" s="11">
        <f t="shared" si="31"/>
        <v>1</v>
      </c>
      <c r="S261" s="12" t="str" cm="1">
        <f t="array" ref="S261">INDEX('CancerEpisode-ConceptMap-1'!$I$15:$N$153,Q261+1,R261)</f>
        <v>* group[=].element[+].code = #CancerEpisode.subsites.intraThoracicSubsite</v>
      </c>
    </row>
    <row r="262" spans="16:19" x14ac:dyDescent="0.75">
      <c r="P262" s="11">
        <v>248</v>
      </c>
      <c r="Q262" s="11">
        <f t="shared" si="30"/>
        <v>41</v>
      </c>
      <c r="R262" s="11">
        <f t="shared" si="31"/>
        <v>2</v>
      </c>
      <c r="S262" s="12" t="str" cm="1">
        <f t="array" ref="S262">INDEX('CancerEpisode-ConceptMap-1'!$I$15:$N$153,Q262+1,R262)</f>
        <v>* group[=].element[=].display = ##34#Intra thoracic subsite##34#</v>
      </c>
    </row>
    <row r="263" spans="16:19" x14ac:dyDescent="0.75">
      <c r="P263" s="11">
        <v>249</v>
      </c>
      <c r="Q263" s="11">
        <f t="shared" si="30"/>
        <v>41</v>
      </c>
      <c r="R263" s="11">
        <f t="shared" si="31"/>
        <v>3</v>
      </c>
      <c r="S263" s="12" t="str" cm="1">
        <f t="array" ref="S263">INDEX('CancerEpisode-ConceptMap-1'!$I$15:$N$153,Q263+1,R263)</f>
        <v>* group[=].element[=].target.code = #Condition.bodySite</v>
      </c>
    </row>
    <row r="264" spans="16:19" x14ac:dyDescent="0.75">
      <c r="P264" s="11">
        <v>250</v>
      </c>
      <c r="Q264" s="11">
        <f t="shared" si="30"/>
        <v>41</v>
      </c>
      <c r="R264" s="11">
        <f t="shared" si="31"/>
        <v>4</v>
      </c>
      <c r="S264" s="12" t="str" cm="1">
        <f t="array" ref="S264">INDEX('CancerEpisode-ConceptMap-1'!$I$15:$N$153,Q264+1,R264)</f>
        <v>* group[=].element[=].target.display = ##34###34#</v>
      </c>
    </row>
    <row r="265" spans="16:19" x14ac:dyDescent="0.75">
      <c r="P265" s="11">
        <v>251</v>
      </c>
      <c r="Q265" s="11">
        <f t="shared" si="30"/>
        <v>41</v>
      </c>
      <c r="R265" s="11">
        <f t="shared" si="31"/>
        <v>5</v>
      </c>
      <c r="S265" s="12" t="str" cm="1">
        <f t="array" ref="S265">INDEX('CancerEpisode-ConceptMap-1'!$I$15:$N$153,Q265+1,R265)</f>
        <v>* group[=].element[=].target.equivalence = #equivalent</v>
      </c>
    </row>
    <row r="266" spans="16:19" x14ac:dyDescent="0.75">
      <c r="P266" s="11">
        <v>252</v>
      </c>
      <c r="Q266" s="11">
        <f t="shared" si="30"/>
        <v>41</v>
      </c>
      <c r="R266" s="11">
        <f t="shared" si="31"/>
        <v>6</v>
      </c>
      <c r="S266" s="12" t="str" cm="1">
        <f t="array" ref="S266">INDEX('CancerEpisode-ConceptMap-1'!$I$15:$N$153,Q266+1,R266)</f>
        <v/>
      </c>
    </row>
    <row r="267" spans="16:19" x14ac:dyDescent="0.75">
      <c r="P267" s="11">
        <v>253</v>
      </c>
      <c r="Q267" s="11">
        <f t="shared" si="30"/>
        <v>42</v>
      </c>
      <c r="R267" s="11">
        <f t="shared" si="31"/>
        <v>1</v>
      </c>
      <c r="S267" s="12" t="str" cm="1">
        <f t="array" ref="S267">INDEX('CancerEpisode-ConceptMap-1'!$I$15:$N$153,Q267+1,R267)</f>
        <v>* group[=].element[+].code = #CancerEpisode.subsites.genitoUrinarySubsite</v>
      </c>
    </row>
    <row r="268" spans="16:19" x14ac:dyDescent="0.75">
      <c r="P268" s="11">
        <v>254</v>
      </c>
      <c r="Q268" s="11">
        <f t="shared" si="30"/>
        <v>42</v>
      </c>
      <c r="R268" s="11">
        <f t="shared" si="31"/>
        <v>2</v>
      </c>
      <c r="S268" s="12" t="str" cm="1">
        <f t="array" ref="S268">INDEX('CancerEpisode-ConceptMap-1'!$I$15:$N$153,Q268+1,R268)</f>
        <v>* group[=].element[=].display = ##34#Genito urinary subsite##34#</v>
      </c>
    </row>
    <row r="269" spans="16:19" x14ac:dyDescent="0.75">
      <c r="P269" s="11">
        <v>255</v>
      </c>
      <c r="Q269" s="11">
        <f t="shared" si="30"/>
        <v>42</v>
      </c>
      <c r="R269" s="11">
        <f t="shared" si="31"/>
        <v>3</v>
      </c>
      <c r="S269" s="12" t="str" cm="1">
        <f t="array" ref="S269">INDEX('CancerEpisode-ConceptMap-1'!$I$15:$N$153,Q269+1,R269)</f>
        <v>* group[=].element[=].target.code = #Condition.bodySite</v>
      </c>
    </row>
    <row r="270" spans="16:19" x14ac:dyDescent="0.75">
      <c r="P270" s="11">
        <v>256</v>
      </c>
      <c r="Q270" s="11">
        <f t="shared" si="30"/>
        <v>42</v>
      </c>
      <c r="R270" s="11">
        <f t="shared" si="31"/>
        <v>4</v>
      </c>
      <c r="S270" s="12" t="str" cm="1">
        <f t="array" ref="S270">INDEX('CancerEpisode-ConceptMap-1'!$I$15:$N$153,Q270+1,R270)</f>
        <v>* group[=].element[=].target.display = ##34###34#</v>
      </c>
    </row>
    <row r="271" spans="16:19" x14ac:dyDescent="0.75">
      <c r="P271" s="11">
        <v>257</v>
      </c>
      <c r="Q271" s="11">
        <f t="shared" si="30"/>
        <v>42</v>
      </c>
      <c r="R271" s="11">
        <f t="shared" si="31"/>
        <v>5</v>
      </c>
      <c r="S271" s="12" t="str" cm="1">
        <f t="array" ref="S271">INDEX('CancerEpisode-ConceptMap-1'!$I$15:$N$153,Q271+1,R271)</f>
        <v>* group[=].element[=].target.equivalence = #equivalent</v>
      </c>
    </row>
    <row r="272" spans="16:19" x14ac:dyDescent="0.75">
      <c r="P272" s="11">
        <v>258</v>
      </c>
      <c r="Q272" s="11">
        <f t="shared" ref="Q272:Q331" si="32">IF(MOD(P272,$Q$8)=0,P272/$Q$8-1,INT(P272/$Q$8))</f>
        <v>42</v>
      </c>
      <c r="R272" s="11">
        <f t="shared" ref="R272:R331" si="33">IF(MOD(P272,$Q$8)=0,$Q$8,MOD(P272,$Q$8))</f>
        <v>6</v>
      </c>
      <c r="S272" s="12" t="str" cm="1">
        <f t="array" ref="S272">INDEX('CancerEpisode-ConceptMap-1'!$I$15:$N$153,Q272+1,R272)</f>
        <v/>
      </c>
    </row>
    <row r="273" spans="16:19" x14ac:dyDescent="0.75">
      <c r="P273" s="11">
        <v>259</v>
      </c>
      <c r="Q273" s="11">
        <f t="shared" si="32"/>
        <v>43</v>
      </c>
      <c r="R273" s="11">
        <f t="shared" si="33"/>
        <v>1</v>
      </c>
      <c r="S273" s="12" t="str" cm="1">
        <f t="array" ref="S273">INDEX('CancerEpisode-ConceptMap-1'!$I$15:$N$153,Q273+1,R273)</f>
        <v>* group[=].element[+].code = #CancerEpisode.subsites.headAndNeckSubsite</v>
      </c>
    </row>
    <row r="274" spans="16:19" x14ac:dyDescent="0.75">
      <c r="P274" s="11">
        <v>260</v>
      </c>
      <c r="Q274" s="11">
        <f t="shared" si="32"/>
        <v>43</v>
      </c>
      <c r="R274" s="11">
        <f t="shared" si="33"/>
        <v>2</v>
      </c>
      <c r="S274" s="12" t="str" cm="1">
        <f t="array" ref="S274">INDEX('CancerEpisode-ConceptMap-1'!$I$15:$N$153,Q274+1,R274)</f>
        <v>* group[=].element[=].display = ##34#Head and Neck subsite##34#</v>
      </c>
    </row>
    <row r="275" spans="16:19" x14ac:dyDescent="0.75">
      <c r="P275" s="11">
        <v>261</v>
      </c>
      <c r="Q275" s="11">
        <f t="shared" si="32"/>
        <v>43</v>
      </c>
      <c r="R275" s="11">
        <f t="shared" si="33"/>
        <v>3</v>
      </c>
      <c r="S275" s="12" t="str" cm="1">
        <f t="array" ref="S275">INDEX('CancerEpisode-ConceptMap-1'!$I$15:$N$153,Q275+1,R275)</f>
        <v>* group[=].element[=].target.code = #Condition.bodySite</v>
      </c>
    </row>
    <row r="276" spans="16:19" x14ac:dyDescent="0.75">
      <c r="P276" s="11">
        <v>262</v>
      </c>
      <c r="Q276" s="11">
        <f t="shared" si="32"/>
        <v>43</v>
      </c>
      <c r="R276" s="11">
        <f t="shared" si="33"/>
        <v>4</v>
      </c>
      <c r="S276" s="12" t="str" cm="1">
        <f t="array" ref="S276">INDEX('CancerEpisode-ConceptMap-1'!$I$15:$N$153,Q276+1,R276)</f>
        <v>* group[=].element[=].target.display = ##34###34#</v>
      </c>
    </row>
    <row r="277" spans="16:19" x14ac:dyDescent="0.75">
      <c r="P277" s="11">
        <v>263</v>
      </c>
      <c r="Q277" s="11">
        <f t="shared" si="32"/>
        <v>43</v>
      </c>
      <c r="R277" s="11">
        <f t="shared" si="33"/>
        <v>5</v>
      </c>
      <c r="S277" s="12" t="str" cm="1">
        <f t="array" ref="S277">INDEX('CancerEpisode-ConceptMap-1'!$I$15:$N$153,Q277+1,R277)</f>
        <v>* group[=].element[=].target.equivalence = #equivalent</v>
      </c>
    </row>
    <row r="278" spans="16:19" x14ac:dyDescent="0.75">
      <c r="P278" s="11">
        <v>264</v>
      </c>
      <c r="Q278" s="11">
        <f t="shared" si="32"/>
        <v>43</v>
      </c>
      <c r="R278" s="11">
        <f t="shared" si="33"/>
        <v>6</v>
      </c>
      <c r="S278" s="12" t="str" cm="1">
        <f t="array" ref="S278">INDEX('CancerEpisode-ConceptMap-1'!$I$15:$N$153,Q278+1,R278)</f>
        <v/>
      </c>
    </row>
    <row r="279" spans="16:19" x14ac:dyDescent="0.75">
      <c r="P279" s="11">
        <v>265</v>
      </c>
      <c r="Q279" s="11">
        <f t="shared" si="32"/>
        <v>44</v>
      </c>
      <c r="R279" s="11">
        <f t="shared" si="33"/>
        <v>1</v>
      </c>
      <c r="S279" s="12" t="str" cm="1">
        <f t="array" ref="S279">INDEX('CancerEpisode-ConceptMap-1'!$I$15:$N$153,Q279+1,R279)</f>
        <v>* group[=].element[+].code = #CancerEpisode.subsites.breast</v>
      </c>
    </row>
    <row r="280" spans="16:19" x14ac:dyDescent="0.75">
      <c r="P280" s="11">
        <v>266</v>
      </c>
      <c r="Q280" s="11">
        <f t="shared" si="32"/>
        <v>44</v>
      </c>
      <c r="R280" s="11">
        <f t="shared" si="33"/>
        <v>2</v>
      </c>
      <c r="S280" s="12" t="str" cm="1">
        <f t="array" ref="S280">INDEX('CancerEpisode-ConceptMap-1'!$I$15:$N$153,Q280+1,R280)</f>
        <v>* group[=].element[=].display = ##34#Breast subsite##34#</v>
      </c>
    </row>
    <row r="281" spans="16:19" x14ac:dyDescent="0.75">
      <c r="P281" s="11">
        <v>267</v>
      </c>
      <c r="Q281" s="11">
        <f t="shared" si="32"/>
        <v>44</v>
      </c>
      <c r="R281" s="11">
        <f t="shared" si="33"/>
        <v>3</v>
      </c>
      <c r="S281" s="12" t="str" cm="1">
        <f t="array" ref="S281">INDEX('CancerEpisode-ConceptMap-1'!$I$15:$N$153,Q281+1,R281)</f>
        <v>* group[=].element[=].target.code = #Condition.bodySite</v>
      </c>
    </row>
    <row r="282" spans="16:19" x14ac:dyDescent="0.75">
      <c r="P282" s="11">
        <v>268</v>
      </c>
      <c r="Q282" s="11">
        <f t="shared" si="32"/>
        <v>44</v>
      </c>
      <c r="R282" s="11">
        <f t="shared" si="33"/>
        <v>4</v>
      </c>
      <c r="S282" s="12" t="str" cm="1">
        <f t="array" ref="S282">INDEX('CancerEpisode-ConceptMap-1'!$I$15:$N$153,Q282+1,R282)</f>
        <v>* group[=].element[=].target.display = ##34###34#</v>
      </c>
    </row>
    <row r="283" spans="16:19" x14ac:dyDescent="0.75">
      <c r="P283" s="11">
        <v>269</v>
      </c>
      <c r="Q283" s="11">
        <f t="shared" si="32"/>
        <v>44</v>
      </c>
      <c r="R283" s="11">
        <f t="shared" si="33"/>
        <v>5</v>
      </c>
      <c r="S283" s="12" t="str" cm="1">
        <f t="array" ref="S283">INDEX('CancerEpisode-ConceptMap-1'!$I$15:$N$153,Q283+1,R283)</f>
        <v>* group[=].element[=].target.equivalence = #equivalent</v>
      </c>
    </row>
    <row r="284" spans="16:19" x14ac:dyDescent="0.75">
      <c r="P284" s="11">
        <v>270</v>
      </c>
      <c r="Q284" s="11">
        <f t="shared" si="32"/>
        <v>44</v>
      </c>
      <c r="R284" s="11">
        <f t="shared" si="33"/>
        <v>6</v>
      </c>
      <c r="S284" s="12" t="str" cm="1">
        <f t="array" ref="S284">INDEX('CancerEpisode-ConceptMap-1'!$I$15:$N$153,Q284+1,R284)</f>
        <v/>
      </c>
    </row>
    <row r="285" spans="16:19" x14ac:dyDescent="0.75">
      <c r="P285" s="11">
        <v>271</v>
      </c>
      <c r="Q285" s="11">
        <f t="shared" si="32"/>
        <v>45</v>
      </c>
      <c r="R285" s="11">
        <f t="shared" si="33"/>
        <v>1</v>
      </c>
      <c r="S285" s="12" t="str" cm="1">
        <f t="array" ref="S285">INDEX('CancerEpisode-ConceptMap-1'!$I$15:$N$153,Q285+1,R285)</f>
        <v>* group[=].element[+].code = #CancerEpisode.subsites.others</v>
      </c>
    </row>
    <row r="286" spans="16:19" x14ac:dyDescent="0.75">
      <c r="P286" s="11">
        <v>272</v>
      </c>
      <c r="Q286" s="11">
        <f t="shared" si="32"/>
        <v>45</v>
      </c>
      <c r="R286" s="11">
        <f t="shared" si="33"/>
        <v>2</v>
      </c>
      <c r="S286" s="12" t="str" cm="1">
        <f t="array" ref="S286">INDEX('CancerEpisode-ConceptMap-1'!$I$15:$N$153,Q286+1,R286)</f>
        <v>* group[=].element[=].display = ##34#Other subsite##34#</v>
      </c>
    </row>
    <row r="287" spans="16:19" x14ac:dyDescent="0.75">
      <c r="P287" s="11">
        <v>273</v>
      </c>
      <c r="Q287" s="11">
        <f t="shared" si="32"/>
        <v>45</v>
      </c>
      <c r="R287" s="11">
        <f t="shared" si="33"/>
        <v>3</v>
      </c>
      <c r="S287" s="12" t="str" cm="1">
        <f t="array" ref="S287">INDEX('CancerEpisode-ConceptMap-1'!$I$15:$N$153,Q287+1,R287)</f>
        <v>* group[=].element[=].target.code = #Condition.bodySite</v>
      </c>
    </row>
    <row r="288" spans="16:19" x14ac:dyDescent="0.75">
      <c r="P288" s="11">
        <v>274</v>
      </c>
      <c r="Q288" s="11">
        <f t="shared" si="32"/>
        <v>45</v>
      </c>
      <c r="R288" s="11">
        <f t="shared" si="33"/>
        <v>4</v>
      </c>
      <c r="S288" s="12" t="str" cm="1">
        <f t="array" ref="S288">INDEX('CancerEpisode-ConceptMap-1'!$I$15:$N$153,Q288+1,R288)</f>
        <v>* group[=].element[=].target.display = ##34###34#</v>
      </c>
    </row>
    <row r="289" spans="16:19" x14ac:dyDescent="0.75">
      <c r="P289" s="11">
        <v>275</v>
      </c>
      <c r="Q289" s="11">
        <f t="shared" si="32"/>
        <v>45</v>
      </c>
      <c r="R289" s="11">
        <f t="shared" si="33"/>
        <v>5</v>
      </c>
      <c r="S289" s="12" t="str" cm="1">
        <f t="array" ref="S289">INDEX('CancerEpisode-ConceptMap-1'!$I$15:$N$153,Q289+1,R289)</f>
        <v>* group[=].element[=].target.equivalence = #equivalent</v>
      </c>
    </row>
    <row r="290" spans="16:19" x14ac:dyDescent="0.75">
      <c r="P290" s="11">
        <v>276</v>
      </c>
      <c r="Q290" s="11">
        <f t="shared" si="32"/>
        <v>45</v>
      </c>
      <c r="R290" s="11">
        <f t="shared" si="33"/>
        <v>6</v>
      </c>
      <c r="S290" s="12" t="str" cm="1">
        <f t="array" ref="S290">INDEX('CancerEpisode-ConceptMap-1'!$I$15:$N$153,Q290+1,R290)</f>
        <v/>
      </c>
    </row>
    <row r="291" spans="16:19" x14ac:dyDescent="0.75">
      <c r="P291" s="11">
        <v>277</v>
      </c>
      <c r="Q291" s="11">
        <f t="shared" si="32"/>
        <v>46</v>
      </c>
      <c r="R291" s="11">
        <f t="shared" si="33"/>
        <v>1</v>
      </c>
      <c r="S291" s="12" t="str" cm="1">
        <f t="array" ref="S291">INDEX('CancerEpisode-ConceptMap-1'!$I$15:$N$153,Q291+1,R291)</f>
        <v>* group[=].element[+].code = #CancerEpisode.tumorSize</v>
      </c>
    </row>
    <row r="292" spans="16:19" x14ac:dyDescent="0.75">
      <c r="P292" s="11">
        <v>278</v>
      </c>
      <c r="Q292" s="11">
        <f t="shared" si="32"/>
        <v>46</v>
      </c>
      <c r="R292" s="11">
        <f t="shared" si="33"/>
        <v>2</v>
      </c>
      <c r="S292" s="12" t="str" cm="1">
        <f t="array" ref="S292">INDEX('CancerEpisode-ConceptMap-1'!$I$15:$N$153,Q292+1,R292)</f>
        <v>* group[=].element[=].display = ##34#Tumor Size##34#</v>
      </c>
    </row>
    <row r="293" spans="16:19" x14ac:dyDescent="0.75">
      <c r="P293" s="11">
        <v>279</v>
      </c>
      <c r="Q293" s="11">
        <f t="shared" si="32"/>
        <v>46</v>
      </c>
      <c r="R293" s="11">
        <f t="shared" si="33"/>
        <v>3</v>
      </c>
      <c r="S293" s="12" t="str" cm="1">
        <f t="array" ref="S293">INDEX('CancerEpisode-ConceptMap-1'!$I$15:$N$153,Q293+1,R293)</f>
        <v>* group[=].element[=].target.code = #Condition.evidence.valueQuantity</v>
      </c>
    </row>
    <row r="294" spans="16:19" x14ac:dyDescent="0.75">
      <c r="P294" s="11">
        <v>280</v>
      </c>
      <c r="Q294" s="11">
        <f t="shared" si="32"/>
        <v>46</v>
      </c>
      <c r="R294" s="11">
        <f t="shared" si="33"/>
        <v>4</v>
      </c>
      <c r="S294" s="12" t="str" cm="1">
        <f t="array" ref="S294">INDEX('CancerEpisode-ConceptMap-1'!$I$15:$N$153,Q294+1,R294)</f>
        <v>* group[=].element[=].target.display = ##34###34#</v>
      </c>
    </row>
    <row r="295" spans="16:19" x14ac:dyDescent="0.75">
      <c r="P295" s="11">
        <v>281</v>
      </c>
      <c r="Q295" s="11">
        <f t="shared" si="32"/>
        <v>46</v>
      </c>
      <c r="R295" s="11">
        <f t="shared" si="33"/>
        <v>5</v>
      </c>
      <c r="S295" s="12" t="str" cm="1">
        <f t="array" ref="S295">INDEX('CancerEpisode-ConceptMap-1'!$I$15:$N$153,Q295+1,R295)</f>
        <v>* group[=].element[=].target.equivalence = #equivalent</v>
      </c>
    </row>
    <row r="296" spans="16:19" ht="29.5" x14ac:dyDescent="0.75">
      <c r="P296" s="11">
        <v>282</v>
      </c>
      <c r="Q296" s="11">
        <f t="shared" si="32"/>
        <v>46</v>
      </c>
      <c r="R296" s="11">
        <f t="shared" si="33"/>
        <v>6</v>
      </c>
      <c r="S296" s="12" t="str" cm="1">
        <f t="array" ref="S296">INDEX('CancerEpisode-ConceptMap-1'!$I$15:$N$153,Q296+1,R296)</f>
        <v>* group[=].element[=].target.comment = ##34#Where evidence.code is $loinc#21889-1 Size Tumor##34#</v>
      </c>
    </row>
    <row r="297" spans="16:19" x14ac:dyDescent="0.75">
      <c r="P297" s="11">
        <v>283</v>
      </c>
      <c r="Q297" s="11">
        <f t="shared" si="32"/>
        <v>47</v>
      </c>
      <c r="R297" s="11">
        <f t="shared" si="33"/>
        <v>1</v>
      </c>
      <c r="S297" s="12" t="str" cm="1">
        <f t="array" ref="S297">INDEX('CancerEpisode-ConceptMap-1'!$I$15:$N$153,Q297+1,R297)</f>
        <v>* group[=].element[+].code = #CancerEpisode.depth</v>
      </c>
    </row>
    <row r="298" spans="16:19" x14ac:dyDescent="0.75">
      <c r="P298" s="11">
        <v>284</v>
      </c>
      <c r="Q298" s="11">
        <f t="shared" si="32"/>
        <v>47</v>
      </c>
      <c r="R298" s="11">
        <f t="shared" si="33"/>
        <v>2</v>
      </c>
      <c r="S298" s="12" t="str" cm="1">
        <f t="array" ref="S298">INDEX('CancerEpisode-ConceptMap-1'!$I$15:$N$153,Q298+1,R298)</f>
        <v>* group[=].element[=].display = ##34#Depth ##34#</v>
      </c>
    </row>
    <row r="299" spans="16:19" x14ac:dyDescent="0.75">
      <c r="P299" s="11">
        <v>285</v>
      </c>
      <c r="Q299" s="11">
        <f t="shared" si="32"/>
        <v>47</v>
      </c>
      <c r="R299" s="11">
        <f t="shared" si="33"/>
        <v>3</v>
      </c>
      <c r="S299" s="12" t="str" cm="1">
        <f t="array" ref="S299">INDEX('CancerEpisode-ConceptMap-1'!$I$15:$N$153,Q299+1,R299)</f>
        <v>* group[=].element[=].target.code = #Condition.bodySite.extension:locationQualifier</v>
      </c>
    </row>
    <row r="300" spans="16:19" x14ac:dyDescent="0.75">
      <c r="P300" s="11">
        <v>286</v>
      </c>
      <c r="Q300" s="11">
        <f t="shared" si="32"/>
        <v>47</v>
      </c>
      <c r="R300" s="11">
        <f t="shared" si="33"/>
        <v>4</v>
      </c>
      <c r="S300" s="12" t="str" cm="1">
        <f t="array" ref="S300">INDEX('CancerEpisode-ConceptMap-1'!$I$15:$N$153,Q300+1,R300)</f>
        <v>* group[=].element[=].target.display = ##34###34#</v>
      </c>
    </row>
    <row r="301" spans="16:19" x14ac:dyDescent="0.75">
      <c r="P301" s="11">
        <v>287</v>
      </c>
      <c r="Q301" s="11">
        <f t="shared" si="32"/>
        <v>47</v>
      </c>
      <c r="R301" s="11">
        <f t="shared" si="33"/>
        <v>5</v>
      </c>
      <c r="S301" s="12" t="str" cm="1">
        <f t="array" ref="S301">INDEX('CancerEpisode-ConceptMap-1'!$I$15:$N$153,Q301+1,R301)</f>
        <v>* group[=].element[=].target.equivalence = #equivalent</v>
      </c>
    </row>
    <row r="302" spans="16:19" x14ac:dyDescent="0.75">
      <c r="P302" s="11">
        <v>288</v>
      </c>
      <c r="Q302" s="11">
        <f t="shared" si="32"/>
        <v>47</v>
      </c>
      <c r="R302" s="11">
        <f t="shared" si="33"/>
        <v>6</v>
      </c>
      <c r="S302" s="12" t="str" cm="1">
        <f t="array" ref="S302">INDEX('CancerEpisode-ConceptMap-1'!$I$15:$N$153,Q302+1,R302)</f>
        <v/>
      </c>
    </row>
    <row r="303" spans="16:19" x14ac:dyDescent="0.75">
      <c r="P303" s="11">
        <v>289</v>
      </c>
      <c r="Q303" s="11">
        <f t="shared" si="32"/>
        <v>48</v>
      </c>
      <c r="R303" s="11">
        <f t="shared" si="33"/>
        <v>1</v>
      </c>
      <c r="S303" s="12" t="str" cm="1">
        <f t="array" ref="S303">INDEX('CancerEpisode-ConceptMap-1'!$I$15:$N$153,Q303+1,R303)</f>
        <v>* group[=].element[+].code = #CancerEpisode.biopsyMitoticCount</v>
      </c>
    </row>
    <row r="304" spans="16:19" x14ac:dyDescent="0.75">
      <c r="P304" s="11">
        <v>290</v>
      </c>
      <c r="Q304" s="11">
        <f t="shared" si="32"/>
        <v>48</v>
      </c>
      <c r="R304" s="11">
        <f t="shared" si="33"/>
        <v>2</v>
      </c>
      <c r="S304" s="12" t="str" cm="1">
        <f t="array" ref="S304">INDEX('CancerEpisode-ConceptMap-1'!$I$15:$N$153,Q304+1,R304)</f>
        <v>* group[=].element[=].display = ##34#Biopsy Mitotic count ##34#</v>
      </c>
    </row>
    <row r="305" spans="16:19" x14ac:dyDescent="0.75">
      <c r="P305" s="11">
        <v>291</v>
      </c>
      <c r="Q305" s="11">
        <f t="shared" si="32"/>
        <v>48</v>
      </c>
      <c r="R305" s="11">
        <f t="shared" si="33"/>
        <v>3</v>
      </c>
      <c r="S305" s="12" t="str" cm="1">
        <f t="array" ref="S305">INDEX('CancerEpisode-ConceptMap-1'!$I$15:$N$153,Q305+1,R305)</f>
        <v>* group[=].element[=].target.code = #Condition.evidence.valueQuantity</v>
      </c>
    </row>
    <row r="306" spans="16:19" x14ac:dyDescent="0.75">
      <c r="P306" s="11">
        <v>292</v>
      </c>
      <c r="Q306" s="11">
        <f t="shared" si="32"/>
        <v>48</v>
      </c>
      <c r="R306" s="11">
        <f t="shared" si="33"/>
        <v>4</v>
      </c>
      <c r="S306" s="12" t="str" cm="1">
        <f t="array" ref="S306">INDEX('CancerEpisode-ConceptMap-1'!$I$15:$N$153,Q306+1,R306)</f>
        <v>* group[=].element[=].target.display = ##34###34#</v>
      </c>
    </row>
    <row r="307" spans="16:19" x14ac:dyDescent="0.75">
      <c r="P307" s="11">
        <v>293</v>
      </c>
      <c r="Q307" s="11">
        <f t="shared" si="32"/>
        <v>48</v>
      </c>
      <c r="R307" s="11">
        <f t="shared" si="33"/>
        <v>5</v>
      </c>
      <c r="S307" s="12" t="str" cm="1">
        <f t="array" ref="S307">INDEX('CancerEpisode-ConceptMap-1'!$I$15:$N$153,Q307+1,R307)</f>
        <v>* group[=].element[=].target.equivalence = #relatedto</v>
      </c>
    </row>
    <row r="308" spans="16:19" ht="44.25" x14ac:dyDescent="0.75">
      <c r="P308" s="11">
        <v>294</v>
      </c>
      <c r="Q308" s="11">
        <f t="shared" si="32"/>
        <v>48</v>
      </c>
      <c r="R308" s="11">
        <f t="shared" si="33"/>
        <v>6</v>
      </c>
      <c r="S308" s="12" t="str" cm="1">
        <f t="array" ref="S308">INDEX('CancerEpisode-ConceptMap-1'!$I$15:$N$153,Q308+1,R308)</f>
        <v>* group[=].element[=].target.comment = ##34#Where evidence.code is $sct#371472000 Mitotic count score
NOTE : code to be checked !##34#</v>
      </c>
    </row>
    <row r="309" spans="16:19" x14ac:dyDescent="0.75">
      <c r="P309" s="11">
        <v>295</v>
      </c>
      <c r="Q309" s="11">
        <f t="shared" si="32"/>
        <v>49</v>
      </c>
      <c r="R309" s="11">
        <f t="shared" si="33"/>
        <v>1</v>
      </c>
      <c r="S309" s="12" t="str" cm="1">
        <f t="array" ref="S309">INDEX('CancerEpisode-ConceptMap-1'!$I$15:$N$153,Q309+1,R309)</f>
        <v>* group[=].element[+].code = #CancerEpisode.plasmaticEbvDnaAtBaseline</v>
      </c>
    </row>
    <row r="310" spans="16:19" x14ac:dyDescent="0.75">
      <c r="P310" s="11">
        <v>296</v>
      </c>
      <c r="Q310" s="11">
        <f t="shared" si="32"/>
        <v>49</v>
      </c>
      <c r="R310" s="11">
        <f t="shared" si="33"/>
        <v>2</v>
      </c>
      <c r="S310" s="12" t="str" cm="1">
        <f t="array" ref="S310">INDEX('CancerEpisode-ConceptMap-1'!$I$15:$N$153,Q310+1,R310)</f>
        <v>* group[=].element[=].display = ##34#Plasmatic EBV DNA at baseline##34#</v>
      </c>
    </row>
    <row r="311" spans="16:19" x14ac:dyDescent="0.75">
      <c r="P311" s="11">
        <v>297</v>
      </c>
      <c r="Q311" s="11">
        <f t="shared" si="32"/>
        <v>49</v>
      </c>
      <c r="R311" s="11">
        <f t="shared" si="33"/>
        <v>3</v>
      </c>
      <c r="S311" s="12" t="str" cm="1">
        <f t="array" ref="S311">INDEX('CancerEpisode-ConceptMap-1'!$I$15:$N$153,Q311+1,R311)</f>
        <v>* group[=].element[=].target.code = #Condition.evidence.valueCodeableConcept</v>
      </c>
    </row>
    <row r="312" spans="16:19" x14ac:dyDescent="0.75">
      <c r="P312" s="11">
        <v>298</v>
      </c>
      <c r="Q312" s="11">
        <f t="shared" si="32"/>
        <v>49</v>
      </c>
      <c r="R312" s="11">
        <f t="shared" si="33"/>
        <v>4</v>
      </c>
      <c r="S312" s="12" t="str" cm="1">
        <f t="array" ref="S312">INDEX('CancerEpisode-ConceptMap-1'!$I$15:$N$153,Q312+1,R312)</f>
        <v>* group[=].element[=].target.display = ##34###34#</v>
      </c>
    </row>
    <row r="313" spans="16:19" x14ac:dyDescent="0.75">
      <c r="P313" s="11">
        <v>299</v>
      </c>
      <c r="Q313" s="11">
        <f t="shared" si="32"/>
        <v>49</v>
      </c>
      <c r="R313" s="11">
        <f t="shared" si="33"/>
        <v>5</v>
      </c>
      <c r="S313" s="12" t="str" cm="1">
        <f t="array" ref="S313">INDEX('CancerEpisode-ConceptMap-1'!$I$15:$N$153,Q313+1,R313)</f>
        <v>* group[=].element[=].target.equivalence = #relatedto</v>
      </c>
    </row>
    <row r="314" spans="16:19" ht="44.25" x14ac:dyDescent="0.75">
      <c r="P314" s="11">
        <v>300</v>
      </c>
      <c r="Q314" s="11">
        <f t="shared" si="32"/>
        <v>49</v>
      </c>
      <c r="R314" s="11">
        <f t="shared" si="33"/>
        <v>6</v>
      </c>
      <c r="S314" s="12" t="str" cm="1">
        <f t="array" ref="S314">INDEX('CancerEpisode-ConceptMap-1'!$I$15:$N$153,Q314+1,R314)</f>
        <v>* group[=].element[=].target.comment = ##34#Where evidence.code is 43730-1 EBV DNA NAA+probe Qn.
NOTE : code to be changed !##34#</v>
      </c>
    </row>
    <row r="315" spans="16:19" x14ac:dyDescent="0.75">
      <c r="P315" s="11">
        <v>301</v>
      </c>
      <c r="Q315" s="11">
        <f t="shared" si="32"/>
        <v>50</v>
      </c>
      <c r="R315" s="11">
        <f t="shared" si="33"/>
        <v>1</v>
      </c>
      <c r="S315" s="12" t="str" cm="1">
        <f t="array" ref="S315">INDEX('CancerEpisode-ConceptMap-1'!$I$15:$N$153,Q315+1,R315)</f>
        <v>* group[=].element[+].code = #CancerEpisode.hpvStatus</v>
      </c>
    </row>
    <row r="316" spans="16:19" x14ac:dyDescent="0.75">
      <c r="P316" s="11">
        <v>302</v>
      </c>
      <c r="Q316" s="11">
        <f t="shared" si="32"/>
        <v>50</v>
      </c>
      <c r="R316" s="11">
        <f t="shared" si="33"/>
        <v>2</v>
      </c>
      <c r="S316" s="12" t="str" cm="1">
        <f t="array" ref="S316">INDEX('CancerEpisode-ConceptMap-1'!$I$15:$N$153,Q316+1,R316)</f>
        <v>* group[=].element[=].display = ##34#HPV status##34#</v>
      </c>
    </row>
    <row r="317" spans="16:19" x14ac:dyDescent="0.75">
      <c r="P317" s="11">
        <v>303</v>
      </c>
      <c r="Q317" s="11">
        <f t="shared" si="32"/>
        <v>50</v>
      </c>
      <c r="R317" s="11">
        <f t="shared" si="33"/>
        <v>3</v>
      </c>
      <c r="S317" s="12" t="str" cm="1">
        <f t="array" ref="S317">INDEX('CancerEpisode-ConceptMap-1'!$I$15:$N$153,Q317+1,R317)</f>
        <v>* group[=].element[=].target.code = #Condition.evidence.valueCodeableConcept</v>
      </c>
    </row>
    <row r="318" spans="16:19" x14ac:dyDescent="0.75">
      <c r="P318" s="11">
        <v>304</v>
      </c>
      <c r="Q318" s="11">
        <f t="shared" si="32"/>
        <v>50</v>
      </c>
      <c r="R318" s="11">
        <f t="shared" si="33"/>
        <v>4</v>
      </c>
      <c r="S318" s="12" t="str" cm="1">
        <f t="array" ref="S318">INDEX('CancerEpisode-ConceptMap-1'!$I$15:$N$153,Q318+1,R318)</f>
        <v>* group[=].element[=].target.display = ##34###34#</v>
      </c>
    </row>
    <row r="319" spans="16:19" x14ac:dyDescent="0.75">
      <c r="P319" s="11">
        <v>305</v>
      </c>
      <c r="Q319" s="11">
        <f t="shared" si="32"/>
        <v>50</v>
      </c>
      <c r="R319" s="11">
        <f t="shared" si="33"/>
        <v>5</v>
      </c>
      <c r="S319" s="12" t="str" cm="1">
        <f t="array" ref="S319">INDEX('CancerEpisode-ConceptMap-1'!$I$15:$N$153,Q319+1,R319)</f>
        <v>* group[=].element[=].target.equivalence = #relatedto</v>
      </c>
    </row>
    <row r="320" spans="16:19" ht="44.25" x14ac:dyDescent="0.75">
      <c r="P320" s="11">
        <v>306</v>
      </c>
      <c r="Q320" s="11">
        <f t="shared" si="32"/>
        <v>50</v>
      </c>
      <c r="R320" s="11">
        <f t="shared" si="33"/>
        <v>6</v>
      </c>
      <c r="S320" s="12" t="str" cm="1">
        <f t="array" ref="S320">INDEX('CancerEpisode-ConceptMap-1'!$I$15:$N$153,Q320+1,R320)</f>
        <v>* group[=].element[=].target.comment = ##34#Where evidence.code is 77377-0 HPV 16 and 18 and 31+33+35+39+45+51+52+56+58+59+66+68 DNA (Specimen) [Interp]
NOTE : code to be checked !##34#</v>
      </c>
    </row>
    <row r="321" spans="16:19" x14ac:dyDescent="0.75">
      <c r="P321" s="11">
        <v>307</v>
      </c>
      <c r="Q321" s="11">
        <f t="shared" si="32"/>
        <v>51</v>
      </c>
      <c r="R321" s="11">
        <f t="shared" si="33"/>
        <v>1</v>
      </c>
      <c r="S321" s="12" t="str" cm="1">
        <f t="array" ref="S321">INDEX('CancerEpisode-ConceptMap-1'!$I$15:$N$153,Q321+1,R321)</f>
        <v>* group[=].element[+].code = #CancerEpisode.crpCReactiveProteinTested</v>
      </c>
    </row>
    <row r="322" spans="16:19" x14ac:dyDescent="0.75">
      <c r="P322" s="11">
        <v>308</v>
      </c>
      <c r="Q322" s="11">
        <f t="shared" si="32"/>
        <v>51</v>
      </c>
      <c r="R322" s="11">
        <f t="shared" si="33"/>
        <v>2</v>
      </c>
      <c r="S322" s="12" t="str" cm="1">
        <f t="array" ref="S322">INDEX('CancerEpisode-ConceptMap-1'!$I$15:$N$153,Q322+1,R322)</f>
        <v>* group[=].element[=].display = ##34#CRP - C reactive protein tested##34#</v>
      </c>
    </row>
    <row r="323" spans="16:19" x14ac:dyDescent="0.75">
      <c r="P323" s="11">
        <v>309</v>
      </c>
      <c r="Q323" s="11">
        <f t="shared" si="32"/>
        <v>51</v>
      </c>
      <c r="R323" s="11">
        <f t="shared" si="33"/>
        <v>3</v>
      </c>
      <c r="S323" s="12" t="str" cm="1">
        <f t="array" ref="S323">INDEX('CancerEpisode-ConceptMap-1'!$I$15:$N$153,Q323+1,R323)</f>
        <v>* group[=].element[=].target.code = #Condition.evidence.valueCodeableConcept</v>
      </c>
    </row>
    <row r="324" spans="16:19" x14ac:dyDescent="0.75">
      <c r="P324" s="11">
        <v>310</v>
      </c>
      <c r="Q324" s="11">
        <f t="shared" si="32"/>
        <v>51</v>
      </c>
      <c r="R324" s="11">
        <f t="shared" si="33"/>
        <v>4</v>
      </c>
      <c r="S324" s="12" t="str" cm="1">
        <f t="array" ref="S324">INDEX('CancerEpisode-ConceptMap-1'!$I$15:$N$153,Q324+1,R324)</f>
        <v>* group[=].element[=].target.display = ##34###34#</v>
      </c>
    </row>
    <row r="325" spans="16:19" x14ac:dyDescent="0.75">
      <c r="P325" s="11">
        <v>311</v>
      </c>
      <c r="Q325" s="11">
        <f t="shared" si="32"/>
        <v>51</v>
      </c>
      <c r="R325" s="11">
        <f t="shared" si="33"/>
        <v>5</v>
      </c>
      <c r="S325" s="12" t="str" cm="1">
        <f t="array" ref="S325">INDEX('CancerEpisode-ConceptMap-1'!$I$15:$N$153,Q325+1,R325)</f>
        <v>* group[=].element[=].target.equivalence = #relatedto</v>
      </c>
    </row>
    <row r="326" spans="16:19" ht="44.25" x14ac:dyDescent="0.75">
      <c r="P326" s="11">
        <v>312</v>
      </c>
      <c r="Q326" s="11">
        <f t="shared" si="32"/>
        <v>51</v>
      </c>
      <c r="R326" s="11">
        <f t="shared" si="33"/>
        <v>6</v>
      </c>
      <c r="S326" s="12" t="str" cm="1">
        <f t="array" ref="S326">INDEX('CancerEpisode-ConceptMap-1'!$I$15:$N$153,Q326+1,R326)</f>
        <v>* group[=].element[=].target.comment = ##34#Where evidence.code is 11039-5 C reactive protein [Presence] in Serum or Plasma
NOTE : code to be checked !##34#</v>
      </c>
    </row>
    <row r="327" spans="16:19" x14ac:dyDescent="0.75">
      <c r="P327" s="11">
        <v>313</v>
      </c>
      <c r="Q327" s="11">
        <f t="shared" si="32"/>
        <v>52</v>
      </c>
      <c r="R327" s="11">
        <f t="shared" si="33"/>
        <v>1</v>
      </c>
      <c r="S327" s="12" cm="1">
        <f t="array" ref="S327">INDEX('CancerEpisode-ConceptMap-1'!$I$15:$N$153,Q327+1,R327)</f>
        <v>0</v>
      </c>
    </row>
    <row r="328" spans="16:19" x14ac:dyDescent="0.75">
      <c r="P328" s="11">
        <v>314</v>
      </c>
      <c r="Q328" s="11">
        <f t="shared" si="32"/>
        <v>52</v>
      </c>
      <c r="R328" s="11">
        <f t="shared" si="33"/>
        <v>2</v>
      </c>
      <c r="S328" s="12" cm="1">
        <f t="array" ref="S328">INDEX('CancerEpisode-ConceptMap-1'!$I$15:$N$153,Q328+1,R328)</f>
        <v>0</v>
      </c>
    </row>
    <row r="329" spans="16:19" x14ac:dyDescent="0.75">
      <c r="P329" s="11">
        <v>315</v>
      </c>
      <c r="Q329" s="11">
        <f t="shared" si="32"/>
        <v>52</v>
      </c>
      <c r="R329" s="11">
        <f t="shared" si="33"/>
        <v>3</v>
      </c>
      <c r="S329" s="12" cm="1">
        <f t="array" ref="S329">INDEX('CancerEpisode-ConceptMap-1'!$I$15:$N$153,Q329+1,R329)</f>
        <v>0</v>
      </c>
    </row>
    <row r="330" spans="16:19" x14ac:dyDescent="0.75">
      <c r="P330" s="11">
        <v>316</v>
      </c>
      <c r="Q330" s="11">
        <f t="shared" si="32"/>
        <v>52</v>
      </c>
      <c r="R330" s="11">
        <f t="shared" si="33"/>
        <v>4</v>
      </c>
      <c r="S330" s="12" cm="1">
        <f t="array" ref="S330">INDEX('CancerEpisode-ConceptMap-1'!$I$15:$N$153,Q330+1,R330)</f>
        <v>0</v>
      </c>
    </row>
    <row r="331" spans="16:19" x14ac:dyDescent="0.75">
      <c r="P331" s="11">
        <v>317</v>
      </c>
      <c r="Q331" s="11">
        <f t="shared" si="32"/>
        <v>52</v>
      </c>
      <c r="R331" s="11">
        <f t="shared" si="33"/>
        <v>5</v>
      </c>
      <c r="S331" s="12" cm="1">
        <f t="array" ref="S331">INDEX('CancerEpisode-ConceptMap-1'!$I$15:$N$153,Q331+1,R331)</f>
        <v>0</v>
      </c>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J20" workbookViewId="0">
      <selection activeCell="P15" sqref="P15:S14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72" t="s">
        <v>1503</v>
      </c>
    </row>
    <row r="5" spans="1:19" x14ac:dyDescent="0.75">
      <c r="B5" s="47" t="s">
        <v>10</v>
      </c>
      <c r="C5" s="7" t="s">
        <v>1489</v>
      </c>
      <c r="D5" s="47"/>
      <c r="E5" s="7"/>
    </row>
    <row r="6" spans="1:19" x14ac:dyDescent="0.75">
      <c r="B6" s="47" t="s">
        <v>18</v>
      </c>
      <c r="C6" s="41"/>
      <c r="D6" s="47" t="s">
        <v>1481</v>
      </c>
      <c r="E6" s="144" t="str">
        <f>E3</f>
        <v>http://hl7.eu/fhir/ig/idea4rc/StructureDefinition/CancerEpisode</v>
      </c>
      <c r="F6" s="145"/>
      <c r="G6" s="145"/>
    </row>
    <row r="7" spans="1:19" x14ac:dyDescent="0.75">
      <c r="B7" s="47" t="s">
        <v>15</v>
      </c>
      <c r="C7" s="73"/>
      <c r="D7" s="47" t="s">
        <v>1482</v>
      </c>
      <c r="E7" s="144" t="s">
        <v>1561</v>
      </c>
      <c r="F7" s="145"/>
      <c r="G7" s="145"/>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#Condition.effectiveDateTime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2339</v>
      </c>
      <c r="E17" s="11"/>
      <c r="F17" s="49" t="s">
        <v>1294</v>
      </c>
      <c r="G17" s="49"/>
      <c r="H17" s="43"/>
      <c r="I17" s="12" t="str">
        <f t="shared" si="7"/>
        <v>* group[=].element[+].code = #CancerEpisode.typeOfBiopsy</v>
      </c>
      <c r="J17" s="12" t="str">
        <f t="shared" si="8"/>
        <v>* group[=].element[=].display = ##34#Type of biopsy##34#</v>
      </c>
      <c r="K17" s="12" t="str">
        <f t="shared" si="9"/>
        <v>* group[=].element[=].target.code = #Condition.method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#Condition.subject</v>
      </c>
    </row>
    <row r="18" spans="1:19" ht="44.25" x14ac:dyDescent="0.75">
      <c r="A18" s="44"/>
      <c r="B18" s="11" t="str">
        <f>CancerEpisode!B11</f>
        <v>biopsyDoneBy</v>
      </c>
      <c r="C18" s="11" t="str">
        <f>CancerEpisode!C11</f>
        <v>Biopsy done by</v>
      </c>
      <c r="D18" s="12" t="s">
        <v>1562</v>
      </c>
      <c r="E18" s="11"/>
      <c r="F18" s="49" t="s">
        <v>1294</v>
      </c>
      <c r="G18" s="78"/>
      <c r="H18" s="43"/>
      <c r="I18" s="12" t="str">
        <f t="shared" si="7"/>
        <v>* group[=].element[+].code = #CancerEpisode.biopsyDoneBy</v>
      </c>
      <c r="J18" s="12" t="str">
        <f t="shared" si="8"/>
        <v>* group[=].element[=].display = ##34#Biopsy done by##34#</v>
      </c>
      <c r="K18" s="12" t="str">
        <f t="shared" si="9"/>
        <v>* group[=].element[=].target.code = #Condition.performer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8"/>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8"/>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8"/>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8"/>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INDEX('CancerEpisode-ConceptMap-2'!$I$15:$N$123,Q23+1,R23)</f>
        <v>* group[=].element[=].target.code = #Condition.effectiveDateTime</v>
      </c>
    </row>
    <row r="24" spans="1:19"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8"/>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8"/>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8"/>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8"/>
      <c r="H29" s="43"/>
      <c r="I29" s="12"/>
      <c r="J29" s="12"/>
      <c r="K29" s="12"/>
      <c r="L29" s="12"/>
      <c r="M29" s="12"/>
      <c r="N29" s="12"/>
      <c r="P29" s="11">
        <v>15</v>
      </c>
      <c r="Q29" s="11">
        <f t="shared" si="13"/>
        <v>2</v>
      </c>
      <c r="R29" s="11">
        <f t="shared" si="14"/>
        <v>3</v>
      </c>
      <c r="S29" s="12" t="str" cm="1">
        <f t="array" ref="S29">INDEX('CancerEpisode-ConceptMap-2'!$I$15:$N$123,Q29+1,R29)</f>
        <v>* group[=].element[=].target.code = #Condition.method</v>
      </c>
    </row>
    <row r="30" spans="1:19" x14ac:dyDescent="0.75">
      <c r="A30" s="44"/>
      <c r="B30" s="11"/>
      <c r="C30" s="11"/>
      <c r="D30" s="12"/>
      <c r="E30" s="11"/>
      <c r="F30" s="49"/>
      <c r="G30" s="78"/>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8"/>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8"/>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8"/>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8"/>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8"/>
      <c r="H35" s="43"/>
      <c r="I35" s="12"/>
      <c r="J35" s="12"/>
      <c r="K35" s="12"/>
      <c r="L35" s="12"/>
      <c r="M35" s="12"/>
      <c r="N35" s="12"/>
      <c r="P35" s="11">
        <v>21</v>
      </c>
      <c r="Q35" s="11">
        <f t="shared" si="13"/>
        <v>3</v>
      </c>
      <c r="R35" s="11">
        <f t="shared" si="14"/>
        <v>3</v>
      </c>
      <c r="S35" s="12" t="str" cm="1">
        <f t="array" ref="S35">INDEX('CancerEpisode-ConceptMap-2'!$I$15:$N$123,Q35+1,R35)</f>
        <v>* group[=].element[=].target.code = #Condition.performer</v>
      </c>
    </row>
    <row r="36" spans="1:19" x14ac:dyDescent="0.75">
      <c r="A36" s="44"/>
      <c r="B36" s="11"/>
      <c r="C36" s="11"/>
      <c r="D36" s="12"/>
      <c r="E36" s="11"/>
      <c r="F36" s="49"/>
      <c r="G36" s="78"/>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8"/>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8"/>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8"/>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8"/>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8"/>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8"/>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8"/>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8"/>
      <c r="P44" s="11">
        <v>30</v>
      </c>
      <c r="Q44" s="11">
        <f t="shared" si="13"/>
        <v>4</v>
      </c>
      <c r="R44" s="11">
        <f t="shared" si="14"/>
        <v>6</v>
      </c>
      <c r="S44" s="12" cm="1">
        <f t="array" ref="S44">INDEX('CancerEpisode-ConceptMap-2'!$I$15:$N$123,Q44+1,R44)</f>
        <v>0</v>
      </c>
    </row>
    <row r="45" spans="1:19" x14ac:dyDescent="0.75">
      <c r="A45" s="44"/>
      <c r="B45" s="11"/>
      <c r="C45" s="11"/>
      <c r="D45" s="12"/>
      <c r="E45" s="11"/>
      <c r="F45" s="49"/>
      <c r="G45" s="78"/>
      <c r="P45" s="11">
        <v>31</v>
      </c>
      <c r="Q45" s="11">
        <f t="shared" si="13"/>
        <v>5</v>
      </c>
      <c r="R45" s="11">
        <f t="shared" si="14"/>
        <v>1</v>
      </c>
      <c r="S45" s="12" cm="1">
        <f t="array" ref="S45">INDEX('CancerEpisode-ConceptMap-2'!$I$15:$N$123,Q45+1,R45)</f>
        <v>0</v>
      </c>
    </row>
    <row r="46" spans="1:19" x14ac:dyDescent="0.75">
      <c r="A46" s="44"/>
      <c r="B46" s="11"/>
      <c r="C46" s="11"/>
      <c r="D46" s="12"/>
      <c r="E46" s="11"/>
      <c r="F46" s="49"/>
      <c r="G46" s="78"/>
      <c r="P46" s="11">
        <v>32</v>
      </c>
      <c r="Q46" s="11">
        <f t="shared" si="13"/>
        <v>5</v>
      </c>
      <c r="R46" s="11">
        <f t="shared" si="14"/>
        <v>2</v>
      </c>
      <c r="S46" s="12" cm="1">
        <f t="array" ref="S46">INDEX('CancerEpisode-ConceptMap-2'!$I$15:$N$123,Q46+1,R46)</f>
        <v>0</v>
      </c>
    </row>
    <row r="47" spans="1:19" x14ac:dyDescent="0.75">
      <c r="A47" s="44"/>
      <c r="B47" s="11"/>
      <c r="C47" s="11"/>
      <c r="D47" s="12"/>
      <c r="E47" s="11"/>
      <c r="F47" s="49"/>
      <c r="G47" s="78"/>
      <c r="P47" s="11">
        <v>33</v>
      </c>
      <c r="Q47" s="11">
        <f t="shared" si="13"/>
        <v>5</v>
      </c>
      <c r="R47" s="11">
        <f t="shared" si="14"/>
        <v>3</v>
      </c>
      <c r="S47" s="12" cm="1">
        <f t="array" ref="S47">INDEX('CancerEpisode-ConceptMap-2'!$I$15:$N$123,Q47+1,R47)</f>
        <v>0</v>
      </c>
    </row>
    <row r="48" spans="1:19" x14ac:dyDescent="0.75">
      <c r="A48" s="44"/>
      <c r="B48" s="11"/>
      <c r="C48" s="11"/>
      <c r="D48" s="12"/>
      <c r="E48" s="11"/>
      <c r="F48" s="49"/>
      <c r="G48" s="78"/>
      <c r="P48" s="11">
        <v>34</v>
      </c>
      <c r="Q48" s="11">
        <f t="shared" si="13"/>
        <v>5</v>
      </c>
      <c r="R48" s="11">
        <f t="shared" si="14"/>
        <v>4</v>
      </c>
      <c r="S48" s="12" cm="1">
        <f t="array" ref="S48">INDEX('CancerEpisode-ConceptMap-2'!$I$15:$N$123,Q48+1,R48)</f>
        <v>0</v>
      </c>
    </row>
    <row r="49" spans="1:19" x14ac:dyDescent="0.75">
      <c r="A49" s="44"/>
      <c r="B49" s="11"/>
      <c r="C49" s="11"/>
      <c r="D49" s="12"/>
      <c r="E49" s="11"/>
      <c r="F49" s="49"/>
      <c r="G49" s="78"/>
      <c r="P49" s="11">
        <v>35</v>
      </c>
      <c r="Q49" s="11">
        <f t="shared" si="13"/>
        <v>5</v>
      </c>
      <c r="R49" s="11">
        <f t="shared" si="14"/>
        <v>5</v>
      </c>
      <c r="S49" s="12" cm="1">
        <f t="array" ref="S49">INDEX('CancerEpisode-ConceptMap-2'!$I$15:$N$123,Q49+1,R49)</f>
        <v>0</v>
      </c>
    </row>
    <row r="50" spans="1:19" x14ac:dyDescent="0.75">
      <c r="A50" s="44"/>
      <c r="B50" s="11"/>
      <c r="C50" s="11"/>
      <c r="D50" s="12"/>
      <c r="E50" s="11"/>
      <c r="F50" s="49"/>
      <c r="G50" s="78"/>
      <c r="P50" s="11">
        <v>36</v>
      </c>
      <c r="Q50" s="11">
        <f t="shared" si="13"/>
        <v>5</v>
      </c>
      <c r="R50" s="11">
        <f t="shared" si="14"/>
        <v>6</v>
      </c>
      <c r="S50" s="12" cm="1">
        <f t="array" ref="S50">INDEX('CancerEpisode-ConceptMap-2'!$I$15:$N$123,Q50+1,R50)</f>
        <v>0</v>
      </c>
    </row>
    <row r="51" spans="1:19" x14ac:dyDescent="0.75">
      <c r="A51" s="44"/>
      <c r="B51" s="11"/>
      <c r="C51" s="11"/>
      <c r="D51" s="12"/>
      <c r="E51" s="11"/>
      <c r="F51" s="49"/>
      <c r="G51" s="78"/>
      <c r="P51" s="11">
        <v>37</v>
      </c>
      <c r="Q51" s="11">
        <f t="shared" si="13"/>
        <v>6</v>
      </c>
      <c r="R51" s="11">
        <f t="shared" si="14"/>
        <v>1</v>
      </c>
      <c r="S51" s="12" cm="1">
        <f t="array" ref="S51">INDEX('CancerEpisode-ConceptMap-2'!$I$15:$N$123,Q51+1,R51)</f>
        <v>0</v>
      </c>
    </row>
    <row r="52" spans="1:19" x14ac:dyDescent="0.75">
      <c r="A52" s="44"/>
      <c r="B52" s="11"/>
      <c r="C52" s="11"/>
      <c r="D52" s="12"/>
      <c r="E52" s="11"/>
      <c r="F52" s="49"/>
      <c r="G52" s="78"/>
      <c r="P52" s="11">
        <v>38</v>
      </c>
      <c r="Q52" s="11">
        <f t="shared" si="13"/>
        <v>6</v>
      </c>
      <c r="R52" s="11">
        <f t="shared" si="14"/>
        <v>2</v>
      </c>
      <c r="S52" s="12" cm="1">
        <f t="array" ref="S52">INDEX('CancerEpisode-ConceptMap-2'!$I$15:$N$123,Q52+1,R52)</f>
        <v>0</v>
      </c>
    </row>
    <row r="53" spans="1:19" x14ac:dyDescent="0.75">
      <c r="A53" s="44"/>
      <c r="B53" s="11"/>
      <c r="C53" s="11"/>
      <c r="D53" s="12"/>
      <c r="E53" s="11"/>
      <c r="F53" s="49"/>
      <c r="G53" s="78"/>
      <c r="P53" s="11">
        <v>39</v>
      </c>
      <c r="Q53" s="11">
        <f t="shared" si="13"/>
        <v>6</v>
      </c>
      <c r="R53" s="11">
        <f t="shared" si="14"/>
        <v>3</v>
      </c>
      <c r="S53" s="12" cm="1">
        <f t="array" ref="S53">INDEX('CancerEpisode-ConceptMap-2'!$I$15:$N$123,Q53+1,R53)</f>
        <v>0</v>
      </c>
    </row>
    <row r="54" spans="1:19" x14ac:dyDescent="0.75">
      <c r="A54" s="44"/>
      <c r="B54" s="11"/>
      <c r="C54" s="11"/>
      <c r="D54" s="12"/>
      <c r="E54" s="11"/>
      <c r="F54" s="49"/>
      <c r="G54" s="78"/>
      <c r="P54" s="11">
        <v>40</v>
      </c>
      <c r="Q54" s="11">
        <f t="shared" si="13"/>
        <v>6</v>
      </c>
      <c r="R54" s="11">
        <f t="shared" si="14"/>
        <v>4</v>
      </c>
      <c r="S54" s="12" cm="1">
        <f t="array" ref="S54">INDEX('CancerEpisode-ConceptMap-2'!$I$15:$N$123,Q54+1,R54)</f>
        <v>0</v>
      </c>
    </row>
    <row r="55" spans="1:19" x14ac:dyDescent="0.75">
      <c r="A55" s="44"/>
      <c r="B55" s="11"/>
      <c r="C55" s="11"/>
      <c r="D55" s="12"/>
      <c r="E55" s="11"/>
      <c r="F55" s="49"/>
      <c r="G55" s="78"/>
      <c r="P55" s="11">
        <v>41</v>
      </c>
      <c r="Q55" s="11">
        <f t="shared" si="13"/>
        <v>6</v>
      </c>
      <c r="R55" s="11">
        <f t="shared" si="14"/>
        <v>5</v>
      </c>
      <c r="S55" s="12" cm="1">
        <f t="array" ref="S55">INDEX('CancerEpisode-ConceptMap-2'!$I$15:$N$123,Q55+1,R55)</f>
        <v>0</v>
      </c>
    </row>
    <row r="56" spans="1:19" x14ac:dyDescent="0.75">
      <c r="A56" s="44"/>
      <c r="B56" s="11"/>
      <c r="C56" s="11"/>
      <c r="D56" s="12"/>
      <c r="E56" s="11"/>
      <c r="F56" s="49"/>
      <c r="G56" s="78"/>
      <c r="P56" s="11">
        <v>42</v>
      </c>
      <c r="Q56" s="11">
        <f t="shared" si="13"/>
        <v>6</v>
      </c>
      <c r="R56" s="11">
        <f t="shared" si="14"/>
        <v>6</v>
      </c>
      <c r="S56" s="12" cm="1">
        <f t="array" ref="S56">INDEX('CancerEpisode-ConceptMap-2'!$I$15:$N$123,Q56+1,R56)</f>
        <v>0</v>
      </c>
    </row>
    <row r="57" spans="1:19" x14ac:dyDescent="0.75">
      <c r="A57" s="44"/>
      <c r="B57" s="11"/>
      <c r="C57" s="11"/>
      <c r="D57" s="12"/>
      <c r="E57" s="11"/>
      <c r="F57" s="49"/>
      <c r="G57" s="78"/>
      <c r="P57" s="11">
        <v>43</v>
      </c>
      <c r="Q57" s="11">
        <f t="shared" si="13"/>
        <v>7</v>
      </c>
      <c r="R57" s="11">
        <f t="shared" si="14"/>
        <v>1</v>
      </c>
      <c r="S57" s="12" cm="1">
        <f t="array" ref="S57">INDEX('CancerEpisode-ConceptMap-2'!$I$15:$N$123,Q57+1,R57)</f>
        <v>0</v>
      </c>
    </row>
    <row r="58" spans="1:19" x14ac:dyDescent="0.75">
      <c r="A58" s="44"/>
      <c r="B58" s="11"/>
      <c r="C58" s="11"/>
      <c r="D58" s="12"/>
      <c r="E58" s="11"/>
      <c r="F58" s="49"/>
      <c r="G58" s="78"/>
      <c r="P58" s="11">
        <v>44</v>
      </c>
      <c r="Q58" s="11">
        <f t="shared" si="13"/>
        <v>7</v>
      </c>
      <c r="R58" s="11">
        <f t="shared" si="14"/>
        <v>2</v>
      </c>
      <c r="S58" s="12" cm="1">
        <f t="array" ref="S58">INDEX('CancerEpisode-ConceptMap-2'!$I$15:$N$123,Q58+1,R58)</f>
        <v>0</v>
      </c>
    </row>
    <row r="59" spans="1:19" x14ac:dyDescent="0.75">
      <c r="A59" s="44"/>
      <c r="B59" s="11"/>
      <c r="C59" s="11"/>
      <c r="D59" s="12"/>
      <c r="E59" s="11"/>
      <c r="F59" s="49"/>
      <c r="G59" s="78"/>
      <c r="P59" s="11">
        <v>45</v>
      </c>
      <c r="Q59" s="11">
        <f t="shared" si="13"/>
        <v>7</v>
      </c>
      <c r="R59" s="11">
        <f t="shared" si="14"/>
        <v>3</v>
      </c>
      <c r="S59" s="12" cm="1">
        <f t="array" ref="S59">INDEX('CancerEpisode-ConceptMap-2'!$I$15:$N$123,Q59+1,R59)</f>
        <v>0</v>
      </c>
    </row>
    <row r="60" spans="1:19" x14ac:dyDescent="0.75">
      <c r="A60" s="44"/>
      <c r="B60" s="11"/>
      <c r="C60" s="11"/>
      <c r="D60" s="12"/>
      <c r="E60" s="11"/>
      <c r="F60" s="49"/>
      <c r="G60" s="78"/>
      <c r="P60" s="11">
        <v>46</v>
      </c>
      <c r="Q60" s="11">
        <f t="shared" si="13"/>
        <v>7</v>
      </c>
      <c r="R60" s="11">
        <f t="shared" si="14"/>
        <v>4</v>
      </c>
      <c r="S60" s="12" cm="1">
        <f t="array" ref="S60">INDEX('CancerEpisode-ConceptMap-2'!$I$15:$N$123,Q60+1,R60)</f>
        <v>0</v>
      </c>
    </row>
    <row r="61" spans="1:19" x14ac:dyDescent="0.75">
      <c r="A61" s="44"/>
      <c r="B61" s="11"/>
      <c r="C61" s="11"/>
      <c r="D61" s="12"/>
      <c r="E61" s="11"/>
      <c r="F61" s="49"/>
      <c r="G61" s="78"/>
      <c r="P61" s="11">
        <v>47</v>
      </c>
      <c r="Q61" s="11">
        <f t="shared" si="13"/>
        <v>7</v>
      </c>
      <c r="R61" s="11">
        <f t="shared" si="14"/>
        <v>5</v>
      </c>
      <c r="S61" s="12" cm="1">
        <f t="array" ref="S61">INDEX('CancerEpisode-ConceptMap-2'!$I$15:$N$123,Q61+1,R61)</f>
        <v>0</v>
      </c>
    </row>
    <row r="62" spans="1:19" x14ac:dyDescent="0.75">
      <c r="A62" s="44"/>
      <c r="B62" s="11"/>
      <c r="C62" s="11"/>
      <c r="D62" s="12"/>
      <c r="E62" s="11"/>
      <c r="F62" s="49"/>
      <c r="G62" s="78"/>
      <c r="P62" s="11">
        <v>48</v>
      </c>
      <c r="Q62" s="11">
        <f t="shared" si="13"/>
        <v>7</v>
      </c>
      <c r="R62" s="11">
        <f t="shared" si="14"/>
        <v>6</v>
      </c>
      <c r="S62" s="12" cm="1">
        <f t="array" ref="S62">INDEX('CancerEpisode-ConceptMap-2'!$I$15:$N$123,Q62+1,R62)</f>
        <v>0</v>
      </c>
    </row>
    <row r="63" spans="1:19" x14ac:dyDescent="0.75">
      <c r="A63" s="44"/>
      <c r="B63" s="11"/>
      <c r="C63" s="11"/>
      <c r="D63" s="12"/>
      <c r="E63" s="11"/>
      <c r="F63" s="49"/>
      <c r="G63" s="78"/>
      <c r="P63" s="11">
        <v>49</v>
      </c>
      <c r="Q63" s="11">
        <f t="shared" si="13"/>
        <v>8</v>
      </c>
      <c r="R63" s="11">
        <f t="shared" si="14"/>
        <v>1</v>
      </c>
      <c r="S63" s="12" cm="1">
        <f t="array" ref="S63">INDEX('CancerEpisode-ConceptMap-2'!$I$15:$N$123,Q63+1,R63)</f>
        <v>0</v>
      </c>
    </row>
    <row r="64" spans="1:19" x14ac:dyDescent="0.75">
      <c r="A64" s="44"/>
      <c r="B64" s="11"/>
      <c r="C64" s="11"/>
      <c r="D64" s="12"/>
      <c r="E64" s="11"/>
      <c r="F64" s="49"/>
      <c r="G64" s="78"/>
      <c r="P64" s="11">
        <v>50</v>
      </c>
      <c r="Q64" s="11">
        <f t="shared" si="13"/>
        <v>8</v>
      </c>
      <c r="R64" s="11">
        <f t="shared" si="14"/>
        <v>2</v>
      </c>
      <c r="S64" s="12" cm="1">
        <f t="array" ref="S64">INDEX('CancerEpisode-ConceptMap-2'!$I$15:$N$123,Q64+1,R64)</f>
        <v>0</v>
      </c>
    </row>
    <row r="65" spans="1:19" x14ac:dyDescent="0.75">
      <c r="A65" s="44"/>
      <c r="B65" s="11"/>
      <c r="C65" s="11"/>
      <c r="D65" s="12"/>
      <c r="E65" s="11"/>
      <c r="F65" s="49"/>
      <c r="G65" s="78"/>
      <c r="P65" s="11">
        <v>51</v>
      </c>
      <c r="Q65" s="11">
        <f t="shared" si="13"/>
        <v>8</v>
      </c>
      <c r="R65" s="11">
        <f t="shared" si="14"/>
        <v>3</v>
      </c>
      <c r="S65" s="12" cm="1">
        <f t="array" ref="S65">INDEX('CancerEpisode-ConceptMap-2'!$I$15:$N$123,Q65+1,R65)</f>
        <v>0</v>
      </c>
    </row>
    <row r="66" spans="1:19" x14ac:dyDescent="0.75">
      <c r="A66" s="44"/>
      <c r="B66" s="11"/>
      <c r="C66" s="11"/>
      <c r="D66" s="12"/>
      <c r="E66" s="11"/>
      <c r="F66" s="49"/>
      <c r="G66" s="78"/>
      <c r="P66" s="11">
        <v>52</v>
      </c>
      <c r="Q66" s="11">
        <f t="shared" si="13"/>
        <v>8</v>
      </c>
      <c r="R66" s="11">
        <f t="shared" si="14"/>
        <v>4</v>
      </c>
      <c r="S66" s="12" cm="1">
        <f t="array" ref="S66">INDEX('CancerEpisode-ConceptMap-2'!$I$15:$N$123,Q66+1,R66)</f>
        <v>0</v>
      </c>
    </row>
    <row r="67" spans="1:19" x14ac:dyDescent="0.75">
      <c r="A67" s="44"/>
      <c r="B67" s="11"/>
      <c r="C67" s="11"/>
      <c r="D67" s="12"/>
      <c r="E67" s="11"/>
      <c r="F67" s="49"/>
      <c r="G67" s="78"/>
      <c r="P67" s="11">
        <v>53</v>
      </c>
      <c r="Q67" s="11">
        <f t="shared" si="13"/>
        <v>8</v>
      </c>
      <c r="R67" s="11">
        <f t="shared" si="14"/>
        <v>5</v>
      </c>
      <c r="S67" s="12" cm="1">
        <f t="array" ref="S67">INDEX('CancerEpisode-ConceptMap-2'!$I$15:$N$123,Q67+1,R67)</f>
        <v>0</v>
      </c>
    </row>
    <row r="68" spans="1:19" x14ac:dyDescent="0.75">
      <c r="A68" s="44"/>
      <c r="B68" s="11"/>
      <c r="C68" s="11"/>
      <c r="D68" s="12"/>
      <c r="E68" s="11"/>
      <c r="F68" s="49"/>
      <c r="G68" s="78"/>
      <c r="P68" s="11">
        <v>54</v>
      </c>
      <c r="Q68" s="11">
        <f t="shared" si="13"/>
        <v>8</v>
      </c>
      <c r="R68" s="11">
        <f t="shared" si="14"/>
        <v>6</v>
      </c>
      <c r="S68" s="12" cm="1">
        <f t="array" ref="S68">INDEX('CancerEpisode-ConceptMap-2'!$I$15:$N$123,Q68+1,R68)</f>
        <v>0</v>
      </c>
    </row>
    <row r="69" spans="1:19" x14ac:dyDescent="0.75">
      <c r="A69" s="44"/>
      <c r="B69" s="11"/>
      <c r="C69" s="11"/>
      <c r="D69" s="12"/>
      <c r="E69" s="11"/>
      <c r="F69" s="49"/>
      <c r="G69" s="78"/>
      <c r="P69" s="11">
        <v>55</v>
      </c>
      <c r="Q69" s="11">
        <f t="shared" si="13"/>
        <v>9</v>
      </c>
      <c r="R69" s="11">
        <f t="shared" si="14"/>
        <v>1</v>
      </c>
      <c r="S69" s="12" cm="1">
        <f t="array" ref="S69">INDEX('CancerEpisode-ConceptMap-2'!$I$15:$N$123,Q69+1,R69)</f>
        <v>0</v>
      </c>
    </row>
    <row r="70" spans="1:19" x14ac:dyDescent="0.75">
      <c r="A70" s="44"/>
      <c r="B70" s="11"/>
      <c r="C70" s="11"/>
      <c r="D70" s="12"/>
      <c r="E70" s="11"/>
      <c r="F70" s="49"/>
      <c r="G70" s="78"/>
      <c r="P70" s="11">
        <v>56</v>
      </c>
      <c r="Q70" s="11">
        <f t="shared" si="13"/>
        <v>9</v>
      </c>
      <c r="R70" s="11">
        <f t="shared" si="14"/>
        <v>2</v>
      </c>
      <c r="S70" s="12" cm="1">
        <f t="array" ref="S70">INDEX('CancerEpisode-ConceptMap-2'!$I$15:$N$123,Q70+1,R70)</f>
        <v>0</v>
      </c>
    </row>
    <row r="71" spans="1:19" x14ac:dyDescent="0.75">
      <c r="A71" s="44"/>
      <c r="B71" s="11"/>
      <c r="C71" s="11"/>
      <c r="D71" s="12"/>
      <c r="E71" s="11"/>
      <c r="F71" s="49"/>
      <c r="G71" s="78"/>
      <c r="P71" s="11">
        <v>57</v>
      </c>
      <c r="Q71" s="11">
        <f t="shared" si="13"/>
        <v>9</v>
      </c>
      <c r="R71" s="11">
        <f t="shared" si="14"/>
        <v>3</v>
      </c>
      <c r="S71" s="12" cm="1">
        <f t="array" ref="S71">INDEX('CancerEpisode-ConceptMap-2'!$I$15:$N$123,Q71+1,R71)</f>
        <v>0</v>
      </c>
    </row>
    <row r="72" spans="1:19" x14ac:dyDescent="0.75">
      <c r="A72" s="44"/>
      <c r="B72" s="11"/>
      <c r="C72" s="11"/>
      <c r="D72" s="12"/>
      <c r="E72" s="11"/>
      <c r="F72" s="49"/>
      <c r="G72" s="78"/>
      <c r="P72" s="11">
        <v>58</v>
      </c>
      <c r="Q72" s="11">
        <f t="shared" si="13"/>
        <v>9</v>
      </c>
      <c r="R72" s="11">
        <f t="shared" si="14"/>
        <v>4</v>
      </c>
      <c r="S72" s="12" cm="1">
        <f t="array" ref="S72">INDEX('CancerEpisode-ConceptMap-2'!$I$15:$N$123,Q72+1,R72)</f>
        <v>0</v>
      </c>
    </row>
    <row r="73" spans="1:19" x14ac:dyDescent="0.75">
      <c r="A73" s="44"/>
      <c r="B73" s="11"/>
      <c r="C73" s="11"/>
      <c r="D73" s="12"/>
      <c r="E73" s="11"/>
      <c r="F73" s="49"/>
      <c r="G73" s="78"/>
      <c r="P73" s="11">
        <v>59</v>
      </c>
      <c r="Q73" s="11">
        <f t="shared" si="13"/>
        <v>9</v>
      </c>
      <c r="R73" s="11">
        <f t="shared" si="14"/>
        <v>5</v>
      </c>
      <c r="S73" s="12" cm="1">
        <f t="array" ref="S73">INDEX('CancerEpisode-ConceptMap-2'!$I$15:$N$123,Q73+1,R73)</f>
        <v>0</v>
      </c>
    </row>
    <row r="74" spans="1:19" x14ac:dyDescent="0.75">
      <c r="A74" s="44"/>
      <c r="B74" s="11"/>
      <c r="C74" s="11"/>
      <c r="D74" s="12"/>
      <c r="E74" s="11"/>
      <c r="F74" s="49"/>
      <c r="G74" s="78"/>
      <c r="P74" s="11">
        <v>60</v>
      </c>
      <c r="Q74" s="11">
        <f t="shared" si="13"/>
        <v>9</v>
      </c>
      <c r="R74" s="11">
        <f t="shared" si="14"/>
        <v>6</v>
      </c>
      <c r="S74" s="12" cm="1">
        <f t="array" ref="S74">INDEX('CancerEpisode-ConceptMap-2'!$I$15:$N$123,Q74+1,R74)</f>
        <v>0</v>
      </c>
    </row>
    <row r="75" spans="1:19" x14ac:dyDescent="0.75">
      <c r="A75" s="44"/>
      <c r="B75" s="11"/>
      <c r="C75" s="11"/>
      <c r="D75" s="12"/>
      <c r="E75" s="11"/>
      <c r="F75" s="49"/>
      <c r="G75" s="78"/>
      <c r="P75" s="11">
        <v>61</v>
      </c>
      <c r="Q75" s="11">
        <f t="shared" si="13"/>
        <v>10</v>
      </c>
      <c r="R75" s="11">
        <f t="shared" si="14"/>
        <v>1</v>
      </c>
      <c r="S75" s="12" cm="1">
        <f t="array" ref="S75">INDEX('CancerEpisode-ConceptMap-2'!$I$15:$N$123,Q75+1,R75)</f>
        <v>0</v>
      </c>
    </row>
    <row r="76" spans="1:19" x14ac:dyDescent="0.75">
      <c r="A76" s="44"/>
      <c r="B76" s="11"/>
      <c r="C76" s="11"/>
      <c r="D76" s="12"/>
      <c r="E76" s="11"/>
      <c r="F76" s="49"/>
      <c r="G76" s="78"/>
      <c r="P76" s="11">
        <v>62</v>
      </c>
      <c r="Q76" s="11">
        <f t="shared" si="13"/>
        <v>10</v>
      </c>
      <c r="R76" s="11">
        <f t="shared" si="14"/>
        <v>2</v>
      </c>
      <c r="S76" s="12" cm="1">
        <f t="array" ref="S76">INDEX('CancerEpisode-ConceptMap-2'!$I$15:$N$123,Q76+1,R76)</f>
        <v>0</v>
      </c>
    </row>
    <row r="77" spans="1:19" x14ac:dyDescent="0.75">
      <c r="A77" s="44"/>
      <c r="B77" s="11"/>
      <c r="C77" s="11"/>
      <c r="D77" s="12"/>
      <c r="E77" s="11"/>
      <c r="F77" s="49"/>
      <c r="G77" s="78"/>
      <c r="P77" s="11">
        <v>63</v>
      </c>
      <c r="Q77" s="11">
        <f t="shared" si="13"/>
        <v>10</v>
      </c>
      <c r="R77" s="11">
        <f t="shared" si="14"/>
        <v>3</v>
      </c>
      <c r="S77" s="12" cm="1">
        <f t="array" ref="S77">INDEX('CancerEpisode-ConceptMap-2'!$I$15:$N$123,Q77+1,R77)</f>
        <v>0</v>
      </c>
    </row>
    <row r="78" spans="1:19" x14ac:dyDescent="0.75">
      <c r="A78" s="44"/>
      <c r="B78" s="11"/>
      <c r="C78" s="11"/>
      <c r="D78" s="12"/>
      <c r="E78" s="11"/>
      <c r="F78" s="49"/>
      <c r="G78" s="78"/>
      <c r="P78" s="11">
        <v>64</v>
      </c>
      <c r="Q78" s="11">
        <f t="shared" si="13"/>
        <v>10</v>
      </c>
      <c r="R78" s="11">
        <f t="shared" si="14"/>
        <v>4</v>
      </c>
      <c r="S78" s="12" cm="1">
        <f t="array" ref="S78">INDEX('CancerEpisode-ConceptMap-2'!$I$15:$N$123,Q78+1,R78)</f>
        <v>0</v>
      </c>
    </row>
    <row r="79" spans="1:19" x14ac:dyDescent="0.75">
      <c r="A79" s="44"/>
      <c r="B79" s="11"/>
      <c r="C79" s="11"/>
      <c r="D79" s="12"/>
      <c r="E79" s="11"/>
      <c r="F79" s="49"/>
      <c r="G79" s="78"/>
      <c r="P79" s="11">
        <v>65</v>
      </c>
      <c r="Q79" s="11">
        <f t="shared" si="13"/>
        <v>10</v>
      </c>
      <c r="R79" s="11">
        <f t="shared" si="14"/>
        <v>5</v>
      </c>
      <c r="S79" s="12" cm="1">
        <f t="array" ref="S79">INDEX('CancerEpisode-ConceptMap-2'!$I$15:$N$123,Q79+1,R79)</f>
        <v>0</v>
      </c>
    </row>
    <row r="80" spans="1:19" x14ac:dyDescent="0.75">
      <c r="A80" s="44"/>
      <c r="B80" s="11"/>
      <c r="C80" s="11"/>
      <c r="D80" s="12"/>
      <c r="E80" s="11"/>
      <c r="F80" s="49"/>
      <c r="G80" s="78"/>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8"/>
      <c r="P81" s="11">
        <v>67</v>
      </c>
      <c r="Q81" s="11">
        <f t="shared" si="15"/>
        <v>11</v>
      </c>
      <c r="R81" s="11">
        <f t="shared" si="16"/>
        <v>1</v>
      </c>
      <c r="S81" s="12" cm="1">
        <f t="array" ref="S81">INDEX('CancerEpisode-ConceptMap-2'!$I$15:$N$123,Q81+1,R81)</f>
        <v>0</v>
      </c>
    </row>
    <row r="82" spans="1:19" x14ac:dyDescent="0.75">
      <c r="A82" s="44"/>
      <c r="B82" s="11"/>
      <c r="C82" s="11"/>
      <c r="D82" s="12"/>
      <c r="E82" s="11"/>
      <c r="F82" s="49"/>
      <c r="G82" s="78"/>
      <c r="P82" s="11">
        <v>68</v>
      </c>
      <c r="Q82" s="11">
        <f t="shared" si="15"/>
        <v>11</v>
      </c>
      <c r="R82" s="11">
        <f t="shared" si="16"/>
        <v>2</v>
      </c>
      <c r="S82" s="12" cm="1">
        <f t="array" ref="S82">INDEX('CancerEpisode-ConceptMap-2'!$I$15:$N$123,Q82+1,R82)</f>
        <v>0</v>
      </c>
    </row>
    <row r="83" spans="1:19" x14ac:dyDescent="0.75">
      <c r="A83" s="44"/>
      <c r="B83" s="11"/>
      <c r="C83" s="11"/>
      <c r="D83" s="12"/>
      <c r="E83" s="11"/>
      <c r="F83" s="49"/>
      <c r="G83" s="78"/>
      <c r="P83" s="11">
        <v>69</v>
      </c>
      <c r="Q83" s="11">
        <f t="shared" si="15"/>
        <v>11</v>
      </c>
      <c r="R83" s="11">
        <f t="shared" si="16"/>
        <v>3</v>
      </c>
      <c r="S83" s="12" cm="1">
        <f t="array" ref="S83">INDEX('CancerEpisode-ConceptMap-2'!$I$15:$N$123,Q83+1,R83)</f>
        <v>0</v>
      </c>
    </row>
    <row r="84" spans="1:19" x14ac:dyDescent="0.75">
      <c r="A84" s="44"/>
      <c r="B84" s="11"/>
      <c r="C84" s="11"/>
      <c r="D84" s="12"/>
      <c r="E84" s="11"/>
      <c r="F84" s="49"/>
      <c r="G84" s="78"/>
      <c r="P84" s="11">
        <v>70</v>
      </c>
      <c r="Q84" s="11">
        <f t="shared" si="15"/>
        <v>11</v>
      </c>
      <c r="R84" s="11">
        <f t="shared" si="16"/>
        <v>4</v>
      </c>
      <c r="S84" s="12" cm="1">
        <f t="array" ref="S84">INDEX('CancerEpisode-ConceptMap-2'!$I$15:$N$123,Q84+1,R84)</f>
        <v>0</v>
      </c>
    </row>
    <row r="85" spans="1:19" x14ac:dyDescent="0.75">
      <c r="A85" s="44"/>
      <c r="B85" s="11"/>
      <c r="C85" s="11"/>
      <c r="D85" s="12"/>
      <c r="E85" s="11"/>
      <c r="F85" s="49"/>
      <c r="G85" s="78"/>
      <c r="P85" s="11">
        <v>71</v>
      </c>
      <c r="Q85" s="11">
        <f t="shared" si="15"/>
        <v>11</v>
      </c>
      <c r="R85" s="11">
        <f t="shared" si="16"/>
        <v>5</v>
      </c>
      <c r="S85" s="12" cm="1">
        <f t="array" ref="S85">INDEX('CancerEpisode-ConceptMap-2'!$I$15:$N$123,Q85+1,R85)</f>
        <v>0</v>
      </c>
    </row>
    <row r="86" spans="1:19" x14ac:dyDescent="0.75">
      <c r="A86" s="44"/>
      <c r="B86" s="11"/>
      <c r="C86" s="11"/>
      <c r="D86" s="12"/>
      <c r="E86" s="11"/>
      <c r="F86" s="49"/>
      <c r="G86" s="78"/>
      <c r="P86" s="11">
        <v>72</v>
      </c>
      <c r="Q86" s="11">
        <f t="shared" si="15"/>
        <v>11</v>
      </c>
      <c r="R86" s="11">
        <f t="shared" si="16"/>
        <v>6</v>
      </c>
      <c r="S86" s="12" cm="1">
        <f t="array" ref="S86">INDEX('CancerEpisode-ConceptMap-2'!$I$15:$N$123,Q86+1,R86)</f>
        <v>0</v>
      </c>
    </row>
    <row r="87" spans="1:19" x14ac:dyDescent="0.75">
      <c r="A87" s="44"/>
      <c r="B87" s="11"/>
      <c r="C87" s="11"/>
      <c r="D87" s="12"/>
      <c r="E87" s="11"/>
      <c r="F87" s="49"/>
      <c r="G87" s="78"/>
      <c r="P87" s="11">
        <v>73</v>
      </c>
      <c r="Q87" s="11">
        <f t="shared" si="15"/>
        <v>12</v>
      </c>
      <c r="R87" s="11">
        <f t="shared" si="16"/>
        <v>1</v>
      </c>
      <c r="S87" s="12" cm="1">
        <f t="array" ref="S87">INDEX('CancerEpisode-ConceptMap-2'!$I$15:$N$123,Q87+1,R87)</f>
        <v>0</v>
      </c>
    </row>
    <row r="88" spans="1:19" x14ac:dyDescent="0.75">
      <c r="A88" s="44"/>
      <c r="B88" s="11"/>
      <c r="C88" s="11"/>
      <c r="D88" s="12"/>
      <c r="E88" s="11"/>
      <c r="F88" s="49"/>
      <c r="G88" s="78"/>
      <c r="P88" s="11">
        <v>74</v>
      </c>
      <c r="Q88" s="11">
        <f t="shared" si="15"/>
        <v>12</v>
      </c>
      <c r="R88" s="11">
        <f t="shared" si="16"/>
        <v>2</v>
      </c>
      <c r="S88" s="12" cm="1">
        <f t="array" ref="S88">INDEX('CancerEpisode-ConceptMap-2'!$I$15:$N$123,Q88+1,R88)</f>
        <v>0</v>
      </c>
    </row>
    <row r="89" spans="1:19" x14ac:dyDescent="0.75">
      <c r="G89" s="78"/>
      <c r="P89" s="11">
        <v>75</v>
      </c>
      <c r="Q89" s="11">
        <f t="shared" si="15"/>
        <v>12</v>
      </c>
      <c r="R89" s="11">
        <f t="shared" si="16"/>
        <v>3</v>
      </c>
      <c r="S89" s="12" cm="1">
        <f t="array" ref="S89">INDEX('CancerEpisode-ConceptMap-2'!$I$15:$N$123,Q89+1,R89)</f>
        <v>0</v>
      </c>
    </row>
    <row r="90" spans="1:19" x14ac:dyDescent="0.75">
      <c r="G90" s="78"/>
      <c r="P90" s="11">
        <v>76</v>
      </c>
      <c r="Q90" s="11">
        <f t="shared" si="15"/>
        <v>12</v>
      </c>
      <c r="R90" s="11">
        <f t="shared" si="16"/>
        <v>4</v>
      </c>
      <c r="S90" s="12" cm="1">
        <f t="array" ref="S90">INDEX('CancerEpisode-ConceptMap-2'!$I$15:$N$123,Q90+1,R90)</f>
        <v>0</v>
      </c>
    </row>
    <row r="91" spans="1:19" x14ac:dyDescent="0.75">
      <c r="G91" s="78"/>
      <c r="P91" s="11">
        <v>77</v>
      </c>
      <c r="Q91" s="11">
        <f t="shared" si="15"/>
        <v>12</v>
      </c>
      <c r="R91" s="11">
        <f t="shared" si="16"/>
        <v>5</v>
      </c>
      <c r="S91" s="12" cm="1">
        <f t="array" ref="S91">INDEX('CancerEpisode-ConceptMap-2'!$I$15:$N$123,Q91+1,R91)</f>
        <v>0</v>
      </c>
    </row>
    <row r="92" spans="1:19" x14ac:dyDescent="0.75">
      <c r="G92" s="78"/>
      <c r="P92" s="11">
        <v>78</v>
      </c>
      <c r="Q92" s="11">
        <f t="shared" si="15"/>
        <v>12</v>
      </c>
      <c r="R92" s="11">
        <f t="shared" si="16"/>
        <v>6</v>
      </c>
      <c r="S92" s="12" cm="1">
        <f t="array" ref="S92">INDEX('CancerEpisode-ConceptMap-2'!$I$15:$N$123,Q92+1,R92)</f>
        <v>0</v>
      </c>
    </row>
    <row r="93" spans="1:19" x14ac:dyDescent="0.75">
      <c r="G93" s="78"/>
      <c r="P93" s="11">
        <v>79</v>
      </c>
      <c r="Q93" s="11">
        <f t="shared" si="15"/>
        <v>13</v>
      </c>
      <c r="R93" s="11">
        <f t="shared" si="16"/>
        <v>1</v>
      </c>
      <c r="S93" s="12" cm="1">
        <f t="array" ref="S93">INDEX('CancerEpisode-ConceptMap-2'!$I$15:$N$123,Q93+1,R93)</f>
        <v>0</v>
      </c>
    </row>
    <row r="94" spans="1:19" x14ac:dyDescent="0.75">
      <c r="G94" s="78"/>
      <c r="P94" s="11">
        <v>80</v>
      </c>
      <c r="Q94" s="11">
        <f t="shared" si="15"/>
        <v>13</v>
      </c>
      <c r="R94" s="11">
        <f t="shared" si="16"/>
        <v>2</v>
      </c>
      <c r="S94" s="12" cm="1">
        <f t="array" ref="S94">INDEX('CancerEpisode-ConceptMap-2'!$I$15:$N$123,Q94+1,R94)</f>
        <v>0</v>
      </c>
    </row>
    <row r="95" spans="1:19" x14ac:dyDescent="0.75">
      <c r="G95" s="78"/>
      <c r="P95" s="11">
        <v>81</v>
      </c>
      <c r="Q95" s="11">
        <f t="shared" si="15"/>
        <v>13</v>
      </c>
      <c r="R95" s="11">
        <f t="shared" si="16"/>
        <v>3</v>
      </c>
      <c r="S95" s="12" cm="1">
        <f t="array" ref="S95">INDEX('CancerEpisode-ConceptMap-2'!$I$15:$N$123,Q95+1,R95)</f>
        <v>0</v>
      </c>
    </row>
    <row r="96" spans="1:19" x14ac:dyDescent="0.75">
      <c r="G96" s="78"/>
      <c r="P96" s="11">
        <v>82</v>
      </c>
      <c r="Q96" s="11">
        <f t="shared" si="15"/>
        <v>13</v>
      </c>
      <c r="R96" s="11">
        <f t="shared" si="16"/>
        <v>4</v>
      </c>
      <c r="S96" s="12" cm="1">
        <f t="array" ref="S96">INDEX('CancerEpisode-ConceptMap-2'!$I$15:$N$123,Q96+1,R96)</f>
        <v>0</v>
      </c>
    </row>
    <row r="97" spans="7:19" x14ac:dyDescent="0.75">
      <c r="G97" s="78"/>
      <c r="P97" s="11">
        <v>83</v>
      </c>
      <c r="Q97" s="11">
        <f t="shared" si="15"/>
        <v>13</v>
      </c>
      <c r="R97" s="11">
        <f t="shared" si="16"/>
        <v>5</v>
      </c>
      <c r="S97" s="12" cm="1">
        <f t="array" ref="S97">INDEX('CancerEpisode-ConceptMap-2'!$I$15:$N$123,Q97+1,R97)</f>
        <v>0</v>
      </c>
    </row>
    <row r="98" spans="7:19" x14ac:dyDescent="0.75">
      <c r="G98" s="78"/>
      <c r="P98" s="11">
        <v>84</v>
      </c>
      <c r="Q98" s="11">
        <f t="shared" si="15"/>
        <v>13</v>
      </c>
      <c r="R98" s="11">
        <f t="shared" si="16"/>
        <v>6</v>
      </c>
      <c r="S98" s="12" cm="1">
        <f t="array" ref="S98">INDEX('CancerEpisode-ConceptMap-2'!$I$15:$N$123,Q98+1,R98)</f>
        <v>0</v>
      </c>
    </row>
    <row r="99" spans="7:19" x14ac:dyDescent="0.75">
      <c r="G99" s="78"/>
      <c r="P99" s="11">
        <v>85</v>
      </c>
      <c r="Q99" s="11">
        <f t="shared" si="15"/>
        <v>14</v>
      </c>
      <c r="R99" s="11">
        <f t="shared" si="16"/>
        <v>1</v>
      </c>
      <c r="S99" s="12" cm="1">
        <f t="array" ref="S99">INDEX('CancerEpisode-ConceptMap-2'!$I$15:$N$123,Q99+1,R99)</f>
        <v>0</v>
      </c>
    </row>
    <row r="100" spans="7:19" x14ac:dyDescent="0.75">
      <c r="G100" s="78"/>
      <c r="P100" s="11">
        <v>86</v>
      </c>
      <c r="Q100" s="11">
        <f t="shared" si="15"/>
        <v>14</v>
      </c>
      <c r="R100" s="11">
        <f t="shared" si="16"/>
        <v>2</v>
      </c>
      <c r="S100" s="12" cm="1">
        <f t="array" ref="S100">INDEX('CancerEpisode-ConceptMap-2'!$I$15:$N$123,Q100+1,R100)</f>
        <v>0</v>
      </c>
    </row>
    <row r="101" spans="7:19" x14ac:dyDescent="0.75">
      <c r="G101" s="78"/>
      <c r="P101" s="11">
        <v>87</v>
      </c>
      <c r="Q101" s="11">
        <f t="shared" si="15"/>
        <v>14</v>
      </c>
      <c r="R101" s="11">
        <f t="shared" si="16"/>
        <v>3</v>
      </c>
      <c r="S101" s="12" cm="1">
        <f t="array" ref="S101">INDEX('CancerEpisode-ConceptMap-2'!$I$15:$N$123,Q101+1,R101)</f>
        <v>0</v>
      </c>
    </row>
    <row r="102" spans="7:19" x14ac:dyDescent="0.75">
      <c r="G102" s="78"/>
      <c r="P102" s="11">
        <v>88</v>
      </c>
      <c r="Q102" s="11">
        <f t="shared" si="15"/>
        <v>14</v>
      </c>
      <c r="R102" s="11">
        <f t="shared" si="16"/>
        <v>4</v>
      </c>
      <c r="S102" s="12" cm="1">
        <f t="array" ref="S102">INDEX('CancerEpisode-ConceptMap-2'!$I$15:$N$123,Q102+1,R102)</f>
        <v>0</v>
      </c>
    </row>
    <row r="103" spans="7:19" x14ac:dyDescent="0.75">
      <c r="G103" s="78"/>
      <c r="P103" s="11">
        <v>89</v>
      </c>
      <c r="Q103" s="11">
        <f t="shared" si="15"/>
        <v>14</v>
      </c>
      <c r="R103" s="11">
        <f t="shared" si="16"/>
        <v>5</v>
      </c>
      <c r="S103" s="12" cm="1">
        <f t="array" ref="S103">INDEX('CancerEpisode-ConceptMap-2'!$I$15:$N$123,Q103+1,R103)</f>
        <v>0</v>
      </c>
    </row>
    <row r="104" spans="7:19" x14ac:dyDescent="0.75">
      <c r="G104" s="78"/>
      <c r="P104" s="11">
        <v>90</v>
      </c>
      <c r="Q104" s="11">
        <f t="shared" si="15"/>
        <v>14</v>
      </c>
      <c r="R104" s="11">
        <f t="shared" si="16"/>
        <v>6</v>
      </c>
      <c r="S104" s="12" cm="1">
        <f t="array" ref="S104">INDEX('CancerEpisode-ConceptMap-2'!$I$15:$N$123,Q104+1,R104)</f>
        <v>0</v>
      </c>
    </row>
    <row r="105" spans="7:19" x14ac:dyDescent="0.75">
      <c r="G105" s="78"/>
      <c r="P105" s="11">
        <v>91</v>
      </c>
      <c r="Q105" s="11">
        <f t="shared" si="15"/>
        <v>15</v>
      </c>
      <c r="R105" s="11">
        <f t="shared" si="16"/>
        <v>1</v>
      </c>
      <c r="S105" s="12" cm="1">
        <f t="array" ref="S105">INDEX('CancerEpisode-ConceptMap-2'!$I$15:$N$123,Q105+1,R105)</f>
        <v>0</v>
      </c>
    </row>
    <row r="106" spans="7:19" x14ac:dyDescent="0.75">
      <c r="G106" s="78"/>
      <c r="P106" s="11">
        <v>92</v>
      </c>
      <c r="Q106" s="11">
        <f t="shared" si="15"/>
        <v>15</v>
      </c>
      <c r="R106" s="11">
        <f t="shared" si="16"/>
        <v>2</v>
      </c>
      <c r="S106" s="12" cm="1">
        <f t="array" ref="S106">INDEX('CancerEpisode-ConceptMap-2'!$I$15:$N$123,Q106+1,R106)</f>
        <v>0</v>
      </c>
    </row>
    <row r="107" spans="7:19" x14ac:dyDescent="0.75">
      <c r="G107" s="78"/>
      <c r="P107" s="11">
        <v>93</v>
      </c>
      <c r="Q107" s="11">
        <f t="shared" si="15"/>
        <v>15</v>
      </c>
      <c r="R107" s="11">
        <f t="shared" si="16"/>
        <v>3</v>
      </c>
      <c r="S107" s="12" cm="1">
        <f t="array" ref="S107">INDEX('CancerEpisode-ConceptMap-2'!$I$15:$N$123,Q107+1,R107)</f>
        <v>0</v>
      </c>
    </row>
    <row r="108" spans="7:19" x14ac:dyDescent="0.75">
      <c r="G108" s="78"/>
      <c r="P108" s="11">
        <v>94</v>
      </c>
      <c r="Q108" s="11">
        <f t="shared" si="15"/>
        <v>15</v>
      </c>
      <c r="R108" s="11">
        <f t="shared" si="16"/>
        <v>4</v>
      </c>
      <c r="S108" s="12" cm="1">
        <f t="array" ref="S108">INDEX('CancerEpisode-ConceptMap-2'!$I$15:$N$123,Q108+1,R108)</f>
        <v>0</v>
      </c>
    </row>
    <row r="109" spans="7:19" x14ac:dyDescent="0.75">
      <c r="G109" s="78"/>
      <c r="P109" s="11">
        <v>95</v>
      </c>
      <c r="Q109" s="11">
        <f t="shared" si="15"/>
        <v>15</v>
      </c>
      <c r="R109" s="11">
        <f t="shared" si="16"/>
        <v>5</v>
      </c>
      <c r="S109" s="12" cm="1">
        <f t="array" ref="S109">INDEX('CancerEpisode-ConceptMap-2'!$I$15:$N$123,Q109+1,R109)</f>
        <v>0</v>
      </c>
    </row>
    <row r="110" spans="7:19" x14ac:dyDescent="0.75">
      <c r="G110" s="78"/>
      <c r="P110" s="11">
        <v>96</v>
      </c>
      <c r="Q110" s="11">
        <f t="shared" si="15"/>
        <v>15</v>
      </c>
      <c r="R110" s="11">
        <f t="shared" si="16"/>
        <v>6</v>
      </c>
      <c r="S110" s="12" cm="1">
        <f t="array" ref="S110">INDEX('CancerEpisode-ConceptMap-2'!$I$15:$N$123,Q110+1,R110)</f>
        <v>0</v>
      </c>
    </row>
    <row r="111" spans="7:19" x14ac:dyDescent="0.75">
      <c r="G111" s="78"/>
      <c r="P111" s="11">
        <v>97</v>
      </c>
      <c r="Q111" s="11">
        <f t="shared" si="15"/>
        <v>16</v>
      </c>
      <c r="R111" s="11">
        <f t="shared" si="16"/>
        <v>1</v>
      </c>
      <c r="S111" s="12" cm="1">
        <f t="array" ref="S111">INDEX('CancerEpisode-ConceptMap-2'!$I$15:$N$123,Q111+1,R111)</f>
        <v>0</v>
      </c>
    </row>
    <row r="112" spans="7:19" x14ac:dyDescent="0.75">
      <c r="G112" s="78"/>
      <c r="P112" s="11">
        <v>98</v>
      </c>
      <c r="Q112" s="11">
        <f t="shared" si="15"/>
        <v>16</v>
      </c>
      <c r="R112" s="11">
        <f t="shared" si="16"/>
        <v>2</v>
      </c>
      <c r="S112" s="12" cm="1">
        <f t="array" ref="S112">INDEX('CancerEpisode-ConceptMap-2'!$I$15:$N$123,Q112+1,R112)</f>
        <v>0</v>
      </c>
    </row>
    <row r="113" spans="7:19" x14ac:dyDescent="0.75">
      <c r="G113" s="78"/>
      <c r="P113" s="11">
        <v>99</v>
      </c>
      <c r="Q113" s="11">
        <f t="shared" si="15"/>
        <v>16</v>
      </c>
      <c r="R113" s="11">
        <f t="shared" si="16"/>
        <v>3</v>
      </c>
      <c r="S113" s="12" cm="1">
        <f t="array" ref="S113">INDEX('CancerEpisode-ConceptMap-2'!$I$15:$N$123,Q113+1,R113)</f>
        <v>0</v>
      </c>
    </row>
    <row r="114" spans="7:19" x14ac:dyDescent="0.75">
      <c r="G114" s="78"/>
      <c r="P114" s="11">
        <v>100</v>
      </c>
      <c r="Q114" s="11">
        <f t="shared" si="15"/>
        <v>16</v>
      </c>
      <c r="R114" s="11">
        <f t="shared" si="16"/>
        <v>4</v>
      </c>
      <c r="S114" s="12" cm="1">
        <f t="array" ref="S114">INDEX('CancerEpisode-ConceptMap-2'!$I$15:$N$123,Q114+1,R114)</f>
        <v>0</v>
      </c>
    </row>
    <row r="115" spans="7:19" x14ac:dyDescent="0.75">
      <c r="G115" s="78"/>
      <c r="P115" s="11">
        <v>101</v>
      </c>
      <c r="Q115" s="11">
        <f t="shared" si="15"/>
        <v>16</v>
      </c>
      <c r="R115" s="11">
        <f t="shared" si="16"/>
        <v>5</v>
      </c>
      <c r="S115" s="12" cm="1">
        <f t="array" ref="S115">INDEX('CancerEpisode-ConceptMap-2'!$I$15:$N$123,Q115+1,R115)</f>
        <v>0</v>
      </c>
    </row>
    <row r="116" spans="7:19" x14ac:dyDescent="0.75">
      <c r="G116" s="78"/>
      <c r="P116" s="11">
        <v>102</v>
      </c>
      <c r="Q116" s="11">
        <f t="shared" si="15"/>
        <v>16</v>
      </c>
      <c r="R116" s="11">
        <f t="shared" si="16"/>
        <v>6</v>
      </c>
      <c r="S116" s="12" cm="1">
        <f t="array" ref="S116">INDEX('CancerEpisode-ConceptMap-2'!$I$15:$N$123,Q116+1,R116)</f>
        <v>0</v>
      </c>
    </row>
    <row r="117" spans="7:19" x14ac:dyDescent="0.75">
      <c r="G117" s="78"/>
      <c r="P117" s="11">
        <v>103</v>
      </c>
      <c r="Q117" s="11">
        <f t="shared" si="15"/>
        <v>17</v>
      </c>
      <c r="R117" s="11">
        <f t="shared" si="16"/>
        <v>1</v>
      </c>
      <c r="S117" s="12" cm="1">
        <f t="array" ref="S117">INDEX('CancerEpisode-ConceptMap-2'!$I$15:$N$123,Q117+1,R117)</f>
        <v>0</v>
      </c>
    </row>
    <row r="118" spans="7:19" x14ac:dyDescent="0.75">
      <c r="G118" s="78"/>
      <c r="P118" s="11">
        <v>104</v>
      </c>
      <c r="Q118" s="11">
        <f t="shared" si="15"/>
        <v>17</v>
      </c>
      <c r="R118" s="11">
        <f t="shared" si="16"/>
        <v>2</v>
      </c>
      <c r="S118" s="12" cm="1">
        <f t="array" ref="S118">INDEX('CancerEpisode-ConceptMap-2'!$I$15:$N$123,Q118+1,R118)</f>
        <v>0</v>
      </c>
    </row>
    <row r="119" spans="7:19" x14ac:dyDescent="0.75">
      <c r="G119" s="78"/>
      <c r="P119" s="11">
        <v>105</v>
      </c>
      <c r="Q119" s="11">
        <f t="shared" si="15"/>
        <v>17</v>
      </c>
      <c r="R119" s="11">
        <f t="shared" si="16"/>
        <v>3</v>
      </c>
      <c r="S119" s="12" cm="1">
        <f t="array" ref="S119">INDEX('CancerEpisode-ConceptMap-2'!$I$15:$N$123,Q119+1,R119)</f>
        <v>0</v>
      </c>
    </row>
    <row r="120" spans="7:19" x14ac:dyDescent="0.75">
      <c r="G120" s="78"/>
      <c r="P120" s="11">
        <v>106</v>
      </c>
      <c r="Q120" s="11">
        <f t="shared" si="15"/>
        <v>17</v>
      </c>
      <c r="R120" s="11">
        <f t="shared" si="16"/>
        <v>4</v>
      </c>
      <c r="S120" s="12" cm="1">
        <f t="array" ref="S120">INDEX('CancerEpisode-ConceptMap-2'!$I$15:$N$123,Q120+1,R120)</f>
        <v>0</v>
      </c>
    </row>
    <row r="121" spans="7:19" x14ac:dyDescent="0.75">
      <c r="G121" s="78"/>
      <c r="P121" s="11">
        <v>107</v>
      </c>
      <c r="Q121" s="11">
        <f t="shared" si="15"/>
        <v>17</v>
      </c>
      <c r="R121" s="11">
        <f t="shared" si="16"/>
        <v>5</v>
      </c>
      <c r="S121" s="12" cm="1">
        <f t="array" ref="S121">INDEX('CancerEpisode-ConceptMap-2'!$I$15:$N$123,Q121+1,R121)</f>
        <v>0</v>
      </c>
    </row>
    <row r="122" spans="7:19" x14ac:dyDescent="0.75">
      <c r="G122" s="78"/>
      <c r="P122" s="11">
        <v>108</v>
      </c>
      <c r="Q122" s="11">
        <f t="shared" si="15"/>
        <v>17</v>
      </c>
      <c r="R122" s="11">
        <f t="shared" si="16"/>
        <v>6</v>
      </c>
      <c r="S122" s="12" cm="1">
        <f t="array" ref="S122">INDEX('CancerEpisode-ConceptMap-2'!$I$15:$N$123,Q122+1,R122)</f>
        <v>0</v>
      </c>
    </row>
    <row r="123" spans="7:19" x14ac:dyDescent="0.75">
      <c r="G123" s="78"/>
      <c r="P123" s="11">
        <v>109</v>
      </c>
      <c r="Q123" s="11">
        <f t="shared" si="15"/>
        <v>18</v>
      </c>
      <c r="R123" s="11">
        <f t="shared" si="16"/>
        <v>1</v>
      </c>
      <c r="S123" s="12" cm="1">
        <f t="array" ref="S123">INDEX('CancerEpisode-ConceptMap-2'!$I$15:$N$123,Q123+1,R123)</f>
        <v>0</v>
      </c>
    </row>
    <row r="124" spans="7:19" x14ac:dyDescent="0.75">
      <c r="G124" s="78"/>
      <c r="P124" s="11">
        <v>110</v>
      </c>
      <c r="Q124" s="11">
        <f t="shared" si="15"/>
        <v>18</v>
      </c>
      <c r="R124" s="11">
        <f t="shared" si="16"/>
        <v>2</v>
      </c>
      <c r="S124" s="12" cm="1">
        <f t="array" ref="S124">INDEX('CancerEpisode-ConceptMap-2'!$I$15:$N$123,Q124+1,R124)</f>
        <v>0</v>
      </c>
    </row>
    <row r="125" spans="7:19" x14ac:dyDescent="0.75">
      <c r="G125" s="78"/>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I47" sqref="I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6"/>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#Condition.extension:assertedDate.valueDateTime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#Condition.onsetDateTime</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c>
    </row>
    <row r="37" spans="2:2" x14ac:dyDescent="0.75">
      <c r="B37" s="12" t="str">
        <f>IF('CancerEpisode-ConceptMap-1'!S33=0,"//---END",'CancerEpisode-ConceptMap-1'!S33)</f>
        <v>* group[=].element[+].code = #CancerEpisode.dateOfDiagnosis</v>
      </c>
    </row>
    <row r="38" spans="2:2" x14ac:dyDescent="0.75">
      <c r="B38" s="12" t="str">
        <f>IF('CancerEpisode-ConceptMap-1'!S34=0,"//---END",'CancerEpisode-ConceptMap-1'!S34)</f>
        <v>* group[=].element[=].display = ##34#Date of diagnosis (biopsy or surgical piece)##34#</v>
      </c>
    </row>
    <row r="39" spans="2:2" x14ac:dyDescent="0.75">
      <c r="B39" s="12" t="str">
        <f>IF('CancerEpisode-ConceptMap-1'!S35=0,"//---END",'CancerEpisode-ConceptMap-1'!S35)</f>
        <v>* group[=].element[=].target.code = #Condition.evidence:diagnosisDetails.date</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#CancerEpisode.typeOfBiopsy</v>
      </c>
    </row>
    <row r="44" spans="2:2" x14ac:dyDescent="0.75">
      <c r="B44" s="12" t="str">
        <f>IF('CancerEpisode-ConceptMap-1'!S40=0,"//---END",'CancerEpisode-ConceptMap-1'!S40)</f>
        <v>* group[=].element[=].display = ##34#Type of biopsy##34#</v>
      </c>
    </row>
    <row r="45" spans="2:2" x14ac:dyDescent="0.75">
      <c r="B45" s="12" t="str">
        <f>IF('CancerEpisode-ConceptMap-1'!S41=0,"//---END",'CancerEpisode-ConceptMap-1'!S41)</f>
        <v>* group[=].element[=].target.code = #Condition.evidence:diagnosisDetails.date</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#CancerEpisode.biopsyDoneBy</v>
      </c>
    </row>
    <row r="50" spans="2:2" x14ac:dyDescent="0.75">
      <c r="B50" s="12" t="str">
        <f>IF('CancerEpisode-ConceptMap-1'!S46=0,"//---END",'CancerEpisode-ConceptMap-1'!S46)</f>
        <v>* group[=].element[=].display = ##34#Biopsy done by##34#</v>
      </c>
    </row>
    <row r="51" spans="2:2" x14ac:dyDescent="0.75">
      <c r="B51" s="12" t="str">
        <f>IF('CancerEpisode-ConceptMap-1'!S47=0,"//---END",'CancerEpisode-ConceptMap-1'!S47)</f>
        <v>* group[=].element[=].target.code = #Condition.evidence:diagnosisDetails.detail.performer</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#relatedto</v>
      </c>
    </row>
    <row r="54" spans="2:2" ht="29.5" x14ac:dyDescent="0.75">
      <c r="B54" s="12" t="str">
        <f>IF('CancerEpisode-ConceptMap-1'!S50=0,"//---END",'CancerEpisode-ConceptMap-1'!S50)</f>
        <v>* group[=].element[=].target.comment = ##34#detail  id ofType Observation and conformsTo http://hl7.eu/fhir/ig/idea4rc/StructureDefinition/Observation-diagnosis-eu-i4rc##34#</v>
      </c>
    </row>
    <row r="55" spans="2:2" x14ac:dyDescent="0.75">
      <c r="B55" s="12" t="str">
        <f>IF('CancerEpisode-ConceptMap-1'!S51=0,"//---END",'CancerEpisode-ConceptMap-1'!S51)</f>
        <v>* group[=].element[+].code = #CancerEpisode.ageAtDiagnosis</v>
      </c>
    </row>
    <row r="56" spans="2:2" x14ac:dyDescent="0.75">
      <c r="B56" s="12" t="str">
        <f>IF('CancerEpisode-ConceptMap-1'!S52=0,"//---END",'CancerEpisode-ConceptMap-1'!S52)</f>
        <v>* group[=].element[=].display = ##34#Age at diagnosis##34#</v>
      </c>
    </row>
    <row r="57" spans="2:2" x14ac:dyDescent="0.75">
      <c r="B57" s="12" t="str">
        <f>IF('CancerEpisode-ConceptMap-1'!S53=0,"//---END",'CancerEpisode-ConceptMap-1'!S53)</f>
        <v>* group[=].element[=].target.code = #Condition.onsetAge</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#equal</v>
      </c>
    </row>
    <row r="60" spans="2:2" x14ac:dyDescent="0.75">
      <c r="B60" s="12" t="str">
        <f>IF('CancerEpisode-ConceptMap-1'!S56=0,"//---END",'CancerEpisode-ConceptMap-1'!S56)</f>
        <v>* group[=].element[=].target.comment = ##34#to be checked if an onSetdatTime or period is needed##34#</v>
      </c>
    </row>
    <row r="61" spans="2:2" x14ac:dyDescent="0.75">
      <c r="B61" s="12" t="str">
        <f>IF('CancerEpisode-ConceptMap-1'!S57=0,"//---END",'CancerEpisode-ConceptMap-1'!S57)</f>
        <v>* group[=].element[+].code = #CancerEpisode.radiotherapyInducedSarcoma</v>
      </c>
    </row>
    <row r="62" spans="2:2" x14ac:dyDescent="0.75">
      <c r="B62" s="12" t="str">
        <f>IF('CancerEpisode-ConceptMap-1'!S58=0,"//---END",'CancerEpisode-ConceptMap-1'!S58)</f>
        <v>* group[=].element[=].display = ##34#Radiotherapy induced sarcoma##34#</v>
      </c>
    </row>
    <row r="63" spans="2:2" x14ac:dyDescent="0.75">
      <c r="B63" s="12" t="str">
        <f>IF('CancerEpisode-ConceptMap-1'!S59=0,"//---END",'CancerEpisode-ConceptMap-1'!S59)</f>
        <v>* group[=].element[=].target.code = #Condition.extension:condition-dueTo</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#equivalent</v>
      </c>
    </row>
    <row r="66" spans="2:2" ht="29.5" x14ac:dyDescent="0.75">
      <c r="B66" s="12" t="str">
        <f>IF('CancerEpisode-ConceptMap-1'!S62=0,"//---END",'CancerEpisode-ConceptMap-1'!S62)</f>
        <v>* group[=].element[=].target.comment = ##34#Is true if  extension:condition-dueTo.valueCodeableConcept = $sct#108290001 'Radiation oncology AND/OR radiotherapy'##34#</v>
      </c>
    </row>
    <row r="67" spans="2:2" x14ac:dyDescent="0.75">
      <c r="B67" s="12" t="str">
        <f>IF('CancerEpisode-ConceptMap-1'!S63=0,"//---END",'CancerEpisode-ConceptMap-1'!S63)</f>
        <v>* group[=].element[+].code = #CancerEpisode.grading</v>
      </c>
    </row>
    <row r="68" spans="2:2" x14ac:dyDescent="0.75">
      <c r="B68" s="12" t="str">
        <f>IF('CancerEpisode-ConceptMap-1'!S64=0,"//---END",'CancerEpisode-ConceptMap-1'!S64)</f>
        <v>* group[=].element[=].display = ##34#Grading##34#</v>
      </c>
    </row>
    <row r="69" spans="2:2" x14ac:dyDescent="0.75">
      <c r="B69" s="12" t="str">
        <f>IF('CancerEpisode-ConceptMap-1'!S65=0,"//---END",'CancerEpisode-ConceptMap-1'!S65)</f>
        <v>* group[=].element[=].target.code = #Condition.stage.summary</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x14ac:dyDescent="0.75">
      <c r="B72" s="12" t="str">
        <f>IF('CancerEpisode-ConceptMap-1'!S68=0,"//---END",'CancerEpisode-ConceptMap-1'!S68)</f>
        <v>* group[=].element[=].target.comment = ##34#to be checked##34#</v>
      </c>
    </row>
    <row r="73" spans="2:2" x14ac:dyDescent="0.75">
      <c r="B73" s="12" t="str">
        <f>IF('CancerEpisode-ConceptMap-1'!S69=0,"//---END",'CancerEpisode-ConceptMap-1'!S69)</f>
        <v>* group[=].element[+].code = #CancerEpisode.hnClassification</v>
      </c>
    </row>
    <row r="74" spans="2:2" x14ac:dyDescent="0.75">
      <c r="B74" s="12" t="str">
        <f>IF('CancerEpisode-ConceptMap-1'!S70=0,"//---END",'CancerEpisode-ConceptMap-1'!S70)</f>
        <v>* group[=].element[=].display = ##34#Classification for Head and Neck tumors##34#</v>
      </c>
    </row>
    <row r="75" spans="2:2" x14ac:dyDescent="0.75">
      <c r="B75" s="12" t="str">
        <f>IF('CancerEpisode-ConceptMap-1'!S71=0,"//---END",'CancerEpisode-ConceptMap-1'!S71)</f>
        <v>* group[=].element[=].target.code = #Condition.extension:histologyMorphologyBehavior.valueCodeableConcept</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ht="44.25" x14ac:dyDescent="0.75">
      <c r="B78" s="12" t="str">
        <f>IF('CancerEpisode-ConceptMap-1'!S74=0,"//---END",'CancerEpisode-ConceptMap-1'!S74)</f>
        <v>* group[=].element[=].target.comment = ##34#To be further analyzed, at this stage mapped as the condition.code.
Clarify if it is a morphology/hystology classification.
This comment applies to all the inlcuded elements.##34#</v>
      </c>
    </row>
    <row r="79" spans="2:2" x14ac:dyDescent="0.75">
      <c r="B79" s="12" t="str">
        <f>IF('CancerEpisode-ConceptMap-1'!S75=0,"//---END",'CancerEpisode-ConceptMap-1'!S75)</f>
        <v>* group[=].element[+].code = #CancerEpisode.hnClassification.histologySquamous</v>
      </c>
    </row>
    <row r="80" spans="2:2" x14ac:dyDescent="0.75">
      <c r="B80" s="12" t="str">
        <f>IF('CancerEpisode-ConceptMap-1'!S76=0,"//---END",'CancerEpisode-ConceptMap-1'!S76)</f>
        <v>* group[=].element[=].display = ##34#Histology Squamous##34#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#CancerEpisode.hnClassification.histologyAdenocarcinoma</v>
      </c>
    </row>
    <row r="86" spans="2:2" x14ac:dyDescent="0.75">
      <c r="B86" s="12" t="str">
        <f>IF('CancerEpisode-ConceptMap-1'!S82=0,"//---END",'CancerEpisode-ConceptMap-1'!S82)</f>
        <v>* group[=].element[=].display = ##34#Histology Adenocarcinoma##34#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#CancerEpisode.hnClassification.histologyNeuroendocrine</v>
      </c>
    </row>
    <row r="92" spans="2:2" x14ac:dyDescent="0.75">
      <c r="B92" s="12" t="str">
        <f>IF('CancerEpisode-ConceptMap-1'!S88=0,"//---END",'CancerEpisode-ConceptMap-1'!S88)</f>
        <v>* group[=].element[=].display = ##34#Histology Neuroendocrine##34#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#CancerEpisode.hnClassification.histologyOdontogenicCarcinoma</v>
      </c>
    </row>
    <row r="98" spans="2:2" x14ac:dyDescent="0.75">
      <c r="B98" s="12" t="str">
        <f>IF('CancerEpisode-ConceptMap-1'!S94=0,"//---END",'CancerEpisode-ConceptMap-1'!S94)</f>
        <v>* group[=].element[=].display = ##34#Histology Odontogenic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#CancerEpisode.hnClassification.histologySNUC</v>
      </c>
    </row>
    <row r="104" spans="2:2" x14ac:dyDescent="0.75">
      <c r="B104" s="12" t="str">
        <f>IF('CancerEpisode-ConceptMap-1'!S100=0,"//---END",'CancerEpisode-ConceptMap-1'!S100)</f>
        <v>* group[=].element[=].display = ##34#Histology Sinonasal undifferentiated carcinoma##34#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#CancerEpisode.hnClassification.socalledFibrohistiocyticTumours</v>
      </c>
    </row>
    <row r="122" spans="2:2" ht="44.25" x14ac:dyDescent="0.75">
      <c r="B122" s="12" t="str">
        <f>IF('CancerEpisode-ConceptMap-1'!S118=0,"//---END",'CancerEpisode-ConceptMap-1'!S118)</f>
        <v>* group[=].element[=].display = ##34#Histology subgroup So-called fibrohistiocytic tumours
##34#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
      </c>
    </row>
    <row r="128" spans="2:2" x14ac:dyDescent="0.75">
      <c r="B128" s="12" t="str">
        <f>IF('CancerEpisode-ConceptMap-1'!S124=0,"//---END",'CancerEpisode-ConceptMap-1'!S124)</f>
        <v>* group[=].element[=].display = ##34#Sarcoma classification##34#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ht="44.25" x14ac:dyDescent="0.75">
      <c r="B132" s="12" t="str">
        <f>IF('CancerEpisode-ConceptMap-1'!S128=0,"//---END",'CancerEpisode-ConceptMap-1'!S128)</f>
        <v>* group[=].element[=].target.comment = ##34#To be further analyzed, at this stage mapped as the condition.code.
Clarify if it is a morphology/hystology classification.
This comment applies to all the inlcuded elements.##34#</v>
      </c>
    </row>
    <row r="133" spans="2:2" x14ac:dyDescent="0.75">
      <c r="B133" s="12" t="str">
        <f>IF('CancerEpisode-ConceptMap-1'!S129=0,"//---END",'CancerEpisode-ConceptMap-1'!S129)</f>
        <v>* group[=].element[+].code = #CancerEpisode.sarcomaClassification.vascularTumours</v>
      </c>
    </row>
    <row r="134" spans="2:2" x14ac:dyDescent="0.75">
      <c r="B134" s="12" t="str">
        <f>IF('CancerEpisode-ConceptMap-1'!S130=0,"//---END",'CancerEpisode-ConceptMap-1'!S130)</f>
        <v>* group[=].element[=].display = ##34#Vascular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#CancerEpisode.sarcomaClassification.pericyticPerivascularTumours</v>
      </c>
    </row>
    <row r="140" spans="2:2" ht="29.5" x14ac:dyDescent="0.75">
      <c r="B140" s="12" t="str">
        <f>IF('CancerEpisode-ConceptMap-1'!S136=0,"//---END",'CancerEpisode-ConceptMap-1'!S136)</f>
        <v>* group[=].element[=].display = ##34#Pericytic (perivascular) tumours
##34#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#CancerEpisode.sarcomaClassification.smoothMuscleTumours</v>
      </c>
    </row>
    <row r="146" spans="2:2" x14ac:dyDescent="0.75">
      <c r="B146" s="12" t="str">
        <f>IF('CancerEpisode-ConceptMap-1'!S142=0,"//---END",'CancerEpisode-ConceptMap-1'!S142)</f>
        <v>* group[=].element[=].display = ##34#Smooth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#CancerEpisode.sarcomaClassification.skeletalMuscleTumours</v>
      </c>
    </row>
    <row r="152" spans="2:2" x14ac:dyDescent="0.75">
      <c r="B152" s="12" t="str">
        <f>IF('CancerEpisode-ConceptMap-1'!S148=0,"//---END",'CancerEpisode-ConceptMap-1'!S148)</f>
        <v>* group[=].element[=].display = ##34#Skeletal muscle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#CancerEpisode.sarcomaClassification.chondroOsseousTumours</v>
      </c>
    </row>
    <row r="158" spans="2:2" ht="29.5" x14ac:dyDescent="0.75">
      <c r="B158" s="12" t="str">
        <f>IF('CancerEpisode-ConceptMap-1'!S154=0,"//---END",'CancerEpisode-ConceptMap-1'!S154)</f>
        <v>* group[=].element[=].display = ##34#Chondro-osseous tumours
##34#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#CancerEpisode.sarcomaClassification.peripheralNerveSheathTumours</v>
      </c>
    </row>
    <row r="164" spans="2:2" x14ac:dyDescent="0.75">
      <c r="B164" s="12" t="str">
        <f>IF('CancerEpisode-ConceptMap-1'!S160=0,"//---END",'CancerEpisode-ConceptMap-1'!S160)</f>
        <v>* group[=].element[=].display = ##34#Peripheral nerve sheath tumours##34#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#CancerEpisode.sarcomaClassification.tumoursOfUncertainDifferentiation</v>
      </c>
    </row>
    <row r="170" spans="2:2" x14ac:dyDescent="0.75">
      <c r="B170" s="12" t="str">
        <f>IF('CancerEpisode-ConceptMap-1'!S166=0,"//---END",'CancerEpisode-ConceptMap-1'!S166)</f>
        <v>* group[=].element[=].display = ##34#Tumours of uncertain differentiation##34#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#CancerEpisode.sarcomaClassification.undifSmallRCelSarcBonAndSofTis</v>
      </c>
    </row>
    <row r="176" spans="2:2" x14ac:dyDescent="0.75">
      <c r="B176" s="12" t="str">
        <f>IF('CancerEpisode-ConceptMap-1'!S172=0,"//---END",'CancerEpisode-ConceptMap-1'!S172)</f>
        <v>* group[=].element[=].display = ##34#Undifferentiated small round cell sarcomas of bone and soft tissue##34#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#CancerEpisode.sarcomaClassification.endStrAndRelatedTumours</v>
      </c>
    </row>
    <row r="182" spans="2:2" x14ac:dyDescent="0.75">
      <c r="B182" s="12" t="str">
        <f>IF('CancerEpisode-ConceptMap-1'!S178=0,"//---END",'CancerEpisode-ConceptMap-1'!S178)</f>
        <v>* group[=].element[=].display = ##34#Endometrial stromal and related tumours##34#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#CancerEpisode.sarcomaClassification.miscellaniousMesenchimalTumors</v>
      </c>
    </row>
    <row r="188" spans="2:2" x14ac:dyDescent="0.75">
      <c r="B188" s="12" t="str">
        <f>IF('CancerEpisode-ConceptMap-1'!S184=0,"//---END",'CancerEpisode-ConceptMap-1'!S184)</f>
        <v>* group[=].element[=].display = ##34#Miscellanious mesenchimal tumors##34#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#CancerEpisode.sarcomaClassification.mixedEpithelialAndMesenchymalTumours</v>
      </c>
    </row>
    <row r="194" spans="2:2" x14ac:dyDescent="0.75">
      <c r="B194" s="12" t="str">
        <f>IF('CancerEpisode-ConceptMap-1'!S190=0,"//---END",'CancerEpisode-ConceptMap-1'!S190)</f>
        <v>* group[=].element[=].display = ##34#Mixed epithelial and mesenchymal tumours##34#</v>
      </c>
    </row>
    <row r="195" spans="2:2" x14ac:dyDescent="0.75">
      <c r="B195" s="12" t="str">
        <f>IF('CancerEpisode-ConceptMap-1'!S191=0,"//---END",'CancerEpisode-ConceptMap-1'!S191)</f>
        <v>* group[=].element[=].target.code = #Condition.code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#relatedto</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v>
      </c>
    </row>
    <row r="200" spans="2:2" x14ac:dyDescent="0.75">
      <c r="B200" s="12" t="str">
        <f>IF('CancerEpisode-ConceptMap-1'!S196=0,"//---END",'CancerEpisode-ConceptMap-1'!S196)</f>
        <v>* group[=].element[=].display = ##34#subsites##34#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#CancerEpisode.subsites.nasalCavityAndParanasalSinuses</v>
      </c>
    </row>
    <row r="206" spans="2:2" x14ac:dyDescent="0.75">
      <c r="B206" s="12" t="str">
        <f>IF('CancerEpisode-ConceptMap-1'!S202=0,"//---END",'CancerEpisode-ConceptMap-1'!S202)</f>
        <v>* group[=].element[=].display = ##34#Nasal cavity and paranasal sinuses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#CancerEpisode.subsites.nasopharynx</v>
      </c>
    </row>
    <row r="212" spans="2:2" x14ac:dyDescent="0.75">
      <c r="B212" s="12" t="str">
        <f>IF('CancerEpisode-ConceptMap-1'!S208=0,"//---END",'CancerEpisode-ConceptMap-1'!S208)</f>
        <v>* group[=].element[=].display = ##34#Nasopharynx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#CancerEpisode.subsites.hypopharynx</v>
      </c>
    </row>
    <row r="218" spans="2:2" x14ac:dyDescent="0.75">
      <c r="B218" s="12" t="str">
        <f>IF('CancerEpisode-ConceptMap-1'!S214=0,"//---END",'CancerEpisode-ConceptMap-1'!S214)</f>
        <v>* group[=].element[=].display = ##34#Hypopharynx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#CancerEpisode.subsites.oropharynx</v>
      </c>
    </row>
    <row r="224" spans="2:2" x14ac:dyDescent="0.75">
      <c r="B224" s="12" t="str">
        <f>IF('CancerEpisode-ConceptMap-1'!S220=0,"//---END",'CancerEpisode-ConceptMap-1'!S220)</f>
        <v>* group[=].element[=].display = ##34#Oropharynx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#CancerEpisode.subsites.larynx</v>
      </c>
    </row>
    <row r="230" spans="2:2" x14ac:dyDescent="0.75">
      <c r="B230" s="12" t="str">
        <f>IF('CancerEpisode-ConceptMap-1'!S226=0,"//---END",'CancerEpisode-ConceptMap-1'!S226)</f>
        <v>* group[=].element[=].display = ##34#Larynx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#CancerEpisode.subsites.oralCavity</v>
      </c>
    </row>
    <row r="236" spans="2:2" x14ac:dyDescent="0.75">
      <c r="B236" s="12" t="str">
        <f>IF('CancerEpisode-ConceptMap-1'!S232=0,"//---END",'CancerEpisode-ConceptMap-1'!S232)</f>
        <v>* group[=].element[=].display = ##34#Oral cavity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#CancerEpisode.subsites.lip</v>
      </c>
    </row>
    <row r="242" spans="2:2" x14ac:dyDescent="0.75">
      <c r="B242" s="12" t="str">
        <f>IF('CancerEpisode-ConceptMap-1'!S238=0,"//---END",'CancerEpisode-ConceptMap-1'!S238)</f>
        <v>* group[=].element[=].display = ##34#Lip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#CancerEpisode.subsites.upperAndLowerLimbs</v>
      </c>
    </row>
    <row r="248" spans="2:2" x14ac:dyDescent="0.75">
      <c r="B248" s="12" t="str">
        <f>IF('CancerEpisode-ConceptMap-1'!S244=0,"//---END",'CancerEpisode-ConceptMap-1'!S244)</f>
        <v>* group[=].element[=].display = ##34#Upper and Lower limbs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#CancerEpisode.subsites.trunkWallSubsite</v>
      </c>
    </row>
    <row r="254" spans="2:2" x14ac:dyDescent="0.75">
      <c r="B254" s="12" t="str">
        <f>IF('CancerEpisode-ConceptMap-1'!S250=0,"//---END",'CancerEpisode-ConceptMap-1'!S250)</f>
        <v>* group[=].element[=].display = ##34#Trunk wall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#CancerEpisode.subsites.intraAbdominalSubsite</v>
      </c>
    </row>
    <row r="260" spans="2:2" x14ac:dyDescent="0.75">
      <c r="B260" s="12" t="str">
        <f>IF('CancerEpisode-ConceptMap-1'!S256=0,"//---END",'CancerEpisode-ConceptMap-1'!S256)</f>
        <v>* group[=].element[=].display = ##34#Intra abdominal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#CancerEpisode.subsites.intraThoracicSubsite</v>
      </c>
    </row>
    <row r="266" spans="2:2" x14ac:dyDescent="0.75">
      <c r="B266" s="12" t="str">
        <f>IF('CancerEpisode-ConceptMap-1'!S262=0,"//---END",'CancerEpisode-ConceptMap-1'!S262)</f>
        <v>* group[=].element[=].display = ##34#Intra thoracic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#CancerEpisode.subsites.genitoUrinarySubsite</v>
      </c>
    </row>
    <row r="272" spans="2:2" x14ac:dyDescent="0.75">
      <c r="B272" s="12" t="str">
        <f>IF('CancerEpisode-ConceptMap-1'!S268=0,"//---END",'CancerEpisode-ConceptMap-1'!S268)</f>
        <v>* group[=].element[=].display = ##34#Genito urinary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#CancerEpisode.subsites.headAndNeckSubsite</v>
      </c>
    </row>
    <row r="278" spans="2:2" x14ac:dyDescent="0.75">
      <c r="B278" s="12" t="str">
        <f>IF('CancerEpisode-ConceptMap-1'!S274=0,"//---END",'CancerEpisode-ConceptMap-1'!S274)</f>
        <v>* group[=].element[=].display = ##34#Head and Neck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#CancerEpisode.subsites.breast</v>
      </c>
    </row>
    <row r="284" spans="2:2" x14ac:dyDescent="0.75">
      <c r="B284" s="12" t="str">
        <f>IF('CancerEpisode-ConceptMap-1'!S280=0,"//---END",'CancerEpisode-ConceptMap-1'!S280)</f>
        <v>* group[=].element[=].display = ##34#Breast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#CancerEpisode.subsites.others</v>
      </c>
    </row>
    <row r="290" spans="2:2" x14ac:dyDescent="0.75">
      <c r="B290" s="12" t="str">
        <f>IF('CancerEpisode-ConceptMap-1'!S286=0,"//---END",'CancerEpisode-ConceptMap-1'!S286)</f>
        <v>* group[=].element[=].display = ##34#Other subsite##34#</v>
      </c>
    </row>
    <row r="291" spans="2:2" x14ac:dyDescent="0.75">
      <c r="B291" s="12" t="str">
        <f>IF('CancerEpisode-ConceptMap-1'!S287=0,"//---END",'CancerEpisode-ConceptMap-1'!S287)</f>
        <v>* group[=].element[=].target.code = #Condition.bodySite</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c>
    </row>
    <row r="295" spans="2:2" x14ac:dyDescent="0.75">
      <c r="B295" s="12" t="str">
        <f>IF('CancerEpisode-ConceptMap-1'!S291=0,"//---END",'CancerEpisode-ConceptMap-1'!S291)</f>
        <v>* group[=].element[+].code = #CancerEpisode.tumorSize</v>
      </c>
    </row>
    <row r="296" spans="2:2" x14ac:dyDescent="0.75">
      <c r="B296" s="12" t="str">
        <f>IF('CancerEpisode-ConceptMap-1'!S292=0,"//---END",'CancerEpisode-ConceptMap-1'!S292)</f>
        <v>* group[=].element[=].display = ##34#Tumor Size##34#</v>
      </c>
    </row>
    <row r="297" spans="2:2" x14ac:dyDescent="0.75">
      <c r="B297" s="12" t="str">
        <f>IF('CancerEpisode-ConceptMap-1'!S293=0,"//---END",'CancerEpisode-ConceptMap-1'!S293)</f>
        <v>* group[=].element[=].target.code = #Condition.evidence.valueQuantity</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group[=].element[=].target.comment = ##34#Where evidence.code is $loinc#21889-1 Size Tumor##34#</v>
      </c>
    </row>
    <row r="301" spans="2:2" x14ac:dyDescent="0.75">
      <c r="B301" s="12" t="str">
        <f>IF('CancerEpisode-ConceptMap-1'!S297=0,"//---END",'CancerEpisode-ConceptMap-1'!S297)</f>
        <v>* group[=].element[+].code = #CancerEpisode.depth</v>
      </c>
    </row>
    <row r="302" spans="2:2" x14ac:dyDescent="0.75">
      <c r="B302" s="12" t="str">
        <f>IF('CancerEpisode-ConceptMap-1'!S298=0,"//---END",'CancerEpisode-ConceptMap-1'!S298)</f>
        <v>* group[=].element[=].display = ##34#Depth ##34#</v>
      </c>
    </row>
    <row r="303" spans="2:2" x14ac:dyDescent="0.75">
      <c r="B303" s="12" t="str">
        <f>IF('CancerEpisode-ConceptMap-1'!S299=0,"//---END",'CancerEpisode-ConceptMap-1'!S299)</f>
        <v>* group[=].element[=].target.code = #Condition.bodySite.extension:locationQualifier</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#equivalent</v>
      </c>
    </row>
    <row r="306" spans="2:2" x14ac:dyDescent="0.75">
      <c r="B306" s="12" t="str">
        <f>IF('CancerEpisode-ConceptMap-1'!S302=0,"//---END",'CancerEpisode-ConceptMap-1'!S302)</f>
        <v/>
      </c>
    </row>
    <row r="307" spans="2:2" x14ac:dyDescent="0.75">
      <c r="B307" s="12" t="str">
        <f>IF('CancerEpisode-ConceptMap-1'!S303=0,"//---END",'CancerEpisode-ConceptMap-1'!S303)</f>
        <v>* group[=].element[+].code = #CancerEpisode.biopsyMitoticCount</v>
      </c>
    </row>
    <row r="308" spans="2:2" x14ac:dyDescent="0.75">
      <c r="B308" s="12" t="str">
        <f>IF('CancerEpisode-ConceptMap-1'!S304=0,"//---END",'CancerEpisode-ConceptMap-1'!S304)</f>
        <v>* group[=].element[=].display = ##34#Biopsy Mitotic count ##34#</v>
      </c>
    </row>
    <row r="309" spans="2:2" x14ac:dyDescent="0.75">
      <c r="B309" s="12" t="str">
        <f>IF('CancerEpisode-ConceptMap-1'!S305=0,"//---END",'CancerEpisode-ConceptMap-1'!S305)</f>
        <v>* group[=].element[=].target.code = #Condition.evidence.valueQuantity</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$sct#371472000 Mitotic count score
NOTE : code to be checked !##34#</v>
      </c>
    </row>
    <row r="313" spans="2:2" x14ac:dyDescent="0.75">
      <c r="B313" s="12" t="str">
        <f>IF('CancerEpisode-ConceptMap-1'!S309=0,"//---END",'CancerEpisode-ConceptMap-1'!S309)</f>
        <v>* group[=].element[+].code = #CancerEpisode.plasmaticEbvDnaAtBaseline</v>
      </c>
    </row>
    <row r="314" spans="2:2" x14ac:dyDescent="0.75">
      <c r="B314" s="12" t="str">
        <f>IF('CancerEpisode-ConceptMap-1'!S310=0,"//---END",'CancerEpisode-ConceptMap-1'!S310)</f>
        <v>* group[=].element[=].display = ##34#Plasmatic EBV DNA at baseline##34#</v>
      </c>
    </row>
    <row r="315" spans="2:2" x14ac:dyDescent="0.75">
      <c r="B315" s="12" t="str">
        <f>IF('CancerEpisode-ConceptMap-1'!S311=0,"//---END",'CancerEpisode-ConceptMap-1'!S311)</f>
        <v>* group[=].element[=].target.code = #Condition.evidence.valueCodeableConcept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29.5" x14ac:dyDescent="0.75">
      <c r="B318" s="12" t="str">
        <f>IF('CancerEpisode-ConceptMap-1'!S314=0,"//---END",'CancerEpisode-ConceptMap-1'!S314)</f>
        <v>* group[=].element[=].target.comment = ##34#Where evidence.code is 43730-1 EBV DNA NAA+probe Qn.
NOTE : code to be changed !##34#</v>
      </c>
    </row>
    <row r="319" spans="2:2" x14ac:dyDescent="0.75">
      <c r="B319" s="12" t="str">
        <f>IF('CancerEpisode-ConceptMap-1'!S315=0,"//---END",'CancerEpisode-ConceptMap-1'!S315)</f>
        <v>* group[=].element[+].code = #CancerEpisode.hpvStatus</v>
      </c>
    </row>
    <row r="320" spans="2:2" x14ac:dyDescent="0.75">
      <c r="B320" s="12" t="str">
        <f>IF('CancerEpisode-ConceptMap-1'!S316=0,"//---END",'CancerEpisode-ConceptMap-1'!S316)</f>
        <v>* group[=].element[=].display = ##34#HPV status##34#</v>
      </c>
    </row>
    <row r="321" spans="2:2" x14ac:dyDescent="0.75">
      <c r="B321" s="12" t="str">
        <f>IF('CancerEpisode-ConceptMap-1'!S317=0,"//---END",'CancerEpisode-ConceptMap-1'!S317)</f>
        <v>* group[=].element[=].target.code = #Condition.evidence.valueCodeableConcept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44.25" x14ac:dyDescent="0.75">
      <c r="B324" s="12" t="str">
        <f>IF('CancerEpisode-ConceptMap-1'!S320=0,"//---END",'CancerEpisode-ConceptMap-1'!S320)</f>
        <v>* group[=].element[=].target.comment = ##34#Where evidence.code is 77377-0 HPV 16 and 18 and 31+33+35+39+45+51+52+56+58+59+66+68 DNA (Specimen) [Interp]
NOTE : code to be checked !##34#</v>
      </c>
    </row>
    <row r="325" spans="2:2" x14ac:dyDescent="0.75">
      <c r="B325" s="12" t="str">
        <f>IF('CancerEpisode-ConceptMap-1'!S321=0,"//---END",'CancerEpisode-ConceptMap-1'!S321)</f>
        <v>* group[=].element[+].code = #CancerEpisode.crpCReactiveProteinTested</v>
      </c>
    </row>
    <row r="326" spans="2:2" x14ac:dyDescent="0.75">
      <c r="B326" s="12" t="str">
        <f>IF('CancerEpisode-ConceptMap-1'!S322=0,"//---END",'CancerEpisode-ConceptMap-1'!S322)</f>
        <v>* group[=].element[=].display = ##34#CRP - C reactive protein tested##34#</v>
      </c>
    </row>
    <row r="327" spans="2:2" x14ac:dyDescent="0.75">
      <c r="B327" s="12" t="str">
        <f>IF('CancerEpisode-ConceptMap-1'!S323=0,"//---END",'CancerEpisode-ConceptMap-1'!S323)</f>
        <v>* group[=].element[=].target.code = #Condition.evidence.valueCodeableConcept</v>
      </c>
    </row>
    <row r="328" spans="2:2" x14ac:dyDescent="0.75">
      <c r="B328" s="12" t="str">
        <f>IF('CancerEpisode-ConceptMap-1'!S324=0,"//---END",'CancerEpisode-ConceptMap-1'!S324)</f>
        <v>* group[=].element[=].target.display = ##34###34#</v>
      </c>
    </row>
    <row r="329" spans="2:2" x14ac:dyDescent="0.75">
      <c r="B329" s="12" t="str">
        <f>IF('CancerEpisode-ConceptMap-1'!S325=0,"//---END",'CancerEpisode-ConceptMap-1'!S325)</f>
        <v>* group[=].element[=].target.equivalence = #relatedto</v>
      </c>
    </row>
    <row r="330" spans="2:2" ht="29.5" x14ac:dyDescent="0.75">
      <c r="B330" s="12" t="str">
        <f>IF('CancerEpisode-ConceptMap-1'!S326=0,"//---END",'CancerEpisode-ConceptMap-1'!S326)</f>
        <v>* group[=].element[=].target.comment = ##34#Where evidence.code is 11039-5 C reactive protein [Presence] in Serum or Plasma
NOTE : code to be checked !##34#</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6"/>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6"/>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#Condition.subject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#Condition.effectiveDateTime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#Condition.method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#Condition.performer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85" zoomScaleNormal="85" workbookViewId="0">
      <selection activeCell="H9" sqref="H9"/>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2112</v>
      </c>
      <c r="R2" s="24" t="s">
        <v>2113</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1944</v>
      </c>
      <c r="L4" s="16" t="str">
        <f>CONCATENATE("Logical: ",B4)</f>
        <v>Logical: EpisodeEventI4rc</v>
      </c>
    </row>
    <row r="5" spans="1:18" ht="19.899999999999999" customHeight="1" x14ac:dyDescent="0.75">
      <c r="A5" s="14" t="s">
        <v>16</v>
      </c>
      <c r="B5" s="31" t="s">
        <v>1613</v>
      </c>
      <c r="L5" s="16" t="str">
        <f>CONCATENATE("Id: ",B5)</f>
        <v>Id: EpisodeEvent</v>
      </c>
    </row>
    <row r="6" spans="1:18" ht="19.899999999999999" customHeight="1" x14ac:dyDescent="0.75">
      <c r="A6" s="14" t="s">
        <v>10</v>
      </c>
      <c r="B6" s="32" t="s">
        <v>1574</v>
      </c>
      <c r="L6" s="17" t="str">
        <f>CONCATENATE("Title: ##34#",B6,"##34#")</f>
        <v>Title: ##34#Episode Event##34#</v>
      </c>
    </row>
    <row r="7" spans="1:18" ht="19.899999999999999" customHeight="1" x14ac:dyDescent="0.75">
      <c r="A7" s="26" t="s">
        <v>2</v>
      </c>
      <c r="B7" s="32" t="s">
        <v>1574</v>
      </c>
      <c r="C7" s="9" t="s">
        <v>3</v>
      </c>
      <c r="D7" s="1" t="s">
        <v>4</v>
      </c>
      <c r="E7" s="3" t="s">
        <v>5</v>
      </c>
      <c r="F7" s="3" t="s">
        <v>6</v>
      </c>
      <c r="G7" s="3" t="s">
        <v>7</v>
      </c>
      <c r="H7" s="64" t="s">
        <v>1384</v>
      </c>
      <c r="I7" s="122" t="s">
        <v>2110</v>
      </c>
      <c r="J7" s="122" t="s">
        <v>2111</v>
      </c>
      <c r="L7" s="17" t="str">
        <f>CONCATENATE("Description: "," ##334#",B7,"##334#",)</f>
        <v>Description:  ##334#Episode Event##334#</v>
      </c>
    </row>
    <row r="8" spans="1:18" ht="20.25" customHeight="1" x14ac:dyDescent="0.75">
      <c r="A8" s="59">
        <v>0</v>
      </c>
      <c r="B8" s="42" t="s">
        <v>1614</v>
      </c>
      <c r="C8" s="11" t="s">
        <v>1605</v>
      </c>
      <c r="D8" s="11" t="s">
        <v>1606</v>
      </c>
      <c r="E8" s="11">
        <v>1</v>
      </c>
      <c r="F8" s="11">
        <v>1</v>
      </c>
      <c r="G8" t="s">
        <v>1618</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1615</v>
      </c>
      <c r="C9" s="11" t="s">
        <v>1607</v>
      </c>
      <c r="D9" s="11" t="s">
        <v>1608</v>
      </c>
      <c r="E9" s="11">
        <v>1</v>
      </c>
      <c r="F9" s="11">
        <v>1</v>
      </c>
      <c r="G9" s="42" t="s">
        <v>1474</v>
      </c>
      <c r="H9" s="12" t="s">
        <v>2108</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1616</v>
      </c>
      <c r="C10" s="11" t="s">
        <v>1609</v>
      </c>
      <c r="D10" s="12" t="s">
        <v>1610</v>
      </c>
      <c r="E10" s="11">
        <v>0</v>
      </c>
      <c r="F10" s="11">
        <v>1</v>
      </c>
      <c r="G10" s="42" t="s">
        <v>1474</v>
      </c>
      <c r="H10" s="12" t="s">
        <v>2109</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1617</v>
      </c>
      <c r="C11" s="11" t="s">
        <v>1611</v>
      </c>
      <c r="D11" s="11" t="s">
        <v>1612</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3"/>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1619</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F19" zoomScale="70" zoomScaleNormal="70" workbookViewId="0">
      <selection activeCell="P15" sqref="P15:S6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1626</v>
      </c>
      <c r="D3" s="47" t="s">
        <v>1479</v>
      </c>
      <c r="E3" s="72" t="str">
        <f>$C$1&amp;EpisodeEvent!B4</f>
        <v>http://hl7.eu/fhir/ig/idea4rc/StructureDefinition/EpisodeEventI4rc</v>
      </c>
    </row>
    <row r="4" spans="1:19" x14ac:dyDescent="0.75">
      <c r="B4" s="47" t="s">
        <v>16</v>
      </c>
      <c r="C4" s="28" t="s">
        <v>1631</v>
      </c>
      <c r="D4" s="47" t="s">
        <v>1480</v>
      </c>
      <c r="E4" s="144" t="s">
        <v>1492</v>
      </c>
      <c r="F4" s="145"/>
      <c r="G4" s="145"/>
    </row>
    <row r="5" spans="1:19" x14ac:dyDescent="0.75">
      <c r="B5" s="47" t="s">
        <v>10</v>
      </c>
      <c r="C5" s="7" t="s">
        <v>1627</v>
      </c>
      <c r="D5" s="47"/>
      <c r="E5" s="7"/>
    </row>
    <row r="6" spans="1:19" x14ac:dyDescent="0.75">
      <c r="B6" s="47" t="s">
        <v>18</v>
      </c>
      <c r="C6" s="41"/>
      <c r="D6" s="47" t="s">
        <v>1481</v>
      </c>
      <c r="E6" s="144" t="str">
        <f>E3</f>
        <v>http://hl7.eu/fhir/ig/idea4rc/StructureDefinition/EpisodeEventI4rc</v>
      </c>
      <c r="F6" s="145"/>
      <c r="G6" s="145"/>
    </row>
    <row r="7" spans="1:19" x14ac:dyDescent="0.75">
      <c r="B7" s="47" t="s">
        <v>15</v>
      </c>
      <c r="C7" s="73"/>
      <c r="D7" s="47" t="s">
        <v>1482</v>
      </c>
      <c r="E7" s="144" t="s">
        <v>1492</v>
      </c>
      <c r="F7" s="145"/>
      <c r="G7" s="145"/>
    </row>
    <row r="8" spans="1:19" ht="45" thickBot="1" x14ac:dyDescent="0.9">
      <c r="B8" s="47" t="s">
        <v>1483</v>
      </c>
      <c r="C8" s="74" t="s">
        <v>1627</v>
      </c>
      <c r="D8" s="47"/>
      <c r="E8" s="7"/>
      <c r="I8" s="12" t="s">
        <v>1289</v>
      </c>
      <c r="J8" s="12" t="s">
        <v>1290</v>
      </c>
      <c r="K8" s="12" t="s">
        <v>1291</v>
      </c>
      <c r="L8" s="12" t="s">
        <v>1292</v>
      </c>
      <c r="M8" s="11" t="s">
        <v>1293</v>
      </c>
      <c r="P8" s="34" t="s">
        <v>1328</v>
      </c>
      <c r="Q8" s="34">
        <v>6</v>
      </c>
    </row>
    <row r="9" spans="1:19" ht="30.25" thickBot="1" x14ac:dyDescent="0.9">
      <c r="B9" s="47" t="s">
        <v>1484</v>
      </c>
      <c r="C9" s="12" t="s">
        <v>1628</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1621</v>
      </c>
      <c r="E15" s="12"/>
      <c r="F15" s="49" t="s">
        <v>1316</v>
      </c>
      <c r="G15" s="78" t="s">
        <v>1635</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8" t="s">
        <v>1636</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1622</v>
      </c>
      <c r="E17" s="12"/>
      <c r="F17" s="49" t="s">
        <v>1294</v>
      </c>
      <c r="G17" s="77" t="s">
        <v>2341</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5" t="s">
        <v>1294</v>
      </c>
      <c r="G18" s="75" t="s">
        <v>1623</v>
      </c>
      <c r="H18" s="43"/>
      <c r="I18" s="12" t="str">
        <f t="shared" si="7"/>
        <v>* group[=].element[+].code = #EpisodeEvent.definedAt</v>
      </c>
      <c r="J18" s="12" t="str">
        <f t="shared" si="8"/>
        <v>* group[=].element[=].display = ##34#Defined At##34#</v>
      </c>
      <c r="K18" s="12" t="str">
        <f t="shared" si="9"/>
        <v>* group[=].element[=].target.code = #Condition.</v>
      </c>
      <c r="L18" s="12" t="str">
        <f t="shared" si="10"/>
        <v>* group[=].element[=].target.display = ##34###34#</v>
      </c>
      <c r="M18" s="12" t="str">
        <f t="shared" si="11"/>
        <v>* group[=].element[=].target.equivalence = #relatedto</v>
      </c>
      <c r="N18" s="12" t="str">
        <f t="shared" si="12"/>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73.75" x14ac:dyDescent="0.75">
      <c r="A19" s="44"/>
      <c r="B19" s="140" t="str">
        <f>EpisodeEvent!B11</f>
        <v>dateOfEpisode</v>
      </c>
      <c r="C19" s="11" t="str">
        <f>EpisodeEvent!C11</f>
        <v>Date of episode</v>
      </c>
      <c r="D19" s="12" t="s">
        <v>2342</v>
      </c>
      <c r="E19" s="12"/>
      <c r="F19" s="49" t="s">
        <v>1317</v>
      </c>
      <c r="G19" s="77" t="s">
        <v>2343</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I39" sqref="I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1629</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6"/>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A7" zoomScale="115" zoomScaleNormal="115" workbookViewId="0">
      <selection activeCell="B9" sqref="B9"/>
    </sheetView>
  </sheetViews>
  <sheetFormatPr defaultRowHeight="14.75" x14ac:dyDescent="0.75"/>
  <cols>
    <col min="1" max="1" width="16.54296875" customWidth="1"/>
    <col min="2" max="2" width="49.04296875" customWidth="1"/>
    <col min="3" max="3" width="32.1796875" style="2" customWidth="1"/>
    <col min="4" max="4" width="44.1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1941</v>
      </c>
      <c r="L4" s="16" t="str">
        <f>CONCATENATE("Logical: ",B4)</f>
        <v>Logical: GeneticTestExpressionI4rc</v>
      </c>
    </row>
    <row r="5" spans="1:18" ht="15.5" thickBot="1" x14ac:dyDescent="0.9">
      <c r="A5" s="14" t="s">
        <v>16</v>
      </c>
      <c r="B5" s="30" t="s">
        <v>1911</v>
      </c>
      <c r="L5" s="16" t="str">
        <f>CONCATENATE("Id: ",B5)</f>
        <v>Id: GeneticTestExpression</v>
      </c>
    </row>
    <row r="6" spans="1:18" ht="15.5" thickBot="1" x14ac:dyDescent="0.9">
      <c r="A6" s="14" t="s">
        <v>10</v>
      </c>
      <c r="B6" s="30" t="s">
        <v>1912</v>
      </c>
      <c r="L6" s="17" t="str">
        <f>CONCATENATE("Title: ##34#",B6,"##34#")</f>
        <v>Title: ##34#Genetic Test Expression##34#</v>
      </c>
    </row>
    <row r="7" spans="1:18" x14ac:dyDescent="0.75">
      <c r="A7" s="26" t="s">
        <v>2</v>
      </c>
      <c r="B7" s="98" t="s">
        <v>1912</v>
      </c>
      <c r="C7" s="9" t="s">
        <v>3</v>
      </c>
      <c r="D7" s="1" t="s">
        <v>4</v>
      </c>
      <c r="E7" s="3" t="s">
        <v>5</v>
      </c>
      <c r="F7" s="3" t="s">
        <v>6</v>
      </c>
      <c r="G7" s="3" t="s">
        <v>7</v>
      </c>
      <c r="H7" s="64" t="s">
        <v>1384</v>
      </c>
      <c r="I7" s="122" t="s">
        <v>2110</v>
      </c>
      <c r="J7" s="122" t="s">
        <v>2111</v>
      </c>
      <c r="L7" s="17" t="str">
        <f>CONCATENATE("Description: "," ##334#",B7,"##334#",)</f>
        <v>Description:  ##334#Genetic Test Expression##334#</v>
      </c>
    </row>
    <row r="8" spans="1:18" ht="59" x14ac:dyDescent="0.75">
      <c r="A8" s="59">
        <v>0</v>
      </c>
      <c r="B8" s="11" t="s">
        <v>1599</v>
      </c>
      <c r="C8" s="100" t="s">
        <v>1605</v>
      </c>
      <c r="D8" t="s">
        <v>1568</v>
      </c>
      <c r="E8" s="11">
        <v>1</v>
      </c>
      <c r="F8" s="11">
        <v>1</v>
      </c>
      <c r="G8" s="11" t="s">
        <v>1620</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1913</v>
      </c>
      <c r="C9" s="100" t="s">
        <v>1605</v>
      </c>
      <c r="D9" t="s">
        <v>1914</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1915</v>
      </c>
      <c r="C10" s="100" t="s">
        <v>1605</v>
      </c>
      <c r="D10" t="s">
        <v>1916</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1917</v>
      </c>
      <c r="C11" s="100" t="s">
        <v>1605</v>
      </c>
      <c r="D11" t="s">
        <v>1918</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1919</v>
      </c>
      <c r="C12" s="100" t="s">
        <v>1605</v>
      </c>
      <c r="D12" t="s">
        <v>1920</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1921</v>
      </c>
      <c r="C13" s="100" t="s">
        <v>1605</v>
      </c>
      <c r="D13" t="s">
        <v>1922</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1923</v>
      </c>
      <c r="C14" s="100" t="s">
        <v>1605</v>
      </c>
      <c r="D14" t="s">
        <v>1924</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2161</v>
      </c>
      <c r="C15" s="100" t="s">
        <v>1605</v>
      </c>
      <c r="D15" t="s">
        <v>1925</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1926</v>
      </c>
      <c r="C16" s="100" t="s">
        <v>1605</v>
      </c>
      <c r="D16" t="s">
        <v>1927</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2162</v>
      </c>
      <c r="C17" s="100" t="s">
        <v>1605</v>
      </c>
      <c r="D17" t="s">
        <v>1928</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1929</v>
      </c>
      <c r="C18" s="100" t="s">
        <v>1605</v>
      </c>
      <c r="D18" t="s">
        <v>1930</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1931</v>
      </c>
      <c r="C19" s="100" t="s">
        <v>1605</v>
      </c>
      <c r="D19" t="s">
        <v>1932</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1933</v>
      </c>
      <c r="C20" s="100" t="s">
        <v>1605</v>
      </c>
      <c r="D20" t="s">
        <v>1934</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2163</v>
      </c>
      <c r="C21" s="100" t="s">
        <v>1605</v>
      </c>
      <c r="D21" t="s">
        <v>1935</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1936</v>
      </c>
      <c r="C22" s="100" t="s">
        <v>1605</v>
      </c>
      <c r="D22" t="s">
        <v>1937</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GeneticTestExpression!L1</f>
        <v>//===================================================</v>
      </c>
    </row>
    <row r="2" spans="3:7" ht="16.75" thickBot="1" x14ac:dyDescent="0.9">
      <c r="C2" s="24" t="str">
        <f>GeneticTestExpression!L2</f>
        <v>//  Logical Model</v>
      </c>
      <c r="G2" s="29" t="s">
        <v>1938</v>
      </c>
    </row>
    <row r="3" spans="3:7" x14ac:dyDescent="0.75">
      <c r="C3" s="24" t="str">
        <f>GeneticTestExpression!L3</f>
        <v>//===================================================</v>
      </c>
    </row>
    <row r="4" spans="3:7" x14ac:dyDescent="0.75">
      <c r="C4" s="102" t="str">
        <f>GeneticTestExpression!L4</f>
        <v>Logical: GeneticTestExpressionI4rc</v>
      </c>
    </row>
    <row r="5" spans="3:7" x14ac:dyDescent="0.75">
      <c r="C5" s="102" t="str">
        <f>GeneticTestExpression!L5</f>
        <v>Id: GeneticTestExpression</v>
      </c>
    </row>
    <row r="6" spans="3:7" x14ac:dyDescent="0.75">
      <c r="C6" s="102" t="str">
        <f>GeneticTestExpression!L6</f>
        <v>Title: ##34#Genetic Test Expression##34#</v>
      </c>
    </row>
    <row r="7" spans="3:7" x14ac:dyDescent="0.75">
      <c r="C7" s="102" t="str">
        <f>GeneticTestExpression!L7</f>
        <v>Description:  ##334#Genetic Test Expression##334#</v>
      </c>
    </row>
    <row r="8" spans="3:7" ht="29.5" x14ac:dyDescent="0.75">
      <c r="C8" s="103"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3" t="str">
        <f>IF(GeneticTestExpression!L9="*  ..  ##34###34# ##334###334#","//--- END",GeneticTestExpression!L9)</f>
        <v>* geneExpressionAnalysisPerformed 0..1 boolean ##34#Cancer Episode Reference##34# ##334#Clarifies whether a gene expression analysis is performed##334#</v>
      </c>
    </row>
    <row r="10" spans="3:7" x14ac:dyDescent="0.75">
      <c r="C10" s="103" t="str">
        <f>IF(GeneticTestExpression!L10="*  ..  ##34###34# ##334###334#","//--- END",GeneticTestExpression!L10)</f>
        <v>* dateOfGeneExpression 0..1 date ##34#Cancer Episode Reference##34# ##334#Date of the gene expression analysis##334#</v>
      </c>
    </row>
    <row r="11" spans="3:7" ht="29.5" x14ac:dyDescent="0.75">
      <c r="C11" s="103" t="str">
        <f>IF(GeneticTestExpression!L11="*  ..  ##34###34# ##334###334#","//--- END",GeneticTestExpression!L11)</f>
        <v>* geneMutationAnalysisPerformed 0..1 boolean ##34#Cancer Episode Reference##34# ##334#Clarifies whether a gene mutation analysis is performed##334#</v>
      </c>
    </row>
    <row r="12" spans="3:7" x14ac:dyDescent="0.75">
      <c r="C12" s="103" t="str">
        <f>IF(GeneticTestExpression!L12="*  ..  ##34###34# ##334###334#","//--- END",GeneticTestExpression!L12)</f>
        <v>* dateOfGeneMutation 0..1 date ##34#Cancer Episode Reference##34# ##334#Date of the gene mutation analysis##334#</v>
      </c>
    </row>
    <row r="13" spans="3:7" ht="29.5" x14ac:dyDescent="0.75">
      <c r="C13" s="103"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3" t="str">
        <f>IF(GeneticTestExpression!L14="*  ..  ##34###34# ##334###334#","//--- END",GeneticTestExpression!L14)</f>
        <v>* dateOfTraslocation 0..1 date ##34#Cancer Episode Reference##34# ##334#Date of the Chromosome translocation test##334#</v>
      </c>
    </row>
    <row r="15" spans="3:7" ht="29.5" x14ac:dyDescent="0.75">
      <c r="C15" s="103" t="str">
        <f>IF(GeneticTestExpression!L15="*  ..  ##34###34# ##334###334#","//--- END",GeneticTestExpression!L15)</f>
        <v>* ngsPerformed 0..1 boolean ##34#Cancer Episode Reference##34# ##334#Clarifies whether a NGS analysis is performed##334#</v>
      </c>
    </row>
    <row r="16" spans="3:7" x14ac:dyDescent="0.75">
      <c r="C16" s="103" t="str">
        <f>IF(GeneticTestExpression!L16="*  ..  ##34###34# ##334###334#","//--- END",GeneticTestExpression!L16)</f>
        <v>* dateOfNgs 0..1 date ##34#Cancer Episode Reference##34# ##334#Date of the NGS analysis##334#</v>
      </c>
    </row>
    <row r="17" spans="3:3" ht="29.5" x14ac:dyDescent="0.75">
      <c r="C17" s="103" t="str">
        <f>IF(GeneticTestExpression!L17="*  ..  ##34###34# ##334###334#","//--- END",GeneticTestExpression!L17)</f>
        <v>* pcrTestPerformed 0..1 boolean ##34#Cancer Episode Reference##34# ##334#Clarifies whether a PCR analysis is performed##334#</v>
      </c>
    </row>
    <row r="18" spans="3:3" x14ac:dyDescent="0.75">
      <c r="C18" s="103" t="str">
        <f>IF(GeneticTestExpression!L18="*  ..  ##34###34# ##334###334#","//--- END",GeneticTestExpression!L18)</f>
        <v>* dateOfPcr 0..1 date ##34#Cancer Episode Reference##34# ##334#Date of the PCR analysis##334#</v>
      </c>
    </row>
    <row r="19" spans="3:3" ht="29.5" x14ac:dyDescent="0.75">
      <c r="C19" s="103" t="str">
        <f>IF(GeneticTestExpression!L19="*  ..  ##34###34# ##334###334#","//--- END",GeneticTestExpression!L19)</f>
        <v>* immunohistochemistryPerformed 0..1 boolean ##34#Cancer Episode Reference##34# ##334#Clarifies whether a immunohiostochemestry analysis is performed##334#</v>
      </c>
    </row>
    <row r="20" spans="3:3" ht="29.5" x14ac:dyDescent="0.75">
      <c r="C20" s="103" t="str">
        <f>IF(GeneticTestExpression!L20="*  ..  ##34###34# ##334###334#","//--- END",GeneticTestExpression!L20)</f>
        <v>* dateOfImmunohistochemistry 0..1 date ##34#Cancer Episode Reference##34# ##334#Date of the immunohiostochemestry analysis##334#</v>
      </c>
    </row>
    <row r="21" spans="3:3" ht="29.5" x14ac:dyDescent="0.75">
      <c r="C21" s="103" t="str">
        <f>IF(GeneticTestExpression!L21="*  ..  ##34###34# ##334###334#","//--- END",GeneticTestExpression!L21)</f>
        <v>* ctDnaPerformed 0..1 boolean ##34#Cancer Episode Reference##34# ##334#Clarifies whether a ctDNA analysis is performed##334#</v>
      </c>
    </row>
    <row r="22" spans="3:3" x14ac:dyDescent="0.75">
      <c r="C22" s="103" t="str">
        <f>IF(GeneticTestExpression!L22="*  ..  ##34###34# ##334###334#","//--- END",GeneticTestExpression!L22)</f>
        <v>* dateOfCtdna 0..1 date ##34#Cancer Episode Reference##34# ##334#Date of the ctDNA analysis##334#</v>
      </c>
    </row>
    <row r="23" spans="3:3" x14ac:dyDescent="0.75">
      <c r="C23" s="103" t="str">
        <f>IF(GeneticTestExpression!L23="*  ..  ##34###34# ##334###334#","//--- END",GeneticTestExpression!L23)</f>
        <v>//--- END</v>
      </c>
    </row>
    <row r="24" spans="3:3" x14ac:dyDescent="0.75">
      <c r="C24" s="103" t="str">
        <f>IF(GeneticTestExpression!L24="*  ..  ##34###34# ##334###334#","//--- END",GeneticTestExpression!L24)</f>
        <v>//--- END</v>
      </c>
    </row>
    <row r="25" spans="3:3" x14ac:dyDescent="0.75">
      <c r="C25" s="103" t="str">
        <f>IF(GeneticTestExpression!L25="*  ..  ##34###34# ##334###334#","//--- END",GeneticTestExpression!L25)</f>
        <v>//--- END</v>
      </c>
    </row>
    <row r="26" spans="3:3" x14ac:dyDescent="0.75">
      <c r="C26" s="103" t="str">
        <f>IF(GeneticTestExpression!L26="*  ..  ##34###34# ##334###334#","//--- END",GeneticTestExpression!L26)</f>
        <v>//--- END</v>
      </c>
    </row>
    <row r="27" spans="3:3" x14ac:dyDescent="0.75">
      <c r="C27" s="103" t="str">
        <f>IF(GeneticTestExpression!L27="*  ..  ##34###34# ##334###334#","//--- END",GeneticTestExpression!L27)</f>
        <v>//--- END</v>
      </c>
    </row>
    <row r="31" spans="3:3" x14ac:dyDescent="0.75">
      <c r="C31" s="101" t="s">
        <v>1387</v>
      </c>
    </row>
    <row r="32" spans="3:3" x14ac:dyDescent="0.75">
      <c r="C32" s="24" t="s">
        <v>1421</v>
      </c>
    </row>
    <row r="33" spans="3:3" x14ac:dyDescent="0.75">
      <c r="C33" s="24" t="s">
        <v>1387</v>
      </c>
    </row>
    <row r="34" spans="3:3" x14ac:dyDescent="0.75">
      <c r="C34" s="103" t="str">
        <f>IF(GeneticTestExpression!N8="*  ..  ##34###34# ##334###334#","//--- END",GeneticTestExpression!N8)</f>
        <v/>
      </c>
    </row>
    <row r="35" spans="3:3" x14ac:dyDescent="0.75">
      <c r="C35" s="103" t="str">
        <f>IF(GeneticTestExpression!N9="*  ..  ##34###34# ##334###334#","//--- END",GeneticTestExpression!N9)</f>
        <v/>
      </c>
    </row>
    <row r="36" spans="3:3" x14ac:dyDescent="0.75">
      <c r="C36" s="103" t="str">
        <f>IF(GeneticTestExpression!N10="*  ..  ##34###34# ##334###334#","//--- END",GeneticTestExpression!N10)</f>
        <v/>
      </c>
    </row>
    <row r="37" spans="3:3" x14ac:dyDescent="0.75">
      <c r="C37" s="103" t="str">
        <f>IF(GeneticTestExpression!N11="*  ..  ##34###34# ##334###334#","//--- END",GeneticTestExpression!N11)</f>
        <v/>
      </c>
    </row>
    <row r="38" spans="3:3" x14ac:dyDescent="0.75">
      <c r="C38" s="103" t="str">
        <f>IF(GeneticTestExpression!N12="*  ..  ##34###34# ##334###334#","//--- END",GeneticTestExpression!N12)</f>
        <v/>
      </c>
    </row>
    <row r="39" spans="3:3" x14ac:dyDescent="0.75">
      <c r="C39" s="103" t="str">
        <f>IF(GeneticTestExpression!N13="*  ..  ##34###34# ##334###334#","//--- END",GeneticTestExpression!N13)</f>
        <v/>
      </c>
    </row>
    <row r="40" spans="3:3" x14ac:dyDescent="0.75">
      <c r="C40" s="103" t="str">
        <f>IF(GeneticTestExpression!N14="*  ..  ##34###34# ##334###334#","//--- END",GeneticTestExpression!N14)</f>
        <v/>
      </c>
    </row>
    <row r="41" spans="3:3" x14ac:dyDescent="0.75">
      <c r="C41" s="103" t="str">
        <f>IF(GeneticTestExpression!N15="*  ..  ##34###34# ##334###334#","//--- END",GeneticTestExpression!N15)</f>
        <v/>
      </c>
    </row>
    <row r="42" spans="3:3" x14ac:dyDescent="0.75">
      <c r="C42" s="103" t="str">
        <f>IF(GeneticTestExpression!N16="*  ..  ##34###34# ##334###334#","//--- END",GeneticTestExpression!N16)</f>
        <v/>
      </c>
    </row>
    <row r="43" spans="3:3" x14ac:dyDescent="0.75">
      <c r="C43" s="103" t="str">
        <f>IF(GeneticTestExpression!N17="*  ..  ##34###34# ##334###334#","//--- END",GeneticTestExpression!N17)</f>
        <v/>
      </c>
    </row>
    <row r="44" spans="3:3" x14ac:dyDescent="0.75">
      <c r="C44" s="103" t="str">
        <f>IF(GeneticTestExpression!N18="*  ..  ##34###34# ##334###334#","//--- END",GeneticTestExpression!N18)</f>
        <v/>
      </c>
    </row>
    <row r="45" spans="3:3" x14ac:dyDescent="0.75">
      <c r="C45" s="103" t="str">
        <f>IF(GeneticTestExpression!N19="*  ..  ##34###34# ##334###334#","//--- END",GeneticTestExpression!N19)</f>
        <v/>
      </c>
    </row>
    <row r="46" spans="3:3" x14ac:dyDescent="0.75">
      <c r="C46" s="103" t="str">
        <f>IF(GeneticTestExpression!N20="*  ..  ##34###34# ##334###334#","//--- END",GeneticTestExpression!N20)</f>
        <v/>
      </c>
    </row>
    <row r="47" spans="3:3" x14ac:dyDescent="0.75">
      <c r="C47" s="103" t="str">
        <f>IF(GeneticTestExpression!N21="*  ..  ##34###34# ##334###334#","//--- END",GeneticTestExpression!N21)</f>
        <v/>
      </c>
    </row>
    <row r="48" spans="3:3" x14ac:dyDescent="0.75">
      <c r="C48" s="103" t="str">
        <f>IF(GeneticTestExpression!N22="*  ..  ##34###34# ##334###334#","//--- END",GeneticTestExpression!N22)</f>
        <v/>
      </c>
    </row>
    <row r="49" spans="3:3" x14ac:dyDescent="0.75">
      <c r="C49" s="103" t="str">
        <f>IF(GeneticTestExpression!N23="*  ..  ##34###34# ##334###334#","//--- END",GeneticTestExpression!N23)</f>
        <v>//--- END</v>
      </c>
    </row>
    <row r="50" spans="3:3" x14ac:dyDescent="0.75">
      <c r="C50" s="103" t="str">
        <f>IF(GeneticTestExpression!N24="*  ..  ##34###34# ##334###334#","//--- END",GeneticTestExpression!N24)</f>
        <v>//--- END</v>
      </c>
    </row>
    <row r="51" spans="3:3" x14ac:dyDescent="0.75">
      <c r="C51" s="103" t="str">
        <f>IF(GeneticTestExpression!N25="*  ..  ##34###34# ##334###334#","//--- END",GeneticTestExpression!N25)</f>
        <v>//--- END</v>
      </c>
    </row>
    <row r="52" spans="3:3" x14ac:dyDescent="0.75">
      <c r="C52" s="103" t="str">
        <f>IF(GeneticTestExpression!N26="*  ..  ##34###34# ##334###334#","//--- END",GeneticTestExpression!N26)</f>
        <v>//--- END</v>
      </c>
    </row>
    <row r="53" spans="3:3" x14ac:dyDescent="0.75">
      <c r="C53" s="103" t="str">
        <f>IF(GeneticTestExpression!N27="*  ..  ##34###34# ##334###334#","//--- END",GeneticTestExpression!N27)</f>
        <v>//--- END</v>
      </c>
    </row>
    <row r="54" spans="3:3" x14ac:dyDescent="0.75">
      <c r="C54" s="103"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1896</v>
      </c>
      <c r="D3" s="47" t="s">
        <v>1479</v>
      </c>
      <c r="E3" s="72" t="str">
        <f>$C$1&amp;B14</f>
        <v>http://hl7.eu/fhir/ig/idea4rc/StructureDefinition/GeneticTestExpressionI4rc</v>
      </c>
    </row>
    <row r="4" spans="1:19" x14ac:dyDescent="0.75">
      <c r="B4" s="47" t="s">
        <v>16</v>
      </c>
      <c r="C4" s="28" t="s">
        <v>1896</v>
      </c>
      <c r="D4" s="47" t="s">
        <v>1480</v>
      </c>
      <c r="E4" s="144" t="s">
        <v>1851</v>
      </c>
      <c r="F4" s="145"/>
      <c r="G4" s="145"/>
    </row>
    <row r="5" spans="1:19" x14ac:dyDescent="0.75">
      <c r="B5" s="47" t="s">
        <v>10</v>
      </c>
      <c r="C5" s="7" t="s">
        <v>1825</v>
      </c>
      <c r="D5" s="47"/>
      <c r="E5" s="7"/>
    </row>
    <row r="6" spans="1:19" x14ac:dyDescent="0.75">
      <c r="B6" s="47" t="s">
        <v>18</v>
      </c>
      <c r="C6" s="41"/>
      <c r="D6" s="47" t="s">
        <v>1481</v>
      </c>
      <c r="E6" s="144" t="str">
        <f>E3</f>
        <v>http://hl7.eu/fhir/ig/idea4rc/StructureDefinition/GeneticTestExpressionI4rc</v>
      </c>
      <c r="F6" s="145"/>
      <c r="G6" s="145"/>
    </row>
    <row r="7" spans="1:19" x14ac:dyDescent="0.75">
      <c r="B7" s="47" t="s">
        <v>15</v>
      </c>
      <c r="C7" s="73"/>
      <c r="D7" s="47" t="s">
        <v>1482</v>
      </c>
      <c r="E7" s="144" t="str">
        <f>E4</f>
        <v>http://hl7.eu/fhir/ig/idea4rc/StructureDefinition/Procedure-radiotheraphy-eu-i4rc</v>
      </c>
      <c r="F7" s="145"/>
      <c r="G7" s="145"/>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1814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78"/>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78"/>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78"/>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78"/>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78"/>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78"/>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78"/>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78"/>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78"/>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78"/>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78"/>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78"/>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78"/>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78"/>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78"/>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78"/>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78"/>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78"/>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78"/>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78"/>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78"/>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78"/>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78"/>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78"/>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78"/>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78"/>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78"/>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78"/>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INDEX('GeneticTestExp-ConceptMap-1'!$I$15:$N$124,Q50+1,R50)</f>
        <v/>
      </c>
    </row>
    <row r="51" spans="2:19" x14ac:dyDescent="0.75">
      <c r="B51" s="11"/>
      <c r="C51" s="11"/>
      <c r="D51" s="12"/>
      <c r="E51" s="12"/>
      <c r="F51" s="49"/>
      <c r="G51" s="78"/>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78"/>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INDEX('GeneticTestExp-ConceptMap-1'!$I$15:$N$124,Q56+1,R56)</f>
        <v/>
      </c>
    </row>
    <row r="57" spans="2:19" x14ac:dyDescent="0.75">
      <c r="B57" s="11"/>
      <c r="C57" s="11"/>
      <c r="D57" s="12"/>
      <c r="E57" s="12"/>
      <c r="F57" s="49"/>
      <c r="G57" s="78"/>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78"/>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INDEX('GeneticTestExp-ConceptMap-1'!$I$15:$N$124,Q62+1,R62)</f>
        <v/>
      </c>
    </row>
    <row r="63" spans="2:19" x14ac:dyDescent="0.75">
      <c r="B63" s="11"/>
      <c r="C63" s="11"/>
      <c r="D63" s="12"/>
      <c r="E63" s="12"/>
      <c r="F63" s="49"/>
      <c r="G63" s="78"/>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78"/>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INDEX('GeneticTestExp-ConceptMap-1'!$I$15:$N$124,Q68+1,R68)</f>
        <v/>
      </c>
    </row>
    <row r="69" spans="2:19" x14ac:dyDescent="0.75">
      <c r="B69" s="11"/>
      <c r="C69" s="11"/>
      <c r="D69" s="12"/>
      <c r="E69" s="12"/>
      <c r="F69" s="49"/>
      <c r="G69" s="78"/>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78"/>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INDEX('GeneticTestExp-ConceptMap-1'!$I$15:$N$124,Q74+1,R74)</f>
        <v/>
      </c>
    </row>
    <row r="75" spans="2:19" x14ac:dyDescent="0.75">
      <c r="B75" s="11"/>
      <c r="C75" s="11"/>
      <c r="D75" s="12"/>
      <c r="E75" s="12"/>
      <c r="F75" s="49"/>
      <c r="G75" s="78"/>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78"/>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INDEX('GeneticTestExp-ConceptMap-1'!$I$15:$N$124,Q80+1,R80)</f>
        <v/>
      </c>
    </row>
    <row r="81" spans="2:19" x14ac:dyDescent="0.75">
      <c r="B81" s="11"/>
      <c r="C81" s="11"/>
      <c r="D81" s="12"/>
      <c r="E81" s="12"/>
      <c r="F81" s="49"/>
      <c r="G81" s="78"/>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78"/>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INDEX('GeneticTestExp-ConceptMap-1'!$I$15:$N$124,Q86+1,R86)</f>
        <v/>
      </c>
    </row>
    <row r="87" spans="2:19" x14ac:dyDescent="0.75">
      <c r="B87" s="11"/>
      <c r="C87" s="11"/>
      <c r="D87" s="12"/>
      <c r="E87" s="12"/>
      <c r="F87" s="49"/>
      <c r="G87" s="78"/>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78"/>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INDEX('GeneticTestExp-ConceptMap-1'!$I$15:$N$124,Q92+1,R92)</f>
        <v/>
      </c>
    </row>
    <row r="93" spans="2:19" x14ac:dyDescent="0.75">
      <c r="B93" s="11"/>
      <c r="C93" s="11"/>
      <c r="D93" s="12"/>
      <c r="E93" s="12"/>
      <c r="F93" s="49"/>
      <c r="G93" s="78"/>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78"/>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INDEX('GeneticTestExp-ConceptMap-1'!$I$15:$N$124,Q98+1,R98)</f>
        <v/>
      </c>
    </row>
    <row r="99" spans="2:19" x14ac:dyDescent="0.75">
      <c r="B99" s="11"/>
      <c r="C99" s="11"/>
      <c r="D99" s="12"/>
      <c r="E99" s="12"/>
      <c r="F99" s="49"/>
      <c r="G99" s="78"/>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78"/>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78"/>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78"/>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78"/>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78"/>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1910</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6"/>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topLeftCell="C10" zoomScale="70" zoomScaleNormal="70" workbookViewId="0">
      <selection activeCell="D13" sqref="D13"/>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2112</v>
      </c>
      <c r="R2" s="24" t="s">
        <v>2113</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2206</v>
      </c>
      <c r="L4" s="16" t="str">
        <f>CONCATENATE("Logical: ",B4)</f>
        <v>Logical: StageI4rc</v>
      </c>
    </row>
    <row r="5" spans="1:18" ht="19.899999999999999" customHeight="1" x14ac:dyDescent="0.75">
      <c r="A5" s="14" t="s">
        <v>16</v>
      </c>
      <c r="B5" s="31" t="s">
        <v>2207</v>
      </c>
      <c r="L5" s="16" t="str">
        <f>CONCATENATE("Id: ",B5)</f>
        <v>Id: Stage</v>
      </c>
    </row>
    <row r="6" spans="1:18" ht="19.899999999999999" customHeight="1" x14ac:dyDescent="0.75">
      <c r="A6" s="14" t="s">
        <v>10</v>
      </c>
      <c r="B6" s="32" t="s">
        <v>2207</v>
      </c>
      <c r="L6" s="17" t="str">
        <f>CONCATENATE("Title: ##34#",B6,"##34#")</f>
        <v>Title: ##34#Stage##34#</v>
      </c>
    </row>
    <row r="7" spans="1:18" ht="19.899999999999999" customHeight="1" x14ac:dyDescent="0.75">
      <c r="A7" s="26" t="s">
        <v>2</v>
      </c>
      <c r="B7" s="63" t="s">
        <v>2207</v>
      </c>
      <c r="C7" s="9" t="s">
        <v>3</v>
      </c>
      <c r="D7" s="1" t="s">
        <v>4</v>
      </c>
      <c r="E7" s="3" t="s">
        <v>5</v>
      </c>
      <c r="F7" s="3" t="s">
        <v>6</v>
      </c>
      <c r="G7" s="3" t="s">
        <v>7</v>
      </c>
      <c r="H7" s="64" t="s">
        <v>1384</v>
      </c>
      <c r="I7" s="122" t="s">
        <v>2110</v>
      </c>
      <c r="J7" s="122" t="s">
        <v>2111</v>
      </c>
      <c r="L7" s="17" t="str">
        <f>CONCATENATE("Description: "," ##334#",B7,"##334#",)</f>
        <v>Description:  ##334#Stage##334#</v>
      </c>
    </row>
    <row r="8" spans="1:18" ht="20.25" customHeight="1" x14ac:dyDescent="0.75">
      <c r="A8" s="128">
        <v>0</v>
      </c>
      <c r="B8" s="42" t="s">
        <v>1573</v>
      </c>
      <c r="C8" s="11" t="s">
        <v>1567</v>
      </c>
      <c r="D8" s="11" t="s">
        <v>1568</v>
      </c>
      <c r="E8" s="11">
        <v>1</v>
      </c>
      <c r="F8" s="11">
        <v>1</v>
      </c>
      <c r="G8" t="s">
        <v>1620</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8">
        <v>1</v>
      </c>
      <c r="B9" s="11" t="s">
        <v>1906</v>
      </c>
      <c r="C9" s="11" t="s">
        <v>2173</v>
      </c>
      <c r="D9" s="11" t="s">
        <v>2173</v>
      </c>
      <c r="E9" s="11">
        <v>1</v>
      </c>
      <c r="F9" s="11">
        <v>1</v>
      </c>
      <c r="G9" t="s">
        <v>1474</v>
      </c>
      <c r="H9" s="12" t="s">
        <v>2183</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8">
        <v>2</v>
      </c>
      <c r="B10" s="11" t="s">
        <v>2164</v>
      </c>
      <c r="C10" s="11" t="s">
        <v>292</v>
      </c>
      <c r="D10" s="11" t="s">
        <v>1388</v>
      </c>
      <c r="E10" s="11">
        <v>1</v>
      </c>
      <c r="F10" s="11">
        <v>1</v>
      </c>
      <c r="G10" t="s">
        <v>1474</v>
      </c>
      <c r="H10" s="12" t="s">
        <v>2184</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9">
        <v>3</v>
      </c>
      <c r="B11" s="11" t="s">
        <v>2165</v>
      </c>
      <c r="C11" s="11" t="s">
        <v>299</v>
      </c>
      <c r="D11" s="11" t="s">
        <v>1389</v>
      </c>
      <c r="E11" s="11">
        <v>1</v>
      </c>
      <c r="F11" s="11">
        <v>1</v>
      </c>
      <c r="G11" t="s">
        <v>1474</v>
      </c>
      <c r="H11" s="12" t="s">
        <v>2185</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8">
        <v>4</v>
      </c>
      <c r="B12" s="11" t="s">
        <v>2166</v>
      </c>
      <c r="C12" s="11" t="s">
        <v>306</v>
      </c>
      <c r="D12" s="11" t="s">
        <v>1390</v>
      </c>
      <c r="E12" s="11">
        <v>1</v>
      </c>
      <c r="F12" s="11">
        <v>1</v>
      </c>
      <c r="G12" t="s">
        <v>1474</v>
      </c>
      <c r="H12" s="12" t="s">
        <v>2186</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8">
        <v>5</v>
      </c>
      <c r="B13" s="11" t="s">
        <v>2167</v>
      </c>
      <c r="C13" s="11" t="s">
        <v>1569</v>
      </c>
      <c r="D13" s="11" t="s">
        <v>1570</v>
      </c>
      <c r="E13" s="11">
        <v>1</v>
      </c>
      <c r="F13" s="11">
        <v>1</v>
      </c>
      <c r="G13" t="s">
        <v>1474</v>
      </c>
      <c r="H13" s="12" t="s">
        <v>2187</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8">
        <v>6</v>
      </c>
      <c r="B14" s="11" t="s">
        <v>2168</v>
      </c>
      <c r="C14" s="11" t="s">
        <v>2174</v>
      </c>
      <c r="D14" s="11" t="s">
        <v>2175</v>
      </c>
      <c r="E14" s="11">
        <v>1</v>
      </c>
      <c r="F14" s="11">
        <v>1</v>
      </c>
      <c r="G14" t="s">
        <v>1474</v>
      </c>
      <c r="H14" s="12" t="s">
        <v>2190</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30">
        <v>7</v>
      </c>
      <c r="B15" s="11" t="s">
        <v>2169</v>
      </c>
      <c r="C15" s="11" t="s">
        <v>2176</v>
      </c>
      <c r="D15" s="11" t="s">
        <v>2177</v>
      </c>
      <c r="E15" s="11">
        <v>1</v>
      </c>
      <c r="F15" s="11">
        <v>1</v>
      </c>
      <c r="G15" t="s">
        <v>1474</v>
      </c>
      <c r="H15" s="12" t="s">
        <v>2191</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30">
        <v>8</v>
      </c>
      <c r="B16" s="11" t="s">
        <v>2170</v>
      </c>
      <c r="C16" s="11" t="s">
        <v>2178</v>
      </c>
      <c r="D16" s="11" t="s">
        <v>2179</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30">
        <v>9</v>
      </c>
      <c r="B17" s="11" t="s">
        <v>1417</v>
      </c>
      <c r="C17" s="11" t="s">
        <v>1392</v>
      </c>
      <c r="D17" s="11" t="s">
        <v>1393</v>
      </c>
      <c r="E17" s="11">
        <v>1</v>
      </c>
      <c r="F17" s="11">
        <v>1</v>
      </c>
      <c r="G17" t="s">
        <v>1474</v>
      </c>
      <c r="H17" s="12" t="s">
        <v>2188</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30">
        <v>10</v>
      </c>
      <c r="B18" s="11" t="s">
        <v>2171</v>
      </c>
      <c r="C18" s="11" t="s">
        <v>2180</v>
      </c>
      <c r="D18" s="11" t="s">
        <v>2181</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30"/>
      <c r="B19" s="6" t="s">
        <v>2192</v>
      </c>
      <c r="C19" s="6" t="s">
        <v>2192</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30">
        <v>11</v>
      </c>
      <c r="B20" s="11" t="s">
        <v>2193</v>
      </c>
      <c r="C20" s="11" t="s">
        <v>1394</v>
      </c>
      <c r="D20" s="11" t="s">
        <v>2350</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30">
        <v>12</v>
      </c>
      <c r="B21" s="11" t="s">
        <v>2194</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30">
        <v>13</v>
      </c>
      <c r="B22" s="11" t="s">
        <v>2195</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30">
        <v>14</v>
      </c>
      <c r="B23" s="11" t="s">
        <v>2196</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30">
        <v>15</v>
      </c>
      <c r="B24" s="11" t="s">
        <v>2197</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30">
        <v>16</v>
      </c>
      <c r="B25" s="11" t="s">
        <v>2198</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31">
        <v>17</v>
      </c>
      <c r="B26" s="11" t="s">
        <v>2199</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8">
        <v>18</v>
      </c>
      <c r="B27" s="11" t="s">
        <v>2200</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31">
        <v>19</v>
      </c>
      <c r="B28" s="11" t="s">
        <v>2201</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8">
        <v>20</v>
      </c>
      <c r="B29" s="11" t="s">
        <v>2202</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31">
        <v>21</v>
      </c>
      <c r="B30" s="11" t="s">
        <v>2172</v>
      </c>
      <c r="C30" s="11" t="s">
        <v>2182</v>
      </c>
      <c r="D30" s="11" t="s">
        <v>1391</v>
      </c>
      <c r="E30" s="11">
        <v>1</v>
      </c>
      <c r="F30" s="11">
        <v>1</v>
      </c>
      <c r="G30" t="s">
        <v>1474</v>
      </c>
      <c r="H30" s="12" t="s">
        <v>2189</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2363</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D19" workbookViewId="0">
      <selection activeCell="G20" sqref="G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2359</v>
      </c>
      <c r="D3" s="47" t="s">
        <v>1479</v>
      </c>
      <c r="E3" s="72" t="str">
        <f>$C$1&amp;Stage!B4</f>
        <v>http://hl7.eu/fhir/ig/idea4rc/StructureDefinition/StageI4rc</v>
      </c>
    </row>
    <row r="4" spans="1:19" x14ac:dyDescent="0.75">
      <c r="B4" s="47" t="s">
        <v>16</v>
      </c>
      <c r="C4" s="28" t="s">
        <v>2360</v>
      </c>
      <c r="D4" s="47" t="s">
        <v>1480</v>
      </c>
      <c r="E4" s="144" t="s">
        <v>1637</v>
      </c>
      <c r="F4" s="145"/>
      <c r="G4" s="145"/>
    </row>
    <row r="5" spans="1:19" x14ac:dyDescent="0.75">
      <c r="B5" s="47" t="s">
        <v>10</v>
      </c>
      <c r="C5" s="7" t="s">
        <v>2361</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1637</v>
      </c>
      <c r="F7" s="145"/>
      <c r="G7" s="145"/>
    </row>
    <row r="8" spans="1:19" ht="44.25" x14ac:dyDescent="0.75">
      <c r="B8" s="47" t="s">
        <v>1483</v>
      </c>
      <c r="C8" s="74" t="s">
        <v>2361</v>
      </c>
      <c r="D8" s="47"/>
      <c r="E8" s="7"/>
      <c r="I8" s="12" t="s">
        <v>1289</v>
      </c>
      <c r="J8" s="12" t="s">
        <v>1290</v>
      </c>
      <c r="K8" s="12" t="s">
        <v>1291</v>
      </c>
      <c r="L8" s="12" t="s">
        <v>1292</v>
      </c>
      <c r="M8" s="11" t="s">
        <v>1293</v>
      </c>
      <c r="P8" s="34" t="s">
        <v>1328</v>
      </c>
      <c r="Q8" s="34">
        <v>6</v>
      </c>
    </row>
    <row r="9" spans="1:19" x14ac:dyDescent="0.75">
      <c r="B9" s="47" t="s">
        <v>1484</v>
      </c>
      <c r="C9" s="12" t="s">
        <v>2362</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2348</v>
      </c>
      <c r="E15" s="12"/>
      <c r="F15" s="49" t="s">
        <v>1294</v>
      </c>
      <c r="G15" s="78"/>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8"/>
      <c r="I16" s="12" t="str">
        <f t="shared" ref="I16:I26"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17" si="13">IF(MOD(P16,$Q$8)=0,P16/$Q$8-1,INT(P16/$Q$8))</f>
        <v>0</v>
      </c>
      <c r="R16" s="11">
        <f t="shared" ref="R16:R17"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2344</v>
      </c>
      <c r="E17" s="12"/>
      <c r="F17" s="49" t="s">
        <v>1316</v>
      </c>
      <c r="G17" s="78"/>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2345</v>
      </c>
      <c r="E18" s="12"/>
      <c r="F18" s="49" t="s">
        <v>1316</v>
      </c>
      <c r="G18" s="78"/>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INDEX('Stage-ConceptMap-1'!$I$15:$N$114,Q18+1,R18)</f>
        <v>* group[=].element[=].target.display = ##34###34#</v>
      </c>
    </row>
    <row r="19" spans="1:20" ht="88.5" x14ac:dyDescent="0.75">
      <c r="A19" s="44"/>
      <c r="B19" s="11" t="str">
        <f>Stage!B12</f>
        <v>m</v>
      </c>
      <c r="C19" s="11" t="str">
        <f>Stage!C12</f>
        <v>M</v>
      </c>
      <c r="D19" s="12" t="s">
        <v>2346</v>
      </c>
      <c r="E19" s="12"/>
      <c r="F19" s="49" t="s">
        <v>1316</v>
      </c>
      <c r="G19" s="78"/>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7" t="s">
        <v>2352</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5"/>
        <v>0</v>
      </c>
      <c r="R20" s="11">
        <f t="shared" si="16"/>
        <v>6</v>
      </c>
      <c r="S20" s="12" t="str" cm="1">
        <f t="array" ref="S20">INDEX('Stage-ConceptMap-1'!$I$15:$N$114,Q20+1,R20)</f>
        <v/>
      </c>
    </row>
    <row r="21" spans="1:20" ht="44.25" x14ac:dyDescent="0.75">
      <c r="A21" s="141" t="s">
        <v>2347</v>
      </c>
      <c r="B21" s="11" t="str">
        <f>Stage!B14</f>
        <v>localised</v>
      </c>
      <c r="C21" s="11" t="str">
        <f>Stage!C14</f>
        <v>Localised</v>
      </c>
      <c r="D21" s="12"/>
      <c r="E21" s="12"/>
      <c r="F21" s="49" t="s">
        <v>1294</v>
      </c>
      <c r="G21" s="77" t="s">
        <v>2351</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5"/>
        <v>1</v>
      </c>
      <c r="R21" s="11">
        <f t="shared" si="16"/>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7" t="s">
        <v>2351</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5"/>
        <v>1</v>
      </c>
      <c r="R22" s="11">
        <f t="shared" si="16"/>
        <v>2</v>
      </c>
      <c r="S22" s="12" t="str" cm="1">
        <f t="array" ref="S22">INDEX('Stage-ConceptMap-1'!$I$15:$N$114,Q22+1,R22)</f>
        <v>* group[=].element[=].display = ##34#Type of stage##34#</v>
      </c>
    </row>
    <row r="23" spans="1:20" ht="73.75" x14ac:dyDescent="0.75">
      <c r="A23" s="44"/>
      <c r="B23" s="11" t="str">
        <f>Stage!B16</f>
        <v>isMetastatic</v>
      </c>
      <c r="C23" s="11" t="str">
        <f>Stage!C16</f>
        <v>Is metastatic</v>
      </c>
      <c r="D23" s="12"/>
      <c r="E23" s="11"/>
      <c r="F23" s="49" t="s">
        <v>1294</v>
      </c>
      <c r="G23" s="77" t="s">
        <v>2353</v>
      </c>
      <c r="H23" s="43"/>
      <c r="I23" s="12" t="str">
        <f t="shared" si="7"/>
        <v>* group[=].element[+].code = #Stage.isMetastatic</v>
      </c>
      <c r="J23" s="12" t="str">
        <f t="shared" si="8"/>
        <v>* group[=].element[=].display = ##34#Is metastatic##34#</v>
      </c>
      <c r="K23" s="12" t="str">
        <f t="shared" si="9"/>
        <v>* group[=].element[=].target.code = #Observation.</v>
      </c>
      <c r="L23" s="12" t="str">
        <f t="shared" si="10"/>
        <v>* group[=].element[=].target.display = ##34###34#</v>
      </c>
      <c r="M23" s="12" t="str">
        <f t="shared" si="11"/>
        <v>* group[=].element[=].target.equivalence = #relatedto</v>
      </c>
      <c r="N23" s="12" t="str">
        <f t="shared" si="12"/>
        <v>* group[=].element[=].target.comment = ##34#check is the existance of metastatic conditions is enough##34#</v>
      </c>
      <c r="P23" s="11">
        <v>9</v>
      </c>
      <c r="Q23" s="11">
        <f t="shared" si="15"/>
        <v>1</v>
      </c>
      <c r="R23" s="11">
        <f t="shared" si="16"/>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1643</v>
      </c>
      <c r="E24" s="11"/>
      <c r="F24" s="49" t="s">
        <v>1294</v>
      </c>
      <c r="G24" s="77" t="s">
        <v>2354</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5"/>
        <v>1</v>
      </c>
      <c r="R24" s="11">
        <f t="shared" si="16"/>
        <v>4</v>
      </c>
      <c r="S24" s="12" t="str" cm="1">
        <f t="array" ref="S24">INDEX('Stage-ConceptMap-1'!$I$15:$N$114,Q24+1,R24)</f>
        <v>* group[=].element[=].target.display = ##34###34#</v>
      </c>
    </row>
    <row r="25" spans="1:20" ht="73.75" x14ac:dyDescent="0.75">
      <c r="A25" s="44"/>
      <c r="B25" s="11" t="str">
        <f>Stage!B18</f>
        <v>regionalNodalMetastases</v>
      </c>
      <c r="C25" s="11" t="str">
        <f>Stage!C18</f>
        <v>Regional nodal metastases</v>
      </c>
      <c r="D25" s="12"/>
      <c r="E25" s="11"/>
      <c r="F25" s="49" t="s">
        <v>1294</v>
      </c>
      <c r="G25" s="77" t="s">
        <v>2356</v>
      </c>
      <c r="H25" s="43"/>
      <c r="I25" s="12" t="str">
        <f t="shared" si="7"/>
        <v>* group[=].element[+].code = #Stage.regionalNodalMetastases</v>
      </c>
      <c r="J25" s="12" t="str">
        <f t="shared" si="8"/>
        <v>* group[=].element[=].display = ##34#Regional nodal metastases##34#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##34#check if it could be documented in the metastatic condition##34#</v>
      </c>
      <c r="P25" s="11">
        <v>11</v>
      </c>
      <c r="Q25" s="11">
        <f t="shared" si="15"/>
        <v>1</v>
      </c>
      <c r="R25" s="11">
        <f t="shared" si="16"/>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8" t="s">
        <v>2355</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5"/>
        <v>1</v>
      </c>
      <c r="R26" s="11">
        <f t="shared" si="16"/>
        <v>6</v>
      </c>
      <c r="S26" s="12" t="str" cm="1">
        <f t="array" ref="S26">INDEX('Stage-ConceptMap-1'!$I$15:$N$114,Q26+1,R26)</f>
        <v/>
      </c>
    </row>
    <row r="27" spans="1:20" ht="73.75" x14ac:dyDescent="0.75">
      <c r="B27" s="11" t="str">
        <f>Stage!B30</f>
        <v>stagingClassification</v>
      </c>
      <c r="C27" s="11" t="str">
        <f>Stage!C30</f>
        <v>Staging classification</v>
      </c>
      <c r="D27" s="12" t="s">
        <v>1642</v>
      </c>
      <c r="E27" s="12"/>
      <c r="F27" s="49" t="s">
        <v>1316</v>
      </c>
      <c r="G27" s="78"/>
      <c r="H27" s="43"/>
      <c r="I27" s="12" t="str">
        <f>"* group[=].element[+].code = #"&amp;$B$14&amp;"."&amp;B27</f>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INDEX('Stage-ConceptMap-1'!$I$15:$N$114,Q27+1,R27)</f>
        <v>* group[=].element[+].code = #Stage.t</v>
      </c>
    </row>
    <row r="28" spans="1:20"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INDEX('Stage-ConceptMap-1'!$I$15:$N$114,Q28+1,R28)</f>
        <v>* group[=].element[=].display = ##34#T##34#</v>
      </c>
    </row>
    <row r="29" spans="1:20" ht="29.5" x14ac:dyDescent="0.75">
      <c r="B29" s="11"/>
      <c r="C29" s="11"/>
      <c r="D29" s="12"/>
      <c r="E29" s="12"/>
      <c r="F29" s="49"/>
      <c r="G29" s="78"/>
      <c r="H29" s="43"/>
      <c r="K29" s="43"/>
      <c r="L29" s="43"/>
      <c r="M29" s="51"/>
      <c r="N29" s="51"/>
      <c r="P29" s="11">
        <v>15</v>
      </c>
      <c r="Q29" s="11">
        <f t="shared" si="15"/>
        <v>2</v>
      </c>
      <c r="R29" s="11">
        <f t="shared" si="16"/>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8"/>
      <c r="H30" s="43"/>
      <c r="J30"/>
      <c r="K30" s="43"/>
      <c r="L30" s="43"/>
      <c r="M30" s="51"/>
      <c r="N30" s="51"/>
      <c r="P30" s="11">
        <v>16</v>
      </c>
      <c r="Q30" s="11">
        <f t="shared" si="15"/>
        <v>2</v>
      </c>
      <c r="R30" s="11">
        <f t="shared" si="16"/>
        <v>4</v>
      </c>
      <c r="S30" s="12" t="str" cm="1">
        <f t="array" ref="S30">INDEX('Stage-ConceptMap-1'!$I$15:$N$114,Q30+1,R30)</f>
        <v>* group[=].element[=].target.display = ##34###34#</v>
      </c>
      <c r="T30"/>
    </row>
    <row r="31" spans="1:20" s="2" customFormat="1" x14ac:dyDescent="0.75">
      <c r="A31"/>
      <c r="B31" s="11"/>
      <c r="C31" s="11"/>
      <c r="D31" s="12"/>
      <c r="F31" s="43"/>
      <c r="G31" s="78"/>
      <c r="H31" s="43"/>
      <c r="J31"/>
      <c r="K31" s="43"/>
      <c r="L31" s="43"/>
      <c r="M31" s="51"/>
      <c r="N31" s="51"/>
      <c r="P31" s="11">
        <v>17</v>
      </c>
      <c r="Q31" s="11">
        <f t="shared" si="15"/>
        <v>2</v>
      </c>
      <c r="R31" s="11">
        <f t="shared" si="16"/>
        <v>5</v>
      </c>
      <c r="S31" s="12" t="str" cm="1">
        <f t="array" ref="S31">INDEX('Stage-ConceptMap-1'!$I$15:$N$114,Q31+1,R31)</f>
        <v>* group[=].element[=].target.equivalence = #equivalent</v>
      </c>
      <c r="T31"/>
    </row>
    <row r="32" spans="1:20" s="2" customFormat="1" x14ac:dyDescent="0.75">
      <c r="A32"/>
      <c r="B32" s="11"/>
      <c r="C32" s="11"/>
      <c r="D32" s="12"/>
      <c r="F32" s="43"/>
      <c r="G32" s="78"/>
      <c r="H32" s="43"/>
      <c r="J32"/>
      <c r="K32" s="43"/>
      <c r="L32" s="43"/>
      <c r="M32" s="51"/>
      <c r="N32" s="51"/>
      <c r="P32" s="11">
        <v>18</v>
      </c>
      <c r="Q32" s="11">
        <f t="shared" si="15"/>
        <v>2</v>
      </c>
      <c r="R32" s="11">
        <f t="shared" si="16"/>
        <v>6</v>
      </c>
      <c r="S32" s="12" t="str" cm="1">
        <f t="array" ref="S32">INDEX('Stage-ConceptMap-1'!$I$15:$N$114,Q32+1,R32)</f>
        <v/>
      </c>
      <c r="T32"/>
    </row>
    <row r="33" spans="1:20" s="2" customFormat="1" x14ac:dyDescent="0.75">
      <c r="A33"/>
      <c r="B33" s="11"/>
      <c r="C33" s="11"/>
      <c r="D33" s="12"/>
      <c r="F33" s="43"/>
      <c r="G33" s="78"/>
      <c r="H33" s="43"/>
      <c r="J33" s="43"/>
      <c r="K33" s="43"/>
      <c r="L33" s="43"/>
      <c r="M33" s="51"/>
      <c r="N33" s="51"/>
      <c r="P33" s="11">
        <v>19</v>
      </c>
      <c r="Q33" s="11">
        <f t="shared" si="15"/>
        <v>3</v>
      </c>
      <c r="R33" s="11">
        <f t="shared" si="16"/>
        <v>1</v>
      </c>
      <c r="S33" s="12" t="str" cm="1">
        <f t="array" ref="S33">INDEX('Stage-ConceptMap-1'!$I$15:$N$114,Q33+1,R33)</f>
        <v>* group[=].element[+].code = #Stage.n</v>
      </c>
      <c r="T33"/>
    </row>
    <row r="34" spans="1:20" s="2" customFormat="1" x14ac:dyDescent="0.75">
      <c r="A34"/>
      <c r="B34" s="11"/>
      <c r="C34" s="11"/>
      <c r="F34" s="43"/>
      <c r="G34" s="78"/>
      <c r="H34" s="43"/>
      <c r="J34" s="43"/>
      <c r="K34" s="43"/>
      <c r="L34" s="43"/>
      <c r="M34" s="51"/>
      <c r="N34" s="51"/>
      <c r="P34" s="11">
        <v>20</v>
      </c>
      <c r="Q34" s="11">
        <f t="shared" si="15"/>
        <v>3</v>
      </c>
      <c r="R34" s="11">
        <f t="shared" si="16"/>
        <v>2</v>
      </c>
      <c r="S34" s="12" t="str" cm="1">
        <f t="array" ref="S34">INDEX('Stage-ConceptMap-1'!$I$15:$N$114,Q34+1,R34)</f>
        <v>* group[=].element[=].display = ##34#N##34#</v>
      </c>
      <c r="T34"/>
    </row>
    <row r="35" spans="1:20" ht="29.5" x14ac:dyDescent="0.75">
      <c r="B35" s="11"/>
      <c r="C35" s="11"/>
      <c r="G35" s="78"/>
      <c r="P35" s="11">
        <v>21</v>
      </c>
      <c r="Q35" s="11">
        <f t="shared" si="15"/>
        <v>3</v>
      </c>
      <c r="R35" s="11">
        <f t="shared" si="16"/>
        <v>3</v>
      </c>
      <c r="S35" s="12" t="str" cm="1">
        <f t="array" ref="S35">INDEX('Stage-ConceptMap-1'!$I$15:$N$114,Q35+1,R35)</f>
        <v>* group[=].element[=].target.code = #Observation.hasMember:tnmRegionalNodesCategory.valueCodeableConcept</v>
      </c>
    </row>
    <row r="36" spans="1:20" x14ac:dyDescent="0.75">
      <c r="B36" s="11"/>
      <c r="C36" s="11"/>
      <c r="G36" s="78"/>
      <c r="P36" s="11">
        <v>22</v>
      </c>
      <c r="Q36" s="11">
        <f t="shared" si="15"/>
        <v>3</v>
      </c>
      <c r="R36" s="11">
        <f t="shared" si="16"/>
        <v>4</v>
      </c>
      <c r="S36" s="12" t="str" cm="1">
        <f t="array" ref="S36">INDEX('Stage-ConceptMap-1'!$I$15:$N$114,Q36+1,R36)</f>
        <v>* group[=].element[=].target.display = ##34###34#</v>
      </c>
    </row>
    <row r="37" spans="1:20" x14ac:dyDescent="0.75">
      <c r="G37" s="78"/>
      <c r="P37" s="11">
        <v>23</v>
      </c>
      <c r="Q37" s="11">
        <f t="shared" si="15"/>
        <v>3</v>
      </c>
      <c r="R37" s="11">
        <f t="shared" si="16"/>
        <v>5</v>
      </c>
      <c r="S37" s="12" t="str" cm="1">
        <f t="array" ref="S37">INDEX('Stage-ConceptMap-1'!$I$15:$N$114,Q37+1,R37)</f>
        <v>* group[=].element[=].target.equivalence = #equivalent</v>
      </c>
    </row>
    <row r="38" spans="1:20" x14ac:dyDescent="0.75">
      <c r="G38" s="78"/>
      <c r="P38" s="11">
        <v>24</v>
      </c>
      <c r="Q38" s="11">
        <f t="shared" si="15"/>
        <v>3</v>
      </c>
      <c r="R38" s="11">
        <f t="shared" si="16"/>
        <v>6</v>
      </c>
      <c r="S38" s="12" t="str" cm="1">
        <f t="array" ref="S38">INDEX('Stage-ConceptMap-1'!$I$15:$N$114,Q38+1,R38)</f>
        <v/>
      </c>
    </row>
    <row r="39" spans="1:20" x14ac:dyDescent="0.75">
      <c r="G39" s="78"/>
      <c r="P39" s="11">
        <v>25</v>
      </c>
      <c r="Q39" s="11">
        <f t="shared" si="15"/>
        <v>4</v>
      </c>
      <c r="R39" s="11">
        <f t="shared" si="16"/>
        <v>1</v>
      </c>
      <c r="S39" s="12" t="str" cm="1">
        <f t="array" ref="S39">INDEX('Stage-ConceptMap-1'!$I$15:$N$114,Q39+1,R39)</f>
        <v>* group[=].element[+].code = #Stage.m</v>
      </c>
    </row>
    <row r="40" spans="1:20" x14ac:dyDescent="0.75">
      <c r="G40" s="78"/>
      <c r="P40" s="11">
        <v>26</v>
      </c>
      <c r="Q40" s="11">
        <f t="shared" si="15"/>
        <v>4</v>
      </c>
      <c r="R40" s="11">
        <f t="shared" si="16"/>
        <v>2</v>
      </c>
      <c r="S40" s="12" t="str" cm="1">
        <f t="array" ref="S40">INDEX('Stage-ConceptMap-1'!$I$15:$N$114,Q40+1,R40)</f>
        <v>* group[=].element[=].display = ##34#M##34#</v>
      </c>
    </row>
    <row r="41" spans="1:20" ht="29.5" x14ac:dyDescent="0.75">
      <c r="G41" s="78"/>
      <c r="P41" s="11">
        <v>27</v>
      </c>
      <c r="Q41" s="11">
        <f t="shared" si="15"/>
        <v>4</v>
      </c>
      <c r="R41" s="11">
        <f t="shared" si="16"/>
        <v>3</v>
      </c>
      <c r="S41" s="12" t="str" cm="1">
        <f t="array" ref="S41">INDEX('Stage-ConceptMap-1'!$I$15:$N$114,Q41+1,R41)</f>
        <v>* group[=].element[=].target.code = #Observation.hasMember:tnmDistantMetastasesCategory.valueCodeableConcept</v>
      </c>
    </row>
    <row r="42" spans="1:20" x14ac:dyDescent="0.75">
      <c r="G42" s="78"/>
      <c r="P42" s="11">
        <v>28</v>
      </c>
      <c r="Q42" s="11">
        <f t="shared" si="15"/>
        <v>4</v>
      </c>
      <c r="R42" s="11">
        <f t="shared" si="16"/>
        <v>4</v>
      </c>
      <c r="S42" s="12" t="str" cm="1">
        <f t="array" ref="S42">INDEX('Stage-ConceptMap-1'!$I$15:$N$114,Q42+1,R42)</f>
        <v>* group[=].element[=].target.display = ##34###34#</v>
      </c>
    </row>
    <row r="43" spans="1:20" x14ac:dyDescent="0.75">
      <c r="G43" s="78"/>
      <c r="P43" s="11">
        <v>29</v>
      </c>
      <c r="Q43" s="11">
        <f t="shared" si="15"/>
        <v>4</v>
      </c>
      <c r="R43" s="11">
        <f t="shared" si="16"/>
        <v>5</v>
      </c>
      <c r="S43" s="12" t="str" cm="1">
        <f t="array" ref="S43">INDEX('Stage-ConceptMap-1'!$I$15:$N$114,Q43+1,R43)</f>
        <v>* group[=].element[=].target.equivalence = #equivalent</v>
      </c>
    </row>
    <row r="44" spans="1:20" x14ac:dyDescent="0.75">
      <c r="G44" s="78"/>
      <c r="P44" s="11">
        <v>30</v>
      </c>
      <c r="Q44" s="11">
        <f t="shared" si="15"/>
        <v>4</v>
      </c>
      <c r="R44" s="11">
        <f t="shared" si="16"/>
        <v>6</v>
      </c>
      <c r="S44" s="12" t="str" cm="1">
        <f t="array" ref="S44">INDEX('Stage-ConceptMap-1'!$I$15:$N$114,Q44+1,R44)</f>
        <v/>
      </c>
    </row>
    <row r="45" spans="1:20" x14ac:dyDescent="0.75">
      <c r="G45" s="78"/>
      <c r="P45" s="11">
        <v>31</v>
      </c>
      <c r="Q45" s="11">
        <f t="shared" si="15"/>
        <v>5</v>
      </c>
      <c r="R45" s="11">
        <f t="shared" si="16"/>
        <v>1</v>
      </c>
      <c r="S45" s="12" t="str" cm="1">
        <f t="array" ref="S45">INDEX('Stage-ConceptMap-1'!$I$15:$N$114,Q45+1,R45)</f>
        <v>* group[=].element[+].code = #Stage.rENE</v>
      </c>
    </row>
    <row r="46" spans="1:20" x14ac:dyDescent="0.75">
      <c r="G46" s="78"/>
      <c r="P46" s="11">
        <v>32</v>
      </c>
      <c r="Q46" s="11">
        <f t="shared" si="15"/>
        <v>5</v>
      </c>
      <c r="R46" s="11">
        <f t="shared" si="16"/>
        <v>2</v>
      </c>
      <c r="S46" s="12" t="str" cm="1">
        <f t="array" ref="S46">INDEX('Stage-ConceptMap-1'!$I$15:$N$114,Q46+1,R46)</f>
        <v>* group[=].element[=].display = ##34#Radiological Extra-nodal extension (rENE)##34#</v>
      </c>
    </row>
    <row r="47" spans="1:20" x14ac:dyDescent="0.75">
      <c r="G47" s="78"/>
      <c r="P47" s="11">
        <v>33</v>
      </c>
      <c r="Q47" s="11">
        <f t="shared" si="15"/>
        <v>5</v>
      </c>
      <c r="R47" s="11">
        <f t="shared" si="16"/>
        <v>3</v>
      </c>
      <c r="S47" s="12" t="str" cm="1">
        <f t="array" ref="S47">INDEX('Stage-ConceptMap-1'!$I$15:$N$114,Q47+1,R47)</f>
        <v>* group[=].element[=].target.code = #Observation.</v>
      </c>
    </row>
    <row r="48" spans="1:20" x14ac:dyDescent="0.75">
      <c r="G48" s="78"/>
      <c r="P48" s="11">
        <v>34</v>
      </c>
      <c r="Q48" s="11">
        <f t="shared" si="15"/>
        <v>5</v>
      </c>
      <c r="R48" s="11">
        <f t="shared" si="16"/>
        <v>4</v>
      </c>
      <c r="S48" s="12" t="str" cm="1">
        <f t="array" ref="S48">INDEX('Stage-ConceptMap-1'!$I$15:$N$114,Q48+1,R48)</f>
        <v>* group[=].element[=].target.display = ##34###34#</v>
      </c>
    </row>
    <row r="49" spans="7:19" x14ac:dyDescent="0.75">
      <c r="G49" s="78"/>
      <c r="P49" s="11">
        <v>35</v>
      </c>
      <c r="Q49" s="11">
        <f t="shared" si="15"/>
        <v>5</v>
      </c>
      <c r="R49" s="11">
        <f t="shared" si="16"/>
        <v>5</v>
      </c>
      <c r="S49" s="12" t="str" cm="1">
        <f t="array" ref="S49">INDEX('Stage-ConceptMap-1'!$I$15:$N$114,Q49+1,R49)</f>
        <v>* group[=].element[=].target.equivalence = #relatedto</v>
      </c>
    </row>
    <row r="50" spans="7:19" ht="44.25" x14ac:dyDescent="0.75">
      <c r="G50" s="78"/>
      <c r="P50" s="11">
        <v>36</v>
      </c>
      <c r="Q50" s="11">
        <f t="shared" si="15"/>
        <v>5</v>
      </c>
      <c r="R50" s="11">
        <f t="shared" si="16"/>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8"/>
      <c r="P51" s="11">
        <v>37</v>
      </c>
      <c r="Q51" s="11">
        <f t="shared" si="15"/>
        <v>6</v>
      </c>
      <c r="R51" s="11">
        <f t="shared" si="16"/>
        <v>1</v>
      </c>
      <c r="S51" s="12" t="str" cm="1">
        <f t="array" ref="S51">INDEX('Stage-ConceptMap-1'!$I$15:$N$114,Q51+1,R51)</f>
        <v>* group[=].element[+].code = #Stage.localised</v>
      </c>
    </row>
    <row r="52" spans="7:19" x14ac:dyDescent="0.75">
      <c r="G52" s="78"/>
      <c r="P52" s="11">
        <v>38</v>
      </c>
      <c r="Q52" s="11">
        <f t="shared" si="15"/>
        <v>6</v>
      </c>
      <c r="R52" s="11">
        <f t="shared" si="16"/>
        <v>2</v>
      </c>
      <c r="S52" s="12" t="str" cm="1">
        <f t="array" ref="S52">INDEX('Stage-ConceptMap-1'!$I$15:$N$114,Q52+1,R52)</f>
        <v>* group[=].element[=].display = ##34#Localised##34#</v>
      </c>
    </row>
    <row r="53" spans="7:19" x14ac:dyDescent="0.75">
      <c r="G53" s="78"/>
      <c r="P53" s="11">
        <v>39</v>
      </c>
      <c r="Q53" s="11">
        <f t="shared" si="15"/>
        <v>6</v>
      </c>
      <c r="R53" s="11">
        <f t="shared" si="16"/>
        <v>3</v>
      </c>
      <c r="S53" s="12" t="str" cm="1">
        <f t="array" ref="S53">INDEX('Stage-ConceptMap-1'!$I$15:$N$114,Q53+1,R53)</f>
        <v>* group[=].element[=].target.code = #Observation.</v>
      </c>
    </row>
    <row r="54" spans="7:19" x14ac:dyDescent="0.75">
      <c r="G54" s="78"/>
      <c r="P54" s="11">
        <v>40</v>
      </c>
      <c r="Q54" s="11">
        <f t="shared" si="15"/>
        <v>6</v>
      </c>
      <c r="R54" s="11">
        <f t="shared" si="16"/>
        <v>4</v>
      </c>
      <c r="S54" s="12" t="str" cm="1">
        <f t="array" ref="S54">INDEX('Stage-ConceptMap-1'!$I$15:$N$114,Q54+1,R54)</f>
        <v>* group[=].element[=].target.display = ##34###34#</v>
      </c>
    </row>
    <row r="55" spans="7:19" x14ac:dyDescent="0.75">
      <c r="G55" s="78"/>
      <c r="P55" s="11">
        <v>41</v>
      </c>
      <c r="Q55" s="11">
        <f t="shared" si="15"/>
        <v>6</v>
      </c>
      <c r="R55" s="11">
        <f t="shared" si="16"/>
        <v>5</v>
      </c>
      <c r="S55" s="12" t="str" cm="1">
        <f t="array" ref="S55">INDEX('Stage-ConceptMap-1'!$I$15:$N$114,Q55+1,R55)</f>
        <v>* group[=].element[=].target.equivalence = #relatedto</v>
      </c>
    </row>
    <row r="56" spans="7:19" x14ac:dyDescent="0.75">
      <c r="G56" s="78"/>
      <c r="P56" s="11">
        <v>42</v>
      </c>
      <c r="Q56" s="11">
        <f t="shared" si="15"/>
        <v>6</v>
      </c>
      <c r="R56" s="11">
        <f t="shared" si="16"/>
        <v>6</v>
      </c>
      <c r="S56" s="12" t="str" cm="1">
        <f t="array" ref="S56">INDEX('Stage-ConceptMap-1'!$I$15:$N$114,Q56+1,R56)</f>
        <v>* group[=].element[=].target.comment = ##34#TBD##34#</v>
      </c>
    </row>
    <row r="57" spans="7:19" x14ac:dyDescent="0.75">
      <c r="G57" s="78"/>
      <c r="P57" s="11">
        <v>43</v>
      </c>
      <c r="Q57" s="11">
        <f t="shared" si="15"/>
        <v>7</v>
      </c>
      <c r="R57" s="11">
        <f t="shared" si="16"/>
        <v>1</v>
      </c>
      <c r="S57" s="12" t="str" cm="1">
        <f t="array" ref="S57">INDEX('Stage-ConceptMap-1'!$I$15:$N$114,Q57+1,R57)</f>
        <v>* group[=].element[+].code = #Stage.locoRegional</v>
      </c>
    </row>
    <row r="58" spans="7:19" x14ac:dyDescent="0.75">
      <c r="G58" s="78"/>
      <c r="P58" s="11">
        <v>44</v>
      </c>
      <c r="Q58" s="11">
        <f t="shared" si="15"/>
        <v>7</v>
      </c>
      <c r="R58" s="11">
        <f t="shared" si="16"/>
        <v>2</v>
      </c>
      <c r="S58" s="12" t="str" cm="1">
        <f t="array" ref="S58">INDEX('Stage-ConceptMap-1'!$I$15:$N$114,Q58+1,R58)</f>
        <v>* group[=].element[=].display = ##34#Loco-regional##34#</v>
      </c>
    </row>
    <row r="59" spans="7:19" x14ac:dyDescent="0.75">
      <c r="G59" s="78"/>
      <c r="P59" s="11">
        <v>45</v>
      </c>
      <c r="Q59" s="11">
        <f t="shared" si="15"/>
        <v>7</v>
      </c>
      <c r="R59" s="11">
        <f t="shared" si="16"/>
        <v>3</v>
      </c>
      <c r="S59" s="12" t="str" cm="1">
        <f t="array" ref="S59">INDEX('Stage-ConceptMap-1'!$I$15:$N$114,Q59+1,R59)</f>
        <v>* group[=].element[=].target.code = #Observation.</v>
      </c>
    </row>
    <row r="60" spans="7:19" x14ac:dyDescent="0.75">
      <c r="G60" s="78"/>
      <c r="P60" s="11">
        <v>46</v>
      </c>
      <c r="Q60" s="11">
        <f t="shared" si="15"/>
        <v>7</v>
      </c>
      <c r="R60" s="11">
        <f t="shared" si="16"/>
        <v>4</v>
      </c>
      <c r="S60" s="12" t="str" cm="1">
        <f t="array" ref="S60">INDEX('Stage-ConceptMap-1'!$I$15:$N$114,Q60+1,R60)</f>
        <v>* group[=].element[=].target.display = ##34###34#</v>
      </c>
    </row>
    <row r="61" spans="7:19" x14ac:dyDescent="0.75">
      <c r="G61" s="78"/>
      <c r="P61" s="11">
        <v>47</v>
      </c>
      <c r="Q61" s="11">
        <f t="shared" si="15"/>
        <v>7</v>
      </c>
      <c r="R61" s="11">
        <f t="shared" si="16"/>
        <v>5</v>
      </c>
      <c r="S61" s="12" t="str" cm="1">
        <f t="array" ref="S61">INDEX('Stage-ConceptMap-1'!$I$15:$N$114,Q61+1,R61)</f>
        <v>* group[=].element[=].target.equivalence = #relatedto</v>
      </c>
    </row>
    <row r="62" spans="7:19" x14ac:dyDescent="0.75">
      <c r="G62" s="78"/>
      <c r="P62" s="11">
        <v>48</v>
      </c>
      <c r="Q62" s="11">
        <f t="shared" si="15"/>
        <v>7</v>
      </c>
      <c r="R62" s="11">
        <f t="shared" si="16"/>
        <v>6</v>
      </c>
      <c r="S62" s="12" t="str" cm="1">
        <f t="array" ref="S62">INDEX('Stage-ConceptMap-1'!$I$15:$N$114,Q62+1,R62)</f>
        <v>* group[=].element[=].target.comment = ##34#TBD##34#</v>
      </c>
    </row>
    <row r="63" spans="7:19" x14ac:dyDescent="0.75">
      <c r="G63" s="78"/>
      <c r="P63" s="11">
        <v>49</v>
      </c>
      <c r="Q63" s="11">
        <f t="shared" si="15"/>
        <v>8</v>
      </c>
      <c r="R63" s="11">
        <f t="shared" si="16"/>
        <v>1</v>
      </c>
      <c r="S63" s="12" t="str" cm="1">
        <f t="array" ref="S63">INDEX('Stage-ConceptMap-1'!$I$15:$N$114,Q63+1,R63)</f>
        <v>* group[=].element[+].code = #Stage.isMetastatic</v>
      </c>
    </row>
    <row r="64" spans="7:19" x14ac:dyDescent="0.75">
      <c r="G64" s="78"/>
      <c r="P64" s="11">
        <v>50</v>
      </c>
      <c r="Q64" s="11">
        <f t="shared" si="15"/>
        <v>8</v>
      </c>
      <c r="R64" s="11">
        <f t="shared" si="16"/>
        <v>2</v>
      </c>
      <c r="S64" s="12" t="str" cm="1">
        <f t="array" ref="S64">INDEX('Stage-ConceptMap-1'!$I$15:$N$114,Q64+1,R64)</f>
        <v>* group[=].element[=].display = ##34#Is metastatic##34#</v>
      </c>
    </row>
    <row r="65" spans="7:19" x14ac:dyDescent="0.75">
      <c r="G65" s="78"/>
      <c r="P65" s="11">
        <v>51</v>
      </c>
      <c r="Q65" s="11">
        <f t="shared" si="15"/>
        <v>8</v>
      </c>
      <c r="R65" s="11">
        <f t="shared" si="16"/>
        <v>3</v>
      </c>
      <c r="S65" s="12" t="str" cm="1">
        <f t="array" ref="S65">INDEX('Stage-ConceptMap-1'!$I$15:$N$114,Q65+1,R65)</f>
        <v>* group[=].element[=].target.code = #Observation.</v>
      </c>
    </row>
    <row r="66" spans="7:19" x14ac:dyDescent="0.75">
      <c r="G66" s="78"/>
      <c r="P66" s="11">
        <v>52</v>
      </c>
      <c r="Q66" s="11">
        <f t="shared" si="15"/>
        <v>8</v>
      </c>
      <c r="R66" s="11">
        <f t="shared" si="16"/>
        <v>4</v>
      </c>
      <c r="S66" s="12" t="str" cm="1">
        <f t="array" ref="S66">INDEX('Stage-ConceptMap-1'!$I$15:$N$114,Q66+1,R66)</f>
        <v>* group[=].element[=].target.display = ##34###34#</v>
      </c>
    </row>
    <row r="67" spans="7:19" x14ac:dyDescent="0.75">
      <c r="G67" s="78"/>
      <c r="P67" s="11">
        <v>53</v>
      </c>
      <c r="Q67" s="11">
        <f t="shared" si="15"/>
        <v>8</v>
      </c>
      <c r="R67" s="11">
        <f t="shared" si="16"/>
        <v>5</v>
      </c>
      <c r="S67" s="12" t="str" cm="1">
        <f t="array" ref="S67">INDEX('Stage-ConceptMap-1'!$I$15:$N$114,Q67+1,R67)</f>
        <v>* group[=].element[=].target.equivalence = #relatedto</v>
      </c>
    </row>
    <row r="68" spans="7:19" ht="29.5" x14ac:dyDescent="0.75">
      <c r="G68" s="78"/>
      <c r="P68" s="11">
        <v>54</v>
      </c>
      <c r="Q68" s="11">
        <f t="shared" si="15"/>
        <v>8</v>
      </c>
      <c r="R68" s="11">
        <f t="shared" si="16"/>
        <v>6</v>
      </c>
      <c r="S68" s="12" t="str" cm="1">
        <f t="array" ref="S68">INDEX('Stage-ConceptMap-1'!$I$15:$N$114,Q68+1,R68)</f>
        <v>* group[=].element[=].target.comment = ##34#check is the existance of metastatic conditions is enough##34#</v>
      </c>
    </row>
    <row r="69" spans="7:19" x14ac:dyDescent="0.75">
      <c r="G69" s="78"/>
      <c r="P69" s="11">
        <v>55</v>
      </c>
      <c r="Q69" s="11">
        <f t="shared" si="15"/>
        <v>9</v>
      </c>
      <c r="R69" s="11">
        <f t="shared" si="16"/>
        <v>1</v>
      </c>
      <c r="S69" s="12" t="str" cm="1">
        <f t="array" ref="S69">INDEX('Stage-ConceptMap-1'!$I$15:$N$114,Q69+1,R69)</f>
        <v>* group[=].element[+].code = #Stage.ajccEdition</v>
      </c>
    </row>
    <row r="70" spans="7:19" x14ac:dyDescent="0.75">
      <c r="G70" s="78"/>
      <c r="P70" s="11">
        <v>56</v>
      </c>
      <c r="Q70" s="11">
        <f t="shared" si="15"/>
        <v>9</v>
      </c>
      <c r="R70" s="11">
        <f t="shared" si="16"/>
        <v>2</v>
      </c>
      <c r="S70" s="12" t="str" cm="1">
        <f t="array" ref="S70">INDEX('Stage-ConceptMap-1'!$I$15:$N$114,Q70+1,R70)</f>
        <v>* group[=].element[=].display = ##34#Ajcc edition##34#</v>
      </c>
    </row>
    <row r="71" spans="7:19" ht="29.5" x14ac:dyDescent="0.75">
      <c r="G71" s="78"/>
      <c r="P71" s="11">
        <v>57</v>
      </c>
      <c r="Q71" s="11">
        <f t="shared" si="15"/>
        <v>9</v>
      </c>
      <c r="R71" s="11">
        <f t="shared" si="16"/>
        <v>3</v>
      </c>
      <c r="S71" s="12" t="str" cm="1">
        <f t="array" ref="S71">INDEX('Stage-ConceptMap-1'!$I$15:$N$114,Q71+1,R71)</f>
        <v>* group[=].element[=].target.code = #Observation.valueCodeableConcept.coding.system</v>
      </c>
    </row>
    <row r="72" spans="7:19" x14ac:dyDescent="0.75">
      <c r="G72" s="78"/>
      <c r="P72" s="11">
        <v>58</v>
      </c>
      <c r="Q72" s="11">
        <f t="shared" si="15"/>
        <v>9</v>
      </c>
      <c r="R72" s="11">
        <f t="shared" si="16"/>
        <v>4</v>
      </c>
      <c r="S72" s="12" t="str" cm="1">
        <f t="array" ref="S72">INDEX('Stage-ConceptMap-1'!$I$15:$N$114,Q72+1,R72)</f>
        <v>* group[=].element[=].target.display = ##34###34#</v>
      </c>
    </row>
    <row r="73" spans="7:19" x14ac:dyDescent="0.75">
      <c r="G73" s="78"/>
      <c r="P73" s="11">
        <v>59</v>
      </c>
      <c r="Q73" s="11">
        <f t="shared" si="15"/>
        <v>9</v>
      </c>
      <c r="R73" s="11">
        <f t="shared" si="16"/>
        <v>5</v>
      </c>
      <c r="S73" s="12" t="str" cm="1">
        <f t="array" ref="S73">INDEX('Stage-ConceptMap-1'!$I$15:$N$114,Q73+1,R73)</f>
        <v>* group[=].element[=].target.equivalence = #relatedto</v>
      </c>
    </row>
    <row r="74" spans="7:19" ht="29.5" x14ac:dyDescent="0.75">
      <c r="G74" s="78"/>
      <c r="P74" s="11">
        <v>60</v>
      </c>
      <c r="Q74" s="11">
        <f t="shared" si="15"/>
        <v>9</v>
      </c>
      <c r="R74" s="11">
        <f t="shared" si="16"/>
        <v>6</v>
      </c>
      <c r="S74" s="12" t="str" cm="1">
        <f t="array" ref="S74">INDEX('Stage-ConceptMap-1'!$I$15:$N$114,Q74+1,R74)</f>
        <v>* group[=].element[=].target.comment = ##34#if the ajcc system is used for the classification (to be checked)##34#</v>
      </c>
    </row>
    <row r="75" spans="7:19" x14ac:dyDescent="0.75">
      <c r="G75" s="78"/>
      <c r="P75" s="11">
        <v>61</v>
      </c>
      <c r="Q75" s="11">
        <f t="shared" si="15"/>
        <v>10</v>
      </c>
      <c r="R75" s="11">
        <f t="shared" si="16"/>
        <v>1</v>
      </c>
      <c r="S75" s="12" t="str" cm="1">
        <f t="array" ref="S75">INDEX('Stage-ConceptMap-1'!$I$15:$N$114,Q75+1,R75)</f>
        <v>* group[=].element[+].code = #Stage.regionalNodalMetastases</v>
      </c>
    </row>
    <row r="76" spans="7:19" x14ac:dyDescent="0.75">
      <c r="G76" s="78"/>
      <c r="P76" s="11">
        <v>62</v>
      </c>
      <c r="Q76" s="11">
        <f t="shared" si="15"/>
        <v>10</v>
      </c>
      <c r="R76" s="11">
        <f t="shared" si="16"/>
        <v>2</v>
      </c>
      <c r="S76" s="12" t="str" cm="1">
        <f t="array" ref="S76">INDEX('Stage-ConceptMap-1'!$I$15:$N$114,Q76+1,R76)</f>
        <v>* group[=].element[=].display = ##34#Regional nodal metastases##34#</v>
      </c>
    </row>
    <row r="77" spans="7:19" x14ac:dyDescent="0.75">
      <c r="G77" s="78"/>
      <c r="P77" s="11">
        <v>63</v>
      </c>
      <c r="Q77" s="11">
        <f t="shared" si="15"/>
        <v>10</v>
      </c>
      <c r="R77" s="11">
        <f t="shared" si="16"/>
        <v>3</v>
      </c>
      <c r="S77" s="12" t="str" cm="1">
        <f t="array" ref="S77">INDEX('Stage-ConceptMap-1'!$I$15:$N$114,Q77+1,R77)</f>
        <v>* group[=].element[=].target.code = #Observation.</v>
      </c>
    </row>
    <row r="78" spans="7:19" x14ac:dyDescent="0.75">
      <c r="G78" s="78"/>
      <c r="P78" s="11">
        <v>64</v>
      </c>
      <c r="Q78" s="11">
        <f t="shared" si="15"/>
        <v>10</v>
      </c>
      <c r="R78" s="11">
        <f t="shared" si="16"/>
        <v>4</v>
      </c>
      <c r="S78" s="12" t="str" cm="1">
        <f t="array" ref="S78">INDEX('Stage-ConceptMap-1'!$I$15:$N$114,Q78+1,R78)</f>
        <v>* group[=].element[=].target.display = ##34###34#</v>
      </c>
    </row>
    <row r="79" spans="7:19" x14ac:dyDescent="0.75">
      <c r="G79" s="78"/>
      <c r="P79" s="11">
        <v>65</v>
      </c>
      <c r="Q79" s="11">
        <f t="shared" si="15"/>
        <v>10</v>
      </c>
      <c r="R79" s="11">
        <f t="shared" si="16"/>
        <v>5</v>
      </c>
      <c r="S79" s="12" t="str" cm="1">
        <f t="array" ref="S79">INDEX('Stage-ConceptMap-1'!$I$15:$N$114,Q79+1,R79)</f>
        <v>* group[=].element[=].target.equivalence = #relatedto</v>
      </c>
    </row>
    <row r="80" spans="7:19" ht="29.5" x14ac:dyDescent="0.75">
      <c r="G80" s="78"/>
      <c r="P80" s="11">
        <v>66</v>
      </c>
      <c r="Q80" s="11">
        <f t="shared" si="15"/>
        <v>10</v>
      </c>
      <c r="R80" s="11">
        <f t="shared" si="16"/>
        <v>6</v>
      </c>
      <c r="S80" s="12" t="str" cm="1">
        <f t="array" ref="S80">INDEX('Stage-ConceptMap-1'!$I$15:$N$114,Q80+1,R80)</f>
        <v>* group[=].element[=].target.comment = ##34#check if it could be documented in the metastatic condition##34#</v>
      </c>
    </row>
    <row r="81" spans="7:19" x14ac:dyDescent="0.75">
      <c r="G81" s="78"/>
      <c r="P81" s="11">
        <v>67</v>
      </c>
      <c r="Q81" s="11">
        <f t="shared" si="15"/>
        <v>11</v>
      </c>
      <c r="R81" s="11">
        <f t="shared" si="16"/>
        <v>1</v>
      </c>
      <c r="S81" s="12" t="str" cm="1">
        <f t="array" ref="S81">INDEX('Stage-ConceptMap-1'!$I$15:$N$114,Q81+1,R81)</f>
        <v>* group[=].element[+].code = #Stage.sites</v>
      </c>
    </row>
    <row r="82" spans="7:19" x14ac:dyDescent="0.75">
      <c r="G82" s="78"/>
      <c r="P82" s="11">
        <v>68</v>
      </c>
      <c r="Q82" s="11">
        <f t="shared" ref="Q82:Q145" si="17">IF(MOD(P82,$Q$8)=0,P82/$Q$8-1,INT(P82/$Q$8))</f>
        <v>11</v>
      </c>
      <c r="R82" s="11">
        <f t="shared" ref="R82:R145" si="18">IF(MOD(P82,$Q$8)=0,$Q$8,MOD(P82,$Q$8))</f>
        <v>2</v>
      </c>
      <c r="S82" s="12" t="str" cm="1">
        <f t="array" ref="S82">INDEX('Stage-ConceptMap-1'!$I$15:$N$114,Q82+1,R82)</f>
        <v>* group[=].element[=].display = ##34#sites##34#</v>
      </c>
    </row>
    <row r="83" spans="7:19" x14ac:dyDescent="0.75">
      <c r="G83" s="78"/>
      <c r="P83" s="11">
        <v>69</v>
      </c>
      <c r="Q83" s="11">
        <f t="shared" si="17"/>
        <v>11</v>
      </c>
      <c r="R83" s="11">
        <f t="shared" si="18"/>
        <v>3</v>
      </c>
      <c r="S83" s="12" t="str" cm="1">
        <f t="array" ref="S83">INDEX('Stage-ConceptMap-1'!$I$15:$N$114,Q83+1,R83)</f>
        <v>//-- unmatched</v>
      </c>
    </row>
    <row r="84" spans="7:19" x14ac:dyDescent="0.75">
      <c r="G84" s="78"/>
      <c r="P84" s="11">
        <v>70</v>
      </c>
      <c r="Q84" s="11">
        <f t="shared" si="17"/>
        <v>11</v>
      </c>
      <c r="R84" s="11">
        <f t="shared" si="18"/>
        <v>4</v>
      </c>
      <c r="S84" s="12" t="str" cm="1">
        <f t="array" ref="S84">INDEX('Stage-ConceptMap-1'!$I$15:$N$114,Q84+1,R84)</f>
        <v>//-- unmatched</v>
      </c>
    </row>
    <row r="85" spans="7:19" x14ac:dyDescent="0.75">
      <c r="G85" s="78"/>
      <c r="P85" s="11">
        <v>71</v>
      </c>
      <c r="Q85" s="11">
        <f t="shared" si="17"/>
        <v>11</v>
      </c>
      <c r="R85" s="11">
        <f t="shared" si="18"/>
        <v>5</v>
      </c>
      <c r="S85" s="12" t="str" cm="1">
        <f t="array" ref="S85">INDEX('Stage-ConceptMap-1'!$I$15:$N$114,Q85+1,R85)</f>
        <v>* group[=].element[=].target.equivalence = #unmatched</v>
      </c>
    </row>
    <row r="86" spans="7:19" ht="29.5" x14ac:dyDescent="0.75">
      <c r="G86" s="78"/>
      <c r="P86" s="11">
        <v>72</v>
      </c>
      <c r="Q86" s="11">
        <f t="shared" si="17"/>
        <v>11</v>
      </c>
      <c r="R86" s="11">
        <f t="shared" si="18"/>
        <v>6</v>
      </c>
      <c r="S86" s="12" t="str" cm="1">
        <f t="array" ref="S86">INDEX('Stage-ConceptMap-1'!$I$15:$N$114,Q86+1,R86)</f>
        <v>* group[=].element[=].target.comment = ##34#documented in the metastatic condiiton##34#</v>
      </c>
    </row>
    <row r="87" spans="7:19" x14ac:dyDescent="0.75">
      <c r="G87" s="78"/>
      <c r="P87" s="11">
        <v>73</v>
      </c>
      <c r="Q87" s="11">
        <f t="shared" si="17"/>
        <v>12</v>
      </c>
      <c r="R87" s="11">
        <f t="shared" si="18"/>
        <v>1</v>
      </c>
      <c r="S87" s="12" t="str" cm="1">
        <f t="array" ref="S87">INDEX('Stage-ConceptMap-1'!$I$15:$N$114,Q87+1,R87)</f>
        <v>* group[=].element[+].code = #Stage.stagingClassification</v>
      </c>
    </row>
    <row r="88" spans="7:19" x14ac:dyDescent="0.75">
      <c r="G88" s="78"/>
      <c r="P88" s="11">
        <v>74</v>
      </c>
      <c r="Q88" s="11">
        <f t="shared" si="17"/>
        <v>12</v>
      </c>
      <c r="R88" s="11">
        <f t="shared" si="18"/>
        <v>2</v>
      </c>
      <c r="S88" s="12" t="str" cm="1">
        <f t="array" ref="S88">INDEX('Stage-ConceptMap-1'!$I$15:$N$114,Q88+1,R88)</f>
        <v>* group[=].element[=].display = ##34#Staging classification##34#</v>
      </c>
    </row>
    <row r="89" spans="7:19" x14ac:dyDescent="0.75">
      <c r="G89" s="78"/>
      <c r="P89" s="11">
        <v>75</v>
      </c>
      <c r="Q89" s="11">
        <f t="shared" si="17"/>
        <v>12</v>
      </c>
      <c r="R89" s="11">
        <f t="shared" si="18"/>
        <v>3</v>
      </c>
      <c r="S89" s="12" t="str" cm="1">
        <f t="array" ref="S89">INDEX('Stage-ConceptMap-1'!$I$15:$N$114,Q89+1,R89)</f>
        <v>* group[=].element[=].target.code = #Observation.valueCodeableConcept</v>
      </c>
    </row>
    <row r="90" spans="7:19" x14ac:dyDescent="0.75">
      <c r="G90" s="78"/>
      <c r="P90" s="11">
        <v>76</v>
      </c>
      <c r="Q90" s="11">
        <f t="shared" si="17"/>
        <v>12</v>
      </c>
      <c r="R90" s="11">
        <f t="shared" si="18"/>
        <v>4</v>
      </c>
      <c r="S90" s="12" t="str" cm="1">
        <f t="array" ref="S90">INDEX('Stage-ConceptMap-1'!$I$15:$N$114,Q90+1,R90)</f>
        <v>* group[=].element[=].target.display = ##34###34#</v>
      </c>
    </row>
    <row r="91" spans="7:19" x14ac:dyDescent="0.75">
      <c r="G91" s="78"/>
      <c r="P91" s="11">
        <v>77</v>
      </c>
      <c r="Q91" s="11">
        <f t="shared" si="17"/>
        <v>12</v>
      </c>
      <c r="R91" s="11">
        <f t="shared" si="18"/>
        <v>5</v>
      </c>
      <c r="S91" s="12" t="str" cm="1">
        <f t="array" ref="S91">INDEX('Stage-ConceptMap-1'!$I$15:$N$114,Q91+1,R91)</f>
        <v>* group[=].element[=].target.equivalence = #equivalent</v>
      </c>
    </row>
    <row r="92" spans="7:19" x14ac:dyDescent="0.75">
      <c r="G92" s="78"/>
      <c r="P92" s="11">
        <v>78</v>
      </c>
      <c r="Q92" s="11">
        <f t="shared" si="17"/>
        <v>12</v>
      </c>
      <c r="R92" s="11">
        <f t="shared" si="18"/>
        <v>6</v>
      </c>
      <c r="S92" s="12" t="str" cm="1">
        <f t="array" ref="S92">INDEX('Stage-ConceptMap-1'!$I$15:$N$114,Q92+1,R92)</f>
        <v/>
      </c>
    </row>
    <row r="93" spans="7:19" x14ac:dyDescent="0.75">
      <c r="G93" s="78"/>
      <c r="P93" s="11">
        <v>79</v>
      </c>
      <c r="Q93" s="11">
        <f t="shared" si="17"/>
        <v>13</v>
      </c>
      <c r="R93" s="11">
        <f t="shared" si="18"/>
        <v>1</v>
      </c>
      <c r="S93" s="12" cm="1">
        <f t="array" ref="S93">INDEX('Stage-ConceptMap-1'!$I$15:$N$114,Q93+1,R93)</f>
        <v>0</v>
      </c>
    </row>
    <row r="94" spans="7:19" x14ac:dyDescent="0.75">
      <c r="G94" s="78"/>
      <c r="P94" s="11">
        <v>80</v>
      </c>
      <c r="Q94" s="11">
        <f t="shared" si="17"/>
        <v>13</v>
      </c>
      <c r="R94" s="11">
        <f t="shared" si="18"/>
        <v>2</v>
      </c>
      <c r="S94" s="12" cm="1">
        <f t="array" ref="S94">INDEX('Stage-ConceptMap-1'!$I$15:$N$114,Q94+1,R94)</f>
        <v>0</v>
      </c>
    </row>
    <row r="95" spans="7:19" x14ac:dyDescent="0.75">
      <c r="G95" s="78"/>
      <c r="P95" s="11">
        <v>81</v>
      </c>
      <c r="Q95" s="11">
        <f t="shared" si="17"/>
        <v>13</v>
      </c>
      <c r="R95" s="11">
        <f t="shared" si="18"/>
        <v>3</v>
      </c>
      <c r="S95" s="12" cm="1">
        <f t="array" ref="S95">INDEX('Stage-ConceptMap-1'!$I$15:$N$114,Q95+1,R95)</f>
        <v>0</v>
      </c>
    </row>
    <row r="96" spans="7:19" x14ac:dyDescent="0.75">
      <c r="G96" s="78"/>
      <c r="P96" s="11">
        <v>82</v>
      </c>
      <c r="Q96" s="11">
        <f t="shared" si="17"/>
        <v>13</v>
      </c>
      <c r="R96" s="11">
        <f t="shared" si="18"/>
        <v>4</v>
      </c>
      <c r="S96" s="12" cm="1">
        <f t="array" ref="S96">INDEX('Stage-ConceptMap-1'!$I$15:$N$114,Q96+1,R96)</f>
        <v>0</v>
      </c>
    </row>
    <row r="97" spans="7:19" x14ac:dyDescent="0.75">
      <c r="G97" s="78"/>
      <c r="P97" s="11">
        <v>83</v>
      </c>
      <c r="Q97" s="11">
        <f t="shared" si="17"/>
        <v>13</v>
      </c>
      <c r="R97" s="11">
        <f t="shared" si="18"/>
        <v>5</v>
      </c>
      <c r="S97" s="12" cm="1">
        <f t="array" ref="S97">INDEX('Stage-ConceptMap-1'!$I$15:$N$114,Q97+1,R97)</f>
        <v>0</v>
      </c>
    </row>
    <row r="98" spans="7:19" x14ac:dyDescent="0.75">
      <c r="G98" s="78"/>
      <c r="P98" s="11">
        <v>84</v>
      </c>
      <c r="Q98" s="11">
        <f t="shared" si="17"/>
        <v>13</v>
      </c>
      <c r="R98" s="11">
        <f t="shared" si="18"/>
        <v>6</v>
      </c>
      <c r="S98" s="12" cm="1">
        <f t="array" ref="S98">INDEX('Stage-ConceptMap-1'!$I$15:$N$114,Q98+1,R98)</f>
        <v>0</v>
      </c>
    </row>
    <row r="99" spans="7:19" x14ac:dyDescent="0.75">
      <c r="G99" s="78"/>
      <c r="P99" s="11">
        <v>85</v>
      </c>
      <c r="Q99" s="11">
        <f t="shared" si="17"/>
        <v>14</v>
      </c>
      <c r="R99" s="11">
        <f t="shared" si="18"/>
        <v>1</v>
      </c>
      <c r="S99" s="12" cm="1">
        <f t="array" ref="S99">INDEX('Stage-ConceptMap-1'!$I$15:$N$114,Q99+1,R99)</f>
        <v>0</v>
      </c>
    </row>
    <row r="100" spans="7:19" x14ac:dyDescent="0.75">
      <c r="G100" s="78"/>
      <c r="P100" s="11">
        <v>86</v>
      </c>
      <c r="Q100" s="11">
        <f t="shared" si="17"/>
        <v>14</v>
      </c>
      <c r="R100" s="11">
        <f t="shared" si="18"/>
        <v>2</v>
      </c>
      <c r="S100" s="12" cm="1">
        <f t="array" ref="S100">INDEX('Stage-ConceptMap-1'!$I$15:$N$114,Q100+1,R100)</f>
        <v>0</v>
      </c>
    </row>
    <row r="101" spans="7:19" x14ac:dyDescent="0.75">
      <c r="G101" s="78"/>
      <c r="P101" s="11">
        <v>87</v>
      </c>
      <c r="Q101" s="11">
        <f t="shared" si="17"/>
        <v>14</v>
      </c>
      <c r="R101" s="11">
        <f t="shared" si="18"/>
        <v>3</v>
      </c>
      <c r="S101" s="12" cm="1">
        <f t="array" ref="S101">INDEX('Stage-ConceptMap-1'!$I$15:$N$114,Q101+1,R101)</f>
        <v>0</v>
      </c>
    </row>
    <row r="102" spans="7:19" x14ac:dyDescent="0.75">
      <c r="G102" s="78"/>
      <c r="P102" s="11">
        <v>88</v>
      </c>
      <c r="Q102" s="11">
        <f t="shared" si="17"/>
        <v>14</v>
      </c>
      <c r="R102" s="11">
        <f t="shared" si="18"/>
        <v>4</v>
      </c>
      <c r="S102" s="12" cm="1">
        <f t="array" ref="S102">INDEX('Stage-ConceptMap-1'!$I$15:$N$114,Q102+1,R102)</f>
        <v>0</v>
      </c>
    </row>
    <row r="103" spans="7:19" x14ac:dyDescent="0.75">
      <c r="G103" s="78"/>
      <c r="P103" s="11">
        <v>89</v>
      </c>
      <c r="Q103" s="11">
        <f t="shared" si="17"/>
        <v>14</v>
      </c>
      <c r="R103" s="11">
        <f t="shared" si="18"/>
        <v>5</v>
      </c>
      <c r="S103" s="12" cm="1">
        <f t="array" ref="S103">INDEX('Stage-ConceptMap-1'!$I$15:$N$114,Q103+1,R103)</f>
        <v>0</v>
      </c>
    </row>
    <row r="104" spans="7:19" x14ac:dyDescent="0.75">
      <c r="G104" s="78"/>
      <c r="P104" s="11">
        <v>90</v>
      </c>
      <c r="Q104" s="11">
        <f t="shared" si="17"/>
        <v>14</v>
      </c>
      <c r="R104" s="11">
        <f t="shared" si="18"/>
        <v>6</v>
      </c>
      <c r="S104" s="12" cm="1">
        <f t="array" ref="S104">INDEX('Stage-ConceptMap-1'!$I$15:$N$114,Q104+1,R104)</f>
        <v>0</v>
      </c>
    </row>
    <row r="105" spans="7:19" x14ac:dyDescent="0.75">
      <c r="G105" s="78"/>
      <c r="P105" s="11">
        <v>91</v>
      </c>
      <c r="Q105" s="11">
        <f t="shared" si="17"/>
        <v>15</v>
      </c>
      <c r="R105" s="11">
        <f t="shared" si="18"/>
        <v>1</v>
      </c>
      <c r="S105" s="12" cm="1">
        <f t="array" ref="S105">INDEX('Stage-ConceptMap-1'!$I$15:$N$114,Q105+1,R105)</f>
        <v>0</v>
      </c>
    </row>
    <row r="106" spans="7:19" x14ac:dyDescent="0.75">
      <c r="G106" s="78"/>
      <c r="P106" s="11">
        <v>92</v>
      </c>
      <c r="Q106" s="11">
        <f t="shared" si="17"/>
        <v>15</v>
      </c>
      <c r="R106" s="11">
        <f t="shared" si="18"/>
        <v>2</v>
      </c>
      <c r="S106" s="12" cm="1">
        <f t="array" ref="S106">INDEX('Stage-ConceptMap-1'!$I$15:$N$114,Q106+1,R106)</f>
        <v>0</v>
      </c>
    </row>
    <row r="107" spans="7:19" x14ac:dyDescent="0.75">
      <c r="G107" s="78"/>
      <c r="P107" s="11">
        <v>93</v>
      </c>
      <c r="Q107" s="11">
        <f t="shared" si="17"/>
        <v>15</v>
      </c>
      <c r="R107" s="11">
        <f t="shared" si="18"/>
        <v>3</v>
      </c>
      <c r="S107" s="12" cm="1">
        <f t="array" ref="S107">INDEX('Stage-ConceptMap-1'!$I$15:$N$114,Q107+1,R107)</f>
        <v>0</v>
      </c>
    </row>
    <row r="108" spans="7:19" x14ac:dyDescent="0.75">
      <c r="P108" s="11">
        <v>94</v>
      </c>
      <c r="Q108" s="11">
        <f t="shared" si="17"/>
        <v>15</v>
      </c>
      <c r="R108" s="11">
        <f t="shared" si="18"/>
        <v>4</v>
      </c>
      <c r="S108" s="12" cm="1">
        <f t="array" ref="S108">INDEX('Stage-ConceptMap-1'!$I$15:$N$114,Q108+1,R108)</f>
        <v>0</v>
      </c>
    </row>
    <row r="109" spans="7:19" x14ac:dyDescent="0.75">
      <c r="P109" s="11">
        <v>95</v>
      </c>
      <c r="Q109" s="11">
        <f t="shared" si="17"/>
        <v>15</v>
      </c>
      <c r="R109" s="11">
        <f t="shared" si="18"/>
        <v>5</v>
      </c>
      <c r="S109" s="12" cm="1">
        <f t="array" ref="S109">INDEX('Stage-ConceptMap-1'!$I$15:$N$114,Q109+1,R109)</f>
        <v>0</v>
      </c>
    </row>
    <row r="110" spans="7:19" x14ac:dyDescent="0.75">
      <c r="P110" s="11">
        <v>96</v>
      </c>
      <c r="Q110" s="11">
        <f t="shared" si="17"/>
        <v>15</v>
      </c>
      <c r="R110" s="11">
        <f t="shared" si="18"/>
        <v>6</v>
      </c>
      <c r="S110" s="12" cm="1">
        <f t="array" ref="S110">INDEX('Stage-ConceptMap-1'!$I$15:$N$114,Q110+1,R110)</f>
        <v>0</v>
      </c>
    </row>
    <row r="111" spans="7:19" x14ac:dyDescent="0.75">
      <c r="P111" s="11">
        <v>97</v>
      </c>
      <c r="Q111" s="11">
        <f t="shared" si="17"/>
        <v>16</v>
      </c>
      <c r="R111" s="11">
        <f t="shared" si="18"/>
        <v>1</v>
      </c>
      <c r="S111" s="12" cm="1">
        <f t="array" ref="S111">INDEX('Stage-ConceptMap-1'!$I$15:$N$114,Q111+1,R111)</f>
        <v>0</v>
      </c>
    </row>
    <row r="112" spans="7:19" x14ac:dyDescent="0.75">
      <c r="P112" s="11">
        <v>98</v>
      </c>
      <c r="Q112" s="11">
        <f t="shared" si="17"/>
        <v>16</v>
      </c>
      <c r="R112" s="11">
        <f t="shared" si="18"/>
        <v>2</v>
      </c>
      <c r="S112" s="12" cm="1">
        <f t="array" ref="S112">INDEX('Stage-ConceptMap-1'!$I$15:$N$114,Q112+1,R112)</f>
        <v>0</v>
      </c>
    </row>
    <row r="113" spans="16:19" x14ac:dyDescent="0.75">
      <c r="P113" s="11">
        <v>99</v>
      </c>
      <c r="Q113" s="11">
        <f t="shared" si="17"/>
        <v>16</v>
      </c>
      <c r="R113" s="11">
        <f t="shared" si="18"/>
        <v>3</v>
      </c>
      <c r="S113" s="12" cm="1">
        <f t="array" ref="S113">INDEX('Stage-ConceptMap-1'!$I$15:$N$114,Q113+1,R113)</f>
        <v>0</v>
      </c>
    </row>
    <row r="114" spans="16:19" x14ac:dyDescent="0.75">
      <c r="P114" s="11">
        <v>100</v>
      </c>
      <c r="Q114" s="11">
        <f t="shared" si="17"/>
        <v>16</v>
      </c>
      <c r="R114" s="11">
        <f t="shared" si="18"/>
        <v>4</v>
      </c>
      <c r="S114" s="12" cm="1">
        <f t="array" ref="S114">INDEX('Stage-ConceptMap-1'!$I$15:$N$114,Q114+1,R114)</f>
        <v>0</v>
      </c>
    </row>
    <row r="115" spans="16:19" x14ac:dyDescent="0.75">
      <c r="P115" s="11">
        <v>101</v>
      </c>
      <c r="Q115" s="11">
        <f t="shared" si="17"/>
        <v>16</v>
      </c>
      <c r="R115" s="11">
        <f t="shared" si="18"/>
        <v>5</v>
      </c>
      <c r="S115" s="12" cm="1">
        <f t="array" ref="S115">INDEX('Stage-ConceptMap-1'!$I$15:$N$114,Q115+1,R115)</f>
        <v>0</v>
      </c>
    </row>
    <row r="116" spans="16:19" x14ac:dyDescent="0.75">
      <c r="P116" s="11">
        <v>102</v>
      </c>
      <c r="Q116" s="11">
        <f t="shared" si="17"/>
        <v>16</v>
      </c>
      <c r="R116" s="11">
        <f t="shared" si="18"/>
        <v>6</v>
      </c>
      <c r="S116" s="12" cm="1">
        <f t="array" ref="S116">INDEX('Stage-ConceptMap-1'!$I$15:$N$114,Q116+1,R116)</f>
        <v>0</v>
      </c>
    </row>
    <row r="117" spans="16:19" x14ac:dyDescent="0.75">
      <c r="P117" s="11">
        <v>103</v>
      </c>
      <c r="Q117" s="11">
        <f t="shared" si="17"/>
        <v>17</v>
      </c>
      <c r="R117" s="11">
        <f t="shared" si="18"/>
        <v>1</v>
      </c>
      <c r="S117" s="12" cm="1">
        <f t="array" ref="S117">INDEX('Stage-ConceptMap-1'!$I$15:$N$114,Q117+1,R117)</f>
        <v>0</v>
      </c>
    </row>
    <row r="118" spans="16:19" x14ac:dyDescent="0.75">
      <c r="P118" s="11">
        <v>104</v>
      </c>
      <c r="Q118" s="11">
        <f t="shared" si="17"/>
        <v>17</v>
      </c>
      <c r="R118" s="11">
        <f t="shared" si="18"/>
        <v>2</v>
      </c>
      <c r="S118" s="12" cm="1">
        <f t="array" ref="S118">INDEX('Stage-ConceptMap-1'!$I$15:$N$114,Q118+1,R118)</f>
        <v>0</v>
      </c>
    </row>
    <row r="119" spans="16:19" x14ac:dyDescent="0.75">
      <c r="P119" s="11">
        <v>105</v>
      </c>
      <c r="Q119" s="11">
        <f t="shared" si="17"/>
        <v>17</v>
      </c>
      <c r="R119" s="11">
        <f t="shared" si="18"/>
        <v>3</v>
      </c>
      <c r="S119" s="12" cm="1">
        <f t="array" ref="S119">INDEX('Stage-ConceptMap-1'!$I$15:$N$114,Q119+1,R119)</f>
        <v>0</v>
      </c>
    </row>
    <row r="120" spans="16:19" x14ac:dyDescent="0.75">
      <c r="P120" s="11">
        <v>106</v>
      </c>
      <c r="Q120" s="11">
        <f t="shared" si="17"/>
        <v>17</v>
      </c>
      <c r="R120" s="11">
        <f t="shared" si="18"/>
        <v>4</v>
      </c>
      <c r="S120" s="12" cm="1">
        <f t="array" ref="S120">INDEX('Stage-ConceptMap-1'!$I$15:$N$114,Q120+1,R120)</f>
        <v>0</v>
      </c>
    </row>
    <row r="121" spans="16:19" x14ac:dyDescent="0.75">
      <c r="P121" s="11">
        <v>107</v>
      </c>
      <c r="Q121" s="11">
        <f t="shared" si="17"/>
        <v>17</v>
      </c>
      <c r="R121" s="11">
        <f t="shared" si="18"/>
        <v>5</v>
      </c>
      <c r="S121" s="12" cm="1">
        <f t="array" ref="S121">INDEX('Stage-ConceptMap-1'!$I$15:$N$114,Q121+1,R121)</f>
        <v>0</v>
      </c>
    </row>
    <row r="122" spans="16:19" x14ac:dyDescent="0.75">
      <c r="P122" s="11">
        <v>108</v>
      </c>
      <c r="Q122" s="11">
        <f t="shared" si="17"/>
        <v>17</v>
      </c>
      <c r="R122" s="11">
        <f t="shared" si="18"/>
        <v>6</v>
      </c>
      <c r="S122" s="12" cm="1">
        <f t="array" ref="S122">INDEX('Stage-ConceptMap-1'!$I$15:$N$114,Q122+1,R122)</f>
        <v>0</v>
      </c>
    </row>
    <row r="123" spans="16:19" x14ac:dyDescent="0.75">
      <c r="P123" s="11">
        <v>109</v>
      </c>
      <c r="Q123" s="11">
        <f t="shared" si="17"/>
        <v>18</v>
      </c>
      <c r="R123" s="11">
        <f t="shared" si="18"/>
        <v>1</v>
      </c>
      <c r="S123" s="12" cm="1">
        <f t="array" ref="S123">INDEX('Stage-ConceptMap-1'!$I$15:$N$114,Q123+1,R123)</f>
        <v>0</v>
      </c>
    </row>
    <row r="124" spans="16:19" x14ac:dyDescent="0.75">
      <c r="P124" s="11">
        <v>110</v>
      </c>
      <c r="Q124" s="11">
        <f t="shared" si="17"/>
        <v>18</v>
      </c>
      <c r="R124" s="11">
        <f t="shared" si="18"/>
        <v>2</v>
      </c>
      <c r="S124" s="12" cm="1">
        <f t="array" ref="S124">INDEX('Stage-ConceptMap-1'!$I$15:$N$114,Q124+1,R124)</f>
        <v>0</v>
      </c>
    </row>
    <row r="125" spans="16:19" x14ac:dyDescent="0.75">
      <c r="P125" s="11">
        <v>111</v>
      </c>
      <c r="Q125" s="11">
        <f t="shared" si="17"/>
        <v>18</v>
      </c>
      <c r="R125" s="11">
        <f t="shared" si="18"/>
        <v>3</v>
      </c>
      <c r="S125" s="12" cm="1">
        <f t="array" ref="S125">INDEX('Stage-ConceptMap-1'!$I$15:$N$114,Q125+1,R125)</f>
        <v>0</v>
      </c>
    </row>
    <row r="126" spans="16:19" x14ac:dyDescent="0.75">
      <c r="P126" s="11">
        <v>112</v>
      </c>
      <c r="Q126" s="11">
        <f t="shared" si="17"/>
        <v>18</v>
      </c>
      <c r="R126" s="11">
        <f t="shared" si="18"/>
        <v>4</v>
      </c>
      <c r="S126" s="12" cm="1">
        <f t="array" ref="S126">INDEX('Stage-ConceptMap-1'!$I$15:$N$114,Q126+1,R126)</f>
        <v>0</v>
      </c>
    </row>
    <row r="127" spans="16:19" x14ac:dyDescent="0.75">
      <c r="P127" s="11">
        <v>113</v>
      </c>
      <c r="Q127" s="11">
        <f t="shared" si="17"/>
        <v>18</v>
      </c>
      <c r="R127" s="11">
        <f t="shared" si="18"/>
        <v>5</v>
      </c>
      <c r="S127" s="12" cm="1">
        <f t="array" ref="S127">INDEX('Stage-ConceptMap-1'!$I$15:$N$114,Q127+1,R127)</f>
        <v>0</v>
      </c>
    </row>
    <row r="128" spans="16:19" x14ac:dyDescent="0.75">
      <c r="P128" s="11">
        <v>114</v>
      </c>
      <c r="Q128" s="11">
        <f t="shared" si="17"/>
        <v>18</v>
      </c>
      <c r="R128" s="11">
        <f t="shared" si="18"/>
        <v>6</v>
      </c>
      <c r="S128" s="12" cm="1">
        <f t="array" ref="S128">INDEX('Stage-ConceptMap-1'!$I$15:$N$114,Q128+1,R128)</f>
        <v>0</v>
      </c>
    </row>
    <row r="129" spans="16:19" x14ac:dyDescent="0.75">
      <c r="P129" s="11">
        <v>115</v>
      </c>
      <c r="Q129" s="11">
        <f t="shared" si="17"/>
        <v>19</v>
      </c>
      <c r="R129" s="11">
        <f t="shared" si="18"/>
        <v>1</v>
      </c>
      <c r="S129" s="12" cm="1">
        <f t="array" ref="S129">INDEX('Stage-ConceptMap-1'!$I$15:$N$114,Q129+1,R129)</f>
        <v>0</v>
      </c>
    </row>
    <row r="130" spans="16:19" x14ac:dyDescent="0.75">
      <c r="P130" s="11">
        <v>116</v>
      </c>
      <c r="Q130" s="11">
        <f t="shared" si="17"/>
        <v>19</v>
      </c>
      <c r="R130" s="11">
        <f t="shared" si="18"/>
        <v>2</v>
      </c>
      <c r="S130" s="12" cm="1">
        <f t="array" ref="S130">INDEX('Stage-ConceptMap-1'!$I$15:$N$114,Q130+1,R130)</f>
        <v>0</v>
      </c>
    </row>
    <row r="131" spans="16:19" x14ac:dyDescent="0.75">
      <c r="P131" s="11">
        <v>117</v>
      </c>
      <c r="Q131" s="11">
        <f t="shared" si="17"/>
        <v>19</v>
      </c>
      <c r="R131" s="11">
        <f t="shared" si="18"/>
        <v>3</v>
      </c>
      <c r="S131" s="12" cm="1">
        <f t="array" ref="S131">INDEX('Stage-ConceptMap-1'!$I$15:$N$114,Q131+1,R131)</f>
        <v>0</v>
      </c>
    </row>
    <row r="132" spans="16:19" x14ac:dyDescent="0.75">
      <c r="P132" s="11">
        <v>118</v>
      </c>
      <c r="Q132" s="11">
        <f t="shared" si="17"/>
        <v>19</v>
      </c>
      <c r="R132" s="11">
        <f t="shared" si="18"/>
        <v>4</v>
      </c>
      <c r="S132" s="12" cm="1">
        <f t="array" ref="S132">INDEX('Stage-ConceptMap-1'!$I$15:$N$114,Q132+1,R132)</f>
        <v>0</v>
      </c>
    </row>
    <row r="133" spans="16:19" x14ac:dyDescent="0.75">
      <c r="P133" s="11">
        <v>119</v>
      </c>
      <c r="Q133" s="11">
        <f t="shared" si="17"/>
        <v>19</v>
      </c>
      <c r="R133" s="11">
        <f t="shared" si="18"/>
        <v>5</v>
      </c>
      <c r="S133" s="12" cm="1">
        <f t="array" ref="S133">INDEX('Stage-ConceptMap-1'!$I$15:$N$114,Q133+1,R133)</f>
        <v>0</v>
      </c>
    </row>
    <row r="134" spans="16:19" x14ac:dyDescent="0.75">
      <c r="P134" s="11">
        <v>120</v>
      </c>
      <c r="Q134" s="11">
        <f t="shared" si="17"/>
        <v>19</v>
      </c>
      <c r="R134" s="11">
        <f t="shared" si="18"/>
        <v>6</v>
      </c>
      <c r="S134" s="12" cm="1">
        <f t="array" ref="S134">INDEX('Stage-ConceptMap-1'!$I$15:$N$114,Q134+1,R134)</f>
        <v>0</v>
      </c>
    </row>
    <row r="135" spans="16:19" x14ac:dyDescent="0.75">
      <c r="P135" s="11">
        <v>121</v>
      </c>
      <c r="Q135" s="11">
        <f t="shared" si="17"/>
        <v>20</v>
      </c>
      <c r="R135" s="11">
        <f t="shared" si="18"/>
        <v>1</v>
      </c>
      <c r="S135" s="12" cm="1">
        <f t="array" ref="S135">INDEX('Stage-ConceptMap-1'!$I$15:$N$114,Q135+1,R135)</f>
        <v>0</v>
      </c>
    </row>
    <row r="136" spans="16:19" x14ac:dyDescent="0.75">
      <c r="P136" s="11">
        <v>122</v>
      </c>
      <c r="Q136" s="11">
        <f t="shared" si="17"/>
        <v>20</v>
      </c>
      <c r="R136" s="11">
        <f t="shared" si="18"/>
        <v>2</v>
      </c>
      <c r="S136" s="12" cm="1">
        <f t="array" ref="S136">INDEX('Stage-ConceptMap-1'!$I$15:$N$114,Q136+1,R136)</f>
        <v>0</v>
      </c>
    </row>
    <row r="137" spans="16:19" x14ac:dyDescent="0.75">
      <c r="P137" s="11">
        <v>123</v>
      </c>
      <c r="Q137" s="11">
        <f t="shared" si="17"/>
        <v>20</v>
      </c>
      <c r="R137" s="11">
        <f t="shared" si="18"/>
        <v>3</v>
      </c>
      <c r="S137" s="12" cm="1">
        <f t="array" ref="S137">INDEX('Stage-ConceptMap-1'!$I$15:$N$114,Q137+1,R137)</f>
        <v>0</v>
      </c>
    </row>
    <row r="138" spans="16:19" x14ac:dyDescent="0.75">
      <c r="P138" s="11">
        <v>124</v>
      </c>
      <c r="Q138" s="11">
        <f t="shared" si="17"/>
        <v>20</v>
      </c>
      <c r="R138" s="11">
        <f t="shared" si="18"/>
        <v>4</v>
      </c>
      <c r="S138" s="12" cm="1">
        <f t="array" ref="S138">INDEX('Stage-ConceptMap-1'!$I$15:$N$114,Q138+1,R138)</f>
        <v>0</v>
      </c>
    </row>
    <row r="139" spans="16:19" x14ac:dyDescent="0.75">
      <c r="P139" s="11">
        <v>125</v>
      </c>
      <c r="Q139" s="11">
        <f t="shared" si="17"/>
        <v>20</v>
      </c>
      <c r="R139" s="11">
        <f t="shared" si="18"/>
        <v>5</v>
      </c>
      <c r="S139" s="12" cm="1">
        <f t="array" ref="S139">INDEX('Stage-ConceptMap-1'!$I$15:$N$114,Q139+1,R139)</f>
        <v>0</v>
      </c>
    </row>
    <row r="140" spans="16:19" x14ac:dyDescent="0.75">
      <c r="P140" s="11">
        <v>126</v>
      </c>
      <c r="Q140" s="11">
        <f t="shared" si="17"/>
        <v>20</v>
      </c>
      <c r="R140" s="11">
        <f t="shared" si="18"/>
        <v>6</v>
      </c>
      <c r="S140" s="12" cm="1">
        <f t="array" ref="S140">INDEX('Stage-ConceptMap-1'!$I$15:$N$114,Q140+1,R140)</f>
        <v>0</v>
      </c>
    </row>
    <row r="141" spans="16:19" x14ac:dyDescent="0.75">
      <c r="P141" s="11">
        <v>127</v>
      </c>
      <c r="Q141" s="11">
        <f t="shared" si="17"/>
        <v>21</v>
      </c>
      <c r="R141" s="11">
        <f t="shared" si="18"/>
        <v>1</v>
      </c>
      <c r="S141" s="12" cm="1">
        <f t="array" ref="S141">INDEX('Stage-ConceptMap-1'!$I$15:$N$114,Q141+1,R141)</f>
        <v>0</v>
      </c>
    </row>
    <row r="142" spans="16:19" x14ac:dyDescent="0.75">
      <c r="P142" s="11">
        <v>128</v>
      </c>
      <c r="Q142" s="11">
        <f t="shared" si="17"/>
        <v>21</v>
      </c>
      <c r="R142" s="11">
        <f t="shared" si="18"/>
        <v>2</v>
      </c>
      <c r="S142" s="12" cm="1">
        <f t="array" ref="S142">INDEX('Stage-ConceptMap-1'!$I$15:$N$114,Q142+1,R142)</f>
        <v>0</v>
      </c>
    </row>
    <row r="143" spans="16:19" x14ac:dyDescent="0.75">
      <c r="P143" s="11">
        <v>129</v>
      </c>
      <c r="Q143" s="11">
        <f t="shared" si="17"/>
        <v>21</v>
      </c>
      <c r="R143" s="11">
        <f t="shared" si="18"/>
        <v>3</v>
      </c>
      <c r="S143" s="12" cm="1">
        <f t="array" ref="S143">INDEX('Stage-ConceptMap-1'!$I$15:$N$114,Q143+1,R143)</f>
        <v>0</v>
      </c>
    </row>
    <row r="144" spans="16:19" x14ac:dyDescent="0.75">
      <c r="P144" s="11">
        <v>130</v>
      </c>
      <c r="Q144" s="11">
        <f t="shared" si="17"/>
        <v>21</v>
      </c>
      <c r="R144" s="11">
        <f t="shared" si="18"/>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ref="Q146" si="19">IF(MOD(P146,$Q$8)=0,P146/$Q$8-1,INT(P146/$Q$8))</f>
        <v>21</v>
      </c>
      <c r="R146" s="11">
        <f t="shared" ref="R146" si="20">IF(MOD(P146,$Q$8)=0,$Q$8,MOD(P146,$Q$8))</f>
        <v>6</v>
      </c>
      <c r="S146" s="12" cm="1">
        <f t="array" ref="S146">INDEX('Stage-ConceptMap-1'!$I$15:$N$114,Q146+1,R146)</f>
        <v>0</v>
      </c>
    </row>
    <row r="147" spans="16:19" x14ac:dyDescent="0.75">
      <c r="P147" s="11">
        <v>143</v>
      </c>
      <c r="Q147" s="11">
        <f t="shared" ref="Q147:Q153" si="21">IF(MOD(P147,$Q$8)=0,P147/$Q$8-1,INT(P147/$Q$8))</f>
        <v>23</v>
      </c>
      <c r="R147" s="11">
        <f t="shared" ref="R147:R153" si="22">IF(MOD(P147,$Q$8)=0,$Q$8,MOD(P147,$Q$8))</f>
        <v>5</v>
      </c>
      <c r="S147" s="12" cm="1">
        <f t="array" ref="S147">INDEX('Stage-ConceptMap-1'!$I$15:$N$114,Q147+1,R147)</f>
        <v>0</v>
      </c>
    </row>
    <row r="148" spans="16:19" x14ac:dyDescent="0.75">
      <c r="P148" s="11">
        <v>144</v>
      </c>
      <c r="Q148" s="11">
        <f t="shared" si="21"/>
        <v>23</v>
      </c>
      <c r="R148" s="11">
        <f t="shared" si="22"/>
        <v>6</v>
      </c>
      <c r="S148" s="12" cm="1">
        <f t="array" ref="S148">INDEX('Stage-ConceptMap-1'!$I$15:$N$114,Q148+1,R148)</f>
        <v>0</v>
      </c>
    </row>
    <row r="149" spans="16:19" x14ac:dyDescent="0.75">
      <c r="P149" s="11">
        <v>145</v>
      </c>
      <c r="Q149" s="11">
        <f t="shared" si="21"/>
        <v>24</v>
      </c>
      <c r="R149" s="11">
        <f t="shared" si="22"/>
        <v>1</v>
      </c>
      <c r="S149" s="12" cm="1">
        <f t="array" ref="S149">INDEX('Stage-ConceptMap-1'!$I$15:$N$114,Q149+1,R149)</f>
        <v>0</v>
      </c>
    </row>
    <row r="150" spans="16:19" x14ac:dyDescent="0.75">
      <c r="P150" s="11">
        <v>146</v>
      </c>
      <c r="Q150" s="11">
        <f t="shared" si="21"/>
        <v>24</v>
      </c>
      <c r="R150" s="11">
        <f t="shared" si="22"/>
        <v>2</v>
      </c>
      <c r="S150" s="12" cm="1">
        <f t="array" ref="S150">INDEX('Stage-ConceptMap-1'!$I$15:$N$114,Q150+1,R150)</f>
        <v>0</v>
      </c>
    </row>
    <row r="151" spans="16:19" x14ac:dyDescent="0.75">
      <c r="P151" s="11">
        <v>147</v>
      </c>
      <c r="Q151" s="11">
        <f t="shared" si="21"/>
        <v>24</v>
      </c>
      <c r="R151" s="11">
        <f t="shared" si="22"/>
        <v>3</v>
      </c>
      <c r="S151" s="12" cm="1">
        <f t="array" ref="S151">INDEX('Stage-ConceptMap-1'!$I$15:$N$114,Q151+1,R151)</f>
        <v>0</v>
      </c>
    </row>
    <row r="152" spans="16:19" x14ac:dyDescent="0.75">
      <c r="P152" s="11">
        <v>148</v>
      </c>
      <c r="Q152" s="11">
        <f t="shared" si="21"/>
        <v>24</v>
      </c>
      <c r="R152" s="11">
        <f t="shared" si="22"/>
        <v>4</v>
      </c>
      <c r="S152" s="12" cm="1">
        <f t="array" ref="S152">INDEX('Stage-ConceptMap-1'!$I$15:$N$114,Q152+1,R152)</f>
        <v>0</v>
      </c>
    </row>
    <row r="153" spans="16:19" x14ac:dyDescent="0.75">
      <c r="P153" s="11">
        <v>149</v>
      </c>
      <c r="Q153" s="11">
        <f t="shared" si="21"/>
        <v>24</v>
      </c>
      <c r="R153" s="11">
        <f t="shared" si="22"/>
        <v>5</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topLeftCell="A10"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tr">
        <f>'Stage-ConceptMap-1'!C3</f>
        <v>Stage2FHIR</v>
      </c>
      <c r="D3" s="47" t="s">
        <v>1479</v>
      </c>
      <c r="E3" s="72" t="str">
        <f>$C$1&amp;Stage!B4</f>
        <v>http://hl7.eu/fhir/ig/idea4rc/StructureDefinition/StageI4rc</v>
      </c>
    </row>
    <row r="4" spans="1:19" ht="15.5" thickBot="1" x14ac:dyDescent="0.9">
      <c r="B4" s="47" t="s">
        <v>16</v>
      </c>
      <c r="C4" s="28" t="str">
        <f>'Stage-ConceptMap-1'!C4</f>
        <v>stage2FHIR</v>
      </c>
      <c r="D4" s="47" t="s">
        <v>1480</v>
      </c>
      <c r="E4" s="144" t="s">
        <v>1648</v>
      </c>
      <c r="F4" s="145"/>
      <c r="G4" s="14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1481</v>
      </c>
      <c r="E6" s="144" t="str">
        <f>E3</f>
        <v>http://hl7.eu/fhir/ig/idea4rc/StructureDefinition/StageI4rc</v>
      </c>
      <c r="F6" s="145"/>
      <c r="G6" s="145"/>
    </row>
    <row r="7" spans="1:19" ht="15.5" thickBot="1" x14ac:dyDescent="0.9">
      <c r="B7" s="47" t="s">
        <v>15</v>
      </c>
      <c r="C7" s="28">
        <f>'Stage-ConceptMap-1'!C7</f>
        <v>0</v>
      </c>
      <c r="D7" s="47" t="s">
        <v>1482</v>
      </c>
      <c r="E7" s="144" t="s">
        <v>1648</v>
      </c>
      <c r="F7" s="145"/>
      <c r="G7" s="145"/>
    </row>
    <row r="8" spans="1:19" ht="45" thickBot="1" x14ac:dyDescent="0.9">
      <c r="B8" s="47" t="s">
        <v>1483</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1484</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2"/>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1642</v>
      </c>
      <c r="E16" s="62"/>
      <c r="F16" s="96" t="s">
        <v>1316</v>
      </c>
      <c r="G16" s="142"/>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6" t="s">
        <v>1311</v>
      </c>
      <c r="G17" s="7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tr">
        <f>'Stage-ConceptMap-1'!C3</f>
        <v>Stage2FHIR</v>
      </c>
      <c r="D3" s="47" t="s">
        <v>1479</v>
      </c>
      <c r="E3" s="72" t="str">
        <f>$C$1&amp;Stage!B4</f>
        <v>http://hl7.eu/fhir/ig/idea4rc/StructureDefinition/StageI4rc</v>
      </c>
    </row>
    <row r="4" spans="1:19" ht="15.5" thickBot="1" x14ac:dyDescent="0.9">
      <c r="B4" s="47" t="s">
        <v>16</v>
      </c>
      <c r="C4" s="28" t="str">
        <f>'Stage-ConceptMap-1'!C4</f>
        <v>stage2FHIR</v>
      </c>
      <c r="D4" s="47" t="s">
        <v>1480</v>
      </c>
      <c r="E4" s="144" t="s">
        <v>1649</v>
      </c>
      <c r="F4" s="145"/>
      <c r="G4" s="14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1481</v>
      </c>
      <c r="E6" s="144" t="str">
        <f>E3</f>
        <v>http://hl7.eu/fhir/ig/idea4rc/StructureDefinition/StageI4rc</v>
      </c>
      <c r="F6" s="145"/>
      <c r="G6" s="145"/>
    </row>
    <row r="7" spans="1:19" ht="15.5" thickBot="1" x14ac:dyDescent="0.9">
      <c r="B7" s="47" t="s">
        <v>15</v>
      </c>
      <c r="C7" s="28">
        <f>'Stage-ConceptMap-1'!C7</f>
        <v>0</v>
      </c>
      <c r="D7" s="47" t="s">
        <v>1482</v>
      </c>
      <c r="E7" s="144" t="s">
        <v>1649</v>
      </c>
      <c r="F7" s="145"/>
      <c r="G7" s="145"/>
    </row>
    <row r="8" spans="1:19" ht="45" thickBot="1" x14ac:dyDescent="0.9">
      <c r="B8" s="47" t="s">
        <v>1483</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1484</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2"/>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1642</v>
      </c>
      <c r="E17" s="62"/>
      <c r="F17" s="96" t="s">
        <v>1316</v>
      </c>
      <c r="G17" s="78"/>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8"/>
      <c r="P44" s="11">
        <v>30</v>
      </c>
      <c r="Q44" s="11">
        <f t="shared" si="14"/>
        <v>4</v>
      </c>
      <c r="R44" s="11">
        <f t="shared" si="15"/>
        <v>6</v>
      </c>
      <c r="S44" s="12" cm="1">
        <f t="array" ref="S44">INDEX('Stage-ConceptMap-3'!$I$15:$N$123,Q44+1,R44)</f>
        <v>0</v>
      </c>
    </row>
    <row r="45" spans="1:19" x14ac:dyDescent="0.75">
      <c r="B45" s="11"/>
      <c r="C45" s="11"/>
      <c r="G45" s="78"/>
      <c r="P45" s="11">
        <v>31</v>
      </c>
      <c r="Q45" s="11">
        <f t="shared" si="14"/>
        <v>5</v>
      </c>
      <c r="R45" s="11">
        <f t="shared" si="15"/>
        <v>1</v>
      </c>
      <c r="S45" s="12" cm="1">
        <f t="array" ref="S45">INDEX('Stage-ConceptMap-3'!$I$15:$N$123,Q45+1,R45)</f>
        <v>0</v>
      </c>
    </row>
    <row r="46" spans="1:19" x14ac:dyDescent="0.75">
      <c r="G46" s="78"/>
      <c r="P46" s="11">
        <v>32</v>
      </c>
      <c r="Q46" s="11">
        <f t="shared" si="14"/>
        <v>5</v>
      </c>
      <c r="R46" s="11">
        <f t="shared" si="15"/>
        <v>2</v>
      </c>
      <c r="S46" s="12" cm="1">
        <f t="array" ref="S46">INDEX('Stage-ConceptMap-3'!$I$15:$N$123,Q46+1,R46)</f>
        <v>0</v>
      </c>
    </row>
    <row r="47" spans="1:19" x14ac:dyDescent="0.75">
      <c r="G47" s="78"/>
      <c r="P47" s="11">
        <v>33</v>
      </c>
      <c r="Q47" s="11">
        <f t="shared" si="14"/>
        <v>5</v>
      </c>
      <c r="R47" s="11">
        <f t="shared" si="15"/>
        <v>3</v>
      </c>
      <c r="S47" s="12" cm="1">
        <f t="array" ref="S47">INDEX('Stage-ConceptMap-3'!$I$15:$N$123,Q47+1,R47)</f>
        <v>0</v>
      </c>
    </row>
    <row r="48" spans="1:19" x14ac:dyDescent="0.75">
      <c r="G48" s="78"/>
      <c r="P48" s="11">
        <v>34</v>
      </c>
      <c r="Q48" s="11">
        <f t="shared" si="14"/>
        <v>5</v>
      </c>
      <c r="R48" s="11">
        <f t="shared" si="15"/>
        <v>4</v>
      </c>
      <c r="S48" s="12" cm="1">
        <f t="array" ref="S48">INDEX('Stage-ConceptMap-3'!$I$15:$N$123,Q48+1,R48)</f>
        <v>0</v>
      </c>
    </row>
    <row r="49" spans="7:19" x14ac:dyDescent="0.75">
      <c r="G49" s="78"/>
      <c r="P49" s="11">
        <v>35</v>
      </c>
      <c r="Q49" s="11">
        <f t="shared" si="14"/>
        <v>5</v>
      </c>
      <c r="R49" s="11">
        <f t="shared" si="15"/>
        <v>5</v>
      </c>
      <c r="S49" s="12" cm="1">
        <f t="array" ref="S49">INDEX('Stage-ConceptMap-3'!$I$15:$N$123,Q49+1,R49)</f>
        <v>0</v>
      </c>
    </row>
    <row r="50" spans="7:19" x14ac:dyDescent="0.75">
      <c r="G50" s="78"/>
      <c r="P50" s="11">
        <v>36</v>
      </c>
      <c r="Q50" s="11">
        <f t="shared" si="14"/>
        <v>5</v>
      </c>
      <c r="R50" s="11">
        <f t="shared" si="15"/>
        <v>6</v>
      </c>
      <c r="S50" s="12" cm="1">
        <f t="array" ref="S50">INDEX('Stage-ConceptMap-3'!$I$15:$N$123,Q50+1,R50)</f>
        <v>0</v>
      </c>
    </row>
    <row r="51" spans="7:19" x14ac:dyDescent="0.75">
      <c r="G51" s="78"/>
      <c r="P51" s="11">
        <v>37</v>
      </c>
      <c r="Q51" s="11">
        <f t="shared" si="14"/>
        <v>6</v>
      </c>
      <c r="R51" s="11">
        <f t="shared" si="15"/>
        <v>1</v>
      </c>
      <c r="S51" s="12" cm="1">
        <f t="array" ref="S51">INDEX('Stage-ConceptMap-3'!$I$15:$N$123,Q51+1,R51)</f>
        <v>0</v>
      </c>
    </row>
    <row r="52" spans="7:19" x14ac:dyDescent="0.75">
      <c r="G52" s="78"/>
      <c r="P52" s="11">
        <v>38</v>
      </c>
      <c r="Q52" s="11">
        <f t="shared" si="14"/>
        <v>6</v>
      </c>
      <c r="R52" s="11">
        <f t="shared" si="15"/>
        <v>2</v>
      </c>
      <c r="S52" s="12" cm="1">
        <f t="array" ref="S52">INDEX('Stage-ConceptMap-3'!$I$15:$N$123,Q52+1,R52)</f>
        <v>0</v>
      </c>
    </row>
    <row r="53" spans="7:19" x14ac:dyDescent="0.75">
      <c r="G53" s="78"/>
      <c r="P53" s="11">
        <v>39</v>
      </c>
      <c r="Q53" s="11">
        <f t="shared" si="14"/>
        <v>6</v>
      </c>
      <c r="R53" s="11">
        <f t="shared" si="15"/>
        <v>3</v>
      </c>
      <c r="S53" s="12" cm="1">
        <f t="array" ref="S53">INDEX('Stage-ConceptMap-3'!$I$15:$N$123,Q53+1,R53)</f>
        <v>0</v>
      </c>
    </row>
    <row r="54" spans="7:19" x14ac:dyDescent="0.75">
      <c r="G54" s="78"/>
      <c r="P54" s="11">
        <v>40</v>
      </c>
      <c r="Q54" s="11">
        <f t="shared" si="14"/>
        <v>6</v>
      </c>
      <c r="R54" s="11">
        <f t="shared" si="15"/>
        <v>4</v>
      </c>
      <c r="S54" s="12" cm="1">
        <f t="array" ref="S54">INDEX('Stage-ConceptMap-3'!$I$15:$N$123,Q54+1,R54)</f>
        <v>0</v>
      </c>
    </row>
    <row r="55" spans="7:19" x14ac:dyDescent="0.75">
      <c r="G55" s="78"/>
      <c r="P55" s="11">
        <v>41</v>
      </c>
      <c r="Q55" s="11">
        <f t="shared" si="14"/>
        <v>6</v>
      </c>
      <c r="R55" s="11">
        <f t="shared" si="15"/>
        <v>5</v>
      </c>
      <c r="S55" s="12" cm="1">
        <f t="array" ref="S55">INDEX('Stage-ConceptMap-3'!$I$15:$N$123,Q55+1,R55)</f>
        <v>0</v>
      </c>
    </row>
    <row r="56" spans="7:19" x14ac:dyDescent="0.75">
      <c r="G56" s="78"/>
      <c r="P56" s="11">
        <v>42</v>
      </c>
      <c r="Q56" s="11">
        <f t="shared" si="14"/>
        <v>6</v>
      </c>
      <c r="R56" s="11">
        <f t="shared" si="15"/>
        <v>6</v>
      </c>
      <c r="S56" s="12" cm="1">
        <f t="array" ref="S56">INDEX('Stage-ConceptMap-3'!$I$15:$N$123,Q56+1,R56)</f>
        <v>0</v>
      </c>
    </row>
    <row r="57" spans="7:19" x14ac:dyDescent="0.75">
      <c r="G57" s="78"/>
      <c r="P57" s="11">
        <v>43</v>
      </c>
      <c r="Q57" s="11">
        <f t="shared" si="14"/>
        <v>7</v>
      </c>
      <c r="R57" s="11">
        <f t="shared" si="15"/>
        <v>1</v>
      </c>
      <c r="S57" s="12" cm="1">
        <f t="array" ref="S57">INDEX('Stage-ConceptMap-3'!$I$15:$N$123,Q57+1,R57)</f>
        <v>0</v>
      </c>
    </row>
    <row r="58" spans="7:19" x14ac:dyDescent="0.75">
      <c r="G58" s="78"/>
      <c r="P58" s="11">
        <v>44</v>
      </c>
      <c r="Q58" s="11">
        <f t="shared" si="14"/>
        <v>7</v>
      </c>
      <c r="R58" s="11">
        <f t="shared" si="15"/>
        <v>2</v>
      </c>
      <c r="S58" s="12" cm="1">
        <f t="array" ref="S58">INDEX('Stage-ConceptMap-3'!$I$15:$N$123,Q58+1,R58)</f>
        <v>0</v>
      </c>
    </row>
    <row r="59" spans="7:19" x14ac:dyDescent="0.75">
      <c r="G59" s="78"/>
      <c r="P59" s="11">
        <v>45</v>
      </c>
      <c r="Q59" s="11">
        <f t="shared" si="14"/>
        <v>7</v>
      </c>
      <c r="R59" s="11">
        <f t="shared" si="15"/>
        <v>3</v>
      </c>
      <c r="S59" s="12" cm="1">
        <f t="array" ref="S59">INDEX('Stage-ConceptMap-3'!$I$15:$N$123,Q59+1,R59)</f>
        <v>0</v>
      </c>
    </row>
    <row r="60" spans="7:19" x14ac:dyDescent="0.75">
      <c r="G60" s="78"/>
      <c r="P60" s="11">
        <v>46</v>
      </c>
      <c r="Q60" s="11">
        <f t="shared" si="14"/>
        <v>7</v>
      </c>
      <c r="R60" s="11">
        <f t="shared" si="15"/>
        <v>4</v>
      </c>
      <c r="S60" s="12" cm="1">
        <f t="array" ref="S60">INDEX('Stage-ConceptMap-3'!$I$15:$N$123,Q60+1,R60)</f>
        <v>0</v>
      </c>
    </row>
    <row r="61" spans="7:19" x14ac:dyDescent="0.75">
      <c r="G61" s="78"/>
      <c r="P61" s="11">
        <v>47</v>
      </c>
      <c r="Q61" s="11">
        <f t="shared" si="14"/>
        <v>7</v>
      </c>
      <c r="R61" s="11">
        <f t="shared" si="15"/>
        <v>5</v>
      </c>
      <c r="S61" s="12" cm="1">
        <f t="array" ref="S61">INDEX('Stage-ConceptMap-3'!$I$15:$N$123,Q61+1,R61)</f>
        <v>0</v>
      </c>
    </row>
    <row r="62" spans="7:19" x14ac:dyDescent="0.75">
      <c r="G62" s="78"/>
      <c r="P62" s="11">
        <v>48</v>
      </c>
      <c r="Q62" s="11">
        <f t="shared" si="14"/>
        <v>7</v>
      </c>
      <c r="R62" s="11">
        <f t="shared" si="15"/>
        <v>6</v>
      </c>
      <c r="S62" s="12" cm="1">
        <f t="array" ref="S62">INDEX('Stage-ConceptMap-3'!$I$15:$N$123,Q62+1,R62)</f>
        <v>0</v>
      </c>
    </row>
    <row r="63" spans="7:19" x14ac:dyDescent="0.75">
      <c r="G63" s="78"/>
      <c r="P63" s="11">
        <v>49</v>
      </c>
      <c r="Q63" s="11">
        <f t="shared" si="14"/>
        <v>8</v>
      </c>
      <c r="R63" s="11">
        <f t="shared" si="15"/>
        <v>1</v>
      </c>
      <c r="S63" s="12" cm="1">
        <f t="array" ref="S63">INDEX('Stage-ConceptMap-3'!$I$15:$N$123,Q63+1,R63)</f>
        <v>0</v>
      </c>
    </row>
    <row r="64" spans="7:19" x14ac:dyDescent="0.75">
      <c r="G64" s="78"/>
      <c r="P64" s="11">
        <v>50</v>
      </c>
      <c r="Q64" s="11">
        <f t="shared" si="14"/>
        <v>8</v>
      </c>
      <c r="R64" s="11">
        <f t="shared" si="15"/>
        <v>2</v>
      </c>
      <c r="S64" s="12" cm="1">
        <f t="array" ref="S64">INDEX('Stage-ConceptMap-3'!$I$15:$N$123,Q64+1,R64)</f>
        <v>0</v>
      </c>
    </row>
    <row r="65" spans="7:19" x14ac:dyDescent="0.75">
      <c r="G65" s="78"/>
      <c r="P65" s="11">
        <v>51</v>
      </c>
      <c r="Q65" s="11">
        <f t="shared" si="14"/>
        <v>8</v>
      </c>
      <c r="R65" s="11">
        <f t="shared" si="15"/>
        <v>3</v>
      </c>
      <c r="S65" s="12" cm="1">
        <f t="array" ref="S65">INDEX('Stage-ConceptMap-3'!$I$15:$N$123,Q65+1,R65)</f>
        <v>0</v>
      </c>
    </row>
    <row r="66" spans="7:19" x14ac:dyDescent="0.75">
      <c r="G66" s="78"/>
      <c r="P66" s="11">
        <v>52</v>
      </c>
      <c r="Q66" s="11">
        <f t="shared" si="14"/>
        <v>8</v>
      </c>
      <c r="R66" s="11">
        <f t="shared" si="15"/>
        <v>4</v>
      </c>
      <c r="S66" s="12" cm="1">
        <f t="array" ref="S66">INDEX('Stage-ConceptMap-3'!$I$15:$N$123,Q66+1,R66)</f>
        <v>0</v>
      </c>
    </row>
    <row r="67" spans="7:19" x14ac:dyDescent="0.75">
      <c r="G67" s="78"/>
      <c r="P67" s="11">
        <v>53</v>
      </c>
      <c r="Q67" s="11">
        <f t="shared" si="14"/>
        <v>8</v>
      </c>
      <c r="R67" s="11">
        <f t="shared" si="15"/>
        <v>5</v>
      </c>
      <c r="S67" s="12" cm="1">
        <f t="array" ref="S67">INDEX('Stage-ConceptMap-3'!$I$15:$N$123,Q67+1,R67)</f>
        <v>0</v>
      </c>
    </row>
    <row r="68" spans="7:19" x14ac:dyDescent="0.75">
      <c r="G68" s="78"/>
      <c r="P68" s="11">
        <v>54</v>
      </c>
      <c r="Q68" s="11">
        <f t="shared" si="14"/>
        <v>8</v>
      </c>
      <c r="R68" s="11">
        <f t="shared" si="15"/>
        <v>6</v>
      </c>
      <c r="S68" s="12" cm="1">
        <f t="array" ref="S68">INDEX('Stage-ConceptMap-3'!$I$15:$N$123,Q68+1,R68)</f>
        <v>0</v>
      </c>
    </row>
    <row r="69" spans="7:19" x14ac:dyDescent="0.75">
      <c r="G69" s="78"/>
      <c r="P69" s="11">
        <v>55</v>
      </c>
      <c r="Q69" s="11">
        <f t="shared" si="14"/>
        <v>9</v>
      </c>
      <c r="R69" s="11">
        <f t="shared" si="15"/>
        <v>1</v>
      </c>
      <c r="S69" s="12" cm="1">
        <f t="array" ref="S69">INDEX('Stage-ConceptMap-3'!$I$15:$N$123,Q69+1,R69)</f>
        <v>0</v>
      </c>
    </row>
    <row r="70" spans="7:19" x14ac:dyDescent="0.75">
      <c r="G70" s="78"/>
      <c r="P70" s="11">
        <v>56</v>
      </c>
      <c r="Q70" s="11">
        <f t="shared" si="14"/>
        <v>9</v>
      </c>
      <c r="R70" s="11">
        <f t="shared" si="15"/>
        <v>2</v>
      </c>
      <c r="S70" s="12" cm="1">
        <f t="array" ref="S70">INDEX('Stage-ConceptMap-3'!$I$15:$N$123,Q70+1,R70)</f>
        <v>0</v>
      </c>
    </row>
    <row r="71" spans="7:19" x14ac:dyDescent="0.75">
      <c r="G71" s="78"/>
      <c r="P71" s="11">
        <v>57</v>
      </c>
      <c r="Q71" s="11">
        <f t="shared" si="14"/>
        <v>9</v>
      </c>
      <c r="R71" s="11">
        <f t="shared" si="15"/>
        <v>3</v>
      </c>
      <c r="S71" s="12" cm="1">
        <f t="array" ref="S71">INDEX('Stage-ConceptMap-3'!$I$15:$N$123,Q71+1,R71)</f>
        <v>0</v>
      </c>
    </row>
    <row r="72" spans="7:19" x14ac:dyDescent="0.75">
      <c r="G72" s="78"/>
      <c r="P72" s="11">
        <v>58</v>
      </c>
      <c r="Q72" s="11">
        <f t="shared" si="14"/>
        <v>9</v>
      </c>
      <c r="R72" s="11">
        <f t="shared" si="15"/>
        <v>4</v>
      </c>
      <c r="S72" s="12" cm="1">
        <f t="array" ref="S72">INDEX('Stage-ConceptMap-3'!$I$15:$N$123,Q72+1,R72)</f>
        <v>0</v>
      </c>
    </row>
    <row r="73" spans="7:19" x14ac:dyDescent="0.75">
      <c r="G73" s="78"/>
      <c r="P73" s="11">
        <v>59</v>
      </c>
      <c r="Q73" s="11">
        <f t="shared" si="14"/>
        <v>9</v>
      </c>
      <c r="R73" s="11">
        <f t="shared" si="15"/>
        <v>5</v>
      </c>
      <c r="S73" s="12" cm="1">
        <f t="array" ref="S73">INDEX('Stage-ConceptMap-3'!$I$15:$N$123,Q73+1,R73)</f>
        <v>0</v>
      </c>
    </row>
    <row r="74" spans="7:19" x14ac:dyDescent="0.75">
      <c r="G74" s="78"/>
      <c r="P74" s="11">
        <v>60</v>
      </c>
      <c r="Q74" s="11">
        <f t="shared" si="14"/>
        <v>9</v>
      </c>
      <c r="R74" s="11">
        <f t="shared" si="15"/>
        <v>6</v>
      </c>
      <c r="S74" s="12" cm="1">
        <f t="array" ref="S74">INDEX('Stage-ConceptMap-3'!$I$15:$N$123,Q74+1,R74)</f>
        <v>0</v>
      </c>
    </row>
    <row r="75" spans="7:19" x14ac:dyDescent="0.75">
      <c r="G75" s="78"/>
      <c r="P75" s="11">
        <v>61</v>
      </c>
      <c r="Q75" s="11">
        <f t="shared" si="14"/>
        <v>10</v>
      </c>
      <c r="R75" s="11">
        <f t="shared" si="15"/>
        <v>1</v>
      </c>
      <c r="S75" s="12" cm="1">
        <f t="array" ref="S75">INDEX('Stage-ConceptMap-3'!$I$15:$N$123,Q75+1,R75)</f>
        <v>0</v>
      </c>
    </row>
    <row r="76" spans="7:19" x14ac:dyDescent="0.75">
      <c r="G76" s="78"/>
      <c r="P76" s="11">
        <v>62</v>
      </c>
      <c r="Q76" s="11">
        <f t="shared" si="14"/>
        <v>10</v>
      </c>
      <c r="R76" s="11">
        <f t="shared" si="15"/>
        <v>2</v>
      </c>
      <c r="S76" s="12" cm="1">
        <f t="array" ref="S76">INDEX('Stage-ConceptMap-3'!$I$15:$N$123,Q76+1,R76)</f>
        <v>0</v>
      </c>
    </row>
    <row r="77" spans="7:19" x14ac:dyDescent="0.75">
      <c r="G77" s="78"/>
      <c r="P77" s="11">
        <v>63</v>
      </c>
      <c r="Q77" s="11">
        <f t="shared" si="14"/>
        <v>10</v>
      </c>
      <c r="R77" s="11">
        <f t="shared" si="15"/>
        <v>3</v>
      </c>
      <c r="S77" s="12" cm="1">
        <f t="array" ref="S77">INDEX('Stage-ConceptMap-3'!$I$15:$N$123,Q77+1,R77)</f>
        <v>0</v>
      </c>
    </row>
    <row r="78" spans="7:19" x14ac:dyDescent="0.75">
      <c r="G78" s="78"/>
      <c r="P78" s="11">
        <v>64</v>
      </c>
      <c r="Q78" s="11">
        <f t="shared" si="14"/>
        <v>10</v>
      </c>
      <c r="R78" s="11">
        <f t="shared" si="15"/>
        <v>4</v>
      </c>
      <c r="S78" s="12" cm="1">
        <f t="array" ref="S78">INDEX('Stage-ConceptMap-3'!$I$15:$N$123,Q78+1,R78)</f>
        <v>0</v>
      </c>
    </row>
    <row r="79" spans="7:19" x14ac:dyDescent="0.75">
      <c r="G79" s="78"/>
      <c r="P79" s="11">
        <v>65</v>
      </c>
      <c r="Q79" s="11">
        <f t="shared" si="14"/>
        <v>10</v>
      </c>
      <c r="R79" s="11">
        <f t="shared" si="15"/>
        <v>5</v>
      </c>
      <c r="S79" s="12" cm="1">
        <f t="array" ref="S79">INDEX('Stage-ConceptMap-3'!$I$15:$N$123,Q79+1,R79)</f>
        <v>0</v>
      </c>
    </row>
    <row r="80" spans="7:19" x14ac:dyDescent="0.75">
      <c r="G80" s="78"/>
      <c r="P80" s="11">
        <v>66</v>
      </c>
      <c r="Q80" s="11">
        <f t="shared" ref="Q80:Q143" si="16">IF(MOD(P80,$Q$8)=0,P80/$Q$8-1,INT(P80/$Q$8))</f>
        <v>10</v>
      </c>
      <c r="R80" s="11">
        <f t="shared" ref="R80:R143" si="17">IF(MOD(P80,$Q$8)=0,$Q$8,MOD(P80,$Q$8))</f>
        <v>6</v>
      </c>
      <c r="S80" s="12" cm="1">
        <f t="array" ref="S80">INDEX('Stage-ConceptMap-3'!$I$15:$N$123,Q80+1,R80)</f>
        <v>0</v>
      </c>
    </row>
    <row r="81" spans="7:19" x14ac:dyDescent="0.75">
      <c r="G81" s="78"/>
      <c r="P81" s="11">
        <v>67</v>
      </c>
      <c r="Q81" s="11">
        <f t="shared" si="16"/>
        <v>11</v>
      </c>
      <c r="R81" s="11">
        <f t="shared" si="17"/>
        <v>1</v>
      </c>
      <c r="S81" s="12" cm="1">
        <f t="array" ref="S81">INDEX('Stage-ConceptMap-3'!$I$15:$N$123,Q81+1,R81)</f>
        <v>0</v>
      </c>
    </row>
    <row r="82" spans="7:19" x14ac:dyDescent="0.75">
      <c r="G82" s="78"/>
      <c r="P82" s="11">
        <v>68</v>
      </c>
      <c r="Q82" s="11">
        <f t="shared" si="16"/>
        <v>11</v>
      </c>
      <c r="R82" s="11">
        <f t="shared" si="17"/>
        <v>2</v>
      </c>
      <c r="S82" s="12" cm="1">
        <f t="array" ref="S82">INDEX('Stage-ConceptMap-3'!$I$15:$N$123,Q82+1,R82)</f>
        <v>0</v>
      </c>
    </row>
    <row r="83" spans="7:19" x14ac:dyDescent="0.75">
      <c r="G83" s="78"/>
      <c r="P83" s="11">
        <v>69</v>
      </c>
      <c r="Q83" s="11">
        <f t="shared" si="16"/>
        <v>11</v>
      </c>
      <c r="R83" s="11">
        <f t="shared" si="17"/>
        <v>3</v>
      </c>
      <c r="S83" s="12" cm="1">
        <f t="array" ref="S83">INDEX('Stage-ConceptMap-3'!$I$15:$N$123,Q83+1,R83)</f>
        <v>0</v>
      </c>
    </row>
    <row r="84" spans="7:19" x14ac:dyDescent="0.75">
      <c r="G84" s="78"/>
      <c r="P84" s="11">
        <v>70</v>
      </c>
      <c r="Q84" s="11">
        <f t="shared" si="16"/>
        <v>11</v>
      </c>
      <c r="R84" s="11">
        <f t="shared" si="17"/>
        <v>4</v>
      </c>
      <c r="S84" s="12" cm="1">
        <f t="array" ref="S84">INDEX('Stage-ConceptMap-3'!$I$15:$N$123,Q84+1,R84)</f>
        <v>0</v>
      </c>
    </row>
    <row r="85" spans="7:19" x14ac:dyDescent="0.75">
      <c r="G85" s="78"/>
      <c r="P85" s="11">
        <v>71</v>
      </c>
      <c r="Q85" s="11">
        <f t="shared" si="16"/>
        <v>11</v>
      </c>
      <c r="R85" s="11">
        <f t="shared" si="17"/>
        <v>5</v>
      </c>
      <c r="S85" s="12" cm="1">
        <f t="array" ref="S85">INDEX('Stage-ConceptMap-3'!$I$15:$N$123,Q85+1,R85)</f>
        <v>0</v>
      </c>
    </row>
    <row r="86" spans="7:19" x14ac:dyDescent="0.75">
      <c r="G86" s="78"/>
      <c r="P86" s="11">
        <v>72</v>
      </c>
      <c r="Q86" s="11">
        <f t="shared" si="16"/>
        <v>11</v>
      </c>
      <c r="R86" s="11">
        <f t="shared" si="17"/>
        <v>6</v>
      </c>
      <c r="S86" s="12" cm="1">
        <f t="array" ref="S86">INDEX('Stage-ConceptMap-3'!$I$15:$N$123,Q86+1,R86)</f>
        <v>0</v>
      </c>
    </row>
    <row r="87" spans="7:19" x14ac:dyDescent="0.75">
      <c r="G87" s="78"/>
      <c r="P87" s="11">
        <v>73</v>
      </c>
      <c r="Q87" s="11">
        <f t="shared" si="16"/>
        <v>12</v>
      </c>
      <c r="R87" s="11">
        <f t="shared" si="17"/>
        <v>1</v>
      </c>
      <c r="S87" s="12" cm="1">
        <f t="array" ref="S87">INDEX('Stage-ConceptMap-3'!$I$15:$N$123,Q87+1,R87)</f>
        <v>0</v>
      </c>
    </row>
    <row r="88" spans="7:19" x14ac:dyDescent="0.75">
      <c r="G88" s="78"/>
      <c r="P88" s="11">
        <v>74</v>
      </c>
      <c r="Q88" s="11">
        <f t="shared" si="16"/>
        <v>12</v>
      </c>
      <c r="R88" s="11">
        <f t="shared" si="17"/>
        <v>2</v>
      </c>
      <c r="S88" s="12" cm="1">
        <f t="array" ref="S88">INDEX('Stage-ConceptMap-3'!$I$15:$N$123,Q88+1,R88)</f>
        <v>0</v>
      </c>
    </row>
    <row r="89" spans="7:19" x14ac:dyDescent="0.75">
      <c r="G89" s="78"/>
      <c r="P89" s="11">
        <v>75</v>
      </c>
      <c r="Q89" s="11">
        <f t="shared" si="16"/>
        <v>12</v>
      </c>
      <c r="R89" s="11">
        <f t="shared" si="17"/>
        <v>3</v>
      </c>
      <c r="S89" s="12" cm="1">
        <f t="array" ref="S89">INDEX('Stage-ConceptMap-3'!$I$15:$N$123,Q89+1,R89)</f>
        <v>0</v>
      </c>
    </row>
    <row r="90" spans="7:19" x14ac:dyDescent="0.75">
      <c r="G90" s="78"/>
      <c r="P90" s="11">
        <v>76</v>
      </c>
      <c r="Q90" s="11">
        <f t="shared" si="16"/>
        <v>12</v>
      </c>
      <c r="R90" s="11">
        <f t="shared" si="17"/>
        <v>4</v>
      </c>
      <c r="S90" s="12" cm="1">
        <f t="array" ref="S90">INDEX('Stage-ConceptMap-3'!$I$15:$N$123,Q90+1,R90)</f>
        <v>0</v>
      </c>
    </row>
    <row r="91" spans="7:19" x14ac:dyDescent="0.75">
      <c r="G91" s="78"/>
      <c r="P91" s="11">
        <v>77</v>
      </c>
      <c r="Q91" s="11">
        <f t="shared" si="16"/>
        <v>12</v>
      </c>
      <c r="R91" s="11">
        <f t="shared" si="17"/>
        <v>5</v>
      </c>
      <c r="S91" s="12" cm="1">
        <f t="array" ref="S91">INDEX('Stage-ConceptMap-3'!$I$15:$N$123,Q91+1,R91)</f>
        <v>0</v>
      </c>
    </row>
    <row r="92" spans="7:19" x14ac:dyDescent="0.75">
      <c r="G92" s="78"/>
      <c r="P92" s="11">
        <v>78</v>
      </c>
      <c r="Q92" s="11">
        <f t="shared" si="16"/>
        <v>12</v>
      </c>
      <c r="R92" s="11">
        <f t="shared" si="17"/>
        <v>6</v>
      </c>
      <c r="S92" s="12" cm="1">
        <f t="array" ref="S92">INDEX('Stage-ConceptMap-3'!$I$15:$N$123,Q92+1,R92)</f>
        <v>0</v>
      </c>
    </row>
    <row r="93" spans="7:19" x14ac:dyDescent="0.75">
      <c r="G93" s="78"/>
      <c r="P93" s="11">
        <v>79</v>
      </c>
      <c r="Q93" s="11">
        <f t="shared" si="16"/>
        <v>13</v>
      </c>
      <c r="R93" s="11">
        <f t="shared" si="17"/>
        <v>1</v>
      </c>
      <c r="S93" s="12" cm="1">
        <f t="array" ref="S93">INDEX('Stage-ConceptMap-3'!$I$15:$N$123,Q93+1,R93)</f>
        <v>0</v>
      </c>
    </row>
    <row r="94" spans="7:19" x14ac:dyDescent="0.75">
      <c r="G94" s="78"/>
      <c r="P94" s="11">
        <v>80</v>
      </c>
      <c r="Q94" s="11">
        <f t="shared" si="16"/>
        <v>13</v>
      </c>
      <c r="R94" s="11">
        <f t="shared" si="17"/>
        <v>2</v>
      </c>
      <c r="S94" s="12" cm="1">
        <f t="array" ref="S94">INDEX('Stage-ConceptMap-3'!$I$15:$N$123,Q94+1,R94)</f>
        <v>0</v>
      </c>
    </row>
    <row r="95" spans="7:19" x14ac:dyDescent="0.75">
      <c r="G95" s="78"/>
      <c r="P95" s="11">
        <v>81</v>
      </c>
      <c r="Q95" s="11">
        <f t="shared" si="16"/>
        <v>13</v>
      </c>
      <c r="R95" s="11">
        <f t="shared" si="17"/>
        <v>3</v>
      </c>
      <c r="S95" s="12" cm="1">
        <f t="array" ref="S95">INDEX('Stage-ConceptMap-3'!$I$15:$N$123,Q95+1,R95)</f>
        <v>0</v>
      </c>
    </row>
    <row r="96" spans="7:19" x14ac:dyDescent="0.75">
      <c r="G96" s="78"/>
      <c r="P96" s="11">
        <v>82</v>
      </c>
      <c r="Q96" s="11">
        <f t="shared" si="16"/>
        <v>13</v>
      </c>
      <c r="R96" s="11">
        <f t="shared" si="17"/>
        <v>4</v>
      </c>
      <c r="S96" s="12" cm="1">
        <f t="array" ref="S96">INDEX('Stage-ConceptMap-3'!$I$15:$N$123,Q96+1,R96)</f>
        <v>0</v>
      </c>
    </row>
    <row r="97" spans="7:19" x14ac:dyDescent="0.75">
      <c r="G97" s="78"/>
      <c r="P97" s="11">
        <v>83</v>
      </c>
      <c r="Q97" s="11">
        <f t="shared" si="16"/>
        <v>13</v>
      </c>
      <c r="R97" s="11">
        <f t="shared" si="17"/>
        <v>5</v>
      </c>
      <c r="S97" s="12" cm="1">
        <f t="array" ref="S97">INDEX('Stage-ConceptMap-3'!$I$15:$N$123,Q97+1,R97)</f>
        <v>0</v>
      </c>
    </row>
    <row r="98" spans="7:19" x14ac:dyDescent="0.75">
      <c r="G98" s="78"/>
      <c r="P98" s="11">
        <v>84</v>
      </c>
      <c r="Q98" s="11">
        <f t="shared" si="16"/>
        <v>13</v>
      </c>
      <c r="R98" s="11">
        <f t="shared" si="17"/>
        <v>6</v>
      </c>
      <c r="S98" s="12" cm="1">
        <f t="array" ref="S98">INDEX('Stage-ConceptMap-3'!$I$15:$N$123,Q98+1,R98)</f>
        <v>0</v>
      </c>
    </row>
    <row r="99" spans="7:19" x14ac:dyDescent="0.75">
      <c r="G99" s="78"/>
      <c r="P99" s="11">
        <v>85</v>
      </c>
      <c r="Q99" s="11">
        <f t="shared" si="16"/>
        <v>14</v>
      </c>
      <c r="R99" s="11">
        <f t="shared" si="17"/>
        <v>1</v>
      </c>
      <c r="S99" s="12" cm="1">
        <f t="array" ref="S99">INDEX('Stage-ConceptMap-3'!$I$15:$N$123,Q99+1,R99)</f>
        <v>0</v>
      </c>
    </row>
    <row r="100" spans="7:19" x14ac:dyDescent="0.75">
      <c r="G100" s="78"/>
      <c r="P100" s="11">
        <v>86</v>
      </c>
      <c r="Q100" s="11">
        <f t="shared" si="16"/>
        <v>14</v>
      </c>
      <c r="R100" s="11">
        <f t="shared" si="17"/>
        <v>2</v>
      </c>
      <c r="S100" s="12" cm="1">
        <f t="array" ref="S100">INDEX('Stage-ConceptMap-3'!$I$15:$N$123,Q100+1,R100)</f>
        <v>0</v>
      </c>
    </row>
    <row r="101" spans="7:19" x14ac:dyDescent="0.75">
      <c r="G101" s="78"/>
      <c r="P101" s="11">
        <v>87</v>
      </c>
      <c r="Q101" s="11">
        <f t="shared" si="16"/>
        <v>14</v>
      </c>
      <c r="R101" s="11">
        <f t="shared" si="17"/>
        <v>3</v>
      </c>
      <c r="S101" s="12" cm="1">
        <f t="array" ref="S101">INDEX('Stage-ConceptMap-3'!$I$15:$N$123,Q101+1,R101)</f>
        <v>0</v>
      </c>
    </row>
    <row r="102" spans="7:19" x14ac:dyDescent="0.75">
      <c r="G102" s="78"/>
      <c r="P102" s="11">
        <v>88</v>
      </c>
      <c r="Q102" s="11">
        <f t="shared" si="16"/>
        <v>14</v>
      </c>
      <c r="R102" s="11">
        <f t="shared" si="17"/>
        <v>4</v>
      </c>
      <c r="S102" s="12" cm="1">
        <f t="array" ref="S102">INDEX('Stage-ConceptMap-3'!$I$15:$N$123,Q102+1,R102)</f>
        <v>0</v>
      </c>
    </row>
    <row r="103" spans="7:19" x14ac:dyDescent="0.75">
      <c r="G103" s="78"/>
      <c r="P103" s="11">
        <v>89</v>
      </c>
      <c r="Q103" s="11">
        <f t="shared" si="16"/>
        <v>14</v>
      </c>
      <c r="R103" s="11">
        <f t="shared" si="17"/>
        <v>5</v>
      </c>
      <c r="S103" s="12" cm="1">
        <f t="array" ref="S103">INDEX('Stage-ConceptMap-3'!$I$15:$N$123,Q103+1,R103)</f>
        <v>0</v>
      </c>
    </row>
    <row r="104" spans="7:19" x14ac:dyDescent="0.75">
      <c r="G104" s="78"/>
      <c r="P104" s="11">
        <v>90</v>
      </c>
      <c r="Q104" s="11">
        <f t="shared" si="16"/>
        <v>14</v>
      </c>
      <c r="R104" s="11">
        <f t="shared" si="17"/>
        <v>6</v>
      </c>
      <c r="S104" s="12" cm="1">
        <f t="array" ref="S104">INDEX('Stage-ConceptMap-3'!$I$15:$N$123,Q104+1,R104)</f>
        <v>0</v>
      </c>
    </row>
    <row r="105" spans="7:19" x14ac:dyDescent="0.75">
      <c r="G105" s="78"/>
      <c r="P105" s="11">
        <v>91</v>
      </c>
      <c r="Q105" s="11">
        <f t="shared" si="16"/>
        <v>15</v>
      </c>
      <c r="R105" s="11">
        <f t="shared" si="17"/>
        <v>1</v>
      </c>
      <c r="S105" s="12" cm="1">
        <f t="array" ref="S105">INDEX('Stage-ConceptMap-3'!$I$15:$N$123,Q105+1,R105)</f>
        <v>0</v>
      </c>
    </row>
    <row r="106" spans="7:19" x14ac:dyDescent="0.75">
      <c r="G106" s="78"/>
      <c r="P106" s="11">
        <v>92</v>
      </c>
      <c r="Q106" s="11">
        <f t="shared" si="16"/>
        <v>15</v>
      </c>
      <c r="R106" s="11">
        <f t="shared" si="17"/>
        <v>2</v>
      </c>
      <c r="S106" s="12" cm="1">
        <f t="array" ref="S106">INDEX('Stage-ConceptMap-3'!$I$15:$N$123,Q106+1,R106)</f>
        <v>0</v>
      </c>
    </row>
    <row r="107" spans="7:19" x14ac:dyDescent="0.75">
      <c r="G107" s="78"/>
      <c r="P107" s="11">
        <v>93</v>
      </c>
      <c r="Q107" s="11">
        <f t="shared" si="16"/>
        <v>15</v>
      </c>
      <c r="R107" s="11">
        <f t="shared" si="17"/>
        <v>3</v>
      </c>
      <c r="S107" s="12" cm="1">
        <f t="array" ref="S107">INDEX('Stage-ConceptMap-3'!$I$15:$N$123,Q107+1,R107)</f>
        <v>0</v>
      </c>
    </row>
    <row r="108" spans="7:19" x14ac:dyDescent="0.75">
      <c r="G108" s="78"/>
      <c r="P108" s="11">
        <v>94</v>
      </c>
      <c r="Q108" s="11">
        <f t="shared" si="16"/>
        <v>15</v>
      </c>
      <c r="R108" s="11">
        <f t="shared" si="17"/>
        <v>4</v>
      </c>
      <c r="S108" s="12" cm="1">
        <f t="array" ref="S108">INDEX('Stage-ConceptMap-3'!$I$15:$N$123,Q108+1,R108)</f>
        <v>0</v>
      </c>
    </row>
    <row r="109" spans="7:19" x14ac:dyDescent="0.75">
      <c r="G109" s="78"/>
      <c r="P109" s="11">
        <v>95</v>
      </c>
      <c r="Q109" s="11">
        <f t="shared" si="16"/>
        <v>15</v>
      </c>
      <c r="R109" s="11">
        <f t="shared" si="17"/>
        <v>5</v>
      </c>
      <c r="S109" s="12" cm="1">
        <f t="array" ref="S109">INDEX('Stage-ConceptMap-3'!$I$15:$N$123,Q109+1,R109)</f>
        <v>0</v>
      </c>
    </row>
    <row r="110" spans="7:19" x14ac:dyDescent="0.75">
      <c r="G110" s="78"/>
      <c r="P110" s="11">
        <v>96</v>
      </c>
      <c r="Q110" s="11">
        <f t="shared" si="16"/>
        <v>15</v>
      </c>
      <c r="R110" s="11">
        <f t="shared" si="17"/>
        <v>6</v>
      </c>
      <c r="S110" s="12" cm="1">
        <f t="array" ref="S110">INDEX('Stage-ConceptMap-3'!$I$15:$N$123,Q110+1,R110)</f>
        <v>0</v>
      </c>
    </row>
    <row r="111" spans="7:19" x14ac:dyDescent="0.75">
      <c r="G111" s="78"/>
      <c r="P111" s="11">
        <v>97</v>
      </c>
      <c r="Q111" s="11">
        <f t="shared" si="16"/>
        <v>16</v>
      </c>
      <c r="R111" s="11">
        <f t="shared" si="17"/>
        <v>1</v>
      </c>
      <c r="S111" s="12" cm="1">
        <f t="array" ref="S111">INDEX('Stage-ConceptMap-3'!$I$15:$N$123,Q111+1,R111)</f>
        <v>0</v>
      </c>
    </row>
    <row r="112" spans="7:19" x14ac:dyDescent="0.75">
      <c r="G112" s="78"/>
      <c r="P112" s="11">
        <v>98</v>
      </c>
      <c r="Q112" s="11">
        <f t="shared" si="16"/>
        <v>16</v>
      </c>
      <c r="R112" s="11">
        <f t="shared" si="17"/>
        <v>2</v>
      </c>
      <c r="S112" s="12" cm="1">
        <f t="array" ref="S112">INDEX('Stage-ConceptMap-3'!$I$15:$N$123,Q112+1,R112)</f>
        <v>0</v>
      </c>
    </row>
    <row r="113" spans="7:19" x14ac:dyDescent="0.75">
      <c r="G113" s="78"/>
      <c r="P113" s="11">
        <v>99</v>
      </c>
      <c r="Q113" s="11">
        <f t="shared" si="16"/>
        <v>16</v>
      </c>
      <c r="R113" s="11">
        <f t="shared" si="17"/>
        <v>3</v>
      </c>
      <c r="S113" s="12" cm="1">
        <f t="array" ref="S113">INDEX('Stage-ConceptMap-3'!$I$15:$N$123,Q113+1,R113)</f>
        <v>0</v>
      </c>
    </row>
    <row r="114" spans="7:19" x14ac:dyDescent="0.75">
      <c r="G114" s="78"/>
      <c r="P114" s="11">
        <v>100</v>
      </c>
      <c r="Q114" s="11">
        <f t="shared" si="16"/>
        <v>16</v>
      </c>
      <c r="R114" s="11">
        <f t="shared" si="17"/>
        <v>4</v>
      </c>
      <c r="S114" s="12" cm="1">
        <f t="array" ref="S114">INDEX('Stage-ConceptMap-3'!$I$15:$N$123,Q114+1,R114)</f>
        <v>0</v>
      </c>
    </row>
    <row r="115" spans="7:19" x14ac:dyDescent="0.75">
      <c r="G115" s="78"/>
      <c r="P115" s="11">
        <v>101</v>
      </c>
      <c r="Q115" s="11">
        <f t="shared" si="16"/>
        <v>16</v>
      </c>
      <c r="R115" s="11">
        <f t="shared" si="17"/>
        <v>5</v>
      </c>
      <c r="S115" s="12" cm="1">
        <f t="array" ref="S115">INDEX('Stage-ConceptMap-3'!$I$15:$N$123,Q115+1,R115)</f>
        <v>0</v>
      </c>
    </row>
    <row r="116" spans="7:19" x14ac:dyDescent="0.75">
      <c r="G116" s="78"/>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4" t="s">
        <v>1650</v>
      </c>
      <c r="F4" s="145"/>
      <c r="G4" s="145"/>
    </row>
    <row r="5" spans="1:19" x14ac:dyDescent="0.75">
      <c r="B5" s="47" t="s">
        <v>10</v>
      </c>
      <c r="C5" s="7" t="s">
        <v>1633</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1650</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2"/>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6" t="s">
        <v>1311</v>
      </c>
      <c r="G17" s="142"/>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1642</v>
      </c>
      <c r="E18" s="62"/>
      <c r="F18" s="96" t="s">
        <v>1316</v>
      </c>
      <c r="G18" s="142"/>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4" t="s">
        <v>1650</v>
      </c>
      <c r="F4" s="145"/>
      <c r="G4" s="145"/>
    </row>
    <row r="5" spans="1:19" x14ac:dyDescent="0.75">
      <c r="B5" s="47" t="s">
        <v>10</v>
      </c>
      <c r="C5" s="7" t="s">
        <v>1633</v>
      </c>
      <c r="D5" s="47"/>
      <c r="E5" s="7"/>
    </row>
    <row r="6" spans="1:19" x14ac:dyDescent="0.75">
      <c r="B6" s="47" t="s">
        <v>18</v>
      </c>
      <c r="C6" s="41"/>
      <c r="D6" s="47" t="s">
        <v>1481</v>
      </c>
      <c r="E6" s="145" t="str">
        <f>E3</f>
        <v>http://hl7.eu/fhir/ig/idea4rc/StructureDefinition/StageI4rc</v>
      </c>
      <c r="F6" s="145"/>
      <c r="G6" s="145"/>
    </row>
    <row r="7" spans="1:19" x14ac:dyDescent="0.75">
      <c r="B7" s="47" t="s">
        <v>15</v>
      </c>
      <c r="C7" s="73"/>
      <c r="D7" s="47" t="s">
        <v>1482</v>
      </c>
      <c r="E7" s="145" t="s">
        <v>2365</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1642</v>
      </c>
      <c r="E15" s="62"/>
      <c r="F15" s="96" t="s">
        <v>1316</v>
      </c>
      <c r="G15" s="77" t="s">
        <v>2352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8"/>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8"/>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8"/>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8"/>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8"/>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8"/>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8"/>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8"/>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8"/>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8"/>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8"/>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8"/>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8"/>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8"/>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8"/>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8"/>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8"/>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8"/>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8"/>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8"/>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8"/>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8"/>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C16" zoomScale="73" workbookViewId="0">
      <selection activeCell="D19" sqref="D1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3" spans="1:19" x14ac:dyDescent="0.75">
      <c r="B3" s="47" t="s">
        <v>17</v>
      </c>
      <c r="C3" s="74" t="str">
        <f>'Stage-ConceptMap-1'!C3</f>
        <v>Stage2FHIR</v>
      </c>
      <c r="D3" s="47" t="s">
        <v>1479</v>
      </c>
      <c r="E3" s="72" t="str">
        <f>$C$1&amp;Stage!B4</f>
        <v>http://hl7.eu/fhir/ig/idea4rc/StructureDefinition/StageI4rc</v>
      </c>
    </row>
    <row r="4" spans="1:19" x14ac:dyDescent="0.75">
      <c r="B4" s="47" t="s">
        <v>16</v>
      </c>
      <c r="C4" s="74" t="str">
        <f>'Stage-ConceptMap-1'!C4</f>
        <v>stage2FHIR</v>
      </c>
      <c r="D4" s="47" t="s">
        <v>1480</v>
      </c>
      <c r="E4" s="144" t="s">
        <v>1637</v>
      </c>
      <c r="F4" s="145"/>
      <c r="G4" s="145"/>
    </row>
    <row r="5" spans="1:19" x14ac:dyDescent="0.75">
      <c r="B5" s="47" t="s">
        <v>10</v>
      </c>
      <c r="C5" s="74" t="str">
        <f>'Stage-ConceptMap-1'!C5</f>
        <v>Stage Model to this guide Map</v>
      </c>
      <c r="D5" s="47"/>
      <c r="E5" s="7"/>
    </row>
    <row r="6" spans="1:19" x14ac:dyDescent="0.75">
      <c r="B6" s="47" t="s">
        <v>18</v>
      </c>
      <c r="C6" s="74">
        <f>'Stage-ConceptMap-1'!C6</f>
        <v>0</v>
      </c>
      <c r="D6" s="47" t="s">
        <v>1481</v>
      </c>
      <c r="E6" s="144" t="str">
        <f>E3</f>
        <v>http://hl7.eu/fhir/ig/idea4rc/StructureDefinition/StageI4rc</v>
      </c>
      <c r="F6" s="145"/>
      <c r="G6" s="145"/>
    </row>
    <row r="7" spans="1:19" x14ac:dyDescent="0.75">
      <c r="B7" s="47" t="s">
        <v>15</v>
      </c>
      <c r="C7" s="74">
        <f>'Stage-ConceptMap-1'!C7</f>
        <v>0</v>
      </c>
      <c r="D7" s="47" t="s">
        <v>1482</v>
      </c>
      <c r="E7" s="144" t="s">
        <v>2349</v>
      </c>
      <c r="F7" s="145"/>
      <c r="G7" s="145"/>
    </row>
    <row r="8" spans="1:19" ht="44.25" x14ac:dyDescent="0.75">
      <c r="B8" s="47" t="s">
        <v>1483</v>
      </c>
      <c r="C8" s="74"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1484</v>
      </c>
      <c r="C9" s="74"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2364</v>
      </c>
      <c r="E15" s="12"/>
      <c r="F15" s="49" t="s">
        <v>1316</v>
      </c>
      <c r="G15" s="78"/>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c r="E16" s="12"/>
      <c r="F16" s="49" t="s">
        <v>1294</v>
      </c>
      <c r="G16" s="77" t="s">
        <v>2351</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##34#TBD##34#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c r="E17" s="12"/>
      <c r="F17" s="49" t="s">
        <v>1294</v>
      </c>
      <c r="G17" s="77" t="s">
        <v>2351</v>
      </c>
      <c r="H17" s="43"/>
      <c r="I17" s="12" t="str">
        <f t="shared" si="8"/>
        <v>* group[=].element[+].code = #Stage.locoRegional</v>
      </c>
      <c r="J17" s="12" t="str">
        <f t="shared" si="9"/>
        <v>* group[=].element[=].display = ##34#Loco-regional##34#</v>
      </c>
      <c r="K17" s="12" t="str">
        <f t="shared" si="10"/>
        <v>* group[=].element[=].target.code = #Observation.</v>
      </c>
      <c r="L17" s="12" t="str">
        <f t="shared" si="11"/>
        <v>* group[=].element[=].target.display = ##34###34#</v>
      </c>
      <c r="M17" s="12" t="str">
        <f t="shared" si="12"/>
        <v>* group[=].element[=].target.equivalence = #relatedto</v>
      </c>
      <c r="N17" s="12" t="str">
        <f t="shared" si="13"/>
        <v>* group[=].element[=].target.comment = ##34#TBD##34#</v>
      </c>
      <c r="P17" s="11">
        <v>3</v>
      </c>
      <c r="Q17" s="11">
        <f t="shared" si="14"/>
        <v>0</v>
      </c>
      <c r="R17" s="11">
        <f t="shared" si="15"/>
        <v>3</v>
      </c>
      <c r="S17" s="12" t="str" cm="1">
        <f t="array" ref="S17">INDEX('Stage-ConceptMap-6'!$I$15:$N$117,Q17+1,R17)</f>
        <v>* group[=].element[=].target.code = #Observation.extension:relatedPrimaryCancerCondition</v>
      </c>
    </row>
    <row r="18" spans="1:19" ht="73.75" x14ac:dyDescent="0.75">
      <c r="A18" s="44"/>
      <c r="B18" s="11" t="str">
        <f>Stage!B16</f>
        <v>isMetastatic</v>
      </c>
      <c r="C18" s="11" t="str">
        <f>Stage!C16</f>
        <v>Is metastatic</v>
      </c>
      <c r="D18" s="12"/>
      <c r="E18" s="11"/>
      <c r="F18" s="49" t="s">
        <v>1294</v>
      </c>
      <c r="G18" s="77" t="s">
        <v>2351</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##34#TBD##34#</v>
      </c>
      <c r="P18" s="11">
        <v>4</v>
      </c>
      <c r="Q18" s="11">
        <f t="shared" si="14"/>
        <v>0</v>
      </c>
      <c r="R18" s="11">
        <f t="shared" si="15"/>
        <v>4</v>
      </c>
      <c r="S18" s="12" t="str" cm="1">
        <f t="array" ref="S18">INDEX('Stage-ConceptMap-6'!$I$15:$N$117,Q18+1,R18)</f>
        <v>* group[=].element[=].target.display = ##34###34#</v>
      </c>
    </row>
    <row r="19" spans="1:19" ht="73.75" x14ac:dyDescent="0.75">
      <c r="A19" s="44"/>
      <c r="B19" s="11" t="str">
        <f>Stage!B18</f>
        <v>regionalNodalMetastases</v>
      </c>
      <c r="C19" s="11" t="str">
        <f>Stage!C18</f>
        <v>Regional nodal metastases</v>
      </c>
      <c r="D19" s="12"/>
      <c r="E19" s="11"/>
      <c r="F19" s="49" t="s">
        <v>1294</v>
      </c>
      <c r="G19" s="77" t="s">
        <v>2351</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##34#TBD##34#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1625</v>
      </c>
      <c r="E20" s="12"/>
      <c r="F20" s="49" t="s">
        <v>1316</v>
      </c>
      <c r="G20" s="78"/>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59" x14ac:dyDescent="0.75">
      <c r="A21" s="44"/>
      <c r="B21" s="11" t="str">
        <f>Stage!B20</f>
        <v>sites.softTissue</v>
      </c>
      <c r="C21" s="11" t="str">
        <f>Stage!C20</f>
        <v>Soft tissue</v>
      </c>
      <c r="D21" s="12" t="s">
        <v>1625</v>
      </c>
      <c r="E21" s="12"/>
      <c r="F21" s="49" t="s">
        <v>1316</v>
      </c>
      <c r="G21" s="77" t="s">
        <v>2357</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##34#coded concept for this site to be determined##34#</v>
      </c>
      <c r="P21" s="11">
        <v>7</v>
      </c>
      <c r="Q21" s="11">
        <f t="shared" si="14"/>
        <v>1</v>
      </c>
      <c r="R21" s="11">
        <f t="shared" si="15"/>
        <v>1</v>
      </c>
      <c r="S21" s="12" t="str" cm="1">
        <f t="array" ref="S21">INDEX('Stage-ConceptMap-6'!$I$15:$N$117,Q21+1,R21)</f>
        <v>* group[=].element[+].code = #Stage.localised</v>
      </c>
    </row>
    <row r="22" spans="1:19" ht="59" x14ac:dyDescent="0.75">
      <c r="B22" s="11" t="str">
        <f>Stage!B21</f>
        <v>sites.distantLymphNode</v>
      </c>
      <c r="C22" s="11" t="str">
        <f>Stage!C21</f>
        <v>distant lymph node</v>
      </c>
      <c r="D22" s="12" t="s">
        <v>1625</v>
      </c>
      <c r="E22" s="12"/>
      <c r="F22" s="49" t="s">
        <v>1316</v>
      </c>
      <c r="G22" s="77" t="s">
        <v>2357</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##34#coded concept for this site to be determined##34#</v>
      </c>
      <c r="P22" s="11">
        <v>8</v>
      </c>
      <c r="Q22" s="11">
        <f t="shared" si="14"/>
        <v>1</v>
      </c>
      <c r="R22" s="11">
        <f t="shared" si="15"/>
        <v>2</v>
      </c>
      <c r="S22" s="12" t="str" cm="1">
        <f t="array" ref="S22">INDEX('Stage-ConceptMap-6'!$I$15:$N$117,Q22+1,R22)</f>
        <v>* group[=].element[=].display = ##34#Localised##34#</v>
      </c>
    </row>
    <row r="23" spans="1:19" ht="59" x14ac:dyDescent="0.75">
      <c r="B23" s="11" t="str">
        <f>Stage!B22</f>
        <v>sites.lung</v>
      </c>
      <c r="C23" s="11" t="str">
        <f>Stage!C22</f>
        <v>lung</v>
      </c>
      <c r="D23" s="12" t="s">
        <v>1625</v>
      </c>
      <c r="E23" s="12"/>
      <c r="F23" s="49" t="s">
        <v>1316</v>
      </c>
      <c r="G23" s="77" t="s">
        <v>2357</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##34#coded concept for this site to be determined##34#</v>
      </c>
      <c r="P23" s="11">
        <v>9</v>
      </c>
      <c r="Q23" s="11">
        <f t="shared" si="14"/>
        <v>1</v>
      </c>
      <c r="R23" s="11">
        <f t="shared" si="15"/>
        <v>3</v>
      </c>
      <c r="S23" s="12" t="str" cm="1">
        <f t="array" ref="S23">INDEX('Stage-ConceptMap-6'!$I$15:$N$117,Q23+1,R23)</f>
        <v>* group[=].element[=].target.code = #Observation.</v>
      </c>
    </row>
    <row r="24" spans="1:19" ht="59" x14ac:dyDescent="0.75">
      <c r="B24" s="11" t="str">
        <f>Stage!B23</f>
        <v>sites.bone</v>
      </c>
      <c r="C24" s="11" t="str">
        <f>Stage!C23</f>
        <v>bone</v>
      </c>
      <c r="D24" s="12" t="s">
        <v>1625</v>
      </c>
      <c r="E24" s="12"/>
      <c r="F24" s="49" t="s">
        <v>1316</v>
      </c>
      <c r="G24" s="77" t="s">
        <v>2357</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##34#coded concept for this site to be determined##34#</v>
      </c>
      <c r="P24" s="11">
        <v>10</v>
      </c>
      <c r="Q24" s="11">
        <f t="shared" si="14"/>
        <v>1</v>
      </c>
      <c r="R24" s="11">
        <f t="shared" si="15"/>
        <v>4</v>
      </c>
      <c r="S24" s="12" t="str" cm="1">
        <f t="array" ref="S24">INDEX('Stage-ConceptMap-6'!$I$15:$N$117,Q24+1,R24)</f>
        <v>* group[=].element[=].target.display = ##34###34#</v>
      </c>
    </row>
    <row r="25" spans="1:19" ht="59" x14ac:dyDescent="0.75">
      <c r="B25" s="11" t="str">
        <f>Stage!B24</f>
        <v>sites.liver</v>
      </c>
      <c r="C25" s="11" t="str">
        <f>Stage!C24</f>
        <v>liver</v>
      </c>
      <c r="D25" s="12" t="s">
        <v>1625</v>
      </c>
      <c r="E25" s="12"/>
      <c r="F25" s="49" t="s">
        <v>1316</v>
      </c>
      <c r="G25" s="77" t="s">
        <v>2357</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##34#coded concept for this site to be determined##34#</v>
      </c>
      <c r="P25" s="11">
        <v>11</v>
      </c>
      <c r="Q25" s="11">
        <f t="shared" si="14"/>
        <v>1</v>
      </c>
      <c r="R25" s="11">
        <f t="shared" si="15"/>
        <v>5</v>
      </c>
      <c r="S25" s="12" t="str" cm="1">
        <f t="array" ref="S25">INDEX('Stage-ConceptMap-6'!$I$15:$N$117,Q25+1,R25)</f>
        <v>* group[=].element[=].target.equivalence = #relatedto</v>
      </c>
    </row>
    <row r="26" spans="1:19" ht="59" x14ac:dyDescent="0.75">
      <c r="B26" s="11" t="str">
        <f>Stage!B25</f>
        <v>sites.pleura</v>
      </c>
      <c r="C26" s="11" t="str">
        <f>Stage!C25</f>
        <v>pleura</v>
      </c>
      <c r="D26" s="12" t="s">
        <v>1625</v>
      </c>
      <c r="E26" s="12"/>
      <c r="F26" s="49" t="s">
        <v>1316</v>
      </c>
      <c r="G26" s="77" t="s">
        <v>2357</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##34#coded concept for this site to be determined##34#</v>
      </c>
      <c r="P26" s="11">
        <v>12</v>
      </c>
      <c r="Q26" s="11">
        <f t="shared" si="14"/>
        <v>1</v>
      </c>
      <c r="R26" s="11">
        <f t="shared" si="15"/>
        <v>6</v>
      </c>
      <c r="S26" s="12" t="str" cm="1">
        <f t="array" ref="S26">INDEX('Stage-ConceptMap-6'!$I$15:$N$117,Q26+1,R26)</f>
        <v>* group[=].element[=].target.comment = ##34#TBD##34#</v>
      </c>
    </row>
    <row r="27" spans="1:19" ht="59" x14ac:dyDescent="0.75">
      <c r="B27" s="11" t="str">
        <f>Stage!B26</f>
        <v>sites.peritoneum</v>
      </c>
      <c r="C27" s="11" t="str">
        <f>Stage!C26</f>
        <v>peritoneum</v>
      </c>
      <c r="D27" s="12" t="s">
        <v>1625</v>
      </c>
      <c r="E27" s="12"/>
      <c r="F27" s="49" t="s">
        <v>1316</v>
      </c>
      <c r="G27" s="77" t="s">
        <v>2357</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##34#coded concept for this site to be determined##34#</v>
      </c>
      <c r="P27" s="11">
        <v>13</v>
      </c>
      <c r="Q27" s="11">
        <f t="shared" si="14"/>
        <v>2</v>
      </c>
      <c r="R27" s="11">
        <f t="shared" si="15"/>
        <v>1</v>
      </c>
      <c r="S27" s="12" t="str" cm="1">
        <f t="array" ref="S27">INDEX('Stage-ConceptMap-6'!$I$15:$N$117,Q27+1,R27)</f>
        <v>* group[=].element[+].code = #Stage.locoRegional</v>
      </c>
    </row>
    <row r="28" spans="1:19" ht="59" x14ac:dyDescent="0.75">
      <c r="B28" s="11" t="str">
        <f>Stage!B27</f>
        <v>sites.brain</v>
      </c>
      <c r="C28" s="11" t="str">
        <f>Stage!C27</f>
        <v>brain</v>
      </c>
      <c r="D28" s="12" t="s">
        <v>1625</v>
      </c>
      <c r="E28" s="12"/>
      <c r="F28" s="49" t="s">
        <v>1316</v>
      </c>
      <c r="G28" s="77" t="s">
        <v>2357</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##34#coded concept for this site to be determined##34#</v>
      </c>
      <c r="P28" s="11">
        <v>14</v>
      </c>
      <c r="Q28" s="11">
        <f t="shared" si="14"/>
        <v>2</v>
      </c>
      <c r="R28" s="11">
        <f t="shared" si="15"/>
        <v>2</v>
      </c>
      <c r="S28" s="12" t="str" cm="1">
        <f t="array" ref="S28">INDEX('Stage-ConceptMap-6'!$I$15:$N$117,Q28+1,R28)</f>
        <v>* group[=].element[=].display = ##34#Loco-regional##34#</v>
      </c>
    </row>
    <row r="29" spans="1:19" ht="59" x14ac:dyDescent="0.75">
      <c r="B29" s="11" t="str">
        <f>Stage!B28</f>
        <v>sites.otherViscera</v>
      </c>
      <c r="C29" s="11" t="str">
        <f>Stage!C28</f>
        <v>other viscera</v>
      </c>
      <c r="D29" s="12" t="s">
        <v>1625</v>
      </c>
      <c r="E29" s="12"/>
      <c r="F29" s="49" t="s">
        <v>1316</v>
      </c>
      <c r="G29" s="77" t="s">
        <v>2357</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##34#coded concept for this site to be determined##34#</v>
      </c>
      <c r="P29" s="11">
        <v>15</v>
      </c>
      <c r="Q29" s="11">
        <f t="shared" si="14"/>
        <v>2</v>
      </c>
      <c r="R29" s="11">
        <f t="shared" si="15"/>
        <v>3</v>
      </c>
      <c r="S29" s="12" t="str" cm="1">
        <f t="array" ref="S29">INDEX('Stage-ConceptMap-6'!$I$15:$N$117,Q29+1,R29)</f>
        <v>* group[=].element[=].target.code = #Observation.</v>
      </c>
    </row>
    <row r="30" spans="1:19" ht="59" x14ac:dyDescent="0.75">
      <c r="B30" s="11" t="str">
        <f>Stage!B29</f>
        <v>sites.unknown</v>
      </c>
      <c r="C30" s="11" t="str">
        <f>Stage!C29</f>
        <v>unknown</v>
      </c>
      <c r="D30" s="12" t="s">
        <v>1625</v>
      </c>
      <c r="E30" s="12"/>
      <c r="F30" s="49" t="s">
        <v>1316</v>
      </c>
      <c r="G30" s="77" t="s">
        <v>2357</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##34#coded concept for this site to be determined##34#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INDEX('Stage-ConceptMap-6'!$I$15:$N$117,Q32+1,R32)</f>
        <v>* group[=].element[=].target.comment = ##34#TBD##34#</v>
      </c>
    </row>
    <row r="33" spans="1:19" s="2" customFormat="1" x14ac:dyDescent="0.75">
      <c r="A33"/>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8"/>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8"/>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8"/>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8"/>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x14ac:dyDescent="0.75">
      <c r="B38" s="11"/>
      <c r="C38" s="11"/>
      <c r="G38" s="78"/>
      <c r="P38" s="11">
        <v>24</v>
      </c>
      <c r="Q38" s="11">
        <f t="shared" si="14"/>
        <v>3</v>
      </c>
      <c r="R38" s="11">
        <f t="shared" si="15"/>
        <v>6</v>
      </c>
      <c r="S38" s="12" t="str" cm="1">
        <f t="array" ref="S38">INDEX('Stage-ConceptMap-6'!$I$15:$N$117,Q38+1,R38)</f>
        <v>* group[=].element[=].target.comment = ##34#TBD##34#</v>
      </c>
    </row>
    <row r="39" spans="1:19" x14ac:dyDescent="0.75">
      <c r="B39" s="11"/>
      <c r="C39" s="11"/>
      <c r="G39" s="78"/>
      <c r="P39" s="11">
        <v>25</v>
      </c>
      <c r="Q39" s="11">
        <f t="shared" si="14"/>
        <v>4</v>
      </c>
      <c r="R39" s="11">
        <f t="shared" si="15"/>
        <v>1</v>
      </c>
      <c r="S39" s="12" t="str" cm="1">
        <f t="array" ref="S39">INDEX('Stage-ConceptMap-6'!$I$15:$N$117,Q39+1,R39)</f>
        <v>* group[=].element[+].code = #Stage.regionalNodalMetastases</v>
      </c>
    </row>
    <row r="40" spans="1:19" x14ac:dyDescent="0.75">
      <c r="G40" s="78"/>
      <c r="P40" s="11">
        <v>26</v>
      </c>
      <c r="Q40" s="11">
        <f t="shared" si="14"/>
        <v>4</v>
      </c>
      <c r="R40" s="11">
        <f t="shared" si="15"/>
        <v>2</v>
      </c>
      <c r="S40" s="12" t="str" cm="1">
        <f t="array" ref="S40">INDEX('Stage-ConceptMap-6'!$I$15:$N$117,Q40+1,R40)</f>
        <v>* group[=].element[=].display = ##34#Regional nodal metastases##34#</v>
      </c>
    </row>
    <row r="41" spans="1:19" x14ac:dyDescent="0.75">
      <c r="G41" s="78"/>
      <c r="P41" s="11">
        <v>27</v>
      </c>
      <c r="Q41" s="11">
        <f t="shared" si="14"/>
        <v>4</v>
      </c>
      <c r="R41" s="11">
        <f t="shared" si="15"/>
        <v>3</v>
      </c>
      <c r="S41" s="12" t="str" cm="1">
        <f t="array" ref="S41">INDEX('Stage-ConceptMap-6'!$I$15:$N$117,Q41+1,R41)</f>
        <v>* group[=].element[=].target.code = #Observation.</v>
      </c>
    </row>
    <row r="42" spans="1:19" x14ac:dyDescent="0.75">
      <c r="G42" s="78"/>
      <c r="P42" s="11">
        <v>28</v>
      </c>
      <c r="Q42" s="11">
        <f t="shared" si="14"/>
        <v>4</v>
      </c>
      <c r="R42" s="11">
        <f t="shared" si="15"/>
        <v>4</v>
      </c>
      <c r="S42" s="12" t="str" cm="1">
        <f t="array" ref="S42">INDEX('Stage-ConceptMap-6'!$I$15:$N$117,Q42+1,R42)</f>
        <v>* group[=].element[=].target.display = ##34###34#</v>
      </c>
    </row>
    <row r="43" spans="1:19" x14ac:dyDescent="0.75">
      <c r="G43" s="78"/>
      <c r="P43" s="11">
        <v>29</v>
      </c>
      <c r="Q43" s="11">
        <f t="shared" si="14"/>
        <v>4</v>
      </c>
      <c r="R43" s="11">
        <f t="shared" si="15"/>
        <v>5</v>
      </c>
      <c r="S43" s="12" t="str" cm="1">
        <f t="array" ref="S43">INDEX('Stage-ConceptMap-6'!$I$15:$N$117,Q43+1,R43)</f>
        <v>* group[=].element[=].target.equivalence = #relatedto</v>
      </c>
    </row>
    <row r="44" spans="1:19" x14ac:dyDescent="0.75">
      <c r="G44" s="78"/>
      <c r="P44" s="11">
        <v>30</v>
      </c>
      <c r="Q44" s="11">
        <f t="shared" si="14"/>
        <v>4</v>
      </c>
      <c r="R44" s="11">
        <f t="shared" si="15"/>
        <v>6</v>
      </c>
      <c r="S44" s="12" t="str" cm="1">
        <f t="array" ref="S44">INDEX('Stage-ConceptMap-6'!$I$15:$N$117,Q44+1,R44)</f>
        <v>* group[=].element[=].target.comment = ##34#TBD##34#</v>
      </c>
    </row>
    <row r="45" spans="1:19" x14ac:dyDescent="0.75">
      <c r="G45" s="78"/>
      <c r="P45" s="11">
        <v>31</v>
      </c>
      <c r="Q45" s="11">
        <f t="shared" si="14"/>
        <v>5</v>
      </c>
      <c r="R45" s="11">
        <f t="shared" si="15"/>
        <v>1</v>
      </c>
      <c r="S45" s="12" t="str" cm="1">
        <f t="array" ref="S45">INDEX('Stage-ConceptMap-6'!$I$15:$N$117,Q45+1,R45)</f>
        <v>* group[=].element[+].code = #Stage.sites</v>
      </c>
    </row>
    <row r="46" spans="1:19" x14ac:dyDescent="0.75">
      <c r="G46" s="78"/>
      <c r="P46" s="11">
        <v>32</v>
      </c>
      <c r="Q46" s="11">
        <f t="shared" si="14"/>
        <v>5</v>
      </c>
      <c r="R46" s="11">
        <f t="shared" si="15"/>
        <v>2</v>
      </c>
      <c r="S46" s="12" t="str" cm="1">
        <f t="array" ref="S46">INDEX('Stage-ConceptMap-6'!$I$15:$N$117,Q46+1,R46)</f>
        <v>* group[=].element[=].display = ##34#sites##34#</v>
      </c>
    </row>
    <row r="47" spans="1:19" x14ac:dyDescent="0.75">
      <c r="G47" s="78"/>
      <c r="P47" s="11">
        <v>33</v>
      </c>
      <c r="Q47" s="11">
        <f t="shared" si="14"/>
        <v>5</v>
      </c>
      <c r="R47" s="11">
        <f t="shared" si="15"/>
        <v>3</v>
      </c>
      <c r="S47" s="12" t="str" cm="1">
        <f t="array" ref="S47">INDEX('Stage-ConceptMap-6'!$I$15:$N$117,Q47+1,R47)</f>
        <v>* group[=].element[=].target.code = #Observation.bodySite</v>
      </c>
    </row>
    <row r="48" spans="1:19" x14ac:dyDescent="0.75">
      <c r="G48" s="78"/>
      <c r="P48" s="11">
        <v>34</v>
      </c>
      <c r="Q48" s="11">
        <f t="shared" si="14"/>
        <v>5</v>
      </c>
      <c r="R48" s="11">
        <f t="shared" si="15"/>
        <v>4</v>
      </c>
      <c r="S48" s="12" t="str" cm="1">
        <f t="array" ref="S48">INDEX('Stage-ConceptMap-6'!$I$15:$N$117,Q48+1,R48)</f>
        <v>* group[=].element[=].target.display = ##34###34#</v>
      </c>
    </row>
    <row r="49" spans="7:19" x14ac:dyDescent="0.75">
      <c r="G49" s="78"/>
      <c r="P49" s="11">
        <v>35</v>
      </c>
      <c r="Q49" s="11">
        <f t="shared" si="14"/>
        <v>5</v>
      </c>
      <c r="R49" s="11">
        <f t="shared" si="15"/>
        <v>5</v>
      </c>
      <c r="S49" s="12" t="str" cm="1">
        <f t="array" ref="S49">INDEX('Stage-ConceptMap-6'!$I$15:$N$117,Q49+1,R49)</f>
        <v>* group[=].element[=].target.equivalence = #equivalent</v>
      </c>
    </row>
    <row r="50" spans="7:19" x14ac:dyDescent="0.75">
      <c r="G50" s="78"/>
      <c r="P50" s="11">
        <v>36</v>
      </c>
      <c r="Q50" s="11">
        <f t="shared" si="14"/>
        <v>5</v>
      </c>
      <c r="R50" s="11">
        <f t="shared" si="15"/>
        <v>6</v>
      </c>
      <c r="S50" s="12" t="str" cm="1">
        <f t="array" ref="S50">INDEX('Stage-ConceptMap-6'!$I$15:$N$117,Q50+1,R50)</f>
        <v/>
      </c>
    </row>
    <row r="51" spans="7:19" x14ac:dyDescent="0.75">
      <c r="G51" s="78"/>
      <c r="P51" s="11">
        <v>37</v>
      </c>
      <c r="Q51" s="11">
        <f t="shared" si="14"/>
        <v>6</v>
      </c>
      <c r="R51" s="11">
        <f t="shared" si="15"/>
        <v>1</v>
      </c>
      <c r="S51" s="12" t="str" cm="1">
        <f t="array" ref="S51">INDEX('Stage-ConceptMap-6'!$I$15:$N$117,Q51+1,R51)</f>
        <v>* group[=].element[+].code = #Stage.sites.softTissue</v>
      </c>
    </row>
    <row r="52" spans="7:19" x14ac:dyDescent="0.75">
      <c r="G52" s="78"/>
      <c r="P52" s="11">
        <v>38</v>
      </c>
      <c r="Q52" s="11">
        <f t="shared" si="14"/>
        <v>6</v>
      </c>
      <c r="R52" s="11">
        <f t="shared" si="15"/>
        <v>2</v>
      </c>
      <c r="S52" s="12" t="str" cm="1">
        <f t="array" ref="S52">INDEX('Stage-ConceptMap-6'!$I$15:$N$117,Q52+1,R52)</f>
        <v>* group[=].element[=].display = ##34#Soft tissue##34#</v>
      </c>
    </row>
    <row r="53" spans="7:19" x14ac:dyDescent="0.75">
      <c r="G53" s="78"/>
      <c r="P53" s="11">
        <v>39</v>
      </c>
      <c r="Q53" s="11">
        <f t="shared" si="14"/>
        <v>6</v>
      </c>
      <c r="R53" s="11">
        <f t="shared" si="15"/>
        <v>3</v>
      </c>
      <c r="S53" s="12" t="str" cm="1">
        <f t="array" ref="S53">INDEX('Stage-ConceptMap-6'!$I$15:$N$117,Q53+1,R53)</f>
        <v>* group[=].element[=].target.code = #Observation.bodySite</v>
      </c>
    </row>
    <row r="54" spans="7:19" x14ac:dyDescent="0.75">
      <c r="G54" s="78"/>
      <c r="P54" s="11">
        <v>40</v>
      </c>
      <c r="Q54" s="11">
        <f t="shared" si="14"/>
        <v>6</v>
      </c>
      <c r="R54" s="11">
        <f t="shared" si="15"/>
        <v>4</v>
      </c>
      <c r="S54" s="12" t="str" cm="1">
        <f t="array" ref="S54">INDEX('Stage-ConceptMap-6'!$I$15:$N$117,Q54+1,R54)</f>
        <v>* group[=].element[=].target.display = ##34###34#</v>
      </c>
    </row>
    <row r="55" spans="7:19" x14ac:dyDescent="0.75">
      <c r="G55" s="78"/>
      <c r="P55" s="11">
        <v>41</v>
      </c>
      <c r="Q55" s="11">
        <f t="shared" si="14"/>
        <v>6</v>
      </c>
      <c r="R55" s="11">
        <f t="shared" si="15"/>
        <v>5</v>
      </c>
      <c r="S55" s="12" t="str" cm="1">
        <f t="array" ref="S55">INDEX('Stage-ConceptMap-6'!$I$15:$N$117,Q55+1,R55)</f>
        <v>* group[=].element[=].target.equivalence = #equivalent</v>
      </c>
    </row>
    <row r="56" spans="7:19" ht="29.5" x14ac:dyDescent="0.75">
      <c r="G56" s="78"/>
      <c r="P56" s="11">
        <v>42</v>
      </c>
      <c r="Q56" s="11">
        <f t="shared" si="14"/>
        <v>6</v>
      </c>
      <c r="R56" s="11">
        <f t="shared" si="15"/>
        <v>6</v>
      </c>
      <c r="S56" s="12" t="str" cm="1">
        <f t="array" ref="S56">INDEX('Stage-ConceptMap-6'!$I$15:$N$117,Q56+1,R56)</f>
        <v>* group[=].element[=].target.comment = ##34#coded concept for this site to be determined##34#</v>
      </c>
    </row>
    <row r="57" spans="7:19" x14ac:dyDescent="0.75">
      <c r="G57" s="78"/>
      <c r="P57" s="11">
        <v>43</v>
      </c>
      <c r="Q57" s="11">
        <f t="shared" si="14"/>
        <v>7</v>
      </c>
      <c r="R57" s="11">
        <f t="shared" si="15"/>
        <v>1</v>
      </c>
      <c r="S57" s="12" t="str" cm="1">
        <f t="array" ref="S57">INDEX('Stage-ConceptMap-6'!$I$15:$N$117,Q57+1,R57)</f>
        <v>* group[=].element[+].code = #Stage.sites.distantLymphNode</v>
      </c>
    </row>
    <row r="58" spans="7:19" x14ac:dyDescent="0.75">
      <c r="G58" s="78"/>
      <c r="P58" s="11">
        <v>44</v>
      </c>
      <c r="Q58" s="11">
        <f t="shared" si="14"/>
        <v>7</v>
      </c>
      <c r="R58" s="11">
        <f t="shared" si="15"/>
        <v>2</v>
      </c>
      <c r="S58" s="12" t="str" cm="1">
        <f t="array" ref="S58">INDEX('Stage-ConceptMap-6'!$I$15:$N$117,Q58+1,R58)</f>
        <v>* group[=].element[=].display = ##34#distant lymph node##34#</v>
      </c>
    </row>
    <row r="59" spans="7:19" x14ac:dyDescent="0.75">
      <c r="G59" s="78"/>
      <c r="P59" s="11">
        <v>45</v>
      </c>
      <c r="Q59" s="11">
        <f t="shared" si="14"/>
        <v>7</v>
      </c>
      <c r="R59" s="11">
        <f t="shared" si="15"/>
        <v>3</v>
      </c>
      <c r="S59" s="12" t="str" cm="1">
        <f t="array" ref="S59">INDEX('Stage-ConceptMap-6'!$I$15:$N$117,Q59+1,R59)</f>
        <v>* group[=].element[=].target.code = #Observation.bodySite</v>
      </c>
    </row>
    <row r="60" spans="7:19" x14ac:dyDescent="0.75">
      <c r="G60" s="78"/>
      <c r="P60" s="11">
        <v>46</v>
      </c>
      <c r="Q60" s="11">
        <f t="shared" si="14"/>
        <v>7</v>
      </c>
      <c r="R60" s="11">
        <f t="shared" si="15"/>
        <v>4</v>
      </c>
      <c r="S60" s="12" t="str" cm="1">
        <f t="array" ref="S60">INDEX('Stage-ConceptMap-6'!$I$15:$N$117,Q60+1,R60)</f>
        <v>* group[=].element[=].target.display = ##34###34#</v>
      </c>
    </row>
    <row r="61" spans="7:19" x14ac:dyDescent="0.75">
      <c r="G61" s="78"/>
      <c r="P61" s="11">
        <v>47</v>
      </c>
      <c r="Q61" s="11">
        <f t="shared" si="14"/>
        <v>7</v>
      </c>
      <c r="R61" s="11">
        <f t="shared" si="15"/>
        <v>5</v>
      </c>
      <c r="S61" s="12" t="str" cm="1">
        <f t="array" ref="S61">INDEX('Stage-ConceptMap-6'!$I$15:$N$117,Q61+1,R61)</f>
        <v>* group[=].element[=].target.equivalence = #equivalent</v>
      </c>
    </row>
    <row r="62" spans="7:19" ht="29.5" x14ac:dyDescent="0.75">
      <c r="G62" s="78"/>
      <c r="P62" s="11">
        <v>48</v>
      </c>
      <c r="Q62" s="11">
        <f t="shared" si="14"/>
        <v>7</v>
      </c>
      <c r="R62" s="11">
        <f t="shared" si="15"/>
        <v>6</v>
      </c>
      <c r="S62" s="12" t="str" cm="1">
        <f t="array" ref="S62">INDEX('Stage-ConceptMap-6'!$I$15:$N$117,Q62+1,R62)</f>
        <v>* group[=].element[=].target.comment = ##34#coded concept for this site to be determined##34#</v>
      </c>
    </row>
    <row r="63" spans="7:19" x14ac:dyDescent="0.75">
      <c r="G63" s="78"/>
      <c r="P63" s="11">
        <v>49</v>
      </c>
      <c r="Q63" s="11">
        <f t="shared" si="14"/>
        <v>8</v>
      </c>
      <c r="R63" s="11">
        <f t="shared" si="15"/>
        <v>1</v>
      </c>
      <c r="S63" s="12" t="str" cm="1">
        <f t="array" ref="S63">INDEX('Stage-ConceptMap-6'!$I$15:$N$117,Q63+1,R63)</f>
        <v>* group[=].element[+].code = #Stage.sites.lung</v>
      </c>
    </row>
    <row r="64" spans="7:19" x14ac:dyDescent="0.75">
      <c r="G64" s="78"/>
      <c r="P64" s="11">
        <v>50</v>
      </c>
      <c r="Q64" s="11">
        <f t="shared" si="14"/>
        <v>8</v>
      </c>
      <c r="R64" s="11">
        <f t="shared" si="15"/>
        <v>2</v>
      </c>
      <c r="S64" s="12" t="str" cm="1">
        <f t="array" ref="S64">INDEX('Stage-ConceptMap-6'!$I$15:$N$117,Q64+1,R64)</f>
        <v>* group[=].element[=].display = ##34#lung##34#</v>
      </c>
    </row>
    <row r="65" spans="7:19" x14ac:dyDescent="0.75">
      <c r="G65" s="78"/>
      <c r="P65" s="11">
        <v>51</v>
      </c>
      <c r="Q65" s="11">
        <f t="shared" si="14"/>
        <v>8</v>
      </c>
      <c r="R65" s="11">
        <f t="shared" si="15"/>
        <v>3</v>
      </c>
      <c r="S65" s="12" t="str" cm="1">
        <f t="array" ref="S65">INDEX('Stage-ConceptMap-6'!$I$15:$N$117,Q65+1,R65)</f>
        <v>* group[=].element[=].target.code = #Observation.bodySite</v>
      </c>
    </row>
    <row r="66" spans="7:19" x14ac:dyDescent="0.75">
      <c r="G66" s="78"/>
      <c r="P66" s="11">
        <v>52</v>
      </c>
      <c r="Q66" s="11">
        <f t="shared" si="14"/>
        <v>8</v>
      </c>
      <c r="R66" s="11">
        <f t="shared" si="15"/>
        <v>4</v>
      </c>
      <c r="S66" s="12" t="str" cm="1">
        <f t="array" ref="S66">INDEX('Stage-ConceptMap-6'!$I$15:$N$117,Q66+1,R66)</f>
        <v>* group[=].element[=].target.display = ##34###34#</v>
      </c>
    </row>
    <row r="67" spans="7:19" x14ac:dyDescent="0.75">
      <c r="G67" s="78"/>
      <c r="P67" s="11">
        <v>53</v>
      </c>
      <c r="Q67" s="11">
        <f t="shared" si="14"/>
        <v>8</v>
      </c>
      <c r="R67" s="11">
        <f t="shared" si="15"/>
        <v>5</v>
      </c>
      <c r="S67" s="12" t="str" cm="1">
        <f t="array" ref="S67">INDEX('Stage-ConceptMap-6'!$I$15:$N$117,Q67+1,R67)</f>
        <v>* group[=].element[=].target.equivalence = #equivalent</v>
      </c>
    </row>
    <row r="68" spans="7:19" ht="29.5" x14ac:dyDescent="0.75">
      <c r="G68" s="78"/>
      <c r="P68" s="11">
        <v>54</v>
      </c>
      <c r="Q68" s="11">
        <f t="shared" si="14"/>
        <v>8</v>
      </c>
      <c r="R68" s="11">
        <f t="shared" si="15"/>
        <v>6</v>
      </c>
      <c r="S68" s="12" t="str" cm="1">
        <f t="array" ref="S68">INDEX('Stage-ConceptMap-6'!$I$15:$N$117,Q68+1,R68)</f>
        <v>* group[=].element[=].target.comment = ##34#coded concept for this site to be determined##34#</v>
      </c>
    </row>
    <row r="69" spans="7:19" x14ac:dyDescent="0.75">
      <c r="G69" s="78"/>
      <c r="P69" s="11">
        <v>55</v>
      </c>
      <c r="Q69" s="11">
        <f t="shared" si="14"/>
        <v>9</v>
      </c>
      <c r="R69" s="11">
        <f t="shared" si="15"/>
        <v>1</v>
      </c>
      <c r="S69" s="12" t="str" cm="1">
        <f t="array" ref="S69">INDEX('Stage-ConceptMap-6'!$I$15:$N$117,Q69+1,R69)</f>
        <v>* group[=].element[+].code = #Stage.sites.bone</v>
      </c>
    </row>
    <row r="70" spans="7:19" x14ac:dyDescent="0.75">
      <c r="G70" s="78"/>
      <c r="P70" s="11">
        <v>56</v>
      </c>
      <c r="Q70" s="11">
        <f t="shared" si="14"/>
        <v>9</v>
      </c>
      <c r="R70" s="11">
        <f t="shared" si="15"/>
        <v>2</v>
      </c>
      <c r="S70" s="12" t="str" cm="1">
        <f t="array" ref="S70">INDEX('Stage-ConceptMap-6'!$I$15:$N$117,Q70+1,R70)</f>
        <v>* group[=].element[=].display = ##34#bone##34#</v>
      </c>
    </row>
    <row r="71" spans="7:19" x14ac:dyDescent="0.75">
      <c r="G71" s="78"/>
      <c r="P71" s="11">
        <v>57</v>
      </c>
      <c r="Q71" s="11">
        <f t="shared" si="14"/>
        <v>9</v>
      </c>
      <c r="R71" s="11">
        <f t="shared" si="15"/>
        <v>3</v>
      </c>
      <c r="S71" s="12" t="str" cm="1">
        <f t="array" ref="S71">INDEX('Stage-ConceptMap-6'!$I$15:$N$117,Q71+1,R71)</f>
        <v>* group[=].element[=].target.code = #Observation.bodySite</v>
      </c>
    </row>
    <row r="72" spans="7:19" x14ac:dyDescent="0.75">
      <c r="G72" s="78"/>
      <c r="P72" s="11">
        <v>58</v>
      </c>
      <c r="Q72" s="11">
        <f t="shared" si="14"/>
        <v>9</v>
      </c>
      <c r="R72" s="11">
        <f t="shared" si="15"/>
        <v>4</v>
      </c>
      <c r="S72" s="12" t="str" cm="1">
        <f t="array" ref="S72">INDEX('Stage-ConceptMap-6'!$I$15:$N$117,Q72+1,R72)</f>
        <v>* group[=].element[=].target.display = ##34###34#</v>
      </c>
    </row>
    <row r="73" spans="7:19" x14ac:dyDescent="0.75">
      <c r="G73" s="78"/>
      <c r="P73" s="11">
        <v>59</v>
      </c>
      <c r="Q73" s="11">
        <f t="shared" si="14"/>
        <v>9</v>
      </c>
      <c r="R73" s="11">
        <f t="shared" si="15"/>
        <v>5</v>
      </c>
      <c r="S73" s="12" t="str" cm="1">
        <f t="array" ref="S73">INDEX('Stage-ConceptMap-6'!$I$15:$N$117,Q73+1,R73)</f>
        <v>* group[=].element[=].target.equivalence = #equivalent</v>
      </c>
    </row>
    <row r="74" spans="7:19" ht="29.5" x14ac:dyDescent="0.75">
      <c r="G74" s="78"/>
      <c r="P74" s="11">
        <v>60</v>
      </c>
      <c r="Q74" s="11">
        <f t="shared" si="14"/>
        <v>9</v>
      </c>
      <c r="R74" s="11">
        <f t="shared" si="15"/>
        <v>6</v>
      </c>
      <c r="S74" s="12" t="str" cm="1">
        <f t="array" ref="S74">INDEX('Stage-ConceptMap-6'!$I$15:$N$117,Q74+1,R74)</f>
        <v>* group[=].element[=].target.comment = ##34#coded concept for this site to be determined##34#</v>
      </c>
    </row>
    <row r="75" spans="7:19" x14ac:dyDescent="0.75">
      <c r="G75" s="78"/>
      <c r="P75" s="11">
        <v>61</v>
      </c>
      <c r="Q75" s="11">
        <f t="shared" si="14"/>
        <v>10</v>
      </c>
      <c r="R75" s="11">
        <f t="shared" si="15"/>
        <v>1</v>
      </c>
      <c r="S75" s="12" t="str" cm="1">
        <f t="array" ref="S75">INDEX('Stage-ConceptMap-6'!$I$15:$N$117,Q75+1,R75)</f>
        <v>* group[=].element[+].code = #Stage.sites.liver</v>
      </c>
    </row>
    <row r="76" spans="7:19" x14ac:dyDescent="0.75">
      <c r="G76" s="78"/>
      <c r="P76" s="11">
        <v>62</v>
      </c>
      <c r="Q76" s="11">
        <f t="shared" si="14"/>
        <v>10</v>
      </c>
      <c r="R76" s="11">
        <f t="shared" si="15"/>
        <v>2</v>
      </c>
      <c r="S76" s="12" t="str" cm="1">
        <f t="array" ref="S76">INDEX('Stage-ConceptMap-6'!$I$15:$N$117,Q76+1,R76)</f>
        <v>* group[=].element[=].display = ##34#liver##34#</v>
      </c>
    </row>
    <row r="77" spans="7:19" x14ac:dyDescent="0.75">
      <c r="G77" s="78"/>
      <c r="P77" s="11">
        <v>63</v>
      </c>
      <c r="Q77" s="11">
        <f t="shared" si="14"/>
        <v>10</v>
      </c>
      <c r="R77" s="11">
        <f t="shared" si="15"/>
        <v>3</v>
      </c>
      <c r="S77" s="12" t="str" cm="1">
        <f t="array" ref="S77">INDEX('Stage-ConceptMap-6'!$I$15:$N$117,Q77+1,R77)</f>
        <v>* group[=].element[=].target.code = #Observation.bodySite</v>
      </c>
    </row>
    <row r="78" spans="7:19" x14ac:dyDescent="0.75">
      <c r="G78" s="78"/>
      <c r="P78" s="11">
        <v>64</v>
      </c>
      <c r="Q78" s="11">
        <f t="shared" si="14"/>
        <v>10</v>
      </c>
      <c r="R78" s="11">
        <f t="shared" si="15"/>
        <v>4</v>
      </c>
      <c r="S78" s="12" t="str" cm="1">
        <f t="array" ref="S78">INDEX('Stage-ConceptMap-6'!$I$15:$N$117,Q78+1,R78)</f>
        <v>* group[=].element[=].target.display = ##34###34#</v>
      </c>
    </row>
    <row r="79" spans="7:19" x14ac:dyDescent="0.75">
      <c r="G79" s="78"/>
      <c r="P79" s="11">
        <v>65</v>
      </c>
      <c r="Q79" s="11">
        <f t="shared" si="14"/>
        <v>10</v>
      </c>
      <c r="R79" s="11">
        <f t="shared" si="15"/>
        <v>5</v>
      </c>
      <c r="S79" s="12" t="str" cm="1">
        <f t="array" ref="S79">INDEX('Stage-ConceptMap-6'!$I$15:$N$117,Q79+1,R79)</f>
        <v>* group[=].element[=].target.equivalence = #equivalent</v>
      </c>
    </row>
    <row r="80" spans="7:19" ht="29.5" x14ac:dyDescent="0.75">
      <c r="G80" s="78"/>
      <c r="P80" s="11">
        <v>66</v>
      </c>
      <c r="Q80" s="11">
        <f t="shared" ref="Q80:Q133" si="16">IF(MOD(P80,$Q$8)=0,P80/$Q$8-1,INT(P80/$Q$8))</f>
        <v>10</v>
      </c>
      <c r="R80" s="11">
        <f t="shared" ref="R80:R133" si="17">IF(MOD(P80,$Q$8)=0,$Q$8,MOD(P80,$Q$8))</f>
        <v>6</v>
      </c>
      <c r="S80" s="12" t="str" cm="1">
        <f t="array" ref="S80">INDEX('Stage-ConceptMap-6'!$I$15:$N$117,Q80+1,R80)</f>
        <v>* group[=].element[=].target.comment = ##34#coded concept for this site to be determined##34#</v>
      </c>
    </row>
    <row r="81" spans="7:19" x14ac:dyDescent="0.75">
      <c r="G81" s="78"/>
      <c r="P81" s="11">
        <v>67</v>
      </c>
      <c r="Q81" s="11">
        <f t="shared" si="16"/>
        <v>11</v>
      </c>
      <c r="R81" s="11">
        <f t="shared" si="17"/>
        <v>1</v>
      </c>
      <c r="S81" s="12" t="str" cm="1">
        <f t="array" ref="S81">INDEX('Stage-ConceptMap-6'!$I$15:$N$117,Q81+1,R81)</f>
        <v>* group[=].element[+].code = #Stage.sites.pleura</v>
      </c>
    </row>
    <row r="82" spans="7:19" x14ac:dyDescent="0.75">
      <c r="G82" s="78"/>
      <c r="P82" s="11">
        <v>68</v>
      </c>
      <c r="Q82" s="11">
        <f t="shared" si="16"/>
        <v>11</v>
      </c>
      <c r="R82" s="11">
        <f t="shared" si="17"/>
        <v>2</v>
      </c>
      <c r="S82" s="12" t="str" cm="1">
        <f t="array" ref="S82">INDEX('Stage-ConceptMap-6'!$I$15:$N$117,Q82+1,R82)</f>
        <v>* group[=].element[=].display = ##34#pleura##34#</v>
      </c>
    </row>
    <row r="83" spans="7:19" x14ac:dyDescent="0.75">
      <c r="G83" s="78"/>
      <c r="P83" s="11">
        <v>69</v>
      </c>
      <c r="Q83" s="11">
        <f t="shared" si="16"/>
        <v>11</v>
      </c>
      <c r="R83" s="11">
        <f t="shared" si="17"/>
        <v>3</v>
      </c>
      <c r="S83" s="12" t="str" cm="1">
        <f t="array" ref="S83">INDEX('Stage-ConceptMap-6'!$I$15:$N$117,Q83+1,R83)</f>
        <v>* group[=].element[=].target.code = #Observation.bodySite</v>
      </c>
    </row>
    <row r="84" spans="7:19" x14ac:dyDescent="0.75">
      <c r="G84" s="78"/>
      <c r="P84" s="11">
        <v>70</v>
      </c>
      <c r="Q84" s="11">
        <f t="shared" si="16"/>
        <v>11</v>
      </c>
      <c r="R84" s="11">
        <f t="shared" si="17"/>
        <v>4</v>
      </c>
      <c r="S84" s="12" t="str" cm="1">
        <f t="array" ref="S84">INDEX('Stage-ConceptMap-6'!$I$15:$N$117,Q84+1,R84)</f>
        <v>* group[=].element[=].target.display = ##34###34#</v>
      </c>
    </row>
    <row r="85" spans="7:19" x14ac:dyDescent="0.75">
      <c r="G85" s="78"/>
      <c r="P85" s="11">
        <v>71</v>
      </c>
      <c r="Q85" s="11">
        <f t="shared" si="16"/>
        <v>11</v>
      </c>
      <c r="R85" s="11">
        <f t="shared" si="17"/>
        <v>5</v>
      </c>
      <c r="S85" s="12" t="str" cm="1">
        <f t="array" ref="S85">INDEX('Stage-ConceptMap-6'!$I$15:$N$117,Q85+1,R85)</f>
        <v>* group[=].element[=].target.equivalence = #equivalent</v>
      </c>
    </row>
    <row r="86" spans="7:19" ht="29.5" x14ac:dyDescent="0.75">
      <c r="G86" s="78"/>
      <c r="P86" s="11">
        <v>72</v>
      </c>
      <c r="Q86" s="11">
        <f t="shared" si="16"/>
        <v>11</v>
      </c>
      <c r="R86" s="11">
        <f t="shared" si="17"/>
        <v>6</v>
      </c>
      <c r="S86" s="12" t="str" cm="1">
        <f t="array" ref="S86">INDEX('Stage-ConceptMap-6'!$I$15:$N$117,Q86+1,R86)</f>
        <v>* group[=].element[=].target.comment = ##34#coded concept for this site to be determined##34#</v>
      </c>
    </row>
    <row r="87" spans="7:19" x14ac:dyDescent="0.75">
      <c r="G87" s="78"/>
      <c r="P87" s="11">
        <v>73</v>
      </c>
      <c r="Q87" s="11">
        <f t="shared" si="16"/>
        <v>12</v>
      </c>
      <c r="R87" s="11">
        <f t="shared" si="17"/>
        <v>1</v>
      </c>
      <c r="S87" s="12" t="str" cm="1">
        <f t="array" ref="S87">INDEX('Stage-ConceptMap-6'!$I$15:$N$117,Q87+1,R87)</f>
        <v>* group[=].element[+].code = #Stage.sites.peritoneum</v>
      </c>
    </row>
    <row r="88" spans="7:19" x14ac:dyDescent="0.75">
      <c r="G88" s="78"/>
      <c r="P88" s="11">
        <v>74</v>
      </c>
      <c r="Q88" s="11">
        <f t="shared" si="16"/>
        <v>12</v>
      </c>
      <c r="R88" s="11">
        <f t="shared" si="17"/>
        <v>2</v>
      </c>
      <c r="S88" s="12" t="str" cm="1">
        <f t="array" ref="S88">INDEX('Stage-ConceptMap-6'!$I$15:$N$117,Q88+1,R88)</f>
        <v>* group[=].element[=].display = ##34#peritoneum##34#</v>
      </c>
    </row>
    <row r="89" spans="7:19" x14ac:dyDescent="0.75">
      <c r="G89" s="78"/>
      <c r="P89" s="11">
        <v>75</v>
      </c>
      <c r="Q89" s="11">
        <f t="shared" si="16"/>
        <v>12</v>
      </c>
      <c r="R89" s="11">
        <f t="shared" si="17"/>
        <v>3</v>
      </c>
      <c r="S89" s="12" t="str" cm="1">
        <f t="array" ref="S89">INDEX('Stage-ConceptMap-6'!$I$15:$N$117,Q89+1,R89)</f>
        <v>* group[=].element[=].target.code = #Observation.bodySite</v>
      </c>
    </row>
    <row r="90" spans="7:19" x14ac:dyDescent="0.75">
      <c r="G90" s="78"/>
      <c r="P90" s="11">
        <v>76</v>
      </c>
      <c r="Q90" s="11">
        <f t="shared" si="16"/>
        <v>12</v>
      </c>
      <c r="R90" s="11">
        <f t="shared" si="17"/>
        <v>4</v>
      </c>
      <c r="S90" s="12" t="str" cm="1">
        <f t="array" ref="S90">INDEX('Stage-ConceptMap-6'!$I$15:$N$117,Q90+1,R90)</f>
        <v>* group[=].element[=].target.display = ##34###34#</v>
      </c>
    </row>
    <row r="91" spans="7:19" x14ac:dyDescent="0.75">
      <c r="G91" s="78"/>
      <c r="P91" s="11">
        <v>77</v>
      </c>
      <c r="Q91" s="11">
        <f t="shared" si="16"/>
        <v>12</v>
      </c>
      <c r="R91" s="11">
        <f t="shared" si="17"/>
        <v>5</v>
      </c>
      <c r="S91" s="12" t="str" cm="1">
        <f t="array" ref="S91">INDEX('Stage-ConceptMap-6'!$I$15:$N$117,Q91+1,R91)</f>
        <v>* group[=].element[=].target.equivalence = #equivalent</v>
      </c>
    </row>
    <row r="92" spans="7:19" ht="29.5" x14ac:dyDescent="0.75">
      <c r="G92" s="78"/>
      <c r="P92" s="11">
        <v>78</v>
      </c>
      <c r="Q92" s="11">
        <f t="shared" si="16"/>
        <v>12</v>
      </c>
      <c r="R92" s="11">
        <f t="shared" si="17"/>
        <v>6</v>
      </c>
      <c r="S92" s="12" t="str" cm="1">
        <f t="array" ref="S92">INDEX('Stage-ConceptMap-6'!$I$15:$N$117,Q92+1,R92)</f>
        <v>* group[=].element[=].target.comment = ##34#coded concept for this site to be determined##34#</v>
      </c>
    </row>
    <row r="93" spans="7:19" x14ac:dyDescent="0.75">
      <c r="G93" s="78"/>
      <c r="P93" s="11">
        <v>79</v>
      </c>
      <c r="Q93" s="11">
        <f t="shared" si="16"/>
        <v>13</v>
      </c>
      <c r="R93" s="11">
        <f t="shared" si="17"/>
        <v>1</v>
      </c>
      <c r="S93" s="12" t="str" cm="1">
        <f t="array" ref="S93">INDEX('Stage-ConceptMap-6'!$I$15:$N$117,Q93+1,R93)</f>
        <v>* group[=].element[+].code = #Stage.sites.brain</v>
      </c>
    </row>
    <row r="94" spans="7:19" x14ac:dyDescent="0.75">
      <c r="G94" s="78"/>
      <c r="P94" s="11">
        <v>80</v>
      </c>
      <c r="Q94" s="11">
        <f t="shared" si="16"/>
        <v>13</v>
      </c>
      <c r="R94" s="11">
        <f t="shared" si="17"/>
        <v>2</v>
      </c>
      <c r="S94" s="12" t="str" cm="1">
        <f t="array" ref="S94">INDEX('Stage-ConceptMap-6'!$I$15:$N$117,Q94+1,R94)</f>
        <v>* group[=].element[=].display = ##34#brain##34#</v>
      </c>
    </row>
    <row r="95" spans="7:19" x14ac:dyDescent="0.75">
      <c r="G95" s="78"/>
      <c r="P95" s="11">
        <v>81</v>
      </c>
      <c r="Q95" s="11">
        <f t="shared" si="16"/>
        <v>13</v>
      </c>
      <c r="R95" s="11">
        <f t="shared" si="17"/>
        <v>3</v>
      </c>
      <c r="S95" s="12" t="str" cm="1">
        <f t="array" ref="S95">INDEX('Stage-ConceptMap-6'!$I$15:$N$117,Q95+1,R95)</f>
        <v>* group[=].element[=].target.code = #Observation.bodySite</v>
      </c>
    </row>
    <row r="96" spans="7:19" x14ac:dyDescent="0.75">
      <c r="G96" s="78"/>
      <c r="P96" s="11">
        <v>82</v>
      </c>
      <c r="Q96" s="11">
        <f t="shared" si="16"/>
        <v>13</v>
      </c>
      <c r="R96" s="11">
        <f t="shared" si="17"/>
        <v>4</v>
      </c>
      <c r="S96" s="12" t="str" cm="1">
        <f t="array" ref="S96">INDEX('Stage-ConceptMap-6'!$I$15:$N$117,Q96+1,R96)</f>
        <v>* group[=].element[=].target.display = ##34###34#</v>
      </c>
    </row>
    <row r="97" spans="7:19" x14ac:dyDescent="0.75">
      <c r="G97" s="78"/>
      <c r="P97" s="11">
        <v>83</v>
      </c>
      <c r="Q97" s="11">
        <f t="shared" si="16"/>
        <v>13</v>
      </c>
      <c r="R97" s="11">
        <f t="shared" si="17"/>
        <v>5</v>
      </c>
      <c r="S97" s="12" t="str" cm="1">
        <f t="array" ref="S97">INDEX('Stage-ConceptMap-6'!$I$15:$N$117,Q97+1,R97)</f>
        <v>* group[=].element[=].target.equivalence = #equivalent</v>
      </c>
    </row>
    <row r="98" spans="7:19" ht="29.5" x14ac:dyDescent="0.75">
      <c r="G98" s="78"/>
      <c r="P98" s="11">
        <v>84</v>
      </c>
      <c r="Q98" s="11">
        <f t="shared" si="16"/>
        <v>13</v>
      </c>
      <c r="R98" s="11">
        <f t="shared" si="17"/>
        <v>6</v>
      </c>
      <c r="S98" s="12" t="str" cm="1">
        <f t="array" ref="S98">INDEX('Stage-ConceptMap-6'!$I$15:$N$117,Q98+1,R98)</f>
        <v>* group[=].element[=].target.comment = ##34#coded concept for this site to be determined##34#</v>
      </c>
    </row>
    <row r="99" spans="7:19" x14ac:dyDescent="0.75">
      <c r="G99" s="78"/>
      <c r="P99" s="11">
        <v>85</v>
      </c>
      <c r="Q99" s="11">
        <f t="shared" si="16"/>
        <v>14</v>
      </c>
      <c r="R99" s="11">
        <f t="shared" si="17"/>
        <v>1</v>
      </c>
      <c r="S99" s="12" t="str" cm="1">
        <f t="array" ref="S99">INDEX('Stage-ConceptMap-6'!$I$15:$N$117,Q99+1,R99)</f>
        <v>* group[=].element[+].code = #Stage.sites.otherViscera</v>
      </c>
    </row>
    <row r="100" spans="7:19" x14ac:dyDescent="0.75">
      <c r="G100" s="78"/>
      <c r="P100" s="11">
        <v>86</v>
      </c>
      <c r="Q100" s="11">
        <f t="shared" si="16"/>
        <v>14</v>
      </c>
      <c r="R100" s="11">
        <f t="shared" si="17"/>
        <v>2</v>
      </c>
      <c r="S100" s="12" t="str" cm="1">
        <f t="array" ref="S100">INDEX('Stage-ConceptMap-6'!$I$15:$N$117,Q100+1,R100)</f>
        <v>* group[=].element[=].display = ##34#other viscera##34#</v>
      </c>
    </row>
    <row r="101" spans="7:19" x14ac:dyDescent="0.75">
      <c r="G101" s="78"/>
      <c r="P101" s="11">
        <v>87</v>
      </c>
      <c r="Q101" s="11">
        <f t="shared" si="16"/>
        <v>14</v>
      </c>
      <c r="R101" s="11">
        <f t="shared" si="17"/>
        <v>3</v>
      </c>
      <c r="S101" s="12" t="str" cm="1">
        <f t="array" ref="S101">INDEX('Stage-ConceptMap-6'!$I$15:$N$117,Q101+1,R101)</f>
        <v>* group[=].element[=].target.code = #Observation.bodySite</v>
      </c>
    </row>
    <row r="102" spans="7:19" x14ac:dyDescent="0.75">
      <c r="G102" s="78"/>
      <c r="P102" s="11">
        <v>88</v>
      </c>
      <c r="Q102" s="11">
        <f t="shared" si="16"/>
        <v>14</v>
      </c>
      <c r="R102" s="11">
        <f t="shared" si="17"/>
        <v>4</v>
      </c>
      <c r="S102" s="12" t="str" cm="1">
        <f t="array" ref="S102">INDEX('Stage-ConceptMap-6'!$I$15:$N$117,Q102+1,R102)</f>
        <v>* group[=].element[=].target.display = ##34###34#</v>
      </c>
    </row>
    <row r="103" spans="7:19" x14ac:dyDescent="0.75">
      <c r="G103" s="78"/>
      <c r="P103" s="11">
        <v>89</v>
      </c>
      <c r="Q103" s="11">
        <f t="shared" si="16"/>
        <v>14</v>
      </c>
      <c r="R103" s="11">
        <f t="shared" si="17"/>
        <v>5</v>
      </c>
      <c r="S103" s="12" t="str" cm="1">
        <f t="array" ref="S103">INDEX('Stage-ConceptMap-6'!$I$15:$N$117,Q103+1,R103)</f>
        <v>* group[=].element[=].target.equivalence = #equivalent</v>
      </c>
    </row>
    <row r="104" spans="7:19" ht="29.5" x14ac:dyDescent="0.75">
      <c r="G104" s="78"/>
      <c r="P104" s="11">
        <v>90</v>
      </c>
      <c r="Q104" s="11">
        <f t="shared" si="16"/>
        <v>14</v>
      </c>
      <c r="R104" s="11">
        <f t="shared" si="17"/>
        <v>6</v>
      </c>
      <c r="S104" s="12" t="str" cm="1">
        <f t="array" ref="S104">INDEX('Stage-ConceptMap-6'!$I$15:$N$117,Q104+1,R104)</f>
        <v>* group[=].element[=].target.comment = ##34#coded concept for this site to be determined##34#</v>
      </c>
    </row>
    <row r="105" spans="7:19" x14ac:dyDescent="0.75">
      <c r="G105" s="78"/>
      <c r="P105" s="11">
        <v>91</v>
      </c>
      <c r="Q105" s="11">
        <f t="shared" si="16"/>
        <v>15</v>
      </c>
      <c r="R105" s="11">
        <f t="shared" si="17"/>
        <v>1</v>
      </c>
      <c r="S105" s="12" t="str" cm="1">
        <f t="array" ref="S105">INDEX('Stage-ConceptMap-6'!$I$15:$N$117,Q105+1,R105)</f>
        <v>* group[=].element[+].code = #Stage.sites.unknown</v>
      </c>
    </row>
    <row r="106" spans="7:19" x14ac:dyDescent="0.75">
      <c r="G106" s="78"/>
      <c r="P106" s="11">
        <v>92</v>
      </c>
      <c r="Q106" s="11">
        <f t="shared" si="16"/>
        <v>15</v>
      </c>
      <c r="R106" s="11">
        <f t="shared" si="17"/>
        <v>2</v>
      </c>
      <c r="S106" s="12" t="str" cm="1">
        <f t="array" ref="S106">INDEX('Stage-ConceptMap-6'!$I$15:$N$117,Q106+1,R106)</f>
        <v>* group[=].element[=].display = ##34#unknown##34#</v>
      </c>
    </row>
    <row r="107" spans="7:19" x14ac:dyDescent="0.75">
      <c r="G107" s="78"/>
      <c r="P107" s="11">
        <v>93</v>
      </c>
      <c r="Q107" s="11">
        <f t="shared" si="16"/>
        <v>15</v>
      </c>
      <c r="R107" s="11">
        <f t="shared" si="17"/>
        <v>3</v>
      </c>
      <c r="S107" s="12" t="str" cm="1">
        <f t="array" ref="S107">INDEX('Stage-ConceptMap-6'!$I$15:$N$117,Q107+1,R107)</f>
        <v>* group[=].element[=].target.code = #Observation.bodySite</v>
      </c>
    </row>
    <row r="108" spans="7:19" x14ac:dyDescent="0.75">
      <c r="G108" s="78"/>
      <c r="P108" s="11">
        <v>94</v>
      </c>
      <c r="Q108" s="11">
        <f t="shared" si="16"/>
        <v>15</v>
      </c>
      <c r="R108" s="11">
        <f t="shared" si="17"/>
        <v>4</v>
      </c>
      <c r="S108" s="12" t="str" cm="1">
        <f t="array" ref="S108">INDEX('Stage-ConceptMap-6'!$I$15:$N$117,Q108+1,R108)</f>
        <v>* group[=].element[=].target.display = ##34###34#</v>
      </c>
    </row>
    <row r="109" spans="7:19" x14ac:dyDescent="0.75">
      <c r="G109" s="78"/>
      <c r="P109" s="11">
        <v>95</v>
      </c>
      <c r="Q109" s="11">
        <f t="shared" si="16"/>
        <v>15</v>
      </c>
      <c r="R109" s="11">
        <f t="shared" si="17"/>
        <v>5</v>
      </c>
      <c r="S109" s="12" t="str" cm="1">
        <f t="array" ref="S109">INDEX('Stage-ConceptMap-6'!$I$15:$N$117,Q109+1,R109)</f>
        <v>* group[=].element[=].target.equivalence = #equivalent</v>
      </c>
    </row>
    <row r="110" spans="7:19" ht="29.5" x14ac:dyDescent="0.75">
      <c r="G110" s="78"/>
      <c r="P110" s="11">
        <v>96</v>
      </c>
      <c r="Q110" s="11">
        <f t="shared" si="16"/>
        <v>15</v>
      </c>
      <c r="R110" s="11">
        <f t="shared" si="17"/>
        <v>6</v>
      </c>
      <c r="S110" s="12" t="str" cm="1">
        <f t="array" ref="S110">INDEX('Stage-ConceptMap-6'!$I$15:$N$117,Q110+1,R110)</f>
        <v>* group[=].element[=].target.comment = ##34#coded concept for this site to be determined##34#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4" sqref="B214:B21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2358</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6"/>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##34#check is the existance of metastatic conditions is enough##34#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##34#check if it could be documented in the metastatic condition##34#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4"/>
    </row>
    <row r="105" spans="2:2" x14ac:dyDescent="0.75">
      <c r="B105" s="53" t="str">
        <f>"* group[+].source = ##34#"&amp;'Stage-ConceptMap-2'!E6&amp;"##34#"</f>
        <v>* group[+].source = ##34#http://hl7.eu/fhir/ig/idea4rc/StructureDefinition/StageI4rc##34#</v>
      </c>
    </row>
    <row r="106" spans="2:2" x14ac:dyDescent="0.75">
      <c r="B106" s="85" t="str">
        <f>"* group[=].target = ##34#"&amp;'Stage-ConceptMap-2'!E7&amp;"##34#"</f>
        <v>* group[=].target = ##34#http://hl7.eu/fhir/ig/idea4rc/StructureDefinition/mcode-tnm-primary-tumor-category##34#</v>
      </c>
    </row>
    <row r="107" spans="2:2" x14ac:dyDescent="0.75">
      <c r="B107" s="86"/>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4"/>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5" t="str">
        <f>"* group[=].target = ##34#"&amp;'Stage-ConceptMap-3'!E7&amp;"##34#"</f>
        <v>* group[=].target = ##34#http://hl7.eu/fhir/ig/idea4rc/StructureDefinition/mcode-tnm-regional-nodes-category##34#</v>
      </c>
      <c r="C137" s="7"/>
      <c r="D137" s="7"/>
      <c r="E137" s="7"/>
      <c r="F137" s="7"/>
      <c r="G137" s="7"/>
    </row>
    <row r="138" spans="2:7" x14ac:dyDescent="0.75">
      <c r="B138" s="86"/>
      <c r="C138" s="7"/>
      <c r="D138" s="7"/>
      <c r="E138" s="7"/>
      <c r="F138" s="7"/>
      <c r="G138" s="7"/>
    </row>
    <row r="139" spans="2:7" x14ac:dyDescent="0.75">
      <c r="B139" s="74" t="str">
        <f>IF('Stage-ConceptMap-3'!S15=0,"//---END",'Stage-ConceptMap-3'!S15)</f>
        <v>* group[=].element[+].code = #Stage.type</v>
      </c>
      <c r="C139" s="7"/>
      <c r="D139" s="7"/>
      <c r="E139" s="7"/>
      <c r="F139" s="7"/>
      <c r="G139" s="7"/>
    </row>
    <row r="140" spans="2:7" x14ac:dyDescent="0.75">
      <c r="B140" s="74" t="str">
        <f>IF('Stage-ConceptMap-3'!S16=0,"//---END",'Stage-ConceptMap-3'!S16)</f>
        <v>* group[=].element[=].display = ##34#Type of stage##34#</v>
      </c>
      <c r="C140" s="7"/>
      <c r="D140" s="7"/>
      <c r="E140" s="7"/>
      <c r="F140" s="7"/>
      <c r="G140" s="7"/>
    </row>
    <row r="141" spans="2:7" x14ac:dyDescent="0.75">
      <c r="B141" s="74" t="str">
        <f>IF('Stage-ConceptMap-3'!S17=0,"//---END",'Stage-ConceptMap-3'!S17)</f>
        <v>* group[=].element[=].target.code = #Observation.code</v>
      </c>
      <c r="C141" s="7"/>
      <c r="D141" s="7"/>
      <c r="E141" s="7"/>
      <c r="F141" s="7"/>
      <c r="G141" s="7"/>
    </row>
    <row r="142" spans="2:7" x14ac:dyDescent="0.75">
      <c r="B142" s="74" t="str">
        <f>IF('Stage-ConceptMap-3'!S18=0,"//---END",'Stage-ConceptMap-3'!S18)</f>
        <v>* group[=].element[=].target.display = ##34###34#</v>
      </c>
      <c r="C142" s="7"/>
      <c r="D142" s="7"/>
      <c r="E142" s="7"/>
      <c r="F142" s="7"/>
      <c r="G142" s="7"/>
    </row>
    <row r="143" spans="2:7" x14ac:dyDescent="0.75">
      <c r="B143" s="74" t="str">
        <f>IF('Stage-ConceptMap-3'!S19=0,"//---END",'Stage-ConceptMap-3'!S19)</f>
        <v>* group[=].element[=].target.equivalence = #equivalent</v>
      </c>
      <c r="C143" s="7"/>
      <c r="D143" s="7"/>
      <c r="E143" s="7"/>
      <c r="F143" s="7"/>
      <c r="G143" s="7"/>
    </row>
    <row r="144" spans="2:7" x14ac:dyDescent="0.75">
      <c r="B144" s="74" t="str">
        <f>IF('Stage-ConceptMap-3'!S20=0,"//---END",'Stage-ConceptMap-3'!S20)</f>
        <v/>
      </c>
      <c r="C144" s="7"/>
      <c r="D144" s="7"/>
      <c r="E144" s="7"/>
      <c r="F144" s="7"/>
      <c r="G144" s="7"/>
    </row>
    <row r="145" spans="2:7" x14ac:dyDescent="0.75">
      <c r="B145" s="74" t="str">
        <f>IF('Stage-ConceptMap-3'!S21=0,"//---END",'Stage-ConceptMap-3'!S21)</f>
        <v>* group[=].element[+].code = #Stage.t</v>
      </c>
      <c r="C145" s="7"/>
      <c r="D145" s="7"/>
      <c r="E145" s="7"/>
      <c r="F145" s="7"/>
      <c r="G145" s="7"/>
    </row>
    <row r="146" spans="2:7" x14ac:dyDescent="0.75">
      <c r="B146" s="74" t="str">
        <f>IF('Stage-ConceptMap-3'!S22=0,"//---END",'Stage-ConceptMap-3'!S22)</f>
        <v>* group[=].element[=].display = ##34#T##34#</v>
      </c>
      <c r="C146" s="7"/>
      <c r="D146" s="7"/>
      <c r="E146" s="7"/>
      <c r="F146" s="7"/>
      <c r="G146" s="7"/>
    </row>
    <row r="147" spans="2:7" x14ac:dyDescent="0.75">
      <c r="B147" s="74" t="str">
        <f>IF('Stage-ConceptMap-3'!S23=0,"//---END",'Stage-ConceptMap-3'!S23)</f>
        <v>//-- unmatched</v>
      </c>
      <c r="C147" s="7"/>
      <c r="D147" s="7"/>
      <c r="E147" s="7"/>
      <c r="F147" s="7"/>
      <c r="G147" s="7"/>
    </row>
    <row r="148" spans="2:7" x14ac:dyDescent="0.75">
      <c r="B148" s="74" t="str">
        <f>IF('Stage-ConceptMap-3'!S24=0,"//---END",'Stage-ConceptMap-3'!S24)</f>
        <v>//-- unmatched</v>
      </c>
      <c r="C148" s="7"/>
      <c r="D148" s="7"/>
      <c r="E148" s="7"/>
      <c r="F148" s="7"/>
      <c r="G148" s="7"/>
    </row>
    <row r="149" spans="2:7" x14ac:dyDescent="0.75">
      <c r="B149" s="74" t="str">
        <f>IF('Stage-ConceptMap-3'!S25=0,"//---END",'Stage-ConceptMap-3'!S25)</f>
        <v>* group[=].element[=].target.equivalence = #unmatched</v>
      </c>
      <c r="C149" s="7"/>
      <c r="D149" s="7"/>
      <c r="E149" s="7"/>
      <c r="F149" s="7"/>
      <c r="G149" s="7"/>
    </row>
    <row r="150" spans="2:7" x14ac:dyDescent="0.75">
      <c r="B150" s="74" t="str">
        <f>IF('Stage-ConceptMap-3'!S26=0,"//---END",'Stage-ConceptMap-3'!S26)</f>
        <v/>
      </c>
      <c r="C150" s="7"/>
      <c r="D150" s="7"/>
      <c r="E150" s="7"/>
      <c r="F150" s="7"/>
      <c r="G150" s="7"/>
    </row>
    <row r="151" spans="2:7" x14ac:dyDescent="0.75">
      <c r="B151" s="74" t="str">
        <f>IF('Stage-ConceptMap-3'!S27=0,"//---END",'Stage-ConceptMap-3'!S27)</f>
        <v>* group[=].element[+].code = #Stage.n</v>
      </c>
      <c r="C151" s="7"/>
      <c r="D151" s="7"/>
      <c r="E151" s="7"/>
      <c r="F151" s="7"/>
      <c r="G151" s="7"/>
    </row>
    <row r="152" spans="2:7" x14ac:dyDescent="0.75">
      <c r="B152" s="74" t="str">
        <f>IF('Stage-ConceptMap-3'!S28=0,"//---END",'Stage-ConceptMap-3'!S28)</f>
        <v>* group[=].element[=].display = ##34#N##34#</v>
      </c>
      <c r="C152" s="7"/>
      <c r="D152" s="7"/>
      <c r="E152" s="7"/>
      <c r="F152" s="7"/>
      <c r="G152" s="7"/>
    </row>
    <row r="153" spans="2:7" x14ac:dyDescent="0.75">
      <c r="B153" s="74" t="str">
        <f>IF('Stage-ConceptMap-3'!S29=0,"//---END",'Stage-ConceptMap-3'!S29)</f>
        <v>* group[=].element[=].target.code = #Observation.valueCodeableConcept</v>
      </c>
      <c r="C153" s="7"/>
      <c r="D153" s="7"/>
      <c r="E153" s="7"/>
      <c r="F153" s="7"/>
      <c r="G153" s="7"/>
    </row>
    <row r="154" spans="2:7" x14ac:dyDescent="0.75">
      <c r="B154" s="74" t="str">
        <f>IF('Stage-ConceptMap-3'!S30=0,"//---END",'Stage-ConceptMap-3'!S30)</f>
        <v>* group[=].element[=].target.display = ##34###34#</v>
      </c>
      <c r="C154" s="7"/>
      <c r="D154" s="7"/>
      <c r="E154" s="7"/>
      <c r="F154" s="7"/>
      <c r="G154" s="7"/>
    </row>
    <row r="155" spans="2:7" x14ac:dyDescent="0.75">
      <c r="B155" s="74" t="str">
        <f>IF('Stage-ConceptMap-3'!S31=0,"//---END",'Stage-ConceptMap-3'!S31)</f>
        <v>* group[=].element[=].target.equivalence = #equivalent</v>
      </c>
      <c r="C155" s="7"/>
      <c r="D155" s="7"/>
      <c r="E155" s="7"/>
      <c r="F155" s="7"/>
      <c r="G155" s="7"/>
    </row>
    <row r="156" spans="2:7" x14ac:dyDescent="0.75">
      <c r="B156" s="74" t="str">
        <f>IF('Stage-ConceptMap-3'!S32=0,"//---END",'Stage-ConceptMap-3'!S32)</f>
        <v/>
      </c>
      <c r="C156" s="7"/>
      <c r="D156" s="7"/>
      <c r="E156" s="7"/>
      <c r="F156" s="7"/>
      <c r="G156" s="7"/>
    </row>
    <row r="157" spans="2:7" x14ac:dyDescent="0.75">
      <c r="B157" s="74" t="str">
        <f>IF('Stage-ConceptMap-3'!S33=0,"//---END",'Stage-ConceptMap-3'!S33)</f>
        <v>* group[=].element[+].code = #Stage.m</v>
      </c>
      <c r="C157" s="7"/>
      <c r="D157" s="7"/>
      <c r="E157" s="7"/>
      <c r="F157" s="7"/>
      <c r="G157" s="7"/>
    </row>
    <row r="158" spans="2:7" x14ac:dyDescent="0.75">
      <c r="B158" s="74" t="str">
        <f>IF('Stage-ConceptMap-3'!S34=0,"//---END",'Stage-ConceptMap-3'!S34)</f>
        <v>* group[=].element[=].display = ##34#M##34#</v>
      </c>
      <c r="C158" s="7"/>
      <c r="D158" s="7"/>
      <c r="E158" s="7"/>
      <c r="F158" s="7"/>
      <c r="G158" s="7"/>
    </row>
    <row r="159" spans="2:7" x14ac:dyDescent="0.75">
      <c r="B159" s="74" t="str">
        <f>IF('Stage-ConceptMap-3'!S35=0,"//---END",'Stage-ConceptMap-3'!S35)</f>
        <v>//-- unmatched</v>
      </c>
      <c r="C159" s="7"/>
      <c r="D159" s="7"/>
      <c r="E159" s="7"/>
      <c r="F159" s="7"/>
      <c r="G159" s="7"/>
    </row>
    <row r="160" spans="2:7" x14ac:dyDescent="0.75">
      <c r="B160" s="74" t="str">
        <f>IF('Stage-ConceptMap-3'!S36=0,"//---END",'Stage-ConceptMap-3'!S36)</f>
        <v>//-- unmatched</v>
      </c>
      <c r="C160" s="7"/>
      <c r="D160" s="7"/>
      <c r="E160" s="7"/>
      <c r="F160" s="7"/>
      <c r="G160" s="7"/>
    </row>
    <row r="161" spans="2:7" x14ac:dyDescent="0.75">
      <c r="B161" s="74" t="str">
        <f>IF('Stage-ConceptMap-3'!S37=0,"//---END",'Stage-ConceptMap-3'!S37)</f>
        <v>* group[=].element[=].target.equivalence = #unmatched</v>
      </c>
      <c r="C161" s="7"/>
      <c r="D161" s="7"/>
      <c r="E161" s="7"/>
      <c r="F161" s="7"/>
      <c r="G161" s="7"/>
    </row>
    <row r="162" spans="2:7" x14ac:dyDescent="0.75">
      <c r="B162" s="74" t="str">
        <f>IF('Stage-ConceptMap-3'!S38=0,"//---END",'Stage-ConceptMap-3'!S38)</f>
        <v/>
      </c>
      <c r="C162" s="7"/>
      <c r="D162" s="7"/>
      <c r="E162" s="7"/>
      <c r="F162" s="7"/>
      <c r="G162" s="7"/>
    </row>
    <row r="163" spans="2:7" x14ac:dyDescent="0.75">
      <c r="B163" s="74" t="str">
        <f>IF('Stage-ConceptMap-3'!S39=0,"//---END",'Stage-ConceptMap-3'!S39)</f>
        <v>//---END</v>
      </c>
      <c r="C163" s="7"/>
      <c r="D163" s="7"/>
      <c r="E163" s="7"/>
      <c r="F163" s="7"/>
      <c r="G163" s="7"/>
    </row>
    <row r="164" spans="2:7" x14ac:dyDescent="0.75">
      <c r="B164" s="74" t="str">
        <f>IF('Stage-ConceptMap-3'!S40=0,"//---END",'Stage-ConceptMap-3'!S40)</f>
        <v>//---END</v>
      </c>
      <c r="C164" s="7"/>
      <c r="D164" s="7"/>
      <c r="E164" s="7"/>
      <c r="F164" s="7"/>
      <c r="G164" s="7"/>
    </row>
    <row r="165" spans="2:7" x14ac:dyDescent="0.75">
      <c r="B165" s="74" t="str">
        <f>IF('Stage-ConceptMap-3'!S41=0,"//---END",'Stage-ConceptMap-3'!S41)</f>
        <v>//---END</v>
      </c>
      <c r="C165" s="7"/>
      <c r="D165" s="7"/>
      <c r="E165" s="7"/>
      <c r="F165" s="7"/>
      <c r="G165" s="7"/>
    </row>
    <row r="166" spans="2:7" x14ac:dyDescent="0.75">
      <c r="B166" s="74" t="str">
        <f>IF('Stage-ConceptMap-3'!S42=0,"//---END",'Stage-ConceptMap-3'!S42)</f>
        <v>//---END</v>
      </c>
      <c r="C166" s="7"/>
      <c r="D166" s="7"/>
      <c r="E166" s="7"/>
      <c r="F166" s="7"/>
      <c r="G166" s="7"/>
    </row>
    <row r="167" spans="2:7" x14ac:dyDescent="0.75">
      <c r="B167" s="7"/>
      <c r="C167" s="7"/>
      <c r="D167" s="7"/>
      <c r="E167" s="7"/>
      <c r="F167" s="7"/>
      <c r="G167" s="7"/>
    </row>
    <row r="168" spans="2:7" x14ac:dyDescent="0.75">
      <c r="B168" s="84"/>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5" t="str">
        <f>"* group[=].target = ##34#"&amp;'Stage-ConceptMap-4'!E7&amp;"##34#"</f>
        <v>* group[=].target = ##34#http://hl7.eu/fhir/ig/idea4rc/StructureDefinition/mcode-tnm-distant-metastases-category##34#</v>
      </c>
      <c r="C170" s="7"/>
      <c r="D170" s="7"/>
      <c r="E170" s="7"/>
      <c r="F170" s="7"/>
      <c r="G170" s="7"/>
    </row>
    <row r="171" spans="2:7" x14ac:dyDescent="0.75">
      <c r="B171" s="86"/>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4"/>
    </row>
    <row r="202" spans="2:2" x14ac:dyDescent="0.75">
      <c r="B202" s="53" t="str">
        <f>"* group[+].source = ##34#"&amp;'Stage-ConceptMap-5'!E6&amp;"##34#"</f>
        <v>* group[+].source = ##34#http://hl7.eu/fhir/ig/idea4rc/StructureDefinition/StageI4rc##34#</v>
      </c>
    </row>
    <row r="203" spans="2:2" x14ac:dyDescent="0.75">
      <c r="B203" s="85" t="str">
        <f>"* group[=].target = ##34#"&amp;'Stage-ConceptMap-5'!E7&amp;"##34#"</f>
        <v>* group[=].target = ##34#http://hl7.eu/fhir/ig/idea4rc/StructureDefinition/observation-extraNodalExtension-eu-i4rc##34#</v>
      </c>
    </row>
    <row r="204" spans="2:2" x14ac:dyDescent="0.75">
      <c r="B204" s="86"/>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4"/>
    </row>
    <row r="215" spans="2:2" x14ac:dyDescent="0.75">
      <c r="B215" s="53" t="str">
        <f>"* group[+].source = ##34#"&amp;'Stage-ConceptMap-6'!E6&amp;"##34#"</f>
        <v>* group[+].source = ##34#http://hl7.eu/fhir/ig/idea4rc/StructureDefinition/StageI4rc##34#</v>
      </c>
    </row>
    <row r="216" spans="2:2" x14ac:dyDescent="0.75">
      <c r="B216" s="85" t="str">
        <f>"* group[=].target = ##34#"&amp;'Stage-ConceptMap-6'!E7&amp;"##34#"</f>
        <v>* group[=].target = ##34#http://hl7.eu/fhir/ig/idea4rc/StructureDefinition/Condition-secondaryCancer-eu-i4rc##34#</v>
      </c>
    </row>
    <row r="217" spans="2:2" x14ac:dyDescent="0.75">
      <c r="B217" s="86"/>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##34#TBD##34#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##34#TBD##34#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##34#TBD##34#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##34#TBD##34#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##34#coded concept for this site to be determined##34#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##34#coded concept for this site to be determined##34#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##34#coded concept for this site to be determined##34#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##34#coded concept for this site to be determined##34#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##34#coded concept for this site to be determined##34#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##34#coded concept for this site to be determined##34#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##34#coded concept for this site to be determined##34#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##34#coded concept for this site to be determined##34#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##34#coded concept for this site to be determined##34#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##34#coded concept for this site to be determined##34#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A9"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2203</v>
      </c>
      <c r="L4" s="16" t="str">
        <f>CONCATENATE("Logical: ",B4)</f>
        <v>Logical: PathologicalReportInfoI4rc</v>
      </c>
    </row>
    <row r="5" spans="1:18" ht="15.5" thickBot="1" x14ac:dyDescent="0.9">
      <c r="A5" s="14" t="s">
        <v>16</v>
      </c>
      <c r="B5" s="30" t="s">
        <v>2204</v>
      </c>
      <c r="L5" s="16" t="str">
        <f>CONCATENATE("Id: ",B5)</f>
        <v>Id: PathologicalReportInfo</v>
      </c>
    </row>
    <row r="6" spans="1:18" ht="15.5" thickBot="1" x14ac:dyDescent="0.9">
      <c r="A6" s="14" t="s">
        <v>10</v>
      </c>
      <c r="B6" s="30" t="s">
        <v>2205</v>
      </c>
      <c r="L6" s="17" t="str">
        <f>CONCATENATE("Title: ##34#",B6,"##34#")</f>
        <v>Title: ##34#Pathological Report Info##34#</v>
      </c>
    </row>
    <row r="7" spans="1:18" x14ac:dyDescent="0.75">
      <c r="A7" s="26" t="s">
        <v>2</v>
      </c>
      <c r="B7" s="98" t="s">
        <v>2205</v>
      </c>
      <c r="C7" s="9" t="s">
        <v>3</v>
      </c>
      <c r="D7" s="1" t="s">
        <v>4</v>
      </c>
      <c r="E7" s="3" t="s">
        <v>5</v>
      </c>
      <c r="F7" s="3" t="s">
        <v>6</v>
      </c>
      <c r="G7" s="120" t="s">
        <v>7</v>
      </c>
      <c r="H7" s="64" t="s">
        <v>1384</v>
      </c>
      <c r="I7" s="122" t="s">
        <v>2110</v>
      </c>
      <c r="J7" s="122" t="s">
        <v>2111</v>
      </c>
      <c r="L7" s="17" t="str">
        <f>CONCATENATE("Description: "," ##334#",B7,"##334#",)</f>
        <v>Description:  ##334#Pathological Report Info##334#</v>
      </c>
    </row>
    <row r="8" spans="1:18" ht="59" x14ac:dyDescent="0.75">
      <c r="A8" s="59">
        <v>0</v>
      </c>
      <c r="B8" s="11" t="s">
        <v>1573</v>
      </c>
      <c r="C8" s="11" t="s">
        <v>1567</v>
      </c>
      <c r="D8" s="11" t="s">
        <v>1568</v>
      </c>
      <c r="E8" s="11">
        <v>1</v>
      </c>
      <c r="F8" s="11">
        <v>1</v>
      </c>
      <c r="G8" s="79" t="s">
        <v>1620</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2276</v>
      </c>
      <c r="C9" s="11" t="s">
        <v>2284</v>
      </c>
      <c r="D9" s="11" t="s">
        <v>2285</v>
      </c>
      <c r="E9" s="11">
        <v>0</v>
      </c>
      <c r="F9" s="11">
        <v>1</v>
      </c>
      <c r="G9" s="12" t="s">
        <v>1474</v>
      </c>
      <c r="H9" s="12" t="s">
        <v>2286</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2277</v>
      </c>
      <c r="C10" s="11" t="s">
        <v>2287</v>
      </c>
      <c r="D10" s="11" t="s">
        <v>2287</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2278</v>
      </c>
      <c r="C11" s="11" t="s">
        <v>2288</v>
      </c>
      <c r="D11" s="11" t="s">
        <v>2288</v>
      </c>
      <c r="E11" s="11">
        <v>0</v>
      </c>
      <c r="F11" s="11">
        <v>1</v>
      </c>
      <c r="G11" s="12" t="s">
        <v>2019</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2279</v>
      </c>
      <c r="C12" s="11" t="s">
        <v>2289</v>
      </c>
      <c r="D12" s="11" t="s">
        <v>2289</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2280</v>
      </c>
      <c r="C13" s="11" t="s">
        <v>2290</v>
      </c>
      <c r="D13" s="11" t="s">
        <v>2290</v>
      </c>
      <c r="E13" s="11">
        <v>0</v>
      </c>
      <c r="F13" s="11">
        <v>1</v>
      </c>
      <c r="G13" s="12" t="s">
        <v>1474</v>
      </c>
      <c r="H13" s="12" t="s">
        <v>2291</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2281</v>
      </c>
      <c r="C14" s="11" t="s">
        <v>2292</v>
      </c>
      <c r="D14" s="11" t="s">
        <v>2292</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2282</v>
      </c>
      <c r="C15" s="11" t="s">
        <v>2293</v>
      </c>
      <c r="D15" s="11" t="s">
        <v>2293</v>
      </c>
      <c r="E15" s="11">
        <v>0</v>
      </c>
      <c r="F15" s="11">
        <v>1</v>
      </c>
      <c r="G15" s="12" t="s">
        <v>44</v>
      </c>
      <c r="H15" s="12" t="s">
        <v>2294</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2283</v>
      </c>
      <c r="C16" s="11" t="s">
        <v>2295</v>
      </c>
      <c r="D16" s="11" t="s">
        <v>2295</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PathologicalReportInfo!L1</f>
        <v>//===================================================</v>
      </c>
    </row>
    <row r="2" spans="3:7" ht="16.75" thickBot="1" x14ac:dyDescent="0.9">
      <c r="C2" s="24" t="str">
        <f>PathologicalReportInfo!L2</f>
        <v>//  Logical Model</v>
      </c>
      <c r="G2" s="29" t="s">
        <v>2296</v>
      </c>
    </row>
    <row r="3" spans="3:7" x14ac:dyDescent="0.75">
      <c r="C3" s="24" t="str">
        <f>PathologicalReportInfo!L3</f>
        <v>//===================================================</v>
      </c>
    </row>
    <row r="4" spans="3:7" x14ac:dyDescent="0.75">
      <c r="C4" s="102" t="str">
        <f>PathologicalReportInfo!L4</f>
        <v>Logical: PathologicalReportInfoI4rc</v>
      </c>
    </row>
    <row r="5" spans="3:7" x14ac:dyDescent="0.75">
      <c r="C5" s="102" t="str">
        <f>PathologicalReportInfo!L5</f>
        <v>Id: PathologicalReportInfo</v>
      </c>
    </row>
    <row r="6" spans="3:7" x14ac:dyDescent="0.75">
      <c r="C6" s="102" t="str">
        <f>PathologicalReportInfo!L6</f>
        <v>Title: ##34#Pathological Report Info##34#</v>
      </c>
    </row>
    <row r="7" spans="3:7" x14ac:dyDescent="0.75">
      <c r="C7" s="102" t="str">
        <f>PathologicalReportInfo!L7</f>
        <v>Description:  ##334#Pathological Report Info##334#</v>
      </c>
    </row>
    <row r="8" spans="3:7" ht="29.5" x14ac:dyDescent="0.75">
      <c r="C8" s="103"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3" t="str">
        <f>IF(PathologicalReportInfo!L9="*  ..  ##34###34# ##334###334#","//--- END",PathologicalReportInfo!L9)</f>
        <v>* degreeOfCytologicAtypia 0..1 CodeableConcept ##34#Degree of cytologic Atypia##34# ##334#Defines the degree of cytologic atypia##334#</v>
      </c>
    </row>
    <row r="10" spans="3:7" x14ac:dyDescent="0.75">
      <c r="C10" s="103" t="str">
        <f>IF(PathologicalReportInfo!L10="*  ..  ##34###34# ##334###334#","//--- END",PathologicalReportInfo!L10)</f>
        <v>* patternOfGrowth 0..1 BackboneElement ##34#Pattern of Growth##34# ##334#Pattern of Growth##334#</v>
      </c>
    </row>
    <row r="11" spans="3:7" x14ac:dyDescent="0.75">
      <c r="C11" s="103" t="str">
        <f>IF(PathologicalReportInfo!L11="*  ..  ##34###34# ##334###334#","//--- END",PathologicalReportInfo!L11)</f>
        <v>* mitoticActivity 0..1 Quantity ##34#Mitotic Activity##34# ##334#Mitotic Activity##334#</v>
      </c>
    </row>
    <row r="12" spans="3:7" ht="29.5" x14ac:dyDescent="0.75">
      <c r="C12" s="103" t="str">
        <f>IF(PathologicalReportInfo!L12="*  ..  ##34###34# ##334###334#","//--- END",PathologicalReportInfo!L12)</f>
        <v>* infiltrationOfSurroundingMyometrium 0..1 BackboneElement ##34#Infiltration of surrounding myometrium##34# ##334#Infiltration of surrounding myometrium##334#</v>
      </c>
    </row>
    <row r="13" spans="3:7" x14ac:dyDescent="0.75">
      <c r="C13" s="103" t="str">
        <f>IF(PathologicalReportInfo!L13="*  ..  ##34###34# ##334###334#","//--- END",PathologicalReportInfo!L13)</f>
        <v>* typeOfNecrosis 0..1 CodeableConcept ##34#Type of necrosis##34# ##334#Type of necrosis##334#</v>
      </c>
    </row>
    <row r="14" spans="3:7" x14ac:dyDescent="0.75">
      <c r="C14" s="103" t="str">
        <f>IF(PathologicalReportInfo!L14="*  ..  ##34###34# ##334###334#","//--- END",PathologicalReportInfo!L14)</f>
        <v>* expressionOfErPr 0..1 BackboneElement ##34#Expression of ER/PR##34# ##334#Expression of ER/PR##334#</v>
      </c>
    </row>
    <row r="15" spans="3:7" ht="29.5" x14ac:dyDescent="0.75">
      <c r="C15" s="103" t="str">
        <f>IF(PathologicalReportInfo!L15="*  ..  ##34###34# ##334###334#","//--- END",PathologicalReportInfo!L15)</f>
        <v>* vascularIntrusionOrInvasion 0..1 boolean ##34#vascular intrusion or invasion##34# ##334#vascular intrusion or invasion##334#</v>
      </c>
    </row>
    <row r="16" spans="3:7" x14ac:dyDescent="0.75">
      <c r="C16" s="103" t="str">
        <f>IF(PathologicalReportInfo!L16="*  ..  ##34###34# ##334###334#","//--- END",PathologicalReportInfo!L16)</f>
        <v>* p16AndP53Expression 0..1 BackboneElement ##34#p16 and p53 expression##34# ##334#p16 and p53 expression##334#</v>
      </c>
    </row>
    <row r="17" spans="3:3" x14ac:dyDescent="0.75">
      <c r="C17" s="103" t="str">
        <f>IF(PathologicalReportInfo!L17="*  ..  ##34###34# ##334###334#","//--- END",PathologicalReportInfo!L17)</f>
        <v>//--- END</v>
      </c>
    </row>
    <row r="18" spans="3:3" x14ac:dyDescent="0.75">
      <c r="C18" s="103" t="str">
        <f>IF(PathologicalReportInfo!L18="*  ..  ##34###34# ##334###334#","//--- END",PathologicalReportInfo!L18)</f>
        <v>//--- END</v>
      </c>
    </row>
    <row r="19" spans="3:3" x14ac:dyDescent="0.75">
      <c r="C19" s="103" t="str">
        <f>IF(PathologicalReportInfo!L19="*  ..  ##34###34# ##334###334#","//--- END",PathologicalReportInfo!L19)</f>
        <v>//--- END</v>
      </c>
    </row>
    <row r="23" spans="3:3" x14ac:dyDescent="0.75">
      <c r="C23" s="101" t="s">
        <v>1387</v>
      </c>
    </row>
    <row r="24" spans="3:3" x14ac:dyDescent="0.75">
      <c r="C24" s="24" t="s">
        <v>1421</v>
      </c>
    </row>
    <row r="25" spans="3:3" x14ac:dyDescent="0.75">
      <c r="C25" s="24" t="s">
        <v>1387</v>
      </c>
    </row>
    <row r="26" spans="3:3" x14ac:dyDescent="0.75">
      <c r="C26" s="103" t="str">
        <f>IF(PathologicalReportInfo!N8="*  ..  ##34###34# ##334###334#","//--- END",PathologicalReportInfo!N8)</f>
        <v/>
      </c>
    </row>
    <row r="27" spans="3:3" ht="59" x14ac:dyDescent="0.75">
      <c r="C27" s="103"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3" t="str">
        <f>IF(PathologicalReportInfo!N10="*  ..  ##34###34# ##334###334#","//--- END",PathologicalReportInfo!N10)</f>
        <v/>
      </c>
    </row>
    <row r="29" spans="3:3" x14ac:dyDescent="0.75">
      <c r="C29" s="103" t="str">
        <f>IF(PathologicalReportInfo!N11="*  ..  ##34###34# ##334###334#","//--- END",PathologicalReportInfo!N11)</f>
        <v/>
      </c>
    </row>
    <row r="30" spans="3:3" x14ac:dyDescent="0.75">
      <c r="C30" s="103" t="str">
        <f>IF(PathologicalReportInfo!N12="*  ..  ##34###34# ##334###334#","//--- END",PathologicalReportInfo!N12)</f>
        <v/>
      </c>
    </row>
    <row r="31" spans="3:3" ht="132.75" x14ac:dyDescent="0.75">
      <c r="C31" s="103"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3" t="str">
        <f>IF(PathologicalReportInfo!N14="*  ..  ##34###34# ##334###334#","//--- END",PathologicalReportInfo!N14)</f>
        <v/>
      </c>
    </row>
    <row r="33" spans="3:3" ht="29.5" x14ac:dyDescent="0.75">
      <c r="C33" s="103" t="str">
        <f>IF(PathologicalReportInfo!N15="*  ..  ##34###34# ##334###334#","//--- END",PathologicalReportInfo!N15)</f>
        <v>* vascularIntrusionOrInvasion ^comment = ##334#True;False
Vascular invasion by tumor present - 4163142##334#</v>
      </c>
    </row>
    <row r="34" spans="3:3" x14ac:dyDescent="0.75">
      <c r="C34" s="103" t="str">
        <f>IF(PathologicalReportInfo!N16="*  ..  ##34###34# ##334###334#","//--- END",PathologicalReportInfo!N16)</f>
        <v/>
      </c>
    </row>
    <row r="35" spans="3:3" x14ac:dyDescent="0.75">
      <c r="C35" s="103" t="str">
        <f>IF(PathologicalReportInfo!N17="*  ..  ##34###34# ##334###334#","//--- END",PathologicalReportInfo!N17)</f>
        <v>//--- END</v>
      </c>
    </row>
    <row r="36" spans="3:3" x14ac:dyDescent="0.75">
      <c r="C36" s="103" t="str">
        <f>IF(PathologicalReportInfo!N18="*  ..  ##34###34# ##334###334#","//--- END",PathologicalReportInfo!N18)</f>
        <v>//--- END</v>
      </c>
    </row>
    <row r="37" spans="3:3" x14ac:dyDescent="0.75">
      <c r="C37" s="103" t="str">
        <f>IF(PathologicalReportInfo!N19="*  ..  ##34###34# ##334###334#","//--- END",PathologicalReportInfo!N19)</f>
        <v>//--- END</v>
      </c>
    </row>
    <row r="40" spans="3:3" x14ac:dyDescent="0.75">
      <c r="C40" s="101" t="str">
        <f>PathologicalReportInfo!P1</f>
        <v>// -------------------------------------------------------------------------------</v>
      </c>
    </row>
    <row r="41" spans="3:3" x14ac:dyDescent="0.75">
      <c r="C41" s="24" t="str">
        <f>PathologicalReportInfo!P2</f>
        <v>// Obligations H&amp;N</v>
      </c>
    </row>
    <row r="42" spans="3:3" x14ac:dyDescent="0.75">
      <c r="C42" s="24" t="str">
        <f>PathologicalReportInfo!P3</f>
        <v>// -------------------------------------------------------------------------------</v>
      </c>
    </row>
    <row r="43" spans="3:3" x14ac:dyDescent="0.75">
      <c r="C43" s="103" t="str">
        <f>IF(PathologicalReportInfo!P8="*  ..  ##34###34# ##334###334#","//--- END",PathologicalReportInfo!P8)</f>
        <v/>
      </c>
    </row>
    <row r="44" spans="3:3" x14ac:dyDescent="0.75">
      <c r="C44" s="103" t="str">
        <f>IF(PathologicalReportInfo!P9="*  ..  ##34###34# ##334###334#","//--- END",PathologicalReportInfo!P9)</f>
        <v/>
      </c>
    </row>
    <row r="45" spans="3:3" x14ac:dyDescent="0.75">
      <c r="C45" s="103" t="str">
        <f>IF(PathologicalReportInfo!P10="*  ..  ##34###34# ##334###334#","//--- END",PathologicalReportInfo!P10)</f>
        <v/>
      </c>
    </row>
    <row r="46" spans="3:3" x14ac:dyDescent="0.75">
      <c r="C46" s="103" t="str">
        <f>IF(PathologicalReportInfo!P11="*  ..  ##34###34# ##334###334#","//--- END",PathologicalReportInfo!P11)</f>
        <v/>
      </c>
    </row>
    <row r="47" spans="3:3" x14ac:dyDescent="0.75">
      <c r="C47" s="103" t="str">
        <f>IF(PathologicalReportInfo!P12="*  ..  ##34###34# ##334###334#","//--- END",PathologicalReportInfo!P12)</f>
        <v/>
      </c>
    </row>
    <row r="48" spans="3:3" x14ac:dyDescent="0.75">
      <c r="C48" s="103" t="str">
        <f>IF(PathologicalReportInfo!P13="*  ..  ##34###34# ##334###334#","//--- END",PathologicalReportInfo!P13)</f>
        <v/>
      </c>
    </row>
    <row r="49" spans="3:3" x14ac:dyDescent="0.75">
      <c r="C49" s="103" t="str">
        <f>IF(PathologicalReportInfo!P14="*  ..  ##34###34# ##334###334#","//--- END",PathologicalReportInfo!P14)</f>
        <v/>
      </c>
    </row>
    <row r="50" spans="3:3" x14ac:dyDescent="0.75">
      <c r="C50" s="103" t="str">
        <f>IF(PathologicalReportInfo!P15="*  ..  ##34###34# ##334###334#","//--- END",PathologicalReportInfo!P15)</f>
        <v/>
      </c>
    </row>
    <row r="51" spans="3:3" x14ac:dyDescent="0.75">
      <c r="C51" s="103" t="str">
        <f>IF(PathologicalReportInfo!P16="*  ..  ##34###34# ##334###334#","//--- END",PathologicalReportInfo!P16)</f>
        <v/>
      </c>
    </row>
    <row r="52" spans="3:3" x14ac:dyDescent="0.75">
      <c r="C52" s="103" t="str">
        <f>IF(PathologicalReportInfo!P17="*  ..  ##34###34# ##334###334#","//--- END",PathologicalReportInfo!P17)</f>
        <v>//--- END</v>
      </c>
    </row>
    <row r="53" spans="3:3" x14ac:dyDescent="0.75">
      <c r="C53" s="103" t="str">
        <f>IF(PathologicalReportInfo!P18="*  ..  ##34###34# ##334###334#","//--- END",PathologicalReportInfo!P18)</f>
        <v>//--- END</v>
      </c>
    </row>
    <row r="54" spans="3:3" x14ac:dyDescent="0.75">
      <c r="C54" s="103" t="str">
        <f>IF(PathologicalReportInfo!P19="*  ..  ##34###34# ##334###334#","//--- END",PathologicalReportInfo!P19)</f>
        <v>//--- END</v>
      </c>
    </row>
    <row r="58" spans="3:3" x14ac:dyDescent="0.75">
      <c r="C58" s="101"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3" t="str">
        <f>IF(PathologicalReportInfo!R8="*  ..  ##34###34# ##334###334#","//--- END",PathologicalReportInfo!R8)</f>
        <v>* episodeEvent insert ObligationActorAndCode($actor-sarcoma-i4rc, #handle)</v>
      </c>
    </row>
    <row r="62" spans="3:3" x14ac:dyDescent="0.75">
      <c r="C62" s="103" t="str">
        <f>IF(PathologicalReportInfo!R9="*  ..  ##34###34# ##334###334#","//--- END",PathologicalReportInfo!R9)</f>
        <v>* degreeOfCytologicAtypia insert ObligationActorAndCode($actor-sarcoma-i4rc, #handle)</v>
      </c>
    </row>
    <row r="63" spans="3:3" x14ac:dyDescent="0.75">
      <c r="C63" s="103" t="str">
        <f>IF(PathologicalReportInfo!R10="*  ..  ##34###34# ##334###334#","//--- END",PathologicalReportInfo!R10)</f>
        <v>* patternOfGrowth insert ObligationActorAndCode($actor-sarcoma-i4rc, #handle)</v>
      </c>
    </row>
    <row r="64" spans="3:3" x14ac:dyDescent="0.75">
      <c r="C64" s="103" t="str">
        <f>IF(PathologicalReportInfo!R11="*  ..  ##34###34# ##334###334#","//--- END",PathologicalReportInfo!R11)</f>
        <v>* mitoticActivity insert ObligationActorAndCode($actor-sarcoma-i4rc, #handle)</v>
      </c>
    </row>
    <row r="65" spans="3:3" x14ac:dyDescent="0.75">
      <c r="C65" s="103" t="str">
        <f>IF(PathologicalReportInfo!R12="*  ..  ##34###34# ##334###334#","//--- END",PathologicalReportInfo!R12)</f>
        <v>* infiltrationOfSurroundingMyometrium insert ObligationActorAndCode($actor-sarcoma-i4rc, #handle)</v>
      </c>
    </row>
    <row r="66" spans="3:3" x14ac:dyDescent="0.75">
      <c r="C66" s="103" t="str">
        <f>IF(PathologicalReportInfo!R13="*  ..  ##34###34# ##334###334#","//--- END",PathologicalReportInfo!R13)</f>
        <v>* typeOfNecrosis insert ObligationActorAndCode($actor-sarcoma-i4rc, #handle)</v>
      </c>
    </row>
    <row r="67" spans="3:3" x14ac:dyDescent="0.75">
      <c r="C67" s="103" t="str">
        <f>IF(PathologicalReportInfo!R14="*  ..  ##34###34# ##334###334#","//--- END",PathologicalReportInfo!R14)</f>
        <v>* expressionOfErPr insert ObligationActorAndCode($actor-sarcoma-i4rc, #handle)</v>
      </c>
    </row>
    <row r="68" spans="3:3" x14ac:dyDescent="0.75">
      <c r="C68" s="103" t="str">
        <f>IF(PathologicalReportInfo!R15="*  ..  ##34###34# ##334###334#","//--- END",PathologicalReportInfo!R15)</f>
        <v>* vascularIntrusionOrInvasion insert ObligationActorAndCode($actor-sarcoma-i4rc, #handle)</v>
      </c>
    </row>
    <row r="69" spans="3:3" x14ac:dyDescent="0.75">
      <c r="C69" s="103" t="str">
        <f>IF(PathologicalReportInfo!R16="*  ..  ##34###34# ##334###334#","//--- END",PathologicalReportInfo!R16)</f>
        <v>* p16AndP53Expression insert ObligationActorAndCode($actor-sarcoma-i4rc, #handle)</v>
      </c>
    </row>
    <row r="70" spans="3:3" x14ac:dyDescent="0.75">
      <c r="C70" s="103" t="str">
        <f>IF(PathologicalReportInfo!R17="*  ..  ##34###34# ##334###334#","//--- END",PathologicalReportInfo!R17)</f>
        <v>//--- END</v>
      </c>
    </row>
    <row r="71" spans="3:3" x14ac:dyDescent="0.75">
      <c r="C71" s="103" t="str">
        <f>IF(PathologicalReportInfo!R18="*  ..  ##34###34# ##334###334#","//--- END",PathologicalReportInfo!R18)</f>
        <v>//--- END</v>
      </c>
    </row>
    <row r="72" spans="3:3" x14ac:dyDescent="0.75">
      <c r="C72" s="103"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1949</v>
      </c>
      <c r="D3" s="47" t="s">
        <v>1479</v>
      </c>
      <c r="E3" s="72" t="str">
        <f>$C$1&amp;B14</f>
        <v>http://hl7.eu/fhir/ig/idea4rc/StructureDefinition/PathologicalReportInfo</v>
      </c>
    </row>
    <row r="4" spans="1:19" x14ac:dyDescent="0.75">
      <c r="B4" s="47" t="s">
        <v>16</v>
      </c>
      <c r="C4" s="28" t="s">
        <v>1949</v>
      </c>
      <c r="D4" s="47" t="s">
        <v>1480</v>
      </c>
      <c r="E4" s="144" t="s">
        <v>1952</v>
      </c>
      <c r="F4" s="145"/>
      <c r="G4" s="145"/>
    </row>
    <row r="5" spans="1:19" x14ac:dyDescent="0.75">
      <c r="B5" s="47" t="s">
        <v>10</v>
      </c>
      <c r="C5" s="7" t="s">
        <v>1950</v>
      </c>
      <c r="D5" s="47"/>
      <c r="E5" s="7"/>
    </row>
    <row r="6" spans="1:19" x14ac:dyDescent="0.75">
      <c r="B6" s="47" t="s">
        <v>18</v>
      </c>
      <c r="C6" s="41"/>
      <c r="D6" s="47" t="s">
        <v>1481</v>
      </c>
      <c r="E6" s="144" t="str">
        <f>E3</f>
        <v>http://hl7.eu/fhir/ig/idea4rc/StructureDefinition/PathologicalReportInfo</v>
      </c>
      <c r="F6" s="145"/>
      <c r="G6" s="145"/>
    </row>
    <row r="7" spans="1:19" x14ac:dyDescent="0.75">
      <c r="B7" s="47" t="s">
        <v>15</v>
      </c>
      <c r="C7" s="73"/>
      <c r="D7" s="47" t="s">
        <v>1482</v>
      </c>
      <c r="E7" s="144" t="str">
        <f>E4</f>
        <v>http://hl7.eu/fhir/ig/idea4rc/StructureDefinition/episodeOfCare-eu-i4rc</v>
      </c>
      <c r="F7" s="145"/>
      <c r="G7" s="145"/>
    </row>
    <row r="8" spans="1:19" ht="45" thickBot="1" x14ac:dyDescent="0.9">
      <c r="B8" s="47" t="s">
        <v>1483</v>
      </c>
      <c r="C8" t="s">
        <v>1950</v>
      </c>
      <c r="D8" s="47"/>
      <c r="E8" s="7"/>
      <c r="I8" s="12" t="s">
        <v>1289</v>
      </c>
      <c r="J8" s="12" t="s">
        <v>1290</v>
      </c>
      <c r="K8" s="12" t="s">
        <v>1291</v>
      </c>
      <c r="L8" s="12" t="s">
        <v>1292</v>
      </c>
      <c r="M8" s="11" t="s">
        <v>1293</v>
      </c>
      <c r="P8" s="34" t="s">
        <v>1328</v>
      </c>
      <c r="Q8" s="34">
        <v>6</v>
      </c>
    </row>
    <row r="9" spans="1:19" ht="30.25" thickBot="1" x14ac:dyDescent="0.9">
      <c r="B9" s="47" t="s">
        <v>1484</v>
      </c>
      <c r="C9" s="12" t="s">
        <v>1951</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1953</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78"/>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1954</v>
      </c>
      <c r="E16" s="12"/>
      <c r="F16" s="49" t="s">
        <v>1316</v>
      </c>
      <c r="G16" s="78"/>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1955</v>
      </c>
      <c r="E17" s="12"/>
      <c r="F17" s="49" t="s">
        <v>1316</v>
      </c>
      <c r="G17" s="78"/>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1956</v>
      </c>
      <c r="E18" s="12"/>
      <c r="F18" s="49" t="s">
        <v>1317</v>
      </c>
      <c r="G18" s="78"/>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8"/>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8"/>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8"/>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8"/>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8"/>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8"/>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8"/>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8"/>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8"/>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8"/>
      <c r="P45" s="11">
        <v>31</v>
      </c>
      <c r="Q45" s="11">
        <f t="shared" si="5"/>
        <v>5</v>
      </c>
      <c r="R45" s="11">
        <f t="shared" si="6"/>
        <v>1</v>
      </c>
      <c r="S45" s="12" cm="1">
        <f t="array" ref="S45">INDEX('PathologicalReportInfo-CM'!$I$15:$N$124,Q45+1,R45)</f>
        <v>0</v>
      </c>
    </row>
    <row r="46" spans="1:19" x14ac:dyDescent="0.75">
      <c r="B46" s="11"/>
      <c r="C46" s="11"/>
      <c r="D46" s="12"/>
      <c r="E46" s="12"/>
      <c r="F46" s="49"/>
      <c r="G46" s="78"/>
      <c r="P46" s="11">
        <v>32</v>
      </c>
      <c r="Q46" s="11">
        <f t="shared" si="5"/>
        <v>5</v>
      </c>
      <c r="R46" s="11">
        <f t="shared" si="6"/>
        <v>2</v>
      </c>
      <c r="S46" s="12" cm="1">
        <f t="array" ref="S46">INDEX('PathologicalReportInfo-CM'!$I$15:$N$124,Q46+1,R46)</f>
        <v>0</v>
      </c>
    </row>
    <row r="47" spans="1:19" x14ac:dyDescent="0.75">
      <c r="B47" s="11"/>
      <c r="C47" s="11"/>
      <c r="D47" s="12"/>
      <c r="E47" s="12"/>
      <c r="F47" s="49"/>
      <c r="G47" s="78"/>
      <c r="P47" s="11">
        <v>33</v>
      </c>
      <c r="Q47" s="11">
        <f t="shared" si="5"/>
        <v>5</v>
      </c>
      <c r="R47" s="11">
        <f t="shared" si="6"/>
        <v>3</v>
      </c>
      <c r="S47" s="12" cm="1">
        <f t="array" ref="S47">INDEX('PathologicalReportInfo-CM'!$I$15:$N$124,Q47+1,R47)</f>
        <v>0</v>
      </c>
    </row>
    <row r="48" spans="1:19" x14ac:dyDescent="0.75">
      <c r="B48" s="11"/>
      <c r="C48" s="11"/>
      <c r="D48" s="12"/>
      <c r="E48" s="12"/>
      <c r="F48" s="49"/>
      <c r="G48" s="78"/>
      <c r="P48" s="11">
        <v>34</v>
      </c>
      <c r="Q48" s="11">
        <f t="shared" si="5"/>
        <v>5</v>
      </c>
      <c r="R48" s="11">
        <f t="shared" si="6"/>
        <v>4</v>
      </c>
      <c r="S48" s="12" cm="1">
        <f t="array" ref="S48">INDEX('PathologicalReportInfo-CM'!$I$15:$N$124,Q48+1,R48)</f>
        <v>0</v>
      </c>
    </row>
    <row r="49" spans="2:19" x14ac:dyDescent="0.75">
      <c r="B49" s="11"/>
      <c r="C49" s="11"/>
      <c r="D49" s="12"/>
      <c r="E49" s="12"/>
      <c r="F49" s="49"/>
      <c r="G49" s="78"/>
      <c r="P49" s="11">
        <v>35</v>
      </c>
      <c r="Q49" s="11">
        <f t="shared" si="5"/>
        <v>5</v>
      </c>
      <c r="R49" s="11">
        <f t="shared" si="6"/>
        <v>5</v>
      </c>
      <c r="S49" s="12" cm="1">
        <f t="array" ref="S49">INDEX('PathologicalReportInfo-CM'!$I$15:$N$124,Q49+1,R49)</f>
        <v>0</v>
      </c>
    </row>
    <row r="50" spans="2:19" x14ac:dyDescent="0.75">
      <c r="B50" s="11"/>
      <c r="C50" s="11"/>
      <c r="D50" s="12"/>
      <c r="E50" s="12"/>
      <c r="F50" s="49"/>
      <c r="G50" s="78"/>
      <c r="P50" s="11">
        <v>36</v>
      </c>
      <c r="Q50" s="11">
        <f t="shared" si="5"/>
        <v>5</v>
      </c>
      <c r="R50" s="11">
        <f t="shared" si="6"/>
        <v>6</v>
      </c>
      <c r="S50" s="12" cm="1">
        <f t="array" ref="S50">INDEX('PathologicalReportInfo-CM'!$I$15:$N$124,Q50+1,R50)</f>
        <v>0</v>
      </c>
    </row>
    <row r="51" spans="2:19" x14ac:dyDescent="0.75">
      <c r="B51" s="11"/>
      <c r="C51" s="11"/>
      <c r="D51" s="12"/>
      <c r="E51" s="12"/>
      <c r="F51" s="49"/>
      <c r="G51" s="78"/>
      <c r="P51" s="11">
        <v>37</v>
      </c>
      <c r="Q51" s="11">
        <f t="shared" si="5"/>
        <v>6</v>
      </c>
      <c r="R51" s="11">
        <f t="shared" si="6"/>
        <v>1</v>
      </c>
      <c r="S51" s="12" cm="1">
        <f t="array" ref="S51">INDEX('PathologicalReportInfo-CM'!$I$15:$N$124,Q51+1,R51)</f>
        <v>0</v>
      </c>
    </row>
    <row r="52" spans="2:19" x14ac:dyDescent="0.75">
      <c r="B52" s="11"/>
      <c r="C52" s="11"/>
      <c r="D52" s="12"/>
      <c r="E52" s="12"/>
      <c r="F52" s="49"/>
      <c r="G52" s="78"/>
      <c r="P52" s="11">
        <v>38</v>
      </c>
      <c r="Q52" s="11">
        <f t="shared" si="5"/>
        <v>6</v>
      </c>
      <c r="R52" s="11">
        <f t="shared" si="6"/>
        <v>2</v>
      </c>
      <c r="S52" s="12" cm="1">
        <f t="array" ref="S52">INDEX('PathologicalReportInfo-CM'!$I$15:$N$124,Q52+1,R52)</f>
        <v>0</v>
      </c>
    </row>
    <row r="53" spans="2:19" x14ac:dyDescent="0.75">
      <c r="B53" s="11"/>
      <c r="C53" s="11"/>
      <c r="D53" s="12"/>
      <c r="E53" s="12"/>
      <c r="F53" s="49"/>
      <c r="G53" s="78"/>
      <c r="P53" s="11">
        <v>39</v>
      </c>
      <c r="Q53" s="11">
        <f t="shared" si="5"/>
        <v>6</v>
      </c>
      <c r="R53" s="11">
        <f t="shared" si="6"/>
        <v>3</v>
      </c>
      <c r="S53" s="12" cm="1">
        <f t="array" ref="S53">INDEX('PathologicalReportInfo-CM'!$I$15:$N$124,Q53+1,R53)</f>
        <v>0</v>
      </c>
    </row>
    <row r="54" spans="2:19" x14ac:dyDescent="0.75">
      <c r="B54" s="11"/>
      <c r="C54" s="11"/>
      <c r="D54" s="12"/>
      <c r="E54" s="12"/>
      <c r="F54" s="49"/>
      <c r="G54" s="78"/>
      <c r="P54" s="11">
        <v>40</v>
      </c>
      <c r="Q54" s="11">
        <f t="shared" si="5"/>
        <v>6</v>
      </c>
      <c r="R54" s="11">
        <f t="shared" si="6"/>
        <v>4</v>
      </c>
      <c r="S54" s="12" cm="1">
        <f t="array" ref="S54">INDEX('PathologicalReportInfo-CM'!$I$15:$N$124,Q54+1,R54)</f>
        <v>0</v>
      </c>
    </row>
    <row r="55" spans="2:19" x14ac:dyDescent="0.75">
      <c r="B55" s="11"/>
      <c r="C55" s="11"/>
      <c r="D55" s="12"/>
      <c r="E55" s="12"/>
      <c r="F55" s="49"/>
      <c r="G55" s="78"/>
      <c r="P55" s="11">
        <v>41</v>
      </c>
      <c r="Q55" s="11">
        <f t="shared" si="5"/>
        <v>6</v>
      </c>
      <c r="R55" s="11">
        <f t="shared" si="6"/>
        <v>5</v>
      </c>
      <c r="S55" s="12" cm="1">
        <f t="array" ref="S55">INDEX('PathologicalReportInfo-CM'!$I$15:$N$124,Q55+1,R55)</f>
        <v>0</v>
      </c>
    </row>
    <row r="56" spans="2:19" x14ac:dyDescent="0.75">
      <c r="B56" s="11"/>
      <c r="C56" s="11"/>
      <c r="D56" s="12"/>
      <c r="E56" s="12"/>
      <c r="F56" s="49"/>
      <c r="G56" s="78"/>
      <c r="P56" s="11">
        <v>42</v>
      </c>
      <c r="Q56" s="11">
        <f t="shared" si="5"/>
        <v>6</v>
      </c>
      <c r="R56" s="11">
        <f t="shared" si="6"/>
        <v>6</v>
      </c>
      <c r="S56" s="12" cm="1">
        <f t="array" ref="S56">INDEX('PathologicalReportInfo-CM'!$I$15:$N$124,Q56+1,R56)</f>
        <v>0</v>
      </c>
    </row>
    <row r="57" spans="2:19" x14ac:dyDescent="0.75">
      <c r="B57" s="11"/>
      <c r="C57" s="11"/>
      <c r="D57" s="12"/>
      <c r="E57" s="12"/>
      <c r="F57" s="49"/>
      <c r="G57" s="78"/>
      <c r="P57" s="11">
        <v>43</v>
      </c>
      <c r="Q57" s="11">
        <f t="shared" si="5"/>
        <v>7</v>
      </c>
      <c r="R57" s="11">
        <f t="shared" si="6"/>
        <v>1</v>
      </c>
      <c r="S57" s="12" cm="1">
        <f t="array" ref="S57">INDEX('PathologicalReportInfo-CM'!$I$15:$N$124,Q57+1,R57)</f>
        <v>0</v>
      </c>
    </row>
    <row r="58" spans="2:19" x14ac:dyDescent="0.75">
      <c r="B58" s="11"/>
      <c r="C58" s="11"/>
      <c r="D58" s="12"/>
      <c r="E58" s="12"/>
      <c r="F58" s="49"/>
      <c r="G58" s="78"/>
      <c r="P58" s="11">
        <v>44</v>
      </c>
      <c r="Q58" s="11">
        <f t="shared" si="5"/>
        <v>7</v>
      </c>
      <c r="R58" s="11">
        <f t="shared" si="6"/>
        <v>2</v>
      </c>
      <c r="S58" s="12" cm="1">
        <f t="array" ref="S58">INDEX('PathologicalReportInfo-CM'!$I$15:$N$124,Q58+1,R58)</f>
        <v>0</v>
      </c>
    </row>
    <row r="59" spans="2:19" x14ac:dyDescent="0.75">
      <c r="B59" s="11"/>
      <c r="C59" s="11"/>
      <c r="D59" s="12"/>
      <c r="E59" s="12"/>
      <c r="F59" s="49"/>
      <c r="G59" s="78"/>
      <c r="P59" s="11">
        <v>45</v>
      </c>
      <c r="Q59" s="11">
        <f t="shared" si="5"/>
        <v>7</v>
      </c>
      <c r="R59" s="11">
        <f t="shared" si="6"/>
        <v>3</v>
      </c>
      <c r="S59" s="12" cm="1">
        <f t="array" ref="S59">INDEX('PathologicalReportInfo-CM'!$I$15:$N$124,Q59+1,R59)</f>
        <v>0</v>
      </c>
    </row>
    <row r="60" spans="2:19" x14ac:dyDescent="0.75">
      <c r="B60" s="11"/>
      <c r="C60" s="11"/>
      <c r="D60" s="12"/>
      <c r="E60" s="12"/>
      <c r="F60" s="49"/>
      <c r="G60" s="78"/>
      <c r="P60" s="11">
        <v>46</v>
      </c>
      <c r="Q60" s="11">
        <f t="shared" si="5"/>
        <v>7</v>
      </c>
      <c r="R60" s="11">
        <f t="shared" si="6"/>
        <v>4</v>
      </c>
      <c r="S60" s="12" cm="1">
        <f t="array" ref="S60">INDEX('PathologicalReportInfo-CM'!$I$15:$N$124,Q60+1,R60)</f>
        <v>0</v>
      </c>
    </row>
    <row r="61" spans="2:19" x14ac:dyDescent="0.75">
      <c r="B61" s="11"/>
      <c r="C61" s="11"/>
      <c r="D61" s="12"/>
      <c r="E61" s="12"/>
      <c r="F61" s="49"/>
      <c r="G61" s="78"/>
      <c r="P61" s="11">
        <v>47</v>
      </c>
      <c r="Q61" s="11">
        <f t="shared" si="5"/>
        <v>7</v>
      </c>
      <c r="R61" s="11">
        <f t="shared" si="6"/>
        <v>5</v>
      </c>
      <c r="S61" s="12" cm="1">
        <f t="array" ref="S61">INDEX('PathologicalReportInfo-CM'!$I$15:$N$124,Q61+1,R61)</f>
        <v>0</v>
      </c>
    </row>
    <row r="62" spans="2:19" x14ac:dyDescent="0.75">
      <c r="B62" s="11"/>
      <c r="C62" s="11"/>
      <c r="D62" s="12"/>
      <c r="E62" s="12"/>
      <c r="F62" s="49"/>
      <c r="G62" s="78"/>
      <c r="P62" s="11">
        <v>48</v>
      </c>
      <c r="Q62" s="11">
        <f t="shared" si="5"/>
        <v>7</v>
      </c>
      <c r="R62" s="11">
        <f t="shared" si="6"/>
        <v>6</v>
      </c>
      <c r="S62" s="12" cm="1">
        <f t="array" ref="S62">INDEX('PathologicalReportInfo-CM'!$I$15:$N$124,Q62+1,R62)</f>
        <v>0</v>
      </c>
    </row>
    <row r="63" spans="2:19" x14ac:dyDescent="0.75">
      <c r="B63" s="11"/>
      <c r="C63" s="11"/>
      <c r="D63" s="12"/>
      <c r="E63" s="12"/>
      <c r="F63" s="49"/>
      <c r="G63" s="78"/>
      <c r="P63" s="11">
        <v>49</v>
      </c>
      <c r="Q63" s="11">
        <f t="shared" si="5"/>
        <v>8</v>
      </c>
      <c r="R63" s="11">
        <f t="shared" si="6"/>
        <v>1</v>
      </c>
      <c r="S63" s="12" cm="1">
        <f t="array" ref="S63">INDEX('PathologicalReportInfo-CM'!$I$15:$N$124,Q63+1,R63)</f>
        <v>0</v>
      </c>
    </row>
    <row r="64" spans="2:19" x14ac:dyDescent="0.75">
      <c r="B64" s="11"/>
      <c r="C64" s="11"/>
      <c r="D64" s="12"/>
      <c r="E64" s="12"/>
      <c r="F64" s="49"/>
      <c r="G64" s="78"/>
      <c r="P64" s="11">
        <v>50</v>
      </c>
      <c r="Q64" s="11">
        <f t="shared" si="5"/>
        <v>8</v>
      </c>
      <c r="R64" s="11">
        <f t="shared" si="6"/>
        <v>2</v>
      </c>
      <c r="S64" s="12" cm="1">
        <f t="array" ref="S64">INDEX('PathologicalReportInfo-CM'!$I$15:$N$124,Q64+1,R64)</f>
        <v>0</v>
      </c>
    </row>
    <row r="65" spans="2:19" x14ac:dyDescent="0.75">
      <c r="B65" s="11"/>
      <c r="C65" s="11"/>
      <c r="D65" s="12"/>
      <c r="E65" s="12"/>
      <c r="F65" s="49"/>
      <c r="G65" s="78"/>
      <c r="P65" s="11">
        <v>51</v>
      </c>
      <c r="Q65" s="11">
        <f t="shared" si="5"/>
        <v>8</v>
      </c>
      <c r="R65" s="11">
        <f t="shared" si="6"/>
        <v>3</v>
      </c>
      <c r="S65" s="12" cm="1">
        <f t="array" ref="S65">INDEX('PathologicalReportInfo-CM'!$I$15:$N$124,Q65+1,R65)</f>
        <v>0</v>
      </c>
    </row>
    <row r="66" spans="2:19" x14ac:dyDescent="0.75">
      <c r="B66" s="11"/>
      <c r="C66" s="11"/>
      <c r="D66" s="12"/>
      <c r="E66" s="12"/>
      <c r="F66" s="49"/>
      <c r="G66" s="78"/>
      <c r="P66" s="11">
        <v>52</v>
      </c>
      <c r="Q66" s="11">
        <f t="shared" si="5"/>
        <v>8</v>
      </c>
      <c r="R66" s="11">
        <f t="shared" si="6"/>
        <v>4</v>
      </c>
      <c r="S66" s="12" cm="1">
        <f t="array" ref="S66">INDEX('PathologicalReportInfo-CM'!$I$15:$N$124,Q66+1,R66)</f>
        <v>0</v>
      </c>
    </row>
    <row r="67" spans="2:19" x14ac:dyDescent="0.75">
      <c r="B67" s="11"/>
      <c r="C67" s="11"/>
      <c r="D67" s="12"/>
      <c r="E67" s="12"/>
      <c r="F67" s="49"/>
      <c r="G67" s="78"/>
      <c r="P67" s="11">
        <v>53</v>
      </c>
      <c r="Q67" s="11">
        <f t="shared" si="5"/>
        <v>8</v>
      </c>
      <c r="R67" s="11">
        <f t="shared" si="6"/>
        <v>5</v>
      </c>
      <c r="S67" s="12" cm="1">
        <f t="array" ref="S67">INDEX('PathologicalReportInfo-CM'!$I$15:$N$124,Q67+1,R67)</f>
        <v>0</v>
      </c>
    </row>
    <row r="68" spans="2:19" x14ac:dyDescent="0.75">
      <c r="B68" s="11"/>
      <c r="C68" s="11"/>
      <c r="D68" s="12"/>
      <c r="E68" s="12"/>
      <c r="F68" s="49"/>
      <c r="G68" s="78"/>
      <c r="P68" s="11">
        <v>54</v>
      </c>
      <c r="Q68" s="11">
        <f t="shared" si="5"/>
        <v>8</v>
      </c>
      <c r="R68" s="11">
        <f t="shared" si="6"/>
        <v>6</v>
      </c>
      <c r="S68" s="12" cm="1">
        <f t="array" ref="S68">INDEX('PathologicalReportInfo-CM'!$I$15:$N$124,Q68+1,R68)</f>
        <v>0</v>
      </c>
    </row>
    <row r="69" spans="2:19" x14ac:dyDescent="0.75">
      <c r="B69" s="11"/>
      <c r="C69" s="11"/>
      <c r="D69" s="12"/>
      <c r="E69" s="12"/>
      <c r="F69" s="49"/>
      <c r="G69" s="78"/>
      <c r="P69" s="11">
        <v>55</v>
      </c>
      <c r="Q69" s="11">
        <f t="shared" si="5"/>
        <v>9</v>
      </c>
      <c r="R69" s="11">
        <f t="shared" si="6"/>
        <v>1</v>
      </c>
      <c r="S69" s="12" cm="1">
        <f t="array" ref="S69">INDEX('PathologicalReportInfo-CM'!$I$15:$N$124,Q69+1,R69)</f>
        <v>0</v>
      </c>
    </row>
    <row r="70" spans="2:19" x14ac:dyDescent="0.75">
      <c r="B70" s="11"/>
      <c r="C70" s="11"/>
      <c r="D70" s="12"/>
      <c r="E70" s="12"/>
      <c r="F70" s="49"/>
      <c r="G70" s="78"/>
      <c r="P70" s="11">
        <v>56</v>
      </c>
      <c r="Q70" s="11">
        <f t="shared" si="5"/>
        <v>9</v>
      </c>
      <c r="R70" s="11">
        <f t="shared" si="6"/>
        <v>2</v>
      </c>
      <c r="S70" s="12" cm="1">
        <f t="array" ref="S70">INDEX('PathologicalReportInfo-CM'!$I$15:$N$124,Q70+1,R70)</f>
        <v>0</v>
      </c>
    </row>
    <row r="71" spans="2:19" x14ac:dyDescent="0.75">
      <c r="B71" s="11"/>
      <c r="C71" s="11"/>
      <c r="D71" s="12"/>
      <c r="E71" s="12"/>
      <c r="F71" s="49"/>
      <c r="G71" s="78"/>
      <c r="P71" s="11">
        <v>57</v>
      </c>
      <c r="Q71" s="11">
        <f t="shared" si="5"/>
        <v>9</v>
      </c>
      <c r="R71" s="11">
        <f t="shared" si="6"/>
        <v>3</v>
      </c>
      <c r="S71" s="12" cm="1">
        <f t="array" ref="S71">INDEX('PathologicalReportInfo-CM'!$I$15:$N$124,Q71+1,R71)</f>
        <v>0</v>
      </c>
    </row>
    <row r="72" spans="2:19" x14ac:dyDescent="0.75">
      <c r="B72" s="11"/>
      <c r="C72" s="11"/>
      <c r="D72" s="12"/>
      <c r="E72" s="12"/>
      <c r="F72" s="49"/>
      <c r="G72" s="78"/>
      <c r="P72" s="11">
        <v>58</v>
      </c>
      <c r="Q72" s="11">
        <f t="shared" si="5"/>
        <v>9</v>
      </c>
      <c r="R72" s="11">
        <f t="shared" si="6"/>
        <v>4</v>
      </c>
      <c r="S72" s="12" cm="1">
        <f t="array" ref="S72">INDEX('PathologicalReportInfo-CM'!$I$15:$N$124,Q72+1,R72)</f>
        <v>0</v>
      </c>
    </row>
    <row r="73" spans="2:19" x14ac:dyDescent="0.75">
      <c r="B73" s="11"/>
      <c r="C73" s="11"/>
      <c r="D73" s="12"/>
      <c r="E73" s="12"/>
      <c r="F73" s="49"/>
      <c r="G73" s="78"/>
      <c r="P73" s="11">
        <v>59</v>
      </c>
      <c r="Q73" s="11">
        <f t="shared" si="5"/>
        <v>9</v>
      </c>
      <c r="R73" s="11">
        <f t="shared" si="6"/>
        <v>5</v>
      </c>
      <c r="S73" s="12" cm="1">
        <f t="array" ref="S73">INDEX('PathologicalReportInfo-CM'!$I$15:$N$124,Q73+1,R73)</f>
        <v>0</v>
      </c>
    </row>
    <row r="74" spans="2:19" x14ac:dyDescent="0.75">
      <c r="B74" s="11"/>
      <c r="C74" s="11"/>
      <c r="D74" s="12"/>
      <c r="E74" s="12"/>
      <c r="F74" s="49"/>
      <c r="G74" s="78"/>
      <c r="P74" s="11">
        <v>60</v>
      </c>
      <c r="Q74" s="11">
        <f t="shared" si="5"/>
        <v>9</v>
      </c>
      <c r="R74" s="11">
        <f t="shared" si="6"/>
        <v>6</v>
      </c>
      <c r="S74" s="12" cm="1">
        <f t="array" ref="S74">INDEX('PathologicalReportInfo-CM'!$I$15:$N$124,Q74+1,R74)</f>
        <v>0</v>
      </c>
    </row>
    <row r="75" spans="2:19" x14ac:dyDescent="0.75">
      <c r="B75" s="11"/>
      <c r="C75" s="11"/>
      <c r="D75" s="12"/>
      <c r="E75" s="12"/>
      <c r="F75" s="49"/>
      <c r="G75" s="78"/>
      <c r="P75" s="11">
        <v>61</v>
      </c>
      <c r="Q75" s="11">
        <f t="shared" si="5"/>
        <v>10</v>
      </c>
      <c r="R75" s="11">
        <f t="shared" si="6"/>
        <v>1</v>
      </c>
      <c r="S75" s="12" cm="1">
        <f t="array" ref="S75">INDEX('PathologicalReportInfo-CM'!$I$15:$N$124,Q75+1,R75)</f>
        <v>0</v>
      </c>
    </row>
    <row r="76" spans="2:19" x14ac:dyDescent="0.75">
      <c r="B76" s="11"/>
      <c r="C76" s="11"/>
      <c r="D76" s="12"/>
      <c r="E76" s="12"/>
      <c r="F76" s="49"/>
      <c r="G76" s="78"/>
      <c r="P76" s="11">
        <v>62</v>
      </c>
      <c r="Q76" s="11">
        <f t="shared" si="5"/>
        <v>10</v>
      </c>
      <c r="R76" s="11">
        <f t="shared" si="6"/>
        <v>2</v>
      </c>
      <c r="S76" s="12" cm="1">
        <f t="array" ref="S76">INDEX('PathologicalReportInfo-CM'!$I$15:$N$124,Q76+1,R76)</f>
        <v>0</v>
      </c>
    </row>
    <row r="77" spans="2:19" x14ac:dyDescent="0.75">
      <c r="B77" s="11"/>
      <c r="C77" s="11"/>
      <c r="D77" s="12"/>
      <c r="E77" s="12"/>
      <c r="F77" s="49"/>
      <c r="G77" s="78"/>
      <c r="P77" s="11">
        <v>63</v>
      </c>
      <c r="Q77" s="11">
        <f t="shared" si="5"/>
        <v>10</v>
      </c>
      <c r="R77" s="11">
        <f t="shared" si="6"/>
        <v>3</v>
      </c>
      <c r="S77" s="12" cm="1">
        <f t="array" ref="S77">INDEX('PathologicalReportInfo-CM'!$I$15:$N$124,Q77+1,R77)</f>
        <v>0</v>
      </c>
    </row>
    <row r="78" spans="2:19" x14ac:dyDescent="0.75">
      <c r="B78" s="11"/>
      <c r="C78" s="11"/>
      <c r="D78" s="12"/>
      <c r="E78" s="12"/>
      <c r="F78" s="49"/>
      <c r="G78" s="78"/>
      <c r="P78" s="11">
        <v>64</v>
      </c>
      <c r="Q78" s="11">
        <f t="shared" si="5"/>
        <v>10</v>
      </c>
      <c r="R78" s="11">
        <f t="shared" si="6"/>
        <v>4</v>
      </c>
      <c r="S78" s="12" cm="1">
        <f t="array" ref="S78">INDEX('PathologicalReportInfo-CM'!$I$15:$N$124,Q78+1,R78)</f>
        <v>0</v>
      </c>
    </row>
    <row r="79" spans="2:19" x14ac:dyDescent="0.75">
      <c r="B79" s="11"/>
      <c r="C79" s="11"/>
      <c r="D79" s="12"/>
      <c r="E79" s="12"/>
      <c r="F79" s="49"/>
      <c r="G79" s="78"/>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8"/>
      <c r="P80" s="11">
        <v>66</v>
      </c>
      <c r="Q80" s="11">
        <f t="shared" si="8"/>
        <v>10</v>
      </c>
      <c r="R80" s="11">
        <f t="shared" si="9"/>
        <v>6</v>
      </c>
      <c r="S80" s="12" cm="1">
        <f t="array" ref="S80">INDEX('PathologicalReportInfo-CM'!$I$15:$N$124,Q80+1,R80)</f>
        <v>0</v>
      </c>
    </row>
    <row r="81" spans="2:19" x14ac:dyDescent="0.75">
      <c r="B81" s="11"/>
      <c r="C81" s="11"/>
      <c r="D81" s="12"/>
      <c r="E81" s="12"/>
      <c r="F81" s="49"/>
      <c r="G81" s="78"/>
      <c r="P81" s="11">
        <v>67</v>
      </c>
      <c r="Q81" s="11">
        <f t="shared" si="8"/>
        <v>11</v>
      </c>
      <c r="R81" s="11">
        <f t="shared" si="9"/>
        <v>1</v>
      </c>
      <c r="S81" s="12" cm="1">
        <f t="array" ref="S81">INDEX('PathologicalReportInfo-CM'!$I$15:$N$124,Q81+1,R81)</f>
        <v>0</v>
      </c>
    </row>
    <row r="82" spans="2:19" x14ac:dyDescent="0.75">
      <c r="B82" s="11"/>
      <c r="C82" s="11"/>
      <c r="D82" s="12"/>
      <c r="E82" s="12"/>
      <c r="F82" s="49"/>
      <c r="G82" s="78"/>
      <c r="P82" s="11">
        <v>68</v>
      </c>
      <c r="Q82" s="11">
        <f t="shared" si="8"/>
        <v>11</v>
      </c>
      <c r="R82" s="11">
        <f t="shared" si="9"/>
        <v>2</v>
      </c>
      <c r="S82" s="12" cm="1">
        <f t="array" ref="S82">INDEX('PathologicalReportInfo-CM'!$I$15:$N$124,Q82+1,R82)</f>
        <v>0</v>
      </c>
    </row>
    <row r="83" spans="2:19" x14ac:dyDescent="0.75">
      <c r="B83" s="11"/>
      <c r="C83" s="11"/>
      <c r="D83" s="12"/>
      <c r="E83" s="12"/>
      <c r="F83" s="49"/>
      <c r="G83" s="78"/>
      <c r="P83" s="11">
        <v>69</v>
      </c>
      <c r="Q83" s="11">
        <f t="shared" si="8"/>
        <v>11</v>
      </c>
      <c r="R83" s="11">
        <f t="shared" si="9"/>
        <v>3</v>
      </c>
      <c r="S83" s="12" cm="1">
        <f t="array" ref="S83">INDEX('PathologicalReportInfo-CM'!$I$15:$N$124,Q83+1,R83)</f>
        <v>0</v>
      </c>
    </row>
    <row r="84" spans="2:19" x14ac:dyDescent="0.75">
      <c r="B84" s="11"/>
      <c r="C84" s="11"/>
      <c r="D84" s="12"/>
      <c r="E84" s="12"/>
      <c r="F84" s="49"/>
      <c r="G84" s="78"/>
      <c r="P84" s="11">
        <v>70</v>
      </c>
      <c r="Q84" s="11">
        <f t="shared" si="8"/>
        <v>11</v>
      </c>
      <c r="R84" s="11">
        <f t="shared" si="9"/>
        <v>4</v>
      </c>
      <c r="S84" s="12" cm="1">
        <f t="array" ref="S84">INDEX('PathologicalReportInfo-CM'!$I$15:$N$124,Q84+1,R84)</f>
        <v>0</v>
      </c>
    </row>
    <row r="85" spans="2:19" x14ac:dyDescent="0.75">
      <c r="B85" s="11"/>
      <c r="C85" s="11"/>
      <c r="D85" s="12"/>
      <c r="E85" s="12"/>
      <c r="F85" s="49"/>
      <c r="G85" s="78"/>
      <c r="P85" s="11">
        <v>71</v>
      </c>
      <c r="Q85" s="11">
        <f t="shared" si="8"/>
        <v>11</v>
      </c>
      <c r="R85" s="11">
        <f t="shared" si="9"/>
        <v>5</v>
      </c>
      <c r="S85" s="12" cm="1">
        <f t="array" ref="S85">INDEX('PathologicalReportInfo-CM'!$I$15:$N$124,Q85+1,R85)</f>
        <v>0</v>
      </c>
    </row>
    <row r="86" spans="2:19" x14ac:dyDescent="0.75">
      <c r="B86" s="11"/>
      <c r="C86" s="11"/>
      <c r="D86" s="12"/>
      <c r="E86" s="12"/>
      <c r="F86" s="49"/>
      <c r="G86" s="78"/>
      <c r="P86" s="11">
        <v>72</v>
      </c>
      <c r="Q86" s="11">
        <f t="shared" si="8"/>
        <v>11</v>
      </c>
      <c r="R86" s="11">
        <f t="shared" si="9"/>
        <v>6</v>
      </c>
      <c r="S86" s="12" cm="1">
        <f t="array" ref="S86">INDEX('PathologicalReportInfo-CM'!$I$15:$N$124,Q86+1,R86)</f>
        <v>0</v>
      </c>
    </row>
    <row r="87" spans="2:19" x14ac:dyDescent="0.75">
      <c r="B87" s="11"/>
      <c r="C87" s="11"/>
      <c r="D87" s="12"/>
      <c r="E87" s="12"/>
      <c r="F87" s="49"/>
      <c r="G87" s="78"/>
      <c r="P87" s="11">
        <v>73</v>
      </c>
      <c r="Q87" s="11">
        <f t="shared" si="8"/>
        <v>12</v>
      </c>
      <c r="R87" s="11">
        <f t="shared" si="9"/>
        <v>1</v>
      </c>
      <c r="S87" s="12" cm="1">
        <f t="array" ref="S87">INDEX('PathologicalReportInfo-CM'!$I$15:$N$124,Q87+1,R87)</f>
        <v>0</v>
      </c>
    </row>
    <row r="88" spans="2:19" x14ac:dyDescent="0.75">
      <c r="B88" s="11"/>
      <c r="C88" s="11"/>
      <c r="D88" s="12"/>
      <c r="E88" s="12"/>
      <c r="F88" s="49"/>
      <c r="G88" s="78"/>
      <c r="P88" s="11">
        <v>74</v>
      </c>
      <c r="Q88" s="11">
        <f t="shared" si="8"/>
        <v>12</v>
      </c>
      <c r="R88" s="11">
        <f t="shared" si="9"/>
        <v>2</v>
      </c>
      <c r="S88" s="12" cm="1">
        <f t="array" ref="S88">INDEX('PathologicalReportInfo-CM'!$I$15:$N$124,Q88+1,R88)</f>
        <v>0</v>
      </c>
    </row>
    <row r="89" spans="2:19" x14ac:dyDescent="0.75">
      <c r="B89" s="11"/>
      <c r="C89" s="11"/>
      <c r="D89" s="12"/>
      <c r="E89" s="12"/>
      <c r="F89" s="49"/>
      <c r="G89" s="78"/>
      <c r="P89" s="11">
        <v>75</v>
      </c>
      <c r="Q89" s="11">
        <f t="shared" si="8"/>
        <v>12</v>
      </c>
      <c r="R89" s="11">
        <f t="shared" si="9"/>
        <v>3</v>
      </c>
      <c r="S89" s="12" cm="1">
        <f t="array" ref="S89">INDEX('PathologicalReportInfo-CM'!$I$15:$N$124,Q89+1,R89)</f>
        <v>0</v>
      </c>
    </row>
    <row r="90" spans="2:19" x14ac:dyDescent="0.75">
      <c r="B90" s="11"/>
      <c r="C90" s="11"/>
      <c r="D90" s="12"/>
      <c r="E90" s="12"/>
      <c r="F90" s="49"/>
      <c r="G90" s="78"/>
      <c r="P90" s="11">
        <v>76</v>
      </c>
      <c r="Q90" s="11">
        <f t="shared" si="8"/>
        <v>12</v>
      </c>
      <c r="R90" s="11">
        <f t="shared" si="9"/>
        <v>4</v>
      </c>
      <c r="S90" s="12" cm="1">
        <f t="array" ref="S90">INDEX('PathologicalReportInfo-CM'!$I$15:$N$124,Q90+1,R90)</f>
        <v>0</v>
      </c>
    </row>
    <row r="91" spans="2:19" x14ac:dyDescent="0.75">
      <c r="B91" s="11"/>
      <c r="C91" s="11"/>
      <c r="D91" s="12"/>
      <c r="E91" s="12"/>
      <c r="F91" s="49"/>
      <c r="G91" s="78"/>
      <c r="P91" s="11">
        <v>77</v>
      </c>
      <c r="Q91" s="11">
        <f t="shared" si="8"/>
        <v>12</v>
      </c>
      <c r="R91" s="11">
        <f t="shared" si="9"/>
        <v>5</v>
      </c>
      <c r="S91" s="12" cm="1">
        <f t="array" ref="S91">INDEX('PathologicalReportInfo-CM'!$I$15:$N$124,Q91+1,R91)</f>
        <v>0</v>
      </c>
    </row>
    <row r="92" spans="2:19" x14ac:dyDescent="0.75">
      <c r="B92" s="11"/>
      <c r="C92" s="11"/>
      <c r="D92" s="12"/>
      <c r="E92" s="12"/>
      <c r="F92" s="49"/>
      <c r="G92" s="78"/>
      <c r="P92" s="11">
        <v>78</v>
      </c>
      <c r="Q92" s="11">
        <f t="shared" si="8"/>
        <v>12</v>
      </c>
      <c r="R92" s="11">
        <f t="shared" si="9"/>
        <v>6</v>
      </c>
      <c r="S92" s="12" cm="1">
        <f t="array" ref="S92">INDEX('PathologicalReportInfo-CM'!$I$15:$N$124,Q92+1,R92)</f>
        <v>0</v>
      </c>
    </row>
    <row r="93" spans="2:19" x14ac:dyDescent="0.75">
      <c r="B93" s="11"/>
      <c r="C93" s="11"/>
      <c r="D93" s="12"/>
      <c r="E93" s="12"/>
      <c r="F93" s="49"/>
      <c r="G93" s="78"/>
      <c r="P93" s="11">
        <v>79</v>
      </c>
      <c r="Q93" s="11">
        <f t="shared" si="8"/>
        <v>13</v>
      </c>
      <c r="R93" s="11">
        <f t="shared" si="9"/>
        <v>1</v>
      </c>
      <c r="S93" s="12" cm="1">
        <f t="array" ref="S93">INDEX('PathologicalReportInfo-CM'!$I$15:$N$124,Q93+1,R93)</f>
        <v>0</v>
      </c>
    </row>
    <row r="94" spans="2:19" x14ac:dyDescent="0.75">
      <c r="B94" s="11"/>
      <c r="C94" s="11"/>
      <c r="D94" s="12"/>
      <c r="E94" s="12"/>
      <c r="F94" s="49"/>
      <c r="G94" s="78"/>
      <c r="P94" s="11">
        <v>80</v>
      </c>
      <c r="Q94" s="11">
        <f t="shared" si="8"/>
        <v>13</v>
      </c>
      <c r="R94" s="11">
        <f t="shared" si="9"/>
        <v>2</v>
      </c>
      <c r="S94" s="12" cm="1">
        <f t="array" ref="S94">INDEX('PathologicalReportInfo-CM'!$I$15:$N$124,Q94+1,R94)</f>
        <v>0</v>
      </c>
    </row>
    <row r="95" spans="2:19" x14ac:dyDescent="0.75">
      <c r="B95" s="11"/>
      <c r="C95" s="11"/>
      <c r="D95" s="12"/>
      <c r="E95" s="12"/>
      <c r="F95" s="49"/>
      <c r="G95" s="78"/>
      <c r="P95" s="11">
        <v>81</v>
      </c>
      <c r="Q95" s="11">
        <f t="shared" si="8"/>
        <v>13</v>
      </c>
      <c r="R95" s="11">
        <f t="shared" si="9"/>
        <v>3</v>
      </c>
      <c r="S95" s="12" cm="1">
        <f t="array" ref="S95">INDEX('PathologicalReportInfo-CM'!$I$15:$N$124,Q95+1,R95)</f>
        <v>0</v>
      </c>
    </row>
    <row r="96" spans="2:19" x14ac:dyDescent="0.75">
      <c r="B96" s="11"/>
      <c r="C96" s="11"/>
      <c r="D96" s="12"/>
      <c r="E96" s="12"/>
      <c r="F96" s="49"/>
      <c r="G96" s="78"/>
      <c r="P96" s="11">
        <v>82</v>
      </c>
      <c r="Q96" s="11">
        <f t="shared" si="8"/>
        <v>13</v>
      </c>
      <c r="R96" s="11">
        <f t="shared" si="9"/>
        <v>4</v>
      </c>
      <c r="S96" s="12" cm="1">
        <f t="array" ref="S96">INDEX('PathologicalReportInfo-CM'!$I$15:$N$124,Q96+1,R96)</f>
        <v>0</v>
      </c>
    </row>
    <row r="97" spans="2:19" x14ac:dyDescent="0.75">
      <c r="B97" s="11"/>
      <c r="C97" s="11"/>
      <c r="D97" s="12"/>
      <c r="E97" s="12"/>
      <c r="F97" s="49"/>
      <c r="G97" s="78"/>
      <c r="P97" s="11">
        <v>83</v>
      </c>
      <c r="Q97" s="11">
        <f t="shared" si="8"/>
        <v>13</v>
      </c>
      <c r="R97" s="11">
        <f t="shared" si="9"/>
        <v>5</v>
      </c>
      <c r="S97" s="12" cm="1">
        <f t="array" ref="S97">INDEX('PathologicalReportInfo-CM'!$I$15:$N$124,Q97+1,R97)</f>
        <v>0</v>
      </c>
    </row>
    <row r="98" spans="2:19" x14ac:dyDescent="0.75">
      <c r="B98" s="11"/>
      <c r="C98" s="11"/>
      <c r="D98" s="12"/>
      <c r="E98" s="12"/>
      <c r="F98" s="49"/>
      <c r="G98" s="78"/>
      <c r="P98" s="11">
        <v>84</v>
      </c>
      <c r="Q98" s="11">
        <f t="shared" si="8"/>
        <v>13</v>
      </c>
      <c r="R98" s="11">
        <f t="shared" si="9"/>
        <v>6</v>
      </c>
      <c r="S98" s="12" cm="1">
        <f t="array" ref="S98">INDEX('PathologicalReportInfo-CM'!$I$15:$N$124,Q98+1,R98)</f>
        <v>0</v>
      </c>
    </row>
    <row r="99" spans="2:19" x14ac:dyDescent="0.75">
      <c r="B99" s="11"/>
      <c r="C99" s="11"/>
      <c r="D99" s="12"/>
      <c r="E99" s="12"/>
      <c r="F99" s="49"/>
      <c r="G99" s="78"/>
      <c r="P99" s="11">
        <v>85</v>
      </c>
      <c r="Q99" s="11">
        <f t="shared" si="8"/>
        <v>14</v>
      </c>
      <c r="R99" s="11">
        <f t="shared" si="9"/>
        <v>1</v>
      </c>
      <c r="S99" s="12" cm="1">
        <f t="array" ref="S99">INDEX('PathologicalReportInfo-CM'!$I$15:$N$124,Q99+1,R99)</f>
        <v>0</v>
      </c>
    </row>
    <row r="100" spans="2:19" x14ac:dyDescent="0.75">
      <c r="B100" s="11"/>
      <c r="C100" s="11"/>
      <c r="D100" s="12"/>
      <c r="E100" s="12"/>
      <c r="F100" s="49"/>
      <c r="G100" s="78"/>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8"/>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8"/>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8"/>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8"/>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8"/>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8"/>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8"/>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8"/>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8"/>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8"/>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8"/>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8"/>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8"/>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1887</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6"/>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22"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1947</v>
      </c>
      <c r="L4" s="16" t="str">
        <f>CONCATENATE("Logical: ",B4)</f>
        <v>Logical: SurgeryI4rc</v>
      </c>
    </row>
    <row r="5" spans="1:18" ht="15.5" thickBot="1" x14ac:dyDescent="0.9">
      <c r="A5" s="14" t="s">
        <v>16</v>
      </c>
      <c r="B5" s="30" t="s">
        <v>1679</v>
      </c>
      <c r="L5" s="16" t="str">
        <f>CONCATENATE("Id: ",B5)</f>
        <v>Id: Surgery</v>
      </c>
    </row>
    <row r="6" spans="1:18" ht="15.5" thickBot="1" x14ac:dyDescent="0.9">
      <c r="A6" s="14" t="s">
        <v>10</v>
      </c>
      <c r="B6" s="30" t="s">
        <v>1679</v>
      </c>
      <c r="L6" s="17" t="str">
        <f>CONCATENATE("Title: ##34#",B6,"##34#")</f>
        <v>Title: ##34#Surgery##34#</v>
      </c>
    </row>
    <row r="7" spans="1:18" x14ac:dyDescent="0.75">
      <c r="A7" s="26" t="s">
        <v>2</v>
      </c>
      <c r="B7" s="98" t="s">
        <v>1679</v>
      </c>
      <c r="C7" s="9" t="s">
        <v>3</v>
      </c>
      <c r="D7" s="1" t="s">
        <v>4</v>
      </c>
      <c r="E7" s="3" t="s">
        <v>5</v>
      </c>
      <c r="F7" s="3" t="s">
        <v>6</v>
      </c>
      <c r="G7" s="3" t="s">
        <v>7</v>
      </c>
      <c r="H7" s="64" t="s">
        <v>1384</v>
      </c>
      <c r="I7" s="122" t="s">
        <v>2110</v>
      </c>
      <c r="J7" s="122" t="s">
        <v>2111</v>
      </c>
      <c r="L7" s="17" t="str">
        <f>CONCATENATE("Description: "," ##334#",B7,"##334#",)</f>
        <v>Description:  ##334#Surgery##334#</v>
      </c>
    </row>
    <row r="8" spans="1:18" ht="59" x14ac:dyDescent="0.75">
      <c r="A8" s="132">
        <v>0</v>
      </c>
      <c r="B8" s="11" t="s">
        <v>1573</v>
      </c>
      <c r="C8" s="11" t="s">
        <v>1658</v>
      </c>
      <c r="D8" s="11" t="s">
        <v>1568</v>
      </c>
      <c r="E8" s="11">
        <v>1</v>
      </c>
      <c r="F8" s="11">
        <v>1</v>
      </c>
      <c r="G8" s="42" t="s">
        <v>1620</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32">
        <v>1</v>
      </c>
      <c r="B9" s="11" t="s">
        <v>1906</v>
      </c>
      <c r="C9" s="11" t="s">
        <v>2212</v>
      </c>
      <c r="D9" s="11" t="s">
        <v>2213</v>
      </c>
      <c r="E9" s="11">
        <v>1</v>
      </c>
      <c r="F9" s="11">
        <v>1</v>
      </c>
      <c r="G9" s="11" t="s">
        <v>1474</v>
      </c>
      <c r="H9" s="12" t="s">
        <v>2220</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32">
        <v>2</v>
      </c>
      <c r="B10" s="6" t="s">
        <v>2208</v>
      </c>
      <c r="C10" s="11" t="s">
        <v>2214</v>
      </c>
      <c r="D10" s="11" t="s">
        <v>1680</v>
      </c>
      <c r="E10" s="11">
        <v>1</v>
      </c>
      <c r="F10" s="11">
        <v>1</v>
      </c>
      <c r="G10" s="11" t="s">
        <v>1474</v>
      </c>
      <c r="H10" s="12" t="s">
        <v>1681</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32">
        <v>3</v>
      </c>
      <c r="B11" s="11" t="s">
        <v>43</v>
      </c>
      <c r="C11" s="11" t="s">
        <v>1682</v>
      </c>
      <c r="D11" s="11" t="s">
        <v>1683</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32">
        <v>4</v>
      </c>
      <c r="B12" s="11" t="s">
        <v>2227</v>
      </c>
      <c r="C12" s="11" t="s">
        <v>1684</v>
      </c>
      <c r="D12" s="12" t="s">
        <v>1685</v>
      </c>
      <c r="E12" s="11">
        <v>1</v>
      </c>
      <c r="F12" s="11">
        <v>1</v>
      </c>
      <c r="G12" s="11" t="s">
        <v>1474</v>
      </c>
      <c r="H12" s="12" t="s">
        <v>2221</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32">
        <v>5</v>
      </c>
      <c r="B13" s="11" t="s">
        <v>2228</v>
      </c>
      <c r="C13" s="11" t="s">
        <v>1686</v>
      </c>
      <c r="D13" s="11" t="s">
        <v>1687</v>
      </c>
      <c r="E13" s="11">
        <v>1</v>
      </c>
      <c r="F13" s="11">
        <v>1</v>
      </c>
      <c r="G13" s="11" t="s">
        <v>1474</v>
      </c>
      <c r="H13" s="12" t="s">
        <v>1688</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32">
        <v>6</v>
      </c>
      <c r="B14" s="11" t="s">
        <v>1689</v>
      </c>
      <c r="C14" s="11" t="s">
        <v>1690</v>
      </c>
      <c r="D14" s="11" t="s">
        <v>1691</v>
      </c>
      <c r="E14" s="11">
        <v>0</v>
      </c>
      <c r="F14" s="11">
        <v>1</v>
      </c>
      <c r="G14" s="11" t="s">
        <v>1474</v>
      </c>
      <c r="H14" s="12" t="s">
        <v>2222</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32">
        <v>7</v>
      </c>
      <c r="B15" s="11" t="s">
        <v>2209</v>
      </c>
      <c r="C15" s="11" t="s">
        <v>2215</v>
      </c>
      <c r="D15" s="11" t="s">
        <v>2216</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32">
        <v>8</v>
      </c>
      <c r="B16" s="6" t="s">
        <v>2229</v>
      </c>
      <c r="C16" s="11" t="s">
        <v>2217</v>
      </c>
      <c r="D16" s="11" t="s">
        <v>2217</v>
      </c>
      <c r="E16" s="11">
        <v>1</v>
      </c>
      <c r="F16" s="11">
        <v>1</v>
      </c>
      <c r="G16" s="11" t="s">
        <v>2019</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32">
        <v>9</v>
      </c>
      <c r="B17" s="6" t="s">
        <v>2230</v>
      </c>
      <c r="C17" s="11" t="s">
        <v>2218</v>
      </c>
      <c r="D17" s="11" t="s">
        <v>2218</v>
      </c>
      <c r="E17" s="11">
        <v>1</v>
      </c>
      <c r="F17" s="11">
        <v>1</v>
      </c>
      <c r="G17" s="11" t="s">
        <v>1474</v>
      </c>
      <c r="H17" s="12" t="s">
        <v>2223</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32">
        <v>10</v>
      </c>
      <c r="B18" s="6" t="s">
        <v>2210</v>
      </c>
      <c r="C18" s="11" t="s">
        <v>2219</v>
      </c>
      <c r="D18" s="11" t="s">
        <v>2219</v>
      </c>
      <c r="E18" s="11">
        <v>1</v>
      </c>
      <c r="F18" s="11">
        <v>1</v>
      </c>
      <c r="G18" s="11" t="s">
        <v>1474</v>
      </c>
      <c r="H18" s="12" t="s">
        <v>2224</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32">
        <v>11</v>
      </c>
      <c r="B19" s="6" t="s">
        <v>1692</v>
      </c>
      <c r="C19" s="11" t="s">
        <v>1693</v>
      </c>
      <c r="D19" s="11" t="s">
        <v>1694</v>
      </c>
      <c r="E19" s="11">
        <v>1</v>
      </c>
      <c r="F19" s="11">
        <v>1</v>
      </c>
      <c r="G19" s="11" t="s">
        <v>1474</v>
      </c>
      <c r="H19" s="12" t="s">
        <v>1695</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32">
        <v>12</v>
      </c>
      <c r="B20" s="11" t="s">
        <v>1696</v>
      </c>
      <c r="C20" s="11" t="s">
        <v>1697</v>
      </c>
      <c r="D20" s="11" t="s">
        <v>1698</v>
      </c>
      <c r="E20" s="6">
        <v>1</v>
      </c>
      <c r="F20" s="6">
        <v>1</v>
      </c>
      <c r="G20" s="11" t="s">
        <v>1474</v>
      </c>
      <c r="H20" s="12" t="s">
        <v>1699</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32">
        <v>13</v>
      </c>
      <c r="B21" s="6" t="s">
        <v>1700</v>
      </c>
      <c r="C21" s="11" t="s">
        <v>1701</v>
      </c>
      <c r="D21" s="11" t="s">
        <v>1702</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32">
        <v>14</v>
      </c>
      <c r="B22" s="11" t="s">
        <v>1703</v>
      </c>
      <c r="C22" s="11" t="s">
        <v>1704</v>
      </c>
      <c r="D22" s="11" t="s">
        <v>1705</v>
      </c>
      <c r="E22" s="11">
        <v>0</v>
      </c>
      <c r="F22" s="11">
        <v>1</v>
      </c>
      <c r="G22" s="11" t="s">
        <v>1474</v>
      </c>
      <c r="H22" s="12" t="s">
        <v>2225</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32">
        <v>15</v>
      </c>
      <c r="B23" s="11" t="s">
        <v>1706</v>
      </c>
      <c r="C23" s="11" t="s">
        <v>1707</v>
      </c>
      <c r="D23" s="11" t="s">
        <v>1708</v>
      </c>
      <c r="E23" s="11">
        <v>0</v>
      </c>
      <c r="F23" s="11">
        <v>1</v>
      </c>
      <c r="G23" s="11" t="s">
        <v>1474</v>
      </c>
      <c r="H23" s="12" t="s">
        <v>1699</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32">
        <v>16</v>
      </c>
      <c r="B24" s="143" t="s">
        <v>1709</v>
      </c>
      <c r="C24" s="11" t="s">
        <v>1710</v>
      </c>
      <c r="D24" s="11" t="s">
        <v>1711</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32">
        <v>17</v>
      </c>
      <c r="B25" s="11" t="s">
        <v>2231</v>
      </c>
      <c r="C25" s="11" t="s">
        <v>1807</v>
      </c>
      <c r="D25" s="11" t="s">
        <v>1713</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32">
        <v>17</v>
      </c>
      <c r="B26" s="11" t="s">
        <v>2232</v>
      </c>
      <c r="C26" s="11" t="s">
        <v>1712</v>
      </c>
      <c r="D26" s="11" t="s">
        <v>1713</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32">
        <v>18</v>
      </c>
      <c r="B27" s="11" t="s">
        <v>2233</v>
      </c>
      <c r="C27" s="11" t="s">
        <v>1714</v>
      </c>
      <c r="D27" s="11" t="s">
        <v>1715</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32">
        <v>19</v>
      </c>
      <c r="B28" s="11" t="s">
        <v>2234</v>
      </c>
      <c r="C28" s="11" t="s">
        <v>1716</v>
      </c>
      <c r="D28" s="11" t="s">
        <v>1717</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32">
        <v>20</v>
      </c>
      <c r="B29" s="11" t="s">
        <v>2235</v>
      </c>
      <c r="C29" s="11" t="s">
        <v>1718</v>
      </c>
      <c r="D29" s="11" t="s">
        <v>1719</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32">
        <v>21</v>
      </c>
      <c r="B30" s="11" t="s">
        <v>2236</v>
      </c>
      <c r="C30" s="11" t="s">
        <v>1720</v>
      </c>
      <c r="D30" s="11" t="s">
        <v>1721</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32">
        <v>22</v>
      </c>
      <c r="B31" s="11" t="s">
        <v>2237</v>
      </c>
      <c r="C31" s="11" t="s">
        <v>1722</v>
      </c>
      <c r="D31" s="11" t="s">
        <v>1723</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32">
        <v>23</v>
      </c>
      <c r="B32" s="11" t="s">
        <v>2238</v>
      </c>
      <c r="C32" s="11" t="s">
        <v>1724</v>
      </c>
      <c r="D32" s="11" t="s">
        <v>1725</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32">
        <v>24</v>
      </c>
      <c r="B33" s="11" t="s">
        <v>2239</v>
      </c>
      <c r="C33" s="11" t="s">
        <v>1726</v>
      </c>
      <c r="D33" s="11" t="s">
        <v>1727</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32">
        <v>25</v>
      </c>
      <c r="B34" s="11" t="s">
        <v>2240</v>
      </c>
      <c r="C34" s="11" t="s">
        <v>1728</v>
      </c>
      <c r="D34" s="11" t="s">
        <v>1729</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32">
        <v>26</v>
      </c>
      <c r="B35" s="11" t="s">
        <v>2241</v>
      </c>
      <c r="C35" s="11" t="s">
        <v>1730</v>
      </c>
      <c r="D35" s="11" t="s">
        <v>1731</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32">
        <v>27</v>
      </c>
      <c r="B36" s="11" t="s">
        <v>2211</v>
      </c>
      <c r="C36" s="11" t="s">
        <v>1732</v>
      </c>
      <c r="D36" s="11" t="s">
        <v>1733</v>
      </c>
      <c r="E36">
        <v>1</v>
      </c>
      <c r="F36">
        <v>1</v>
      </c>
      <c r="G36" s="11" t="s">
        <v>1474</v>
      </c>
      <c r="H36" s="12" t="s">
        <v>2226</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1678</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topLeftCell="J147" zoomScale="40" zoomScaleNormal="40" workbookViewId="0">
      <selection activeCell="P15" sqref="P15:S16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1810</v>
      </c>
      <c r="D3" s="47" t="s">
        <v>1479</v>
      </c>
      <c r="E3" s="72" t="str">
        <f>$C$1&amp;B14</f>
        <v>http://hl7.eu/fhir/ig/idea4rc/StructureDefinition/SurgeryI4rc</v>
      </c>
    </row>
    <row r="4" spans="1:19" x14ac:dyDescent="0.75">
      <c r="B4" s="47" t="s">
        <v>16</v>
      </c>
      <c r="C4" s="28" t="s">
        <v>1810</v>
      </c>
      <c r="D4" s="47" t="s">
        <v>1480</v>
      </c>
      <c r="E4" s="144" t="s">
        <v>1813</v>
      </c>
      <c r="F4" s="145"/>
      <c r="G4" s="145"/>
    </row>
    <row r="5" spans="1:19" x14ac:dyDescent="0.75">
      <c r="B5" s="47" t="s">
        <v>10</v>
      </c>
      <c r="C5" s="7" t="s">
        <v>1811</v>
      </c>
      <c r="D5" s="47"/>
      <c r="E5" s="7"/>
    </row>
    <row r="6" spans="1:19" x14ac:dyDescent="0.75">
      <c r="B6" s="47" t="s">
        <v>18</v>
      </c>
      <c r="C6" s="41"/>
      <c r="D6" s="47" t="s">
        <v>1481</v>
      </c>
      <c r="E6" s="144" t="str">
        <f>E3</f>
        <v>http://hl7.eu/fhir/ig/idea4rc/StructureDefinition/SurgeryI4rc</v>
      </c>
      <c r="F6" s="145"/>
      <c r="G6" s="145"/>
    </row>
    <row r="7" spans="1:19" x14ac:dyDescent="0.75">
      <c r="B7" s="47" t="s">
        <v>15</v>
      </c>
      <c r="C7" s="73"/>
      <c r="D7" s="47" t="s">
        <v>1482</v>
      </c>
      <c r="E7" s="144" t="str">
        <f>E4</f>
        <v>http://hl7.eu/fhir/ig/idea4rc/StructureDefinition/Procedure-surgery-eu-i4rc</v>
      </c>
      <c r="F7" s="145"/>
      <c r="G7" s="145"/>
    </row>
    <row r="8" spans="1:19" ht="45" thickBot="1" x14ac:dyDescent="0.9">
      <c r="B8" s="47" t="s">
        <v>1483</v>
      </c>
      <c r="C8" s="7" t="s">
        <v>1811</v>
      </c>
      <c r="D8" s="47"/>
      <c r="E8" s="7"/>
      <c r="I8" s="12" t="s">
        <v>1289</v>
      </c>
      <c r="J8" s="12" t="s">
        <v>1290</v>
      </c>
      <c r="K8" s="12" t="s">
        <v>1291</v>
      </c>
      <c r="L8" s="12" t="s">
        <v>1292</v>
      </c>
      <c r="M8" s="11" t="s">
        <v>1293</v>
      </c>
      <c r="P8" s="34" t="s">
        <v>1328</v>
      </c>
      <c r="Q8" s="34">
        <v>6</v>
      </c>
    </row>
    <row r="9" spans="1:19" ht="15.5" thickBot="1" x14ac:dyDescent="0.9">
      <c r="B9" s="47" t="s">
        <v>1484</v>
      </c>
      <c r="C9" s="12" t="s">
        <v>1812</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1814</v>
      </c>
      <c r="E14" s="6"/>
      <c r="F14" s="49"/>
      <c r="G14" s="49"/>
      <c r="I14" s="12"/>
      <c r="J14" s="11"/>
      <c r="K14" s="11"/>
      <c r="L14" s="11"/>
      <c r="M14" s="48"/>
      <c r="N14" s="51"/>
    </row>
    <row r="15" spans="1:19" ht="44.25" x14ac:dyDescent="0.75">
      <c r="A15" s="44"/>
      <c r="B15" s="11" t="str">
        <f>Surgery!B8</f>
        <v>episodeEvent</v>
      </c>
      <c r="C15" s="11" t="str">
        <f>Surgery!C8</f>
        <v>Episode Event reference</v>
      </c>
      <c r="D15" s="12" t="s">
        <v>1815</v>
      </c>
      <c r="E15" s="12"/>
      <c r="F15" s="49" t="s">
        <v>1294</v>
      </c>
      <c r="G15" s="78"/>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1823</v>
      </c>
      <c r="E16" s="12"/>
      <c r="F16" s="49" t="s">
        <v>1294</v>
      </c>
      <c r="G16" s="77" t="s">
        <v>1816</v>
      </c>
      <c r="I16" s="12" t="str">
        <f t="shared" ref="I16:I38" si="7">"* group[=].element[+].code = #"&amp;$B$14&amp;"."&amp;B16</f>
        <v>* group[=].element[+].code = #SurgeryI4rc.type</v>
      </c>
      <c r="J16" s="12" t="str">
        <f t="shared" ref="J16:J38" si="8">"* group[=].element[=].display = ##34#"&amp;C16&amp;"##34#"</f>
        <v>* group[=].element[=].display = ##34#Surgery type##34#</v>
      </c>
      <c r="K16" s="12" t="str">
        <f t="shared" ref="K16:K38" si="9">IF(F16="unmatched","//-- unmatched","* group[=].element[=].target.code = #"&amp;$D$14&amp;"."&amp;D16)</f>
        <v>* group[=].element[=].target.code = #Procedure.extension:ProcedureCategoryR5</v>
      </c>
      <c r="L16" s="12" t="str">
        <f t="shared" ref="L16:L38" si="10">IF(F16="unmatched","//-- unmatched","* group[=].element[=].target.display = ##34#"&amp;E16&amp;"##34#")</f>
        <v>* group[=].element[=].target.display = ##34###34#</v>
      </c>
      <c r="M16" s="12" t="str">
        <f t="shared" ref="M16:M38" si="11">"* group[=].element[=].target.equivalence = #"&amp;F16</f>
        <v>* group[=].element[=].target.equivalence = #relatedto</v>
      </c>
      <c r="N16" s="12" t="str">
        <f t="shared" ref="N16:N38" si="12">IF(G16&lt;&gt;"",CONCATENATE("* group[=].element[=].target.comment = ","##34#",G16,"##34#"),"")</f>
        <v>* group[=].element[=].target.comment = ##34#to be analyzed: add a slice to the category.coding or derive this from a combination of elements or use other cathegories (R5 extension)##34#</v>
      </c>
      <c r="P16" s="11">
        <v>2</v>
      </c>
      <c r="Q16" s="11">
        <f t="shared" ref="Q16:Q79" si="13">IF(MOD(P16,$Q$8)=0,P16/$Q$8-1,INT(P16/$Q$8))</f>
        <v>0</v>
      </c>
      <c r="R16" s="11">
        <f t="shared" ref="R16:R79" si="14">IF(MOD(P16,$Q$8)=0,$Q$8,MOD(P16,$Q$8))</f>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12" t="s">
        <v>1562</v>
      </c>
      <c r="E17" s="12"/>
      <c r="F17" s="49" t="s">
        <v>1317</v>
      </c>
      <c r="G17" s="77" t="s">
        <v>2366</v>
      </c>
      <c r="H17" s="43"/>
      <c r="I17" s="12" t="str">
        <f t="shared" si="7"/>
        <v>* group[=].element[+].code = #SurgeryI4rc.surgeryHospital</v>
      </c>
      <c r="J17" s="12" t="str">
        <f t="shared" si="8"/>
        <v>* group[=].element[=].display = ##34#Surgery Hospital##34#</v>
      </c>
      <c r="K17" s="12" t="str">
        <f t="shared" si="9"/>
        <v>* group[=].element[=].target.code = #Procedure.performer</v>
      </c>
      <c r="L17" s="12" t="str">
        <f t="shared" si="10"/>
        <v>* group[=].element[=].target.display = ##34###34#</v>
      </c>
      <c r="M17" s="12" t="str">
        <f t="shared" si="11"/>
        <v>* group[=].element[=].target.equivalence = #equal</v>
      </c>
      <c r="N17" s="12" t="str">
        <f t="shared" si="12"/>
        <v>* group[=].element[=].target.comment = ##34#for the time being represented as one of the performer of type Organization. To be further Analyzed##34#</v>
      </c>
      <c r="P17" s="11">
        <v>3</v>
      </c>
      <c r="Q17" s="11">
        <f t="shared" si="13"/>
        <v>0</v>
      </c>
      <c r="R17" s="11">
        <f t="shared" si="14"/>
        <v>3</v>
      </c>
      <c r="S17" s="12" t="str" cm="1">
        <f t="array" ref="S17">INDEX('Surgery-ConceptMap-1'!$I$15:$N$124,Q17+1,R17)</f>
        <v>* group[=].element[=].target.code = #Procedure.reasonReference</v>
      </c>
    </row>
    <row r="18" spans="1:19" ht="59" x14ac:dyDescent="0.75">
      <c r="A18" s="44"/>
      <c r="B18" s="11" t="str">
        <f>Surgery!B11</f>
        <v>date</v>
      </c>
      <c r="C18" s="11" t="str">
        <f>Surgery!C11</f>
        <v>Date of surgery</v>
      </c>
      <c r="D18" s="12" t="s">
        <v>2367</v>
      </c>
      <c r="E18" s="12"/>
      <c r="F18" s="49" t="s">
        <v>1317</v>
      </c>
      <c r="G18" s="78"/>
      <c r="H18" s="43"/>
      <c r="I18" s="12" t="str">
        <f t="shared" si="7"/>
        <v>* group[=].element[+].code = #SurgeryI4rc.date</v>
      </c>
      <c r="J18" s="12" t="str">
        <f t="shared" si="8"/>
        <v>* group[=].element[=].display = ##34#Date of surgery##34#</v>
      </c>
      <c r="K18" s="12" t="str">
        <f t="shared" si="9"/>
        <v>* group[=].element[=].target.code = #Procedure.performedDateTime</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INDEX('Surgery-ConceptMap-1'!$I$15:$N$124,Q18+1,R18)</f>
        <v>* group[=].element[=].target.display = ##34###34#</v>
      </c>
    </row>
    <row r="19" spans="1:19" ht="73.75" x14ac:dyDescent="0.75">
      <c r="A19" s="44"/>
      <c r="B19" s="11" t="str">
        <f>Surgery!B12</f>
        <v>intention</v>
      </c>
      <c r="C19" s="11" t="str">
        <f>Surgery!C12</f>
        <v>Surgery intention</v>
      </c>
      <c r="D19" s="12" t="s">
        <v>1823</v>
      </c>
      <c r="E19" s="12"/>
      <c r="F19" s="49" t="s">
        <v>1294</v>
      </c>
      <c r="G19" s="77" t="s">
        <v>2368</v>
      </c>
      <c r="H19" s="43"/>
      <c r="I19" s="12" t="str">
        <f t="shared" si="7"/>
        <v>* group[=].element[+].code = #SurgeryI4rc.intention</v>
      </c>
      <c r="J19" s="12" t="str">
        <f t="shared" si="8"/>
        <v>* group[=].element[=].display = ##34#Surgery intention##34#</v>
      </c>
      <c r="K19" s="12" t="str">
        <f t="shared" si="9"/>
        <v>* group[=].element[=].target.code = #Procedure.extension:ProcedureCategoryR5</v>
      </c>
      <c r="L19" s="12" t="str">
        <f t="shared" si="10"/>
        <v>* group[=].element[=].target.display = ##34###34#</v>
      </c>
      <c r="M19" s="12" t="str">
        <f t="shared" si="11"/>
        <v>* group[=].element[=].target.equivalence = #relatedto</v>
      </c>
      <c r="N19" s="12" t="str">
        <f t="shared" si="12"/>
        <v>* group[=].element[=].target.comment = ##34#Managed as a procedure categorym to be further analyzed##34#</v>
      </c>
      <c r="P19" s="11">
        <v>5</v>
      </c>
      <c r="Q19" s="11">
        <f t="shared" si="13"/>
        <v>0</v>
      </c>
      <c r="R19" s="11">
        <f t="shared" si="14"/>
        <v>5</v>
      </c>
      <c r="S19" s="12" t="str" cm="1">
        <f t="array" ref="S19">INDEX('Surgery-ConceptMap-1'!$I$15:$N$124,Q19+1,R19)</f>
        <v>* group[=].element[=].target.equivalence = #relatedto</v>
      </c>
    </row>
    <row r="20" spans="1:19" ht="88.5" x14ac:dyDescent="0.75">
      <c r="A20" s="44"/>
      <c r="B20" s="11" t="str">
        <f>Surgery!B13</f>
        <v>typeOfApproach</v>
      </c>
      <c r="C20" s="11" t="str">
        <f>Surgery!C13</f>
        <v>Type of surgical approach on Tumour</v>
      </c>
      <c r="D20" s="12" t="s">
        <v>1817</v>
      </c>
      <c r="E20" s="12"/>
      <c r="F20" s="49" t="s">
        <v>1294</v>
      </c>
      <c r="G20" s="77" t="s">
        <v>1818</v>
      </c>
      <c r="H20" s="43"/>
      <c r="I20" s="12" t="str">
        <f t="shared" si="7"/>
        <v>* group[=].element[+].code = #SurgeryI4rc.typeOfApproach</v>
      </c>
      <c r="J20" s="12" t="str">
        <f t="shared" si="8"/>
        <v>* group[=].element[=].display = ##34#Type of surgical approach on Tumour##34#</v>
      </c>
      <c r="K20" s="12" t="str">
        <f t="shared" si="9"/>
        <v>* group[=].element[=].target.code = #Procedure.extension:procedure-approachBodyStructure</v>
      </c>
      <c r="L20" s="12" t="str">
        <f t="shared" si="10"/>
        <v>* group[=].element[=].target.display = ##34###34#</v>
      </c>
      <c r="M20" s="12" t="str">
        <f t="shared" si="11"/>
        <v>* group[=].element[=].target.equivalence = #relatedto</v>
      </c>
      <c r="N20" s="12" t="str">
        <f t="shared" si="12"/>
        <v>* group[=].element[=].target.comment = ##34#to be analized: the traget is a bodyStructure.. Maybe too much for justconveying a code ?##34#</v>
      </c>
      <c r="P20" s="11">
        <v>6</v>
      </c>
      <c r="Q20" s="11">
        <f t="shared" si="13"/>
        <v>0</v>
      </c>
      <c r="R20" s="11">
        <f t="shared" si="14"/>
        <v>6</v>
      </c>
      <c r="S20" s="12" t="str" cm="1">
        <f t="array" ref="S20">INDEX('Surgery-ConceptMap-1'!$I$15:$N$124,Q20+1,R20)</f>
        <v/>
      </c>
    </row>
    <row r="21" spans="1:19" ht="44.25" x14ac:dyDescent="0.75">
      <c r="A21" s="44"/>
      <c r="B21" s="11" t="str">
        <f>Surgery!B14</f>
        <v>marginsAfterSurgery</v>
      </c>
      <c r="C21" s="11" t="str">
        <f>Surgery!C14</f>
        <v>Margins after surgery</v>
      </c>
      <c r="D21" s="12" t="s">
        <v>1819</v>
      </c>
      <c r="E21" s="12"/>
      <c r="F21" s="49" t="s">
        <v>1294</v>
      </c>
      <c r="G21" s="77" t="s">
        <v>2369</v>
      </c>
      <c r="H21" s="43"/>
      <c r="I21" s="12" t="str">
        <f t="shared" si="7"/>
        <v>* group[=].element[+].code = #SurgeryI4rc.marginsAfterSurgery</v>
      </c>
      <c r="J21" s="12" t="str">
        <f t="shared" si="8"/>
        <v>* group[=].element[=].display = ##34#Margins after surgery##34#</v>
      </c>
      <c r="K21" s="12" t="str">
        <f t="shared" si="9"/>
        <v>* group[=].element[=].target.code = #Procedure.outcome</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INDEX('Surgery-ConceptMap-1'!$I$15:$N$124,Q21+1,R21)</f>
        <v>* group[=].element[+].code = #SurgeryI4rc.type</v>
      </c>
    </row>
    <row r="22" spans="1:19" ht="88.5" x14ac:dyDescent="0.75">
      <c r="A22" s="44"/>
      <c r="B22" s="11" t="str">
        <f>Surgery!B15</f>
        <v>tumorRupture</v>
      </c>
      <c r="C22" s="11" t="str">
        <f>Surgery!C15</f>
        <v>Tumor rupture</v>
      </c>
      <c r="D22" s="12" t="s">
        <v>2370</v>
      </c>
      <c r="E22" s="12"/>
      <c r="F22" s="49" t="s">
        <v>1294</v>
      </c>
      <c r="G22" s="77" t="s">
        <v>2372</v>
      </c>
      <c r="H22" s="43"/>
      <c r="I22" s="12" t="str">
        <f t="shared" si="7"/>
        <v>* group[=].element[+].code = #SurgeryI4rc.tumorRupture</v>
      </c>
      <c r="J22" s="12" t="str">
        <f t="shared" si="8"/>
        <v>* group[=].element[=].display = ##34#Tumor rupture##34#</v>
      </c>
      <c r="K22" s="12" t="str">
        <f t="shared" si="9"/>
        <v>* group[=].element[=].target.code = #Procedure.supportingInfo.valueCodeableConcept</v>
      </c>
      <c r="L22" s="12" t="str">
        <f t="shared" si="10"/>
        <v>* group[=].element[=].target.display = ##34###34#</v>
      </c>
      <c r="M22" s="12" t="str">
        <f t="shared" si="11"/>
        <v>* group[=].element[=].target.equivalence = #relatedto</v>
      </c>
      <c r="N22" s="12" t="str">
        <f t="shared" si="12"/>
        <v>* group[=].element[=].target.comment = ##34#The supportingInfo refers an Observation conforming to the XYZ profile, where observation.code is = XXX##34#</v>
      </c>
      <c r="P22" s="11">
        <v>8</v>
      </c>
      <c r="Q22" s="11">
        <f t="shared" si="13"/>
        <v>1</v>
      </c>
      <c r="R22" s="11">
        <f t="shared" si="14"/>
        <v>2</v>
      </c>
      <c r="S22" s="12" t="str" cm="1">
        <f t="array" ref="S22">INDEX('Surgery-ConceptMap-1'!$I$15:$N$124,Q22+1,R22)</f>
        <v>* group[=].element[=].display = ##34#Surgery type##34#</v>
      </c>
    </row>
    <row r="23" spans="1:19" ht="132.75" x14ac:dyDescent="0.75">
      <c r="A23" s="44"/>
      <c r="B23" s="11" t="str">
        <f>Surgery!B16</f>
        <v>SpecimenMitoticCount</v>
      </c>
      <c r="C23" s="11" t="str">
        <f>Surgery!C16</f>
        <v>Surgical specimen Mitotic count</v>
      </c>
      <c r="D23" s="12" t="s">
        <v>2370</v>
      </c>
      <c r="E23" s="11"/>
      <c r="F23" s="49" t="s">
        <v>1294</v>
      </c>
      <c r="G23" s="77" t="s">
        <v>2371</v>
      </c>
      <c r="H23" s="43"/>
      <c r="I23" s="12" t="str">
        <f t="shared" si="7"/>
        <v>* group[=].element[+].code = #SurgeryI4rc.SpecimenMitoticCount</v>
      </c>
      <c r="J23" s="12" t="str">
        <f t="shared" si="8"/>
        <v>* group[=].element[=].display = ##34#Surgical specimen Mitotic count##34#</v>
      </c>
      <c r="K23" s="12" t="str">
        <f t="shared" si="9"/>
        <v>* group[=].element[=].target.code = #Procedure.supportingInfo.valueCodeableConcept</v>
      </c>
      <c r="L23" s="12" t="str">
        <f t="shared" si="10"/>
        <v>* group[=].element[=].target.display = ##34###34#</v>
      </c>
      <c r="M23" s="12" t="str">
        <f t="shared" si="11"/>
        <v>* group[=].element[=].target.equivalence = #relatedto</v>
      </c>
      <c r="N23" s="12" t="str">
        <f t="shared" si="12"/>
        <v>* group[=].element[=].target.comment = ##34#Check how this differs from the same info in Cancer Episode.
The supportingInfo refers an Observation conforming to the XYZ profile, where observation.code is = XXX##34#</v>
      </c>
      <c r="P23" s="11">
        <v>9</v>
      </c>
      <c r="Q23" s="11">
        <f t="shared" si="13"/>
        <v>1</v>
      </c>
      <c r="R23" s="11">
        <f t="shared" si="14"/>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1820</v>
      </c>
      <c r="E24" s="11"/>
      <c r="F24" s="49" t="s">
        <v>1294</v>
      </c>
      <c r="G24" s="77" t="s">
        <v>2351</v>
      </c>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group[=].element[=].target.comment = ##34#TBD##34#</v>
      </c>
      <c r="P24" s="11">
        <v>10</v>
      </c>
      <c r="Q24" s="11">
        <f t="shared" si="13"/>
        <v>1</v>
      </c>
      <c r="R24" s="11">
        <f t="shared" si="14"/>
        <v>4</v>
      </c>
      <c r="S24" s="12" t="str" cm="1">
        <f t="array" ref="S24">INDEX('Surgery-ConceptMap-1'!$I$15:$N$124,Q24+1,R24)</f>
        <v>* group[=].element[=].target.display = ##34###34#</v>
      </c>
    </row>
    <row r="25" spans="1:19" ht="44.25" x14ac:dyDescent="0.75">
      <c r="A25" s="44"/>
      <c r="B25" s="11" t="str">
        <f>Surgery!B18</f>
        <v>isolatedLimbPerfusion</v>
      </c>
      <c r="C25" s="11" t="str">
        <f>Surgery!C18</f>
        <v>Isolated Limb perfusion</v>
      </c>
      <c r="D25" s="12"/>
      <c r="E25" s="11"/>
      <c r="F25" s="49" t="s">
        <v>1294</v>
      </c>
      <c r="G25" s="77" t="s">
        <v>2351</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##34#TBD##34#</v>
      </c>
      <c r="P25" s="11">
        <v>11</v>
      </c>
      <c r="Q25" s="11">
        <f t="shared" si="13"/>
        <v>1</v>
      </c>
      <c r="R25" s="11">
        <f t="shared" si="14"/>
        <v>5</v>
      </c>
      <c r="S25" s="12" t="str" cm="1">
        <f t="array" ref="S25">INDEX('Surgery-ConceptMap-1'!$I$15:$N$124,Q25+1,R25)</f>
        <v>* group[=].element[=].target.equivalence = #relatedto</v>
      </c>
    </row>
    <row r="26" spans="1:19" ht="44.25" x14ac:dyDescent="0.75">
      <c r="A26" s="44"/>
      <c r="B26" s="11" t="str">
        <f>Surgery!B19</f>
        <v>reconstruction</v>
      </c>
      <c r="C26" s="11" t="str">
        <f>Surgery!C19</f>
        <v>Reconstruction</v>
      </c>
      <c r="D26" s="12"/>
      <c r="E26" s="12"/>
      <c r="F26" s="49" t="s">
        <v>1294</v>
      </c>
      <c r="G26" s="77" t="s">
        <v>2351</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##34#TBD##34#</v>
      </c>
      <c r="P26" s="11">
        <v>12</v>
      </c>
      <c r="Q26" s="11">
        <f t="shared" si="13"/>
        <v>1</v>
      </c>
      <c r="R26" s="11">
        <f t="shared" si="14"/>
        <v>6</v>
      </c>
      <c r="S26" s="12" t="str" cm="1">
        <f t="array" ref="S26">INDEX('Surgery-ConceptMap-1'!$I$15:$N$124,Q26+1,R26)</f>
        <v>* group[=].element[=].target.comment = ##34#to be analyzed: add a slice to the category.coding or derive this from a combination of elements or use other cathegories (R5 extension)##34#</v>
      </c>
    </row>
    <row r="27" spans="1:19" ht="73.75" x14ac:dyDescent="0.75">
      <c r="A27" s="44"/>
      <c r="B27" s="11" t="str">
        <f>Surgery!B20</f>
        <v>neckSurgery</v>
      </c>
      <c r="C27" s="11" t="str">
        <f>Surgery!C20</f>
        <v>Neck surgery</v>
      </c>
      <c r="D27" s="12"/>
      <c r="E27" s="12"/>
      <c r="F27" s="49" t="s">
        <v>1294</v>
      </c>
      <c r="G27" s="77" t="s">
        <v>2373</v>
      </c>
      <c r="H27" s="43"/>
      <c r="I27" s="12" t="str">
        <f t="shared" si="7"/>
        <v>* group[=].element[+].code = #SurgeryI4rc.neckSurgery</v>
      </c>
      <c r="J27" s="12" t="str">
        <f t="shared" si="8"/>
        <v>* group[=].element[=].display = ##34#Neck surgery##34#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ANALYZED:
a surgical procedue exists with body site neck##34#</v>
      </c>
      <c r="P27" s="11">
        <v>13</v>
      </c>
      <c r="Q27" s="11">
        <f t="shared" si="13"/>
        <v>2</v>
      </c>
      <c r="R27" s="11">
        <f t="shared" si="14"/>
        <v>1</v>
      </c>
      <c r="S27" s="12" t="str" cm="1">
        <f t="array" ref="S27">INDEX('Surgery-ConceptMap-1'!$I$15:$N$124,Q27+1,R27)</f>
        <v>* group[=].element[+].code = #SurgeryI4rc.surgeryHospital</v>
      </c>
    </row>
    <row r="28" spans="1:19" ht="73.75" x14ac:dyDescent="0.75">
      <c r="B28" s="11" t="str">
        <f>Surgery!B21</f>
        <v>dateOfNeckSurgey</v>
      </c>
      <c r="C28" s="11" t="str">
        <f>Surgery!C21</f>
        <v>Date of Neck surgey</v>
      </c>
      <c r="D28" s="12" t="s">
        <v>2367</v>
      </c>
      <c r="E28" s="12"/>
      <c r="F28" s="49" t="s">
        <v>1316</v>
      </c>
      <c r="G28" s="77" t="s">
        <v>2374</v>
      </c>
      <c r="H28" s="43"/>
      <c r="I28" s="12" t="str">
        <f t="shared" si="7"/>
        <v>* group[=].element[+].code = #SurgeryI4rc.dateOfNeckSurgey</v>
      </c>
      <c r="J28" s="12" t="str">
        <f t="shared" si="8"/>
        <v>* group[=].element[=].display = ##34#Date of Neck surgey##34#</v>
      </c>
      <c r="K28" s="12" t="str">
        <f t="shared" si="9"/>
        <v>* group[=].element[=].target.code = #Procedure.performedDateTime</v>
      </c>
      <c r="L28" s="12" t="str">
        <f t="shared" si="10"/>
        <v>* group[=].element[=].target.display = ##34###34#</v>
      </c>
      <c r="M28" s="12" t="str">
        <f t="shared" si="11"/>
        <v>* group[=].element[=].target.equivalence = #equivalent</v>
      </c>
      <c r="N28" s="12" t="str">
        <f t="shared" si="12"/>
        <v>* group[=].element[=].target.comment = ##34#TO BE ANALYZED:
Procedue with body site = neck##34#</v>
      </c>
      <c r="P28" s="11">
        <v>14</v>
      </c>
      <c r="Q28" s="11">
        <f t="shared" si="13"/>
        <v>2</v>
      </c>
      <c r="R28" s="11">
        <f t="shared" si="14"/>
        <v>2</v>
      </c>
      <c r="S28" s="12" t="str" cm="1">
        <f t="array" ref="S28">INDEX('Surgery-ConceptMap-1'!$I$15:$N$124,Q28+1,R28)</f>
        <v>* group[=].element[=].display = ##34#Surgery Hospital##34#</v>
      </c>
    </row>
    <row r="29" spans="1:19" ht="73.75" x14ac:dyDescent="0.75">
      <c r="B29" s="11" t="str">
        <f>Surgery!B22</f>
        <v>lateralityOfTheDissection</v>
      </c>
      <c r="C29" s="11" t="str">
        <f>Surgery!C22</f>
        <v>Laterality of the dissection</v>
      </c>
      <c r="D29" s="12" t="s">
        <v>2376</v>
      </c>
      <c r="E29" s="12"/>
      <c r="F29" s="49" t="s">
        <v>1316</v>
      </c>
      <c r="G29" s="77" t="s">
        <v>2375</v>
      </c>
      <c r="H29" s="43"/>
      <c r="I29" s="12" t="str">
        <f t="shared" si="7"/>
        <v>* group[=].element[+].code = #SurgeryI4rc.lateralityOfTheDissection</v>
      </c>
      <c r="J29" s="12" t="str">
        <f t="shared" si="8"/>
        <v>* group[=].element[=].display = ##34#Laterality of the dissection##34#</v>
      </c>
      <c r="K29" s="12" t="str">
        <f t="shared" si="9"/>
        <v>* group[=].element[=].target.code = #Procedure.bodySite.extension:laterality.valueCodeableConcept</v>
      </c>
      <c r="L29" s="12" t="str">
        <f t="shared" si="10"/>
        <v>* group[=].element[=].target.display = ##34###34#</v>
      </c>
      <c r="M29" s="12" t="str">
        <f t="shared" si="11"/>
        <v>* group[=].element[=].target.equivalence = #equivalent</v>
      </c>
      <c r="N29" s="12" t="str">
        <f t="shared" si="12"/>
        <v>* group[=].element[=].target.comment = ##34#Laterality or Qualifier ?##34#</v>
      </c>
      <c r="P29" s="11">
        <v>15</v>
      </c>
      <c r="Q29" s="11">
        <f t="shared" si="13"/>
        <v>2</v>
      </c>
      <c r="R29" s="11">
        <f t="shared" si="14"/>
        <v>3</v>
      </c>
      <c r="S29" s="12" t="str" cm="1">
        <f t="array" ref="S29">INDEX('Surgery-ConceptMap-1'!$I$15:$N$124,Q29+1,R29)</f>
        <v>* group[=].element[=].target.code = #Procedure.performer</v>
      </c>
    </row>
    <row r="30" spans="1:19" ht="132.75" x14ac:dyDescent="0.75">
      <c r="B30" s="11" t="str">
        <f>Surgery!B23</f>
        <v>surgeryOnM</v>
      </c>
      <c r="C30" s="11" t="str">
        <f>Surgery!C23</f>
        <v>Surgery on M</v>
      </c>
      <c r="D30" s="12"/>
      <c r="E30" s="12"/>
      <c r="F30" s="49" t="s">
        <v>1316</v>
      </c>
      <c r="G30" s="77" t="s">
        <v>1821</v>
      </c>
      <c r="H30" s="43"/>
      <c r="I30" s="12" t="str">
        <f t="shared" si="7"/>
        <v>* group[=].element[+].code = #SurgeryI4rc.surgeryOnM</v>
      </c>
      <c r="J30" s="12" t="str">
        <f t="shared" si="8"/>
        <v>* group[=].element[=].display = ##34#Surgery on M##34#</v>
      </c>
      <c r="K30" s="12" t="str">
        <f t="shared" si="9"/>
        <v>* group[=].element[=].target.code = #Procedure.</v>
      </c>
      <c r="L30" s="12" t="str">
        <f t="shared" si="10"/>
        <v>* group[=].element[=].target.display = ##34###34#</v>
      </c>
      <c r="M30" s="12" t="str">
        <f t="shared" si="11"/>
        <v>* group[=].element[=].target.equivalence = #equivalent</v>
      </c>
      <c r="N30" s="12" t="str">
        <f t="shared" si="12"/>
        <v>* group[=].element[=].target.comment = ##34#TO BE ANALYZED:
a surgical proceudre exists with resonReference the metstatic condition
or a surgical proceudre exists with  reasonCode = metastatis##34#</v>
      </c>
      <c r="P30" s="11">
        <v>16</v>
      </c>
      <c r="Q30" s="11">
        <f t="shared" si="13"/>
        <v>2</v>
      </c>
      <c r="R30" s="11">
        <f t="shared" si="14"/>
        <v>4</v>
      </c>
      <c r="S30" s="12" t="str" cm="1">
        <f t="array" ref="S30">INDEX('Surgery-ConceptMap-1'!$I$15:$N$124,Q30+1,R30)</f>
        <v>* group[=].element[=].target.display = ##34###34#</v>
      </c>
    </row>
    <row r="31" spans="1:19" ht="59" x14ac:dyDescent="0.75">
      <c r="B31" s="11" t="str">
        <f>Surgery!B24</f>
        <v>dateOfSurgeryOnM</v>
      </c>
      <c r="C31" s="11" t="str">
        <f>Surgery!C24</f>
        <v>Date of surgery on M</v>
      </c>
      <c r="D31" s="12" t="s">
        <v>2367</v>
      </c>
      <c r="E31" s="12"/>
      <c r="F31" s="49" t="s">
        <v>1316</v>
      </c>
      <c r="G31" s="77" t="s">
        <v>2377</v>
      </c>
      <c r="H31" s="43"/>
      <c r="I31" s="12" t="str">
        <f t="shared" si="7"/>
        <v>* group[=].element[+].code = #SurgeryI4rc.dateOfSurgeryOnM</v>
      </c>
      <c r="J31" s="12" t="str">
        <f t="shared" si="8"/>
        <v>* group[=].element[=].display = ##34#Date of surgery on M##34#</v>
      </c>
      <c r="K31" s="12" t="str">
        <f t="shared" si="9"/>
        <v>* group[=].element[=].target.code = #Procedure.performedDateTime</v>
      </c>
      <c r="L31" s="12" t="str">
        <f t="shared" si="10"/>
        <v>* group[=].element[=].target.display = ##34###34#</v>
      </c>
      <c r="M31" s="12" t="str">
        <f t="shared" si="11"/>
        <v>* group[=].element[=].target.equivalence = #equivalent</v>
      </c>
      <c r="N31" s="12" t="str">
        <f t="shared" si="12"/>
        <v>* group[=].element[=].target.comment = ##34#see above##34#</v>
      </c>
      <c r="P31" s="11">
        <v>17</v>
      </c>
      <c r="Q31" s="11">
        <f t="shared" si="13"/>
        <v>2</v>
      </c>
      <c r="R31" s="11">
        <f t="shared" si="14"/>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1625</v>
      </c>
      <c r="E32" s="12"/>
      <c r="F32" s="49" t="s">
        <v>1316</v>
      </c>
      <c r="G32" s="77" t="s">
        <v>2377</v>
      </c>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group[=].element[=].target.comment = ##34#see above##34#</v>
      </c>
      <c r="P32" s="11">
        <v>18</v>
      </c>
      <c r="Q32" s="11">
        <f t="shared" si="13"/>
        <v>2</v>
      </c>
      <c r="R32" s="11">
        <f t="shared" si="14"/>
        <v>6</v>
      </c>
      <c r="S32" s="12" t="str" cm="1">
        <f t="array" ref="S32">INDEX('Surgery-ConceptMap-1'!$I$15:$N$124,Q32+1,R32)</f>
        <v>* group[=].element[=].target.comment = ##34#for the time being represented as one of the performer of type Organization. To be further Analyzed##34#</v>
      </c>
    </row>
    <row r="33" spans="1:19" ht="44.25" x14ac:dyDescent="0.75">
      <c r="B33" s="11" t="str">
        <f>Surgery!B27</f>
        <v>siteOnMetastasis.distantLymphNodes</v>
      </c>
      <c r="C33" s="11" t="str">
        <f>Surgery!C27</f>
        <v>Site of surgery on metastasis_distant lymph nodes</v>
      </c>
      <c r="D33" s="12" t="s">
        <v>1625</v>
      </c>
      <c r="E33" s="12"/>
      <c r="F33" s="49" t="s">
        <v>1316</v>
      </c>
      <c r="G33" s="77" t="s">
        <v>2377</v>
      </c>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group[=].element[=].target.comment = ##34#see above##34#</v>
      </c>
      <c r="P33" s="11">
        <v>19</v>
      </c>
      <c r="Q33" s="11">
        <f t="shared" si="13"/>
        <v>3</v>
      </c>
      <c r="R33" s="11">
        <f t="shared" si="14"/>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1625</v>
      </c>
      <c r="E34" s="12"/>
      <c r="F34" s="49" t="s">
        <v>1316</v>
      </c>
      <c r="G34" s="77" t="s">
        <v>2377</v>
      </c>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group[=].element[=].target.comment = ##34#see above##34#</v>
      </c>
      <c r="P34" s="11">
        <v>20</v>
      </c>
      <c r="Q34" s="11">
        <f t="shared" si="13"/>
        <v>3</v>
      </c>
      <c r="R34" s="11">
        <f t="shared" si="14"/>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1625</v>
      </c>
      <c r="E35" s="12"/>
      <c r="F35" s="49" t="s">
        <v>1316</v>
      </c>
      <c r="G35" s="77" t="s">
        <v>2377</v>
      </c>
      <c r="H35" s="43"/>
      <c r="I35" s="12" t="str">
        <f t="shared" si="7"/>
        <v>* group[=].element[+].code = #SurgeryI4rc.siteOnMetastasis.bone</v>
      </c>
      <c r="J35" s="12" t="str">
        <f t="shared" si="8"/>
        <v>* group[=].element[=].display = ##34#Site of surgery on metastasis_bone##34#</v>
      </c>
      <c r="K35" s="12" t="str">
        <f t="shared" si="9"/>
        <v>* group[=].element[=].target.code = #Procedure.bodySite</v>
      </c>
      <c r="L35" s="12" t="str">
        <f t="shared" si="10"/>
        <v>* group[=].element[=].target.display = ##34###34#</v>
      </c>
      <c r="M35" s="12" t="str">
        <f t="shared" si="11"/>
        <v>* group[=].element[=].target.equivalence = #equivalent</v>
      </c>
      <c r="N35" s="12" t="str">
        <f t="shared" si="12"/>
        <v>* group[=].element[=].target.comment = ##34#see above##34#</v>
      </c>
      <c r="P35" s="11">
        <v>21</v>
      </c>
      <c r="Q35" s="11">
        <f t="shared" si="13"/>
        <v>3</v>
      </c>
      <c r="R35" s="11">
        <f t="shared" si="14"/>
        <v>3</v>
      </c>
      <c r="S35" s="12" t="str" cm="1">
        <f t="array" ref="S35">INDEX('Surgery-ConceptMap-1'!$I$15:$N$124,Q35+1,R35)</f>
        <v>* group[=].element[=].target.code = #Procedure.performedDateTime</v>
      </c>
    </row>
    <row r="36" spans="1:19" ht="44.25" x14ac:dyDescent="0.75">
      <c r="B36" s="11" t="str">
        <f>Surgery!B30</f>
        <v>siteOnMetastasis.liver</v>
      </c>
      <c r="C36" s="11" t="str">
        <f>Surgery!C30</f>
        <v>Site of surgery on metastasis_liver</v>
      </c>
      <c r="D36" s="12" t="s">
        <v>1625</v>
      </c>
      <c r="E36" s="12"/>
      <c r="F36" s="49" t="s">
        <v>1316</v>
      </c>
      <c r="G36" s="77" t="s">
        <v>2377</v>
      </c>
      <c r="H36" s="43"/>
      <c r="I36" s="12" t="str">
        <f t="shared" si="7"/>
        <v>* group[=].element[+].code = #SurgeryI4rc.siteOnMetastasis.liver</v>
      </c>
      <c r="J36" s="12" t="str">
        <f t="shared" si="8"/>
        <v>* group[=].element[=].display = ##34#Site of surgery on metastasis_liver##34#</v>
      </c>
      <c r="K36" s="12" t="str">
        <f t="shared" si="9"/>
        <v>* group[=].element[=].target.code = #Procedure.bodySite</v>
      </c>
      <c r="L36" s="12" t="str">
        <f t="shared" si="10"/>
        <v>* group[=].element[=].target.display = ##34###34#</v>
      </c>
      <c r="M36" s="12" t="str">
        <f t="shared" si="11"/>
        <v>* group[=].element[=].target.equivalence = #equivalent</v>
      </c>
      <c r="N36" s="12" t="str">
        <f t="shared" si="12"/>
        <v>* group[=].element[=].target.comment = ##34#see above##34#</v>
      </c>
      <c r="P36" s="11">
        <v>22</v>
      </c>
      <c r="Q36" s="11">
        <f t="shared" si="13"/>
        <v>3</v>
      </c>
      <c r="R36" s="11">
        <f t="shared" si="14"/>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1625</v>
      </c>
      <c r="E37" s="12"/>
      <c r="F37" s="49" t="s">
        <v>1316</v>
      </c>
      <c r="G37" s="77" t="s">
        <v>2377</v>
      </c>
      <c r="H37" s="43"/>
      <c r="I37" s="12" t="str">
        <f t="shared" si="7"/>
        <v>* group[=].element[+].code = #SurgeryI4rc.siteOnMetastasis.pleura</v>
      </c>
      <c r="J37" s="12" t="str">
        <f t="shared" si="8"/>
        <v>* group[=].element[=].display = ##34#Site of surgery on metastasis_pleura##34#</v>
      </c>
      <c r="K37" s="12" t="str">
        <f t="shared" si="9"/>
        <v>* group[=].element[=].target.code = #Procedure.bodySite</v>
      </c>
      <c r="L37" s="12" t="str">
        <f t="shared" si="10"/>
        <v>* group[=].element[=].target.display = ##34###34#</v>
      </c>
      <c r="M37" s="12" t="str">
        <f t="shared" si="11"/>
        <v>* group[=].element[=].target.equivalence = #equivalent</v>
      </c>
      <c r="N37" s="12" t="str">
        <f t="shared" si="12"/>
        <v>* group[=].element[=].target.comment = ##34#see above##34#</v>
      </c>
      <c r="P37" s="11">
        <v>23</v>
      </c>
      <c r="Q37" s="11">
        <f t="shared" si="13"/>
        <v>3</v>
      </c>
      <c r="R37" s="11">
        <f t="shared" si="14"/>
        <v>5</v>
      </c>
      <c r="S37" s="12" t="str" cm="1">
        <f t="array" ref="S37">INDEX('Surgery-ConceptMap-1'!$I$15:$N$124,Q37+1,R37)</f>
        <v>* group[=].element[=].target.equivalence = #equal</v>
      </c>
    </row>
    <row r="38" spans="1:19" ht="14.75" customHeight="1" x14ac:dyDescent="0.75">
      <c r="B38" s="11" t="str">
        <f>Surgery!B32</f>
        <v>siteOnMetastasis.peritoneum</v>
      </c>
      <c r="C38" s="11" t="str">
        <f>Surgery!C32</f>
        <v>Site of surgery on metastasis_peritoneum</v>
      </c>
      <c r="D38" s="12" t="s">
        <v>1625</v>
      </c>
      <c r="E38" s="12"/>
      <c r="F38" s="49" t="s">
        <v>1316</v>
      </c>
      <c r="G38" s="77" t="s">
        <v>2377</v>
      </c>
      <c r="H38" s="43"/>
      <c r="I38" s="12" t="str">
        <f t="shared" si="7"/>
        <v>* group[=].element[+].code = #SurgeryI4rc.siteOnMetastasis.peritoneum</v>
      </c>
      <c r="J38" s="12" t="str">
        <f t="shared" si="8"/>
        <v>* group[=].element[=].display = ##34#Site of surgery on metastasis_peritoneum##34#</v>
      </c>
      <c r="K38" s="12" t="str">
        <f t="shared" si="9"/>
        <v>* group[=].element[=].target.code = #Procedure.bodySite</v>
      </c>
      <c r="L38" s="12" t="str">
        <f t="shared" si="10"/>
        <v>* group[=].element[=].target.display = ##34###34#</v>
      </c>
      <c r="M38" s="12" t="str">
        <f t="shared" si="11"/>
        <v>* group[=].element[=].target.equivalence = #equivalent</v>
      </c>
      <c r="N38" s="12" t="str">
        <f t="shared" si="12"/>
        <v>* group[=].element[=].target.comment = ##34#see above##34#</v>
      </c>
      <c r="P38" s="11">
        <v>24</v>
      </c>
      <c r="Q38" s="11">
        <f t="shared" si="13"/>
        <v>3</v>
      </c>
      <c r="R38" s="11">
        <f t="shared" si="14"/>
        <v>6</v>
      </c>
      <c r="S38" s="12" t="str" cm="1">
        <f t="array" ref="S38">INDEX('Surgery-ConceptMap-1'!$I$15:$N$124,Q38+1,R38)</f>
        <v/>
      </c>
    </row>
    <row r="39" spans="1:19" x14ac:dyDescent="0.75">
      <c r="B39" s="11"/>
      <c r="C39" s="11"/>
      <c r="D39" s="12"/>
      <c r="E39" s="12"/>
      <c r="F39" s="49"/>
      <c r="G39" s="49"/>
      <c r="H39" s="43"/>
      <c r="I39" s="12"/>
      <c r="J39" s="12"/>
      <c r="K39" s="12"/>
      <c r="L39" s="12"/>
      <c r="M39" s="12"/>
      <c r="N39" s="12" t="str">
        <f t="shared" ref="N39" si="15">IF(G39&lt;&gt;"",CONCATENATE("* group[=].element[=].target.comment = ","##34#",G39,"##34#"),"")</f>
        <v/>
      </c>
      <c r="P39" s="11">
        <v>25</v>
      </c>
      <c r="Q39" s="11">
        <f t="shared" si="13"/>
        <v>4</v>
      </c>
      <c r="R39" s="11">
        <f t="shared" si="14"/>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INDEX('Surgery-ConceptMap-1'!$I$15:$N$124,Q40+1,R40)</f>
        <v>* group[=].element[=].display = ##34#Surgery intention##34#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INDEX('Surgery-ConceptMap-1'!$I$15:$N$124,Q41+1,R41)</f>
        <v>* group[=].element[=].target.code = #Procedure.extension:ProcedureCategoryR5</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INDEX('Surgery-ConceptMap-1'!$I$15:$N$124,Q43+1,R43)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INDEX('Surgery-ConceptMap-1'!$I$15:$N$124,Q44+1,R44)</f>
        <v>* group[=].element[=].target.comment = ##34#Managed as a procedure categorym to be further analyzed##34#</v>
      </c>
    </row>
    <row r="45" spans="1:19" x14ac:dyDescent="0.75">
      <c r="B45" s="11"/>
      <c r="C45" s="11"/>
      <c r="P45" s="11">
        <v>31</v>
      </c>
      <c r="Q45" s="11">
        <f t="shared" si="13"/>
        <v>5</v>
      </c>
      <c r="R45" s="11">
        <f t="shared" si="14"/>
        <v>1</v>
      </c>
      <c r="S45" s="12" t="str" cm="1">
        <f t="array" ref="S45">INDEX('Surgery-ConceptMap-1'!$I$15:$N$124,Q45+1,R45)</f>
        <v>* group[=].element[+].code = #SurgeryI4rc.typeOfApproach</v>
      </c>
    </row>
    <row r="46" spans="1:19" x14ac:dyDescent="0.75">
      <c r="B46" s="11"/>
      <c r="C46" s="11"/>
      <c r="P46" s="11">
        <v>32</v>
      </c>
      <c r="Q46" s="11">
        <f t="shared" si="13"/>
        <v>5</v>
      </c>
      <c r="R46" s="11">
        <f t="shared" si="14"/>
        <v>2</v>
      </c>
      <c r="S46" s="12" t="str" cm="1">
        <f t="array" ref="S46">INDEX('Surgery-ConceptMap-1'!$I$15:$N$124,Q46+1,R46)</f>
        <v>* group[=].element[=].display = ##34#Type of surgical approach on Tumour##34#</v>
      </c>
    </row>
    <row r="47" spans="1:19" x14ac:dyDescent="0.75">
      <c r="P47" s="11">
        <v>33</v>
      </c>
      <c r="Q47" s="11">
        <f t="shared" si="13"/>
        <v>5</v>
      </c>
      <c r="R47" s="11">
        <f t="shared" si="14"/>
        <v>3</v>
      </c>
      <c r="S47" s="12" t="str" cm="1">
        <f t="array" ref="S47">INDEX('Surgery-ConceptMap-1'!$I$15:$N$124,Q47+1,R47)</f>
        <v>* group[=].element[=].target.code = #Procedure.extension:procedure-approachBodyStructure</v>
      </c>
    </row>
    <row r="48" spans="1:19" x14ac:dyDescent="0.75">
      <c r="P48" s="11">
        <v>34</v>
      </c>
      <c r="Q48" s="11">
        <f t="shared" si="13"/>
        <v>5</v>
      </c>
      <c r="R48" s="11">
        <f t="shared" si="14"/>
        <v>4</v>
      </c>
      <c r="S48" s="12" t="str" cm="1">
        <f t="array" ref="S48">INDEX('Surgery-ConceptMap-1'!$I$15:$N$124,Q48+1,R48)</f>
        <v>* group[=].element[=].target.display = ##34###34#</v>
      </c>
    </row>
    <row r="49" spans="16:19" x14ac:dyDescent="0.75">
      <c r="P49" s="11">
        <v>35</v>
      </c>
      <c r="Q49" s="11">
        <f t="shared" si="13"/>
        <v>5</v>
      </c>
      <c r="R49" s="11">
        <f t="shared" si="14"/>
        <v>5</v>
      </c>
      <c r="S49" s="12" t="str" cm="1">
        <f t="array" ref="S49">INDEX('Surgery-ConceptMap-1'!$I$15:$N$124,Q49+1,R49)</f>
        <v>* group[=].element[=].target.equivalence = #relatedto</v>
      </c>
    </row>
    <row r="50" spans="16:19" x14ac:dyDescent="0.75">
      <c r="P50" s="11">
        <v>36</v>
      </c>
      <c r="Q50" s="11">
        <f t="shared" si="13"/>
        <v>5</v>
      </c>
      <c r="R50" s="11">
        <f t="shared" si="14"/>
        <v>6</v>
      </c>
      <c r="S50" s="12" t="str" cm="1">
        <f t="array" ref="S50">INDEX('Surgery-ConceptMap-1'!$I$15:$N$124,Q50+1,R50)</f>
        <v>* group[=].element[=].target.comment = ##34#to be analized: the traget is a bodyStructure.. Maybe too much for justconveying a code ?##34#</v>
      </c>
    </row>
    <row r="51" spans="16:19" x14ac:dyDescent="0.75">
      <c r="P51" s="11">
        <v>37</v>
      </c>
      <c r="Q51" s="11">
        <f t="shared" si="13"/>
        <v>6</v>
      </c>
      <c r="R51" s="11">
        <f t="shared" si="14"/>
        <v>1</v>
      </c>
      <c r="S51" s="12" t="str" cm="1">
        <f t="array" ref="S51">INDEX('Surgery-ConceptMap-1'!$I$15:$N$124,Q51+1,R51)</f>
        <v>* group[=].element[+].code = #SurgeryI4rc.marginsAfterSurgery</v>
      </c>
    </row>
    <row r="52" spans="16:19" x14ac:dyDescent="0.75">
      <c r="P52" s="11">
        <v>38</v>
      </c>
      <c r="Q52" s="11">
        <f t="shared" si="13"/>
        <v>6</v>
      </c>
      <c r="R52" s="11">
        <f t="shared" si="14"/>
        <v>2</v>
      </c>
      <c r="S52" s="12" t="str" cm="1">
        <f t="array" ref="S52">INDEX('Surgery-ConceptMap-1'!$I$15:$N$124,Q52+1,R52)</f>
        <v>* group[=].element[=].display = ##34#Margins after surgery##34#</v>
      </c>
    </row>
    <row r="53" spans="16:19" x14ac:dyDescent="0.75">
      <c r="P53" s="11">
        <v>39</v>
      </c>
      <c r="Q53" s="11">
        <f t="shared" si="13"/>
        <v>6</v>
      </c>
      <c r="R53" s="11">
        <f t="shared" si="14"/>
        <v>3</v>
      </c>
      <c r="S53" s="12" t="str" cm="1">
        <f t="array" ref="S53">INDEX('Surgery-ConceptMap-1'!$I$15:$N$124,Q53+1,R53)</f>
        <v>* group[=].element[=].target.code = #Procedure.outcome</v>
      </c>
    </row>
    <row r="54" spans="16:19" x14ac:dyDescent="0.75">
      <c r="P54" s="11">
        <v>40</v>
      </c>
      <c r="Q54" s="11">
        <f t="shared" si="13"/>
        <v>6</v>
      </c>
      <c r="R54" s="11">
        <f t="shared" si="14"/>
        <v>4</v>
      </c>
      <c r="S54" s="12" t="str" cm="1">
        <f t="array" ref="S54">INDEX('Surgery-ConceptMap-1'!$I$15:$N$124,Q54+1,R54)</f>
        <v>* group[=].element[=].target.display = ##34###34#</v>
      </c>
    </row>
    <row r="55" spans="16:19" x14ac:dyDescent="0.75">
      <c r="P55" s="11">
        <v>41</v>
      </c>
      <c r="Q55" s="11">
        <f t="shared" si="13"/>
        <v>6</v>
      </c>
      <c r="R55" s="11">
        <f t="shared" si="14"/>
        <v>5</v>
      </c>
      <c r="S55" s="12" t="str" cm="1">
        <f t="array" ref="S55">INDEX('Surgery-ConceptMap-1'!$I$15:$N$124,Q55+1,R55)</f>
        <v>* group[=].element[=].target.equivalence = #relatedto</v>
      </c>
    </row>
    <row r="56" spans="16:19" x14ac:dyDescent="0.75">
      <c r="P56" s="11">
        <v>42</v>
      </c>
      <c r="Q56" s="11">
        <f t="shared" si="13"/>
        <v>6</v>
      </c>
      <c r="R56" s="11">
        <f t="shared" si="14"/>
        <v>6</v>
      </c>
      <c r="S56" s="12" t="str" cm="1">
        <f t="array" ref="S56">INDEX('Surgery-ConceptMap-1'!$I$15:$N$124,Q56+1,R56)</f>
        <v>* group[=].element[=].target.comment = ##34#TO BE checked##34#</v>
      </c>
    </row>
    <row r="57" spans="16:19" x14ac:dyDescent="0.75">
      <c r="P57" s="11">
        <v>43</v>
      </c>
      <c r="Q57" s="11">
        <f t="shared" si="13"/>
        <v>7</v>
      </c>
      <c r="R57" s="11">
        <f t="shared" si="14"/>
        <v>1</v>
      </c>
      <c r="S57" s="12" t="str" cm="1">
        <f t="array" ref="S57">INDEX('Surgery-ConceptMap-1'!$I$15:$N$124,Q57+1,R57)</f>
        <v>* group[=].element[+].code = #SurgeryI4rc.tumorRupture</v>
      </c>
    </row>
    <row r="58" spans="16:19" x14ac:dyDescent="0.75">
      <c r="P58" s="11">
        <v>44</v>
      </c>
      <c r="Q58" s="11">
        <f t="shared" si="13"/>
        <v>7</v>
      </c>
      <c r="R58" s="11">
        <f t="shared" si="14"/>
        <v>2</v>
      </c>
      <c r="S58" s="12" t="str" cm="1">
        <f t="array" ref="S58">INDEX('Surgery-ConceptMap-1'!$I$15:$N$124,Q58+1,R58)</f>
        <v>* group[=].element[=].display = ##34#Tumor rupture##34#</v>
      </c>
    </row>
    <row r="59" spans="16:19" x14ac:dyDescent="0.75">
      <c r="P59" s="11">
        <v>45</v>
      </c>
      <c r="Q59" s="11">
        <f t="shared" si="13"/>
        <v>7</v>
      </c>
      <c r="R59" s="11">
        <f t="shared" si="14"/>
        <v>3</v>
      </c>
      <c r="S59" s="12" t="str" cm="1">
        <f t="array" ref="S59">INDEX('Surgery-ConceptMap-1'!$I$15:$N$124,Q59+1,R59)</f>
        <v>* group[=].element[=].target.code = #Procedure.supportingInfo.valueCodeableConcept</v>
      </c>
    </row>
    <row r="60" spans="16:19" x14ac:dyDescent="0.75">
      <c r="P60" s="11">
        <v>46</v>
      </c>
      <c r="Q60" s="11">
        <f t="shared" si="13"/>
        <v>7</v>
      </c>
      <c r="R60" s="11">
        <f t="shared" si="14"/>
        <v>4</v>
      </c>
      <c r="S60" s="12" t="str" cm="1">
        <f t="array" ref="S60">INDEX('Surgery-ConceptMap-1'!$I$15:$N$124,Q60+1,R60)</f>
        <v>* group[=].element[=].target.display = ##34###34#</v>
      </c>
    </row>
    <row r="61" spans="16:19" x14ac:dyDescent="0.75">
      <c r="P61" s="11">
        <v>47</v>
      </c>
      <c r="Q61" s="11">
        <f t="shared" si="13"/>
        <v>7</v>
      </c>
      <c r="R61" s="11">
        <f t="shared" si="14"/>
        <v>5</v>
      </c>
      <c r="S61" s="12" t="str" cm="1">
        <f t="array" ref="S61">INDEX('Surgery-ConceptMap-1'!$I$15:$N$124,Q61+1,R61)</f>
        <v>* group[=].element[=].target.equivalence = #relatedto</v>
      </c>
    </row>
    <row r="62" spans="16:19" x14ac:dyDescent="0.75">
      <c r="P62" s="11">
        <v>48</v>
      </c>
      <c r="Q62" s="11">
        <f t="shared" si="13"/>
        <v>7</v>
      </c>
      <c r="R62" s="11">
        <f t="shared" si="14"/>
        <v>6</v>
      </c>
      <c r="S62" s="12" t="str" cm="1">
        <f t="array" ref="S62">INDEX('Surgery-ConceptMap-1'!$I$15:$N$124,Q62+1,R62)</f>
        <v>* group[=].element[=].target.comment = ##34#The supportingInfo refers an Observation conforming to the XYZ profile, where observation.code is = XXX##34#</v>
      </c>
    </row>
    <row r="63" spans="16:19" x14ac:dyDescent="0.75">
      <c r="P63" s="11">
        <v>49</v>
      </c>
      <c r="Q63" s="11">
        <f t="shared" si="13"/>
        <v>8</v>
      </c>
      <c r="R63" s="11">
        <f t="shared" si="14"/>
        <v>1</v>
      </c>
      <c r="S63" s="12" t="str" cm="1">
        <f t="array" ref="S63">INDEX('Surgery-ConceptMap-1'!$I$15:$N$124,Q63+1,R63)</f>
        <v>* group[=].element[+].code = #SurgeryI4rc.SpecimenMitoticCount</v>
      </c>
    </row>
    <row r="64" spans="16:19" x14ac:dyDescent="0.75">
      <c r="P64" s="11">
        <v>50</v>
      </c>
      <c r="Q64" s="11">
        <f t="shared" si="13"/>
        <v>8</v>
      </c>
      <c r="R64" s="11">
        <f t="shared" si="14"/>
        <v>2</v>
      </c>
      <c r="S64" s="12" t="str" cm="1">
        <f t="array" ref="S64">INDEX('Surgery-ConceptMap-1'!$I$15:$N$124,Q64+1,R64)</f>
        <v>* group[=].element[=].display = ##34#Surgical specimen Mitotic count##34#</v>
      </c>
    </row>
    <row r="65" spans="16:19" x14ac:dyDescent="0.75">
      <c r="P65" s="11">
        <v>51</v>
      </c>
      <c r="Q65" s="11">
        <f t="shared" si="13"/>
        <v>8</v>
      </c>
      <c r="R65" s="11">
        <f t="shared" si="14"/>
        <v>3</v>
      </c>
      <c r="S65" s="12" t="str" cm="1">
        <f t="array" ref="S65">INDEX('Surgery-ConceptMap-1'!$I$15:$N$124,Q65+1,R65)</f>
        <v>* group[=].element[=].target.code = #Procedure.supportingInfo.valueCodeableConcept</v>
      </c>
    </row>
    <row r="66" spans="16:19" x14ac:dyDescent="0.75">
      <c r="P66" s="11">
        <v>52</v>
      </c>
      <c r="Q66" s="11">
        <f t="shared" si="13"/>
        <v>8</v>
      </c>
      <c r="R66" s="11">
        <f t="shared" si="14"/>
        <v>4</v>
      </c>
      <c r="S66" s="12" t="str" cm="1">
        <f t="array" ref="S66">INDEX('Surgery-ConceptMap-1'!$I$15:$N$124,Q66+1,R66)</f>
        <v>* group[=].element[=].target.display = ##34###34#</v>
      </c>
    </row>
    <row r="67" spans="16:19" x14ac:dyDescent="0.75">
      <c r="P67" s="11">
        <v>53</v>
      </c>
      <c r="Q67" s="11">
        <f t="shared" si="13"/>
        <v>8</v>
      </c>
      <c r="R67" s="11">
        <f t="shared" si="14"/>
        <v>5</v>
      </c>
      <c r="S67" s="12" t="str" cm="1">
        <f t="array" ref="S67">INDEX('Surgery-ConceptMap-1'!$I$15:$N$124,Q67+1,R67)</f>
        <v>* group[=].element[=].target.equivalence = #relatedto</v>
      </c>
    </row>
    <row r="68" spans="16:19" x14ac:dyDescent="0.75">
      <c r="P68" s="11">
        <v>54</v>
      </c>
      <c r="Q68" s="11">
        <f t="shared" si="13"/>
        <v>8</v>
      </c>
      <c r="R68" s="11">
        <f t="shared" si="14"/>
        <v>6</v>
      </c>
      <c r="S68" s="12" t="str" cm="1">
        <f t="array" ref="S68">INDEX('Surgery-ConceptMap-1'!$I$15:$N$124,Q68+1,R68)</f>
        <v>* group[=].element[=].target.comment = ##34#Check how this differs from the same info in Cancer Episode.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INDEX('Surgery-ConceptMap-1'!$I$15:$N$124,Q69+1,R69)</f>
        <v>* group[=].element[+].code = #SurgeryI4rc.SpecimenGradingOnlyInUntreatedTumours</v>
      </c>
    </row>
    <row r="70" spans="16:19" x14ac:dyDescent="0.75">
      <c r="P70" s="11">
        <v>56</v>
      </c>
      <c r="Q70" s="11">
        <f t="shared" si="13"/>
        <v>9</v>
      </c>
      <c r="R70" s="11">
        <f t="shared" si="14"/>
        <v>2</v>
      </c>
      <c r="S70" s="12" t="str" cm="1">
        <f t="array" ref="S70">INDEX('Surgery-ConceptMap-1'!$I$15:$N$124,Q70+1,R70)</f>
        <v>* group[=].element[=].display = ##34#Surgical specimen grading only in untreated tumours##34#</v>
      </c>
    </row>
    <row r="71" spans="16:19" x14ac:dyDescent="0.75">
      <c r="P71" s="11">
        <v>57</v>
      </c>
      <c r="Q71" s="11">
        <f t="shared" si="13"/>
        <v>9</v>
      </c>
      <c r="R71" s="11">
        <f t="shared" si="14"/>
        <v>3</v>
      </c>
      <c r="S71" s="12" t="str" cm="1">
        <f t="array" ref="S71">INDEX('Surgery-ConceptMap-1'!$I$15:$N$124,Q71+1,R71)</f>
        <v>* group[=].element[=].target.code = #Procedure.bodySite.extension:laterality</v>
      </c>
    </row>
    <row r="72" spans="16:19" x14ac:dyDescent="0.75">
      <c r="P72" s="11">
        <v>58</v>
      </c>
      <c r="Q72" s="11">
        <f t="shared" si="13"/>
        <v>9</v>
      </c>
      <c r="R72" s="11">
        <f t="shared" si="14"/>
        <v>4</v>
      </c>
      <c r="S72" s="12" t="str" cm="1">
        <f t="array" ref="S72">INDEX('Surgery-ConceptMap-1'!$I$15:$N$124,Q72+1,R72)</f>
        <v>* group[=].element[=].target.display = ##34###34#</v>
      </c>
    </row>
    <row r="73" spans="16:19" x14ac:dyDescent="0.75">
      <c r="P73" s="11">
        <v>59</v>
      </c>
      <c r="Q73" s="11">
        <f t="shared" si="13"/>
        <v>9</v>
      </c>
      <c r="R73" s="11">
        <f t="shared" si="14"/>
        <v>5</v>
      </c>
      <c r="S73" s="12" t="str" cm="1">
        <f t="array" ref="S73">INDEX('Surgery-ConceptMap-1'!$I$15:$N$124,Q73+1,R73)</f>
        <v>* group[=].element[=].target.equivalence = #relatedto</v>
      </c>
    </row>
    <row r="74" spans="16:19" x14ac:dyDescent="0.75">
      <c r="P74" s="11">
        <v>60</v>
      </c>
      <c r="Q74" s="11">
        <f t="shared" si="13"/>
        <v>9</v>
      </c>
      <c r="R74" s="11">
        <f t="shared" si="14"/>
        <v>6</v>
      </c>
      <c r="S74" s="12" t="str" cm="1">
        <f t="array" ref="S74">INDEX('Surgery-ConceptMap-1'!$I$15:$N$124,Q74+1,R74)</f>
        <v>* group[=].element[=].target.comment = ##34#TBD##34#</v>
      </c>
    </row>
    <row r="75" spans="16:19" x14ac:dyDescent="0.75">
      <c r="P75" s="11">
        <v>61</v>
      </c>
      <c r="Q75" s="11">
        <f t="shared" si="13"/>
        <v>10</v>
      </c>
      <c r="R75" s="11">
        <f t="shared" si="14"/>
        <v>1</v>
      </c>
      <c r="S75" s="12" t="str" cm="1">
        <f t="array" ref="S75">INDEX('Surgery-ConceptMap-1'!$I$15:$N$124,Q75+1,R75)</f>
        <v>* group[=].element[+].code = #SurgeryI4rc.isolatedLimbPerfusion</v>
      </c>
    </row>
    <row r="76" spans="16:19" x14ac:dyDescent="0.75">
      <c r="P76" s="11">
        <v>62</v>
      </c>
      <c r="Q76" s="11">
        <f t="shared" si="13"/>
        <v>10</v>
      </c>
      <c r="R76" s="11">
        <f t="shared" si="14"/>
        <v>2</v>
      </c>
      <c r="S76" s="12" t="str" cm="1">
        <f t="array" ref="S76">INDEX('Surgery-ConceptMap-1'!$I$15:$N$124,Q76+1,R76)</f>
        <v>* group[=].element[=].display = ##34#Isolated Limb perfusion##34#</v>
      </c>
    </row>
    <row r="77" spans="16:19" x14ac:dyDescent="0.75">
      <c r="P77" s="11">
        <v>63</v>
      </c>
      <c r="Q77" s="11">
        <f t="shared" si="13"/>
        <v>10</v>
      </c>
      <c r="R77" s="11">
        <f t="shared" si="14"/>
        <v>3</v>
      </c>
      <c r="S77" s="12" t="str" cm="1">
        <f t="array" ref="S77">INDEX('Surgery-ConceptMap-1'!$I$15:$N$124,Q77+1,R77)</f>
        <v>* group[=].element[=].target.code = #Procedure.</v>
      </c>
    </row>
    <row r="78" spans="16:19" x14ac:dyDescent="0.75">
      <c r="P78" s="11">
        <v>64</v>
      </c>
      <c r="Q78" s="11">
        <f t="shared" si="13"/>
        <v>10</v>
      </c>
      <c r="R78" s="11">
        <f t="shared" si="14"/>
        <v>4</v>
      </c>
      <c r="S78" s="12" t="str" cm="1">
        <f t="array" ref="S78">INDEX('Surgery-ConceptMap-1'!$I$15:$N$124,Q78+1,R78)</f>
        <v>* group[=].element[=].target.display = ##34###34#</v>
      </c>
    </row>
    <row r="79" spans="16:19" x14ac:dyDescent="0.75">
      <c r="P79" s="11">
        <v>65</v>
      </c>
      <c r="Q79" s="11">
        <f t="shared" si="13"/>
        <v>10</v>
      </c>
      <c r="R79" s="11">
        <f t="shared" si="14"/>
        <v>5</v>
      </c>
      <c r="S79" s="12" t="str" cm="1">
        <f t="array" ref="S79">INDEX('Surgery-ConceptMap-1'!$I$15:$N$124,Q79+1,R79)</f>
        <v>* group[=].element[=].target.equivalence = #relatedto</v>
      </c>
    </row>
    <row r="80" spans="16:19" x14ac:dyDescent="0.75">
      <c r="P80" s="11">
        <v>66</v>
      </c>
      <c r="Q80" s="11">
        <f t="shared" ref="Q80:Q143" si="16">IF(MOD(P80,$Q$8)=0,P80/$Q$8-1,INT(P80/$Q$8))</f>
        <v>10</v>
      </c>
      <c r="R80" s="11">
        <f t="shared" ref="R80:R143" si="17">IF(MOD(P80,$Q$8)=0,$Q$8,MOD(P80,$Q$8))</f>
        <v>6</v>
      </c>
      <c r="S80" s="12" t="str" cm="1">
        <f t="array" ref="S80">INDEX('Surgery-ConceptMap-1'!$I$15:$N$124,Q80+1,R80)</f>
        <v>* group[=].element[=].target.comment = ##34#TBD##34#</v>
      </c>
    </row>
    <row r="81" spans="16:19" x14ac:dyDescent="0.75">
      <c r="P81" s="11">
        <v>67</v>
      </c>
      <c r="Q81" s="11">
        <f t="shared" si="16"/>
        <v>11</v>
      </c>
      <c r="R81" s="11">
        <f t="shared" si="17"/>
        <v>1</v>
      </c>
      <c r="S81" s="12" t="str" cm="1">
        <f t="array" ref="S81">INDEX('Surgery-ConceptMap-1'!$I$15:$N$124,Q81+1,R81)</f>
        <v>* group[=].element[+].code = #SurgeryI4rc.reconstruction</v>
      </c>
    </row>
    <row r="82" spans="16:19" x14ac:dyDescent="0.75">
      <c r="P82" s="11">
        <v>68</v>
      </c>
      <c r="Q82" s="11">
        <f t="shared" si="16"/>
        <v>11</v>
      </c>
      <c r="R82" s="11">
        <f t="shared" si="17"/>
        <v>2</v>
      </c>
      <c r="S82" s="12" t="str" cm="1">
        <f t="array" ref="S82">INDEX('Surgery-ConceptMap-1'!$I$15:$N$124,Q82+1,R82)</f>
        <v>* group[=].element[=].display = ##34#Reconstruction##34#</v>
      </c>
    </row>
    <row r="83" spans="16:19" x14ac:dyDescent="0.75">
      <c r="P83" s="11">
        <v>69</v>
      </c>
      <c r="Q83" s="11">
        <f t="shared" si="16"/>
        <v>11</v>
      </c>
      <c r="R83" s="11">
        <f t="shared" si="17"/>
        <v>3</v>
      </c>
      <c r="S83" s="12" t="str" cm="1">
        <f t="array" ref="S83">INDEX('Surgery-ConceptMap-1'!$I$15:$N$124,Q83+1,R83)</f>
        <v>* group[=].element[=].target.code = #Procedure.</v>
      </c>
    </row>
    <row r="84" spans="16:19" x14ac:dyDescent="0.75">
      <c r="P84" s="11">
        <v>70</v>
      </c>
      <c r="Q84" s="11">
        <f t="shared" si="16"/>
        <v>11</v>
      </c>
      <c r="R84" s="11">
        <f t="shared" si="17"/>
        <v>4</v>
      </c>
      <c r="S84" s="12" t="str" cm="1">
        <f t="array" ref="S84">INDEX('Surgery-ConceptMap-1'!$I$15:$N$124,Q84+1,R84)</f>
        <v>* group[=].element[=].target.display = ##34###34#</v>
      </c>
    </row>
    <row r="85" spans="16:19" x14ac:dyDescent="0.75">
      <c r="P85" s="11">
        <v>71</v>
      </c>
      <c r="Q85" s="11">
        <f t="shared" si="16"/>
        <v>11</v>
      </c>
      <c r="R85" s="11">
        <f t="shared" si="17"/>
        <v>5</v>
      </c>
      <c r="S85" s="12" t="str" cm="1">
        <f t="array" ref="S85">INDEX('Surgery-ConceptMap-1'!$I$15:$N$124,Q85+1,R85)</f>
        <v>* group[=].element[=].target.equivalence = #relatedto</v>
      </c>
    </row>
    <row r="86" spans="16:19" x14ac:dyDescent="0.75">
      <c r="P86" s="11">
        <v>72</v>
      </c>
      <c r="Q86" s="11">
        <f t="shared" si="16"/>
        <v>11</v>
      </c>
      <c r="R86" s="11">
        <f t="shared" si="17"/>
        <v>6</v>
      </c>
      <c r="S86" s="12" t="str" cm="1">
        <f t="array" ref="S86">INDEX('Surgery-ConceptMap-1'!$I$15:$N$124,Q86+1,R86)</f>
        <v>* group[=].element[=].target.comment = ##34#TBD##34#</v>
      </c>
    </row>
    <row r="87" spans="16:19" x14ac:dyDescent="0.75">
      <c r="P87" s="11">
        <v>73</v>
      </c>
      <c r="Q87" s="11">
        <f t="shared" si="16"/>
        <v>12</v>
      </c>
      <c r="R87" s="11">
        <f t="shared" si="17"/>
        <v>1</v>
      </c>
      <c r="S87" s="12" t="str" cm="1">
        <f t="array" ref="S87">INDEX('Surgery-ConceptMap-1'!$I$15:$N$124,Q87+1,R87)</f>
        <v>* group[=].element[+].code = #SurgeryI4rc.neckSurgery</v>
      </c>
    </row>
    <row r="88" spans="16:19" x14ac:dyDescent="0.75">
      <c r="P88" s="11">
        <v>74</v>
      </c>
      <c r="Q88" s="11">
        <f t="shared" si="16"/>
        <v>12</v>
      </c>
      <c r="R88" s="11">
        <f t="shared" si="17"/>
        <v>2</v>
      </c>
      <c r="S88" s="12" t="str" cm="1">
        <f t="array" ref="S88">INDEX('Surgery-ConceptMap-1'!$I$15:$N$124,Q88+1,R88)</f>
        <v>* group[=].element[=].display = ##34#Neck surgery##34#</v>
      </c>
    </row>
    <row r="89" spans="16:19" x14ac:dyDescent="0.75">
      <c r="P89" s="11">
        <v>75</v>
      </c>
      <c r="Q89" s="11">
        <f t="shared" si="16"/>
        <v>12</v>
      </c>
      <c r="R89" s="11">
        <f t="shared" si="17"/>
        <v>3</v>
      </c>
      <c r="S89" s="12" t="str" cm="1">
        <f t="array" ref="S89">INDEX('Surgery-ConceptMap-1'!$I$15:$N$124,Q89+1,R89)</f>
        <v>* group[=].element[=].target.code = #Procedure.</v>
      </c>
    </row>
    <row r="90" spans="16:19" x14ac:dyDescent="0.75">
      <c r="P90" s="11">
        <v>76</v>
      </c>
      <c r="Q90" s="11">
        <f t="shared" si="16"/>
        <v>12</v>
      </c>
      <c r="R90" s="11">
        <f t="shared" si="17"/>
        <v>4</v>
      </c>
      <c r="S90" s="12" t="str" cm="1">
        <f t="array" ref="S90">INDEX('Surgery-ConceptMap-1'!$I$15:$N$124,Q90+1,R90)</f>
        <v>* group[=].element[=].target.display = ##34###34#</v>
      </c>
    </row>
    <row r="91" spans="16:19" x14ac:dyDescent="0.75">
      <c r="P91" s="11">
        <v>77</v>
      </c>
      <c r="Q91" s="11">
        <f t="shared" si="16"/>
        <v>12</v>
      </c>
      <c r="R91" s="11">
        <f t="shared" si="17"/>
        <v>5</v>
      </c>
      <c r="S91" s="12" t="str" cm="1">
        <f t="array" ref="S91">INDEX('Surgery-ConceptMap-1'!$I$15:$N$124,Q91+1,R91)</f>
        <v>* group[=].element[=].target.equivalence = #relatedto</v>
      </c>
    </row>
    <row r="92" spans="16:19" x14ac:dyDescent="0.75">
      <c r="P92" s="11">
        <v>78</v>
      </c>
      <c r="Q92" s="11">
        <f t="shared" si="16"/>
        <v>12</v>
      </c>
      <c r="R92" s="11">
        <f t="shared" si="17"/>
        <v>6</v>
      </c>
      <c r="S92" s="12" t="str" cm="1">
        <f t="array" ref="S92">INDEX('Surgery-ConceptMap-1'!$I$15:$N$124,Q92+1,R92)</f>
        <v>* group[=].element[=].target.comment = ##34#TO BE ANALYZED:
a surgical procedue exists with body site neck##34#</v>
      </c>
    </row>
    <row r="93" spans="16:19" x14ac:dyDescent="0.75">
      <c r="P93" s="11">
        <v>79</v>
      </c>
      <c r="Q93" s="11">
        <f t="shared" si="16"/>
        <v>13</v>
      </c>
      <c r="R93" s="11">
        <f t="shared" si="17"/>
        <v>1</v>
      </c>
      <c r="S93" s="12" t="str" cm="1">
        <f t="array" ref="S93">INDEX('Surgery-ConceptMap-1'!$I$15:$N$124,Q93+1,R93)</f>
        <v>* group[=].element[+].code = #SurgeryI4rc.dateOfNeckSurgey</v>
      </c>
    </row>
    <row r="94" spans="16:19" x14ac:dyDescent="0.75">
      <c r="P94" s="11">
        <v>80</v>
      </c>
      <c r="Q94" s="11">
        <f t="shared" si="16"/>
        <v>13</v>
      </c>
      <c r="R94" s="11">
        <f t="shared" si="17"/>
        <v>2</v>
      </c>
      <c r="S94" s="12" t="str" cm="1">
        <f t="array" ref="S94">INDEX('Surgery-ConceptMap-1'!$I$15:$N$124,Q94+1,R94)</f>
        <v>* group[=].element[=].display = ##34#Date of Neck surgey##34#</v>
      </c>
    </row>
    <row r="95" spans="16:19" x14ac:dyDescent="0.75">
      <c r="P95" s="11">
        <v>81</v>
      </c>
      <c r="Q95" s="11">
        <f t="shared" si="16"/>
        <v>13</v>
      </c>
      <c r="R95" s="11">
        <f t="shared" si="17"/>
        <v>3</v>
      </c>
      <c r="S95" s="12" t="str" cm="1">
        <f t="array" ref="S95">INDEX('Surgery-ConceptMap-1'!$I$15:$N$124,Q95+1,R95)</f>
        <v>* group[=].element[=].target.code = #Procedure.performedDateTime</v>
      </c>
    </row>
    <row r="96" spans="16:19" x14ac:dyDescent="0.75">
      <c r="P96" s="11">
        <v>82</v>
      </c>
      <c r="Q96" s="11">
        <f t="shared" si="16"/>
        <v>13</v>
      </c>
      <c r="R96" s="11">
        <f t="shared" si="17"/>
        <v>4</v>
      </c>
      <c r="S96" s="12" t="str" cm="1">
        <f t="array" ref="S96">INDEX('Surgery-ConceptMap-1'!$I$15:$N$124,Q96+1,R96)</f>
        <v>* group[=].element[=].target.display = ##34###34#</v>
      </c>
    </row>
    <row r="97" spans="16:19" x14ac:dyDescent="0.75">
      <c r="P97" s="11">
        <v>83</v>
      </c>
      <c r="Q97" s="11">
        <f t="shared" si="16"/>
        <v>13</v>
      </c>
      <c r="R97" s="11">
        <f t="shared" si="17"/>
        <v>5</v>
      </c>
      <c r="S97" s="12" t="str" cm="1">
        <f t="array" ref="S97">INDEX('Surgery-ConceptMap-1'!$I$15:$N$124,Q97+1,R97)</f>
        <v>* group[=].element[=].target.equivalence = #equivalent</v>
      </c>
    </row>
    <row r="98" spans="16:19" x14ac:dyDescent="0.75">
      <c r="P98" s="11">
        <v>84</v>
      </c>
      <c r="Q98" s="11">
        <f t="shared" si="16"/>
        <v>13</v>
      </c>
      <c r="R98" s="11">
        <f t="shared" si="17"/>
        <v>6</v>
      </c>
      <c r="S98" s="12" t="str" cm="1">
        <f t="array" ref="S98">INDEX('Surgery-ConceptMap-1'!$I$15:$N$124,Q98+1,R98)</f>
        <v>* group[=].element[=].target.comment = ##34#TO BE ANALYZED:
Procedue with body site = neck##34#</v>
      </c>
    </row>
    <row r="99" spans="16:19" x14ac:dyDescent="0.75">
      <c r="P99" s="11">
        <v>85</v>
      </c>
      <c r="Q99" s="11">
        <f t="shared" si="16"/>
        <v>14</v>
      </c>
      <c r="R99" s="11">
        <f t="shared" si="17"/>
        <v>1</v>
      </c>
      <c r="S99" s="12" t="str" cm="1">
        <f t="array" ref="S99">INDEX('Surgery-ConceptMap-1'!$I$15:$N$124,Q99+1,R99)</f>
        <v>* group[=].element[+].code = #SurgeryI4rc.lateralityOfTheDissection</v>
      </c>
    </row>
    <row r="100" spans="16:19" x14ac:dyDescent="0.75">
      <c r="P100" s="11">
        <v>86</v>
      </c>
      <c r="Q100" s="11">
        <f t="shared" si="16"/>
        <v>14</v>
      </c>
      <c r="R100" s="11">
        <f t="shared" si="17"/>
        <v>2</v>
      </c>
      <c r="S100" s="12" t="str" cm="1">
        <f t="array" ref="S100">INDEX('Surgery-ConceptMap-1'!$I$15:$N$124,Q100+1,R100)</f>
        <v>* group[=].element[=].display = ##34#Laterality of the dissection##34#</v>
      </c>
    </row>
    <row r="101" spans="16:19" x14ac:dyDescent="0.75">
      <c r="P101" s="11">
        <v>87</v>
      </c>
      <c r="Q101" s="11">
        <f t="shared" si="16"/>
        <v>14</v>
      </c>
      <c r="R101" s="11">
        <f t="shared" si="17"/>
        <v>3</v>
      </c>
      <c r="S101" s="12" t="str" cm="1">
        <f t="array" ref="S101">INDEX('Surgery-ConceptMap-1'!$I$15:$N$124,Q101+1,R101)</f>
        <v>* group[=].element[=].target.code = #Procedure.bodySite.extension:laterality.valueCodeableConcept</v>
      </c>
    </row>
    <row r="102" spans="16:19" x14ac:dyDescent="0.75">
      <c r="P102" s="11">
        <v>88</v>
      </c>
      <c r="Q102" s="11">
        <f t="shared" si="16"/>
        <v>14</v>
      </c>
      <c r="R102" s="11">
        <f t="shared" si="17"/>
        <v>4</v>
      </c>
      <c r="S102" s="12" t="str" cm="1">
        <f t="array" ref="S102">INDEX('Surgery-ConceptMap-1'!$I$15:$N$124,Q102+1,R102)</f>
        <v>* group[=].element[=].target.display = ##34###34#</v>
      </c>
    </row>
    <row r="103" spans="16:19" x14ac:dyDescent="0.75">
      <c r="P103" s="11">
        <v>89</v>
      </c>
      <c r="Q103" s="11">
        <f t="shared" si="16"/>
        <v>14</v>
      </c>
      <c r="R103" s="11">
        <f t="shared" si="17"/>
        <v>5</v>
      </c>
      <c r="S103" s="12" t="str" cm="1">
        <f t="array" ref="S103">INDEX('Surgery-ConceptMap-1'!$I$15:$N$124,Q103+1,R103)</f>
        <v>* group[=].element[=].target.equivalence = #equivalent</v>
      </c>
    </row>
    <row r="104" spans="16:19" x14ac:dyDescent="0.75">
      <c r="P104" s="11">
        <v>90</v>
      </c>
      <c r="Q104" s="11">
        <f t="shared" si="16"/>
        <v>14</v>
      </c>
      <c r="R104" s="11">
        <f t="shared" si="17"/>
        <v>6</v>
      </c>
      <c r="S104" s="12" t="str" cm="1">
        <f t="array" ref="S104">INDEX('Surgery-ConceptMap-1'!$I$15:$N$124,Q104+1,R104)</f>
        <v>* group[=].element[=].target.comment = ##34#Laterality or Qualifier ?##34#</v>
      </c>
    </row>
    <row r="105" spans="16:19" x14ac:dyDescent="0.75">
      <c r="P105" s="11">
        <v>91</v>
      </c>
      <c r="Q105" s="11">
        <f t="shared" si="16"/>
        <v>15</v>
      </c>
      <c r="R105" s="11">
        <f t="shared" si="17"/>
        <v>1</v>
      </c>
      <c r="S105" s="12" t="str" cm="1">
        <f t="array" ref="S105">INDEX('Surgery-ConceptMap-1'!$I$15:$N$124,Q105+1,R105)</f>
        <v>* group[=].element[+].code = #SurgeryI4rc.surgeryOnM</v>
      </c>
    </row>
    <row r="106" spans="16:19" x14ac:dyDescent="0.75">
      <c r="P106" s="11">
        <v>92</v>
      </c>
      <c r="Q106" s="11">
        <f t="shared" si="16"/>
        <v>15</v>
      </c>
      <c r="R106" s="11">
        <f t="shared" si="17"/>
        <v>2</v>
      </c>
      <c r="S106" s="12" t="str" cm="1">
        <f t="array" ref="S106">INDEX('Surgery-ConceptMap-1'!$I$15:$N$124,Q106+1,R106)</f>
        <v>* group[=].element[=].display = ##34#Surgery on M##34#</v>
      </c>
    </row>
    <row r="107" spans="16:19" x14ac:dyDescent="0.75">
      <c r="P107" s="11">
        <v>93</v>
      </c>
      <c r="Q107" s="11">
        <f t="shared" si="16"/>
        <v>15</v>
      </c>
      <c r="R107" s="11">
        <f t="shared" si="17"/>
        <v>3</v>
      </c>
      <c r="S107" s="12" t="str" cm="1">
        <f t="array" ref="S107">INDEX('Surgery-ConceptMap-1'!$I$15:$N$124,Q107+1,R107)</f>
        <v>* group[=].element[=].target.code = #Procedure.</v>
      </c>
    </row>
    <row r="108" spans="16:19" x14ac:dyDescent="0.75">
      <c r="P108" s="11">
        <v>94</v>
      </c>
      <c r="Q108" s="11">
        <f t="shared" si="16"/>
        <v>15</v>
      </c>
      <c r="R108" s="11">
        <f t="shared" si="17"/>
        <v>4</v>
      </c>
      <c r="S108" s="12" t="str" cm="1">
        <f t="array" ref="S108">INDEX('Surgery-ConceptMap-1'!$I$15:$N$124,Q108+1,R108)</f>
        <v>* group[=].element[=].target.display = ##34###34#</v>
      </c>
    </row>
    <row r="109" spans="16:19" x14ac:dyDescent="0.75">
      <c r="P109" s="11">
        <v>95</v>
      </c>
      <c r="Q109" s="11">
        <f t="shared" si="16"/>
        <v>15</v>
      </c>
      <c r="R109" s="11">
        <f t="shared" si="17"/>
        <v>5</v>
      </c>
      <c r="S109" s="12" t="str" cm="1">
        <f t="array" ref="S109">INDEX('Surgery-ConceptMap-1'!$I$15:$N$124,Q109+1,R109)</f>
        <v>* group[=].element[=].target.equivalence = #equivalent</v>
      </c>
    </row>
    <row r="110" spans="16:19" x14ac:dyDescent="0.75">
      <c r="P110" s="11">
        <v>96</v>
      </c>
      <c r="Q110" s="11">
        <f t="shared" si="16"/>
        <v>15</v>
      </c>
      <c r="R110" s="11">
        <f t="shared" si="17"/>
        <v>6</v>
      </c>
      <c r="S110" s="12" t="str" cm="1">
        <f t="array" ref="S110">INDEX('Surgery-ConceptMap-1'!$I$15:$N$124,Q110+1,R110)</f>
        <v>* group[=].element[=].target.comment = ##34#TO BE ANALYZED:
a surgical proceudre exists with resonReference the metstatic condition
or a surgical proceudre exists with  reasonCode = metastatis##34#</v>
      </c>
    </row>
    <row r="111" spans="16:19" x14ac:dyDescent="0.75">
      <c r="P111" s="11">
        <v>97</v>
      </c>
      <c r="Q111" s="11">
        <f t="shared" si="16"/>
        <v>16</v>
      </c>
      <c r="R111" s="11">
        <f t="shared" si="17"/>
        <v>1</v>
      </c>
      <c r="S111" s="12" t="str" cm="1">
        <f t="array" ref="S111">INDEX('Surgery-ConceptMap-1'!$I$15:$N$124,Q111+1,R111)</f>
        <v>* group[=].element[+].code = #SurgeryI4rc.dateOfSurgeryOnM</v>
      </c>
    </row>
    <row r="112" spans="16:19" x14ac:dyDescent="0.75">
      <c r="P112" s="11">
        <v>98</v>
      </c>
      <c r="Q112" s="11">
        <f t="shared" si="16"/>
        <v>16</v>
      </c>
      <c r="R112" s="11">
        <f t="shared" si="17"/>
        <v>2</v>
      </c>
      <c r="S112" s="12" t="str" cm="1">
        <f t="array" ref="S112">INDEX('Surgery-ConceptMap-1'!$I$15:$N$124,Q112+1,R112)</f>
        <v>* group[=].element[=].display = ##34#Date of surgery on M##34#</v>
      </c>
    </row>
    <row r="113" spans="16:19" x14ac:dyDescent="0.75">
      <c r="P113" s="11">
        <v>99</v>
      </c>
      <c r="Q113" s="11">
        <f t="shared" si="16"/>
        <v>16</v>
      </c>
      <c r="R113" s="11">
        <f t="shared" si="17"/>
        <v>3</v>
      </c>
      <c r="S113" s="12" t="str" cm="1">
        <f t="array" ref="S113">INDEX('Surgery-ConceptMap-1'!$I$15:$N$124,Q113+1,R113)</f>
        <v>* group[=].element[=].target.code = #Procedure.performedDateTime</v>
      </c>
    </row>
    <row r="114" spans="16:19" x14ac:dyDescent="0.75">
      <c r="P114" s="11">
        <v>100</v>
      </c>
      <c r="Q114" s="11">
        <f t="shared" si="16"/>
        <v>16</v>
      </c>
      <c r="R114" s="11">
        <f t="shared" si="17"/>
        <v>4</v>
      </c>
      <c r="S114" s="12" t="str" cm="1">
        <f t="array" ref="S114">INDEX('Surgery-ConceptMap-1'!$I$15:$N$124,Q114+1,R114)</f>
        <v>* group[=].element[=].target.display = ##34###34#</v>
      </c>
    </row>
    <row r="115" spans="16:19" x14ac:dyDescent="0.75">
      <c r="P115" s="11">
        <v>101</v>
      </c>
      <c r="Q115" s="11">
        <f t="shared" si="16"/>
        <v>16</v>
      </c>
      <c r="R115" s="11">
        <f t="shared" si="17"/>
        <v>5</v>
      </c>
      <c r="S115" s="12" t="str" cm="1">
        <f t="array" ref="S115">INDEX('Surgery-ConceptMap-1'!$I$15:$N$124,Q115+1,R115)</f>
        <v>* group[=].element[=].target.equivalence = #equivalent</v>
      </c>
    </row>
    <row r="116" spans="16:19" x14ac:dyDescent="0.75">
      <c r="P116" s="11">
        <v>102</v>
      </c>
      <c r="Q116" s="11">
        <f t="shared" si="16"/>
        <v>16</v>
      </c>
      <c r="R116" s="11">
        <f t="shared" si="17"/>
        <v>6</v>
      </c>
      <c r="S116" s="12" t="str" cm="1">
        <f t="array" ref="S116">INDEX('Surgery-ConceptMap-1'!$I$15:$N$124,Q116+1,R116)</f>
        <v>* group[=].element[=].target.comment = ##34#see above##34#</v>
      </c>
    </row>
    <row r="117" spans="16:19" x14ac:dyDescent="0.75">
      <c r="P117" s="11">
        <v>103</v>
      </c>
      <c r="Q117" s="11">
        <f t="shared" si="16"/>
        <v>17</v>
      </c>
      <c r="R117" s="11">
        <f t="shared" si="17"/>
        <v>1</v>
      </c>
      <c r="S117" s="12" t="str" cm="1">
        <f t="array" ref="S117">INDEX('Surgery-ConceptMap-1'!$I$15:$N$124,Q117+1,R117)</f>
        <v>* group[=].element[+].code = #SurgeryI4rc.siteOnMetastasis.softTissue</v>
      </c>
    </row>
    <row r="118" spans="16:19" x14ac:dyDescent="0.75">
      <c r="P118" s="11">
        <v>104</v>
      </c>
      <c r="Q118" s="11">
        <f t="shared" si="16"/>
        <v>17</v>
      </c>
      <c r="R118" s="11">
        <f t="shared" si="17"/>
        <v>2</v>
      </c>
      <c r="S118" s="12" t="str" cm="1">
        <f t="array" ref="S118">INDEX('Surgery-ConceptMap-1'!$I$15:$N$124,Q118+1,R118)</f>
        <v>* group[=].element[=].display = ##34#Site of surgery on metastasis_soft tissue##34#</v>
      </c>
    </row>
    <row r="119" spans="16:19" x14ac:dyDescent="0.75">
      <c r="P119" s="11">
        <v>105</v>
      </c>
      <c r="Q119" s="11">
        <f t="shared" si="16"/>
        <v>17</v>
      </c>
      <c r="R119" s="11">
        <f t="shared" si="17"/>
        <v>3</v>
      </c>
      <c r="S119" s="12" t="str" cm="1">
        <f t="array" ref="S119">INDEX('Surgery-ConceptMap-1'!$I$15:$N$124,Q119+1,R119)</f>
        <v>* group[=].element[=].target.code = #Procedure.bodySite</v>
      </c>
    </row>
    <row r="120" spans="16:19" x14ac:dyDescent="0.75">
      <c r="P120" s="11">
        <v>106</v>
      </c>
      <c r="Q120" s="11">
        <f t="shared" si="16"/>
        <v>17</v>
      </c>
      <c r="R120" s="11">
        <f t="shared" si="17"/>
        <v>4</v>
      </c>
      <c r="S120" s="12" t="str" cm="1">
        <f t="array" ref="S120">INDEX('Surgery-ConceptMap-1'!$I$15:$N$124,Q120+1,R120)</f>
        <v>* group[=].element[=].target.display = ##34###34#</v>
      </c>
    </row>
    <row r="121" spans="16:19" x14ac:dyDescent="0.75">
      <c r="P121" s="11">
        <v>107</v>
      </c>
      <c r="Q121" s="11">
        <f t="shared" si="16"/>
        <v>17</v>
      </c>
      <c r="R121" s="11">
        <f t="shared" si="17"/>
        <v>5</v>
      </c>
      <c r="S121" s="12" t="str" cm="1">
        <f t="array" ref="S121">INDEX('Surgery-ConceptMap-1'!$I$15:$N$124,Q121+1,R121)</f>
        <v>* group[=].element[=].target.equivalence = #equivalent</v>
      </c>
    </row>
    <row r="122" spans="16:19" x14ac:dyDescent="0.75">
      <c r="P122" s="11">
        <v>108</v>
      </c>
      <c r="Q122" s="11">
        <f t="shared" si="16"/>
        <v>17</v>
      </c>
      <c r="R122" s="11">
        <f t="shared" si="17"/>
        <v>6</v>
      </c>
      <c r="S122" s="12" t="str" cm="1">
        <f t="array" ref="S122">INDEX('Surgery-ConceptMap-1'!$I$15:$N$124,Q122+1,R122)</f>
        <v>* group[=].element[=].target.comment = ##34#see above##34#</v>
      </c>
    </row>
    <row r="123" spans="16:19" x14ac:dyDescent="0.75">
      <c r="P123" s="11">
        <v>109</v>
      </c>
      <c r="Q123" s="11">
        <f t="shared" si="16"/>
        <v>18</v>
      </c>
      <c r="R123" s="11">
        <f t="shared" si="17"/>
        <v>1</v>
      </c>
      <c r="S123" s="12" t="str" cm="1">
        <f t="array" ref="S123">INDEX('Surgery-ConceptMap-1'!$I$15:$N$124,Q123+1,R123)</f>
        <v>* group[=].element[+].code = #SurgeryI4rc.siteOnMetastasis.distantLymphNodes</v>
      </c>
    </row>
    <row r="124" spans="16:19" x14ac:dyDescent="0.75">
      <c r="P124" s="11">
        <v>110</v>
      </c>
      <c r="Q124" s="11">
        <f t="shared" si="16"/>
        <v>18</v>
      </c>
      <c r="R124" s="11">
        <f t="shared" si="17"/>
        <v>2</v>
      </c>
      <c r="S124" s="12" t="str" cm="1">
        <f t="array" ref="S124">INDEX('Surgery-ConceptMap-1'!$I$15:$N$124,Q124+1,R124)</f>
        <v>* group[=].element[=].display = ##34#Site of surgery on metastasis_distant lymph nodes##34#</v>
      </c>
    </row>
    <row r="125" spans="16:19" x14ac:dyDescent="0.75">
      <c r="P125" s="11">
        <v>111</v>
      </c>
      <c r="Q125" s="11">
        <f t="shared" si="16"/>
        <v>18</v>
      </c>
      <c r="R125" s="11">
        <f t="shared" si="17"/>
        <v>3</v>
      </c>
      <c r="S125" s="12" t="str" cm="1">
        <f t="array" ref="S125">INDEX('Surgery-ConceptMap-1'!$I$15:$N$124,Q125+1,R125)</f>
        <v>* group[=].element[=].target.code = #Procedure.bodySite</v>
      </c>
    </row>
    <row r="126" spans="16:19" x14ac:dyDescent="0.75">
      <c r="P126" s="11">
        <v>112</v>
      </c>
      <c r="Q126" s="11">
        <f t="shared" si="16"/>
        <v>18</v>
      </c>
      <c r="R126" s="11">
        <f t="shared" si="17"/>
        <v>4</v>
      </c>
      <c r="S126" s="12" t="str" cm="1">
        <f t="array" ref="S126">INDEX('Surgery-ConceptMap-1'!$I$15:$N$124,Q126+1,R126)</f>
        <v>* group[=].element[=].target.display = ##34###34#</v>
      </c>
    </row>
    <row r="127" spans="16:19" x14ac:dyDescent="0.75">
      <c r="P127" s="11">
        <v>113</v>
      </c>
      <c r="Q127" s="11">
        <f t="shared" si="16"/>
        <v>18</v>
      </c>
      <c r="R127" s="11">
        <f t="shared" si="17"/>
        <v>5</v>
      </c>
      <c r="S127" s="12" t="str" cm="1">
        <f t="array" ref="S127">INDEX('Surgery-ConceptMap-1'!$I$15:$N$124,Q127+1,R127)</f>
        <v>* group[=].element[=].target.equivalence = #equivalent</v>
      </c>
    </row>
    <row r="128" spans="16:19" x14ac:dyDescent="0.75">
      <c r="P128" s="11">
        <v>114</v>
      </c>
      <c r="Q128" s="11">
        <f t="shared" si="16"/>
        <v>18</v>
      </c>
      <c r="R128" s="11">
        <f t="shared" si="17"/>
        <v>6</v>
      </c>
      <c r="S128" s="12" t="str" cm="1">
        <f t="array" ref="S128">INDEX('Surgery-ConceptMap-1'!$I$15:$N$124,Q128+1,R128)</f>
        <v>* group[=].element[=].target.comment = ##34#see above##34#</v>
      </c>
    </row>
    <row r="129" spans="16:19" x14ac:dyDescent="0.75">
      <c r="P129" s="11">
        <v>115</v>
      </c>
      <c r="Q129" s="11">
        <f t="shared" si="16"/>
        <v>19</v>
      </c>
      <c r="R129" s="11">
        <f t="shared" si="17"/>
        <v>1</v>
      </c>
      <c r="S129" s="12" t="str" cm="1">
        <f t="array" ref="S129">INDEX('Surgery-ConceptMap-1'!$I$15:$N$124,Q129+1,R129)</f>
        <v>* group[=].element[+].code = #SurgeryI4rc.siteOnMetastasis.lung</v>
      </c>
    </row>
    <row r="130" spans="16:19" x14ac:dyDescent="0.75">
      <c r="P130" s="11">
        <v>116</v>
      </c>
      <c r="Q130" s="11">
        <f t="shared" si="16"/>
        <v>19</v>
      </c>
      <c r="R130" s="11">
        <f t="shared" si="17"/>
        <v>2</v>
      </c>
      <c r="S130" s="12" t="str" cm="1">
        <f t="array" ref="S130">INDEX('Surgery-ConceptMap-1'!$I$15:$N$124,Q130+1,R130)</f>
        <v>* group[=].element[=].display = ##34#Site of surgery on metastasis_lung##34#</v>
      </c>
    </row>
    <row r="131" spans="16:19" x14ac:dyDescent="0.75">
      <c r="P131" s="11">
        <v>117</v>
      </c>
      <c r="Q131" s="11">
        <f t="shared" si="16"/>
        <v>19</v>
      </c>
      <c r="R131" s="11">
        <f t="shared" si="17"/>
        <v>3</v>
      </c>
      <c r="S131" s="12" t="str" cm="1">
        <f t="array" ref="S131">INDEX('Surgery-ConceptMap-1'!$I$15:$N$124,Q131+1,R131)</f>
        <v>* group[=].element[=].target.code = #Procedure.bodySite</v>
      </c>
    </row>
    <row r="132" spans="16:19" x14ac:dyDescent="0.75">
      <c r="P132" s="11">
        <v>118</v>
      </c>
      <c r="Q132" s="11">
        <f t="shared" si="16"/>
        <v>19</v>
      </c>
      <c r="R132" s="11">
        <f t="shared" si="17"/>
        <v>4</v>
      </c>
      <c r="S132" s="12" t="str" cm="1">
        <f t="array" ref="S132">INDEX('Surgery-ConceptMap-1'!$I$15:$N$124,Q132+1,R132)</f>
        <v>* group[=].element[=].target.display = ##34###34#</v>
      </c>
    </row>
    <row r="133" spans="16:19" x14ac:dyDescent="0.75">
      <c r="P133" s="11">
        <v>119</v>
      </c>
      <c r="Q133" s="11">
        <f t="shared" si="16"/>
        <v>19</v>
      </c>
      <c r="R133" s="11">
        <f t="shared" si="17"/>
        <v>5</v>
      </c>
      <c r="S133" s="12" t="str" cm="1">
        <f t="array" ref="S133">INDEX('Surgery-ConceptMap-1'!$I$15:$N$124,Q133+1,R133)</f>
        <v>* group[=].element[=].target.equivalence = #equivalent</v>
      </c>
    </row>
    <row r="134" spans="16:19" x14ac:dyDescent="0.75">
      <c r="P134" s="11">
        <v>120</v>
      </c>
      <c r="Q134" s="11">
        <f t="shared" si="16"/>
        <v>19</v>
      </c>
      <c r="R134" s="11">
        <f t="shared" si="17"/>
        <v>6</v>
      </c>
      <c r="S134" s="12" t="str" cm="1">
        <f t="array" ref="S134">INDEX('Surgery-ConceptMap-1'!$I$15:$N$124,Q134+1,R134)</f>
        <v>* group[=].element[=].target.comment = ##34#see above##34#</v>
      </c>
    </row>
    <row r="135" spans="16:19" x14ac:dyDescent="0.75">
      <c r="P135" s="11">
        <v>121</v>
      </c>
      <c r="Q135" s="11">
        <f t="shared" si="16"/>
        <v>20</v>
      </c>
      <c r="R135" s="11">
        <f t="shared" si="17"/>
        <v>1</v>
      </c>
      <c r="S135" s="12" t="str" cm="1">
        <f t="array" ref="S135">INDEX('Surgery-ConceptMap-1'!$I$15:$N$124,Q135+1,R135)</f>
        <v>* group[=].element[+].code = #SurgeryI4rc.siteOnMetastasis.bone</v>
      </c>
    </row>
    <row r="136" spans="16:19" x14ac:dyDescent="0.75">
      <c r="P136" s="11">
        <v>122</v>
      </c>
      <c r="Q136" s="11">
        <f t="shared" si="16"/>
        <v>20</v>
      </c>
      <c r="R136" s="11">
        <f t="shared" si="17"/>
        <v>2</v>
      </c>
      <c r="S136" s="12" t="str" cm="1">
        <f t="array" ref="S136">INDEX('Surgery-ConceptMap-1'!$I$15:$N$124,Q136+1,R136)</f>
        <v>* group[=].element[=].display = ##34#Site of surgery on metastasis_bone##34#</v>
      </c>
    </row>
    <row r="137" spans="16:19" x14ac:dyDescent="0.75">
      <c r="P137" s="11">
        <v>123</v>
      </c>
      <c r="Q137" s="11">
        <f t="shared" si="16"/>
        <v>20</v>
      </c>
      <c r="R137" s="11">
        <f t="shared" si="17"/>
        <v>3</v>
      </c>
      <c r="S137" s="12" t="str" cm="1">
        <f t="array" ref="S137">INDEX('Surgery-ConceptMap-1'!$I$15:$N$124,Q137+1,R137)</f>
        <v>* group[=].element[=].target.code = #Procedure.bodySite</v>
      </c>
    </row>
    <row r="138" spans="16:19" x14ac:dyDescent="0.75">
      <c r="P138" s="11">
        <v>124</v>
      </c>
      <c r="Q138" s="11">
        <f t="shared" si="16"/>
        <v>20</v>
      </c>
      <c r="R138" s="11">
        <f t="shared" si="17"/>
        <v>4</v>
      </c>
      <c r="S138" s="12" t="str" cm="1">
        <f t="array" ref="S138">INDEX('Surgery-ConceptMap-1'!$I$15:$N$124,Q138+1,R138)</f>
        <v>* group[=].element[=].target.display = ##34###34#</v>
      </c>
    </row>
    <row r="139" spans="16:19" x14ac:dyDescent="0.75">
      <c r="P139" s="11">
        <v>125</v>
      </c>
      <c r="Q139" s="11">
        <f t="shared" si="16"/>
        <v>20</v>
      </c>
      <c r="R139" s="11">
        <f t="shared" si="17"/>
        <v>5</v>
      </c>
      <c r="S139" s="12" t="str" cm="1">
        <f t="array" ref="S139">INDEX('Surgery-ConceptMap-1'!$I$15:$N$124,Q139+1,R139)</f>
        <v>* group[=].element[=].target.equivalence = #equivalent</v>
      </c>
    </row>
    <row r="140" spans="16:19" x14ac:dyDescent="0.75">
      <c r="P140" s="11">
        <v>126</v>
      </c>
      <c r="Q140" s="11">
        <f t="shared" si="16"/>
        <v>20</v>
      </c>
      <c r="R140" s="11">
        <f t="shared" si="17"/>
        <v>6</v>
      </c>
      <c r="S140" s="12" t="str" cm="1">
        <f t="array" ref="S140">INDEX('Surgery-ConceptMap-1'!$I$15:$N$124,Q140+1,R140)</f>
        <v>* group[=].element[=].target.comment = ##34#see above##34#</v>
      </c>
    </row>
    <row r="141" spans="16:19" x14ac:dyDescent="0.75">
      <c r="P141" s="11">
        <v>127</v>
      </c>
      <c r="Q141" s="11">
        <f t="shared" si="16"/>
        <v>21</v>
      </c>
      <c r="R141" s="11">
        <f t="shared" si="17"/>
        <v>1</v>
      </c>
      <c r="S141" s="12" t="str" cm="1">
        <f t="array" ref="S141">INDEX('Surgery-ConceptMap-1'!$I$15:$N$124,Q141+1,R141)</f>
        <v>* group[=].element[+].code = #SurgeryI4rc.siteOnMetastasis.liver</v>
      </c>
    </row>
    <row r="142" spans="16:19" x14ac:dyDescent="0.75">
      <c r="P142" s="11">
        <v>128</v>
      </c>
      <c r="Q142" s="11">
        <f t="shared" si="16"/>
        <v>21</v>
      </c>
      <c r="R142" s="11">
        <f t="shared" si="17"/>
        <v>2</v>
      </c>
      <c r="S142" s="12" t="str" cm="1">
        <f t="array" ref="S142">INDEX('Surgery-ConceptMap-1'!$I$15:$N$124,Q142+1,R142)</f>
        <v>* group[=].element[=].display = ##34#Site of surgery on metastasis_liver##34#</v>
      </c>
    </row>
    <row r="143" spans="16:19" x14ac:dyDescent="0.75">
      <c r="P143" s="11">
        <v>129</v>
      </c>
      <c r="Q143" s="11">
        <f t="shared" si="16"/>
        <v>21</v>
      </c>
      <c r="R143" s="11">
        <f t="shared" si="17"/>
        <v>3</v>
      </c>
      <c r="S143" s="12" t="str" cm="1">
        <f t="array" ref="S143">INDEX('Surgery-ConceptMap-1'!$I$15:$N$124,Q143+1,R143)</f>
        <v>* group[=].element[=].target.code = #Procedure.bodySite</v>
      </c>
    </row>
    <row r="144" spans="16:19" x14ac:dyDescent="0.75">
      <c r="P144" s="11">
        <v>130</v>
      </c>
      <c r="Q144" s="11">
        <f t="shared" ref="Q144:Q163" si="18">IF(MOD(P144,$Q$8)=0,P144/$Q$8-1,INT(P144/$Q$8))</f>
        <v>21</v>
      </c>
      <c r="R144" s="11">
        <f t="shared" ref="R144:R163" si="19">IF(MOD(P144,$Q$8)=0,$Q$8,MOD(P144,$Q$8))</f>
        <v>4</v>
      </c>
      <c r="S144" s="12" t="str" cm="1">
        <f t="array" ref="S144">INDEX('Surgery-ConceptMap-1'!$I$15:$N$124,Q144+1,R144)</f>
        <v>* group[=].element[=].target.display = ##34###34#</v>
      </c>
    </row>
    <row r="145" spans="16:19" x14ac:dyDescent="0.75">
      <c r="P145" s="11">
        <v>131</v>
      </c>
      <c r="Q145" s="11">
        <f t="shared" si="18"/>
        <v>21</v>
      </c>
      <c r="R145" s="11">
        <f t="shared" si="19"/>
        <v>5</v>
      </c>
      <c r="S145" s="12" t="str" cm="1">
        <f t="array" ref="S145">INDEX('Surgery-ConceptMap-1'!$I$15:$N$124,Q145+1,R145)</f>
        <v>* group[=].element[=].target.equivalence = #equivalent</v>
      </c>
    </row>
    <row r="146" spans="16:19" x14ac:dyDescent="0.75">
      <c r="P146" s="11">
        <v>132</v>
      </c>
      <c r="Q146" s="11">
        <f t="shared" si="18"/>
        <v>21</v>
      </c>
      <c r="R146" s="11">
        <f t="shared" si="19"/>
        <v>6</v>
      </c>
      <c r="S146" s="12" t="str" cm="1">
        <f t="array" ref="S146">INDEX('Surgery-ConceptMap-1'!$I$15:$N$124,Q146+1,R146)</f>
        <v>* group[=].element[=].target.comment = ##34#see above##34#</v>
      </c>
    </row>
    <row r="147" spans="16:19" x14ac:dyDescent="0.75">
      <c r="P147" s="11">
        <v>133</v>
      </c>
      <c r="Q147" s="11">
        <f t="shared" si="18"/>
        <v>22</v>
      </c>
      <c r="R147" s="11">
        <f t="shared" si="19"/>
        <v>1</v>
      </c>
      <c r="S147" s="12" t="str" cm="1">
        <f t="array" ref="S147">INDEX('Surgery-ConceptMap-1'!$I$15:$N$124,Q147+1,R147)</f>
        <v>* group[=].element[+].code = #SurgeryI4rc.siteOnMetastasis.pleura</v>
      </c>
    </row>
    <row r="148" spans="16:19" x14ac:dyDescent="0.75">
      <c r="P148" s="11">
        <v>134</v>
      </c>
      <c r="Q148" s="11">
        <f t="shared" si="18"/>
        <v>22</v>
      </c>
      <c r="R148" s="11">
        <f t="shared" si="19"/>
        <v>2</v>
      </c>
      <c r="S148" s="12" t="str" cm="1">
        <f t="array" ref="S148">INDEX('Surgery-ConceptMap-1'!$I$15:$N$124,Q148+1,R148)</f>
        <v>* group[=].element[=].display = ##34#Site of surgery on metastasis_pleura##34#</v>
      </c>
    </row>
    <row r="149" spans="16:19" x14ac:dyDescent="0.75">
      <c r="P149" s="11">
        <v>135</v>
      </c>
      <c r="Q149" s="11">
        <f t="shared" si="18"/>
        <v>22</v>
      </c>
      <c r="R149" s="11">
        <f t="shared" si="19"/>
        <v>3</v>
      </c>
      <c r="S149" s="12" t="str" cm="1">
        <f t="array" ref="S149">INDEX('Surgery-ConceptMap-1'!$I$15:$N$124,Q149+1,R149)</f>
        <v>* group[=].element[=].target.code = #Procedure.bodySite</v>
      </c>
    </row>
    <row r="150" spans="16:19" x14ac:dyDescent="0.75">
      <c r="P150" s="11">
        <v>136</v>
      </c>
      <c r="Q150" s="11">
        <f t="shared" si="18"/>
        <v>22</v>
      </c>
      <c r="R150" s="11">
        <f t="shared" si="19"/>
        <v>4</v>
      </c>
      <c r="S150" s="12" t="str" cm="1">
        <f t="array" ref="S150">INDEX('Surgery-ConceptMap-1'!$I$15:$N$124,Q150+1,R150)</f>
        <v>* group[=].element[=].target.display = ##34###34#</v>
      </c>
    </row>
    <row r="151" spans="16:19" x14ac:dyDescent="0.75">
      <c r="P151" s="11">
        <v>137</v>
      </c>
      <c r="Q151" s="11">
        <f t="shared" si="18"/>
        <v>22</v>
      </c>
      <c r="R151" s="11">
        <f t="shared" si="19"/>
        <v>5</v>
      </c>
      <c r="S151" s="12" t="str" cm="1">
        <f t="array" ref="S151">INDEX('Surgery-ConceptMap-1'!$I$15:$N$124,Q151+1,R151)</f>
        <v>* group[=].element[=].target.equivalence = #equivalent</v>
      </c>
    </row>
    <row r="152" spans="16:19" x14ac:dyDescent="0.75">
      <c r="P152" s="11">
        <v>138</v>
      </c>
      <c r="Q152" s="11">
        <f t="shared" si="18"/>
        <v>22</v>
      </c>
      <c r="R152" s="11">
        <f t="shared" si="19"/>
        <v>6</v>
      </c>
      <c r="S152" s="12" t="str" cm="1">
        <f t="array" ref="S152">INDEX('Surgery-ConceptMap-1'!$I$15:$N$124,Q152+1,R152)</f>
        <v>* group[=].element[=].target.comment = ##34#see above##34#</v>
      </c>
    </row>
    <row r="153" spans="16:19" x14ac:dyDescent="0.75">
      <c r="P153" s="11">
        <v>139</v>
      </c>
      <c r="Q153" s="11">
        <f t="shared" si="18"/>
        <v>23</v>
      </c>
      <c r="R153" s="11">
        <f t="shared" si="19"/>
        <v>1</v>
      </c>
      <c r="S153" s="12" t="str" cm="1">
        <f t="array" ref="S153">INDEX('Surgery-ConceptMap-1'!$I$15:$N$124,Q153+1,R153)</f>
        <v>* group[=].element[+].code = #SurgeryI4rc.siteOnMetastasis.peritoneum</v>
      </c>
    </row>
    <row r="154" spans="16:19" x14ac:dyDescent="0.75">
      <c r="P154" s="11">
        <v>140</v>
      </c>
      <c r="Q154" s="11">
        <f t="shared" si="18"/>
        <v>23</v>
      </c>
      <c r="R154" s="11">
        <f t="shared" si="19"/>
        <v>2</v>
      </c>
      <c r="S154" s="12" t="str" cm="1">
        <f t="array" ref="S154">INDEX('Surgery-ConceptMap-1'!$I$15:$N$124,Q154+1,R154)</f>
        <v>* group[=].element[=].display = ##34#Site of surgery on metastasis_peritoneum##34#</v>
      </c>
    </row>
    <row r="155" spans="16:19" x14ac:dyDescent="0.75">
      <c r="P155" s="11">
        <v>141</v>
      </c>
      <c r="Q155" s="11">
        <f t="shared" si="18"/>
        <v>23</v>
      </c>
      <c r="R155" s="11">
        <f t="shared" si="19"/>
        <v>3</v>
      </c>
      <c r="S155" s="12" t="str" cm="1">
        <f t="array" ref="S155">INDEX('Surgery-ConceptMap-1'!$I$15:$N$124,Q155+1,R155)</f>
        <v>* group[=].element[=].target.code = #Procedure.bodySite</v>
      </c>
    </row>
    <row r="156" spans="16:19" x14ac:dyDescent="0.75">
      <c r="P156" s="11">
        <v>142</v>
      </c>
      <c r="Q156" s="11">
        <f t="shared" si="18"/>
        <v>23</v>
      </c>
      <c r="R156" s="11">
        <f t="shared" si="19"/>
        <v>4</v>
      </c>
      <c r="S156" s="12" t="str" cm="1">
        <f t="array" ref="S156">INDEX('Surgery-ConceptMap-1'!$I$15:$N$124,Q156+1,R156)</f>
        <v>* group[=].element[=].target.display = ##34###34#</v>
      </c>
    </row>
    <row r="157" spans="16:19" x14ac:dyDescent="0.75">
      <c r="P157" s="11">
        <v>143</v>
      </c>
      <c r="Q157" s="11">
        <f t="shared" si="18"/>
        <v>23</v>
      </c>
      <c r="R157" s="11">
        <f t="shared" si="19"/>
        <v>5</v>
      </c>
      <c r="S157" s="12" t="str" cm="1">
        <f t="array" ref="S157">INDEX('Surgery-ConceptMap-1'!$I$15:$N$124,Q157+1,R157)</f>
        <v>* group[=].element[=].target.equivalence = #equivalent</v>
      </c>
    </row>
    <row r="158" spans="16:19" x14ac:dyDescent="0.75">
      <c r="P158" s="11">
        <v>144</v>
      </c>
      <c r="Q158" s="11">
        <f t="shared" si="18"/>
        <v>23</v>
      </c>
      <c r="R158" s="11">
        <f t="shared" si="19"/>
        <v>6</v>
      </c>
      <c r="S158" s="12" t="str" cm="1">
        <f t="array" ref="S158">INDEX('Surgery-ConceptMap-1'!$I$15:$N$124,Q158+1,R158)</f>
        <v>* group[=].element[=].target.comment = ##34#see above##34#</v>
      </c>
    </row>
    <row r="159" spans="16:19" x14ac:dyDescent="0.75">
      <c r="P159" s="11">
        <v>145</v>
      </c>
      <c r="Q159" s="11">
        <f t="shared" si="18"/>
        <v>24</v>
      </c>
      <c r="R159" s="11">
        <f t="shared" si="19"/>
        <v>1</v>
      </c>
      <c r="S159" s="12" cm="1">
        <f t="array" ref="S159">INDEX('Surgery-ConceptMap-1'!$I$15:$N$124,Q159+1,R159)</f>
        <v>0</v>
      </c>
    </row>
    <row r="160" spans="16:19" x14ac:dyDescent="0.75">
      <c r="P160" s="11">
        <v>146</v>
      </c>
      <c r="Q160" s="11">
        <f t="shared" si="18"/>
        <v>24</v>
      </c>
      <c r="R160" s="11">
        <f t="shared" si="19"/>
        <v>2</v>
      </c>
      <c r="S160" s="12" cm="1">
        <f t="array" ref="S160">INDEX('Surgery-ConceptMap-1'!$I$15:$N$124,Q160+1,R160)</f>
        <v>0</v>
      </c>
    </row>
    <row r="161" spans="16:19" x14ac:dyDescent="0.75">
      <c r="P161" s="11">
        <v>147</v>
      </c>
      <c r="Q161" s="11">
        <f t="shared" si="18"/>
        <v>24</v>
      </c>
      <c r="R161" s="11">
        <f t="shared" si="19"/>
        <v>3</v>
      </c>
      <c r="S161" s="12" cm="1">
        <f t="array" ref="S161">INDEX('Surgery-ConceptMap-1'!$I$15:$N$124,Q161+1,R161)</f>
        <v>0</v>
      </c>
    </row>
    <row r="162" spans="16:19" x14ac:dyDescent="0.75">
      <c r="P162" s="11">
        <v>148</v>
      </c>
      <c r="Q162" s="11">
        <f t="shared" si="18"/>
        <v>24</v>
      </c>
      <c r="R162" s="11">
        <f t="shared" si="19"/>
        <v>4</v>
      </c>
      <c r="S162" s="12" cm="1">
        <f t="array" ref="S162">INDEX('Surgery-ConceptMap-1'!$I$15:$N$124,Q162+1,R162)</f>
        <v>0</v>
      </c>
    </row>
    <row r="163" spans="16:19" x14ac:dyDescent="0.75">
      <c r="P163" s="11">
        <v>149</v>
      </c>
      <c r="Q163" s="11">
        <f t="shared" si="18"/>
        <v>24</v>
      </c>
      <c r="R163" s="11">
        <f t="shared" si="19"/>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B1" workbookViewId="0">
      <selection activeCell="B19" sqref="B19:B1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1822</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6"/>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group[=].element[=].target.comment = ##34#for the time being represented as one of the performer of type Organization. To be further Analyzed##34#</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#Procedure.performedDateTime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#equal</v>
      </c>
    </row>
    <row r="42" spans="2:2" x14ac:dyDescent="0.75">
      <c r="B42" s="12" t="str">
        <f>IF('Surgery-ConceptMap-1'!S38=0,"//---END",'Surgery-ConceptMap-1'!S38)</f>
        <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#Procedure.extension:ProcedureCategoryR5</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##34#Managed as a procedure categorym to be further analyzed##34#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#Procedure.extension:procedure-approachBodyStructure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##34#to be analized: the traget is a bodyStructure.. Maybe too much for justconveying a code ?##34#</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str">
        <f>IF('Surgery-ConceptMap-1'!S53=0,"//---END",'Surgery-ConceptMap-1'!S53)</f>
        <v>* group[=].element[=].target.code = #Procedure.outcome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checked##34#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#Procedure.supportingInfo.valueCodeableConcept</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##34#The supportingInfo refers an Observation conforming to the XYZ profile, where observation.code is = XXX##34#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##34#Check how this differs from the same info in Cancer Episode.
The supportingInfo refers an Observation conforming to the XYZ profile, where observation.code is = XXX##34#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group[=].element[=].target.comment = ##34#TBD##34#</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ANALYZED:
a surgical procedue exists with body site neck##34#</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#Procedure.performedDateTime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ht="29.5" x14ac:dyDescent="0.75">
      <c r="B102" s="12" t="str">
        <f>IF('Surgery-ConceptMap-1'!S98=0,"//---END",'Surgery-ConceptMap-1'!S98)</f>
        <v>* group[=].element[=].target.comment = ##34#TO BE ANALYZED:
Procedue with body site = neck##34#</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#Procedure.bodySite.extension:laterality.valueCodeableConcept</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group[=].element[=].target.comment = ##34#Laterality or Qualifier ?##34#</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ht="44.25" x14ac:dyDescent="0.75">
      <c r="B114" s="12" t="str">
        <f>IF('Surgery-ConceptMap-1'!S110=0,"//---END",'Surgery-ConceptMap-1'!S110)</f>
        <v>* group[=].element[=].target.comment = ##34#TO BE ANALYZED:
a surgical proceudre exists with resonReference the metstatic condition
or a surgical proceudre exists with  reasonCode = metastatis##34#</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#Procedure.performedDateTime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group[=].element[=].target.comment = ##34#see above##34#</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22" zoomScaleNormal="100" workbookViewId="0">
      <selection activeCell="B15" sqref="B1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5.5" thickBot="1" x14ac:dyDescent="0.9">
      <c r="L3" s="24" t="str">
        <f>L1</f>
        <v>//===================================================</v>
      </c>
      <c r="N3" s="24" t="str">
        <f>N1</f>
        <v>// -------------------------------------------------------------------------------</v>
      </c>
      <c r="P3" s="24" t="str">
        <f>P1</f>
        <v>// -------------------------------------------------------------------------------</v>
      </c>
      <c r="R3" s="24" t="str">
        <f>R1</f>
        <v>// -------------------------------------------------------------------------------</v>
      </c>
    </row>
    <row r="4" spans="1:18" ht="15.5" thickBot="1" x14ac:dyDescent="0.9">
      <c r="A4" s="5" t="s">
        <v>11</v>
      </c>
      <c r="B4" s="30" t="s">
        <v>1946</v>
      </c>
      <c r="L4" s="16" t="str">
        <f>CONCATENATE("Logical: ",B4)</f>
        <v>Logical: SystemicTreatmentI4rc</v>
      </c>
    </row>
    <row r="5" spans="1:18" ht="15.5" thickBot="1" x14ac:dyDescent="0.9">
      <c r="A5" s="14" t="s">
        <v>16</v>
      </c>
      <c r="B5" s="30" t="s">
        <v>1656</v>
      </c>
      <c r="L5" s="16" t="str">
        <f>CONCATENATE("Id: ",B5)</f>
        <v>Id: SystemicTreatment</v>
      </c>
    </row>
    <row r="6" spans="1:18" ht="15.5" thickBot="1" x14ac:dyDescent="0.9">
      <c r="A6" s="14" t="s">
        <v>10</v>
      </c>
      <c r="B6" s="30" t="s">
        <v>1657</v>
      </c>
      <c r="L6" s="17" t="str">
        <f>CONCATENATE("Title: ##34#",B6,"##34#")</f>
        <v>Title: ##34#Systemic Treatment##34#</v>
      </c>
    </row>
    <row r="7" spans="1:18" x14ac:dyDescent="0.75">
      <c r="A7" s="26" t="s">
        <v>2</v>
      </c>
      <c r="B7" s="30" t="s">
        <v>1657</v>
      </c>
      <c r="C7" s="9" t="s">
        <v>3</v>
      </c>
      <c r="D7" s="1" t="s">
        <v>4</v>
      </c>
      <c r="E7" s="3" t="s">
        <v>5</v>
      </c>
      <c r="F7" s="3" t="s">
        <v>6</v>
      </c>
      <c r="G7" s="3" t="s">
        <v>7</v>
      </c>
      <c r="H7" s="64" t="s">
        <v>1384</v>
      </c>
      <c r="I7" s="122" t="s">
        <v>2110</v>
      </c>
      <c r="J7" s="122" t="s">
        <v>2111</v>
      </c>
      <c r="L7" s="17" t="str">
        <f>CONCATENATE("Description: "," ##334#",B7,"##334#",)</f>
        <v>Description:  ##334#Systemic Treatment##334#</v>
      </c>
    </row>
    <row r="8" spans="1:18" ht="59" x14ac:dyDescent="0.75">
      <c r="A8" s="59">
        <v>0</v>
      </c>
      <c r="B8" s="12" t="s">
        <v>1599</v>
      </c>
      <c r="C8" s="12" t="s">
        <v>1658</v>
      </c>
      <c r="D8" s="12" t="s">
        <v>1568</v>
      </c>
      <c r="E8" s="11">
        <v>1</v>
      </c>
      <c r="F8" s="11">
        <v>1</v>
      </c>
      <c r="G8" s="133" t="s">
        <v>1620</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1659</v>
      </c>
      <c r="C9" s="12" t="s">
        <v>1660</v>
      </c>
      <c r="D9" s="12" t="s">
        <v>1661</v>
      </c>
      <c r="E9" s="11">
        <v>1</v>
      </c>
      <c r="F9" s="11">
        <v>1</v>
      </c>
      <c r="G9" s="87" t="s">
        <v>1474</v>
      </c>
      <c r="H9" s="12" t="s">
        <v>1662</v>
      </c>
      <c r="I9" s="12" t="b">
        <v>1</v>
      </c>
      <c r="J9" s="12" t="b">
        <v>1</v>
      </c>
      <c r="K9" s="25" t="s">
        <v>1659</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1663</v>
      </c>
      <c r="E10" s="11">
        <v>1</v>
      </c>
      <c r="F10" s="11">
        <v>1</v>
      </c>
      <c r="G10" s="103" t="s">
        <v>1474</v>
      </c>
      <c r="H10" s="12" t="s">
        <v>1664</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1665</v>
      </c>
      <c r="D11" s="12" t="s">
        <v>1666</v>
      </c>
      <c r="E11" s="11">
        <v>1</v>
      </c>
      <c r="F11" s="11">
        <v>1</v>
      </c>
      <c r="G11" s="103" t="s">
        <v>1474</v>
      </c>
      <c r="H11" s="12" t="s">
        <v>1667</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4" t="s">
        <v>2242</v>
      </c>
      <c r="C12" s="11" t="s">
        <v>2248</v>
      </c>
      <c r="D12" s="11" t="s">
        <v>2249</v>
      </c>
      <c r="E12" s="11">
        <v>0</v>
      </c>
      <c r="F12" s="11">
        <v>1</v>
      </c>
      <c r="G12" t="s">
        <v>1474</v>
      </c>
      <c r="H12" s="2" t="s">
        <v>2250</v>
      </c>
      <c r="I12" s="12" t="b">
        <v>0</v>
      </c>
      <c r="J12" s="12" t="b">
        <v>1</v>
      </c>
      <c r="K12" s="25" t="s">
        <v>2242</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1437</v>
      </c>
      <c r="C13" s="12" t="s">
        <v>1423</v>
      </c>
      <c r="D13" s="12" t="s">
        <v>1424</v>
      </c>
      <c r="E13" s="11">
        <v>1</v>
      </c>
      <c r="F13" s="11">
        <v>1</v>
      </c>
      <c r="G13" s="87"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29.5" x14ac:dyDescent="0.75">
      <c r="A14" s="59">
        <v>5</v>
      </c>
      <c r="B14" s="12" t="s">
        <v>1438</v>
      </c>
      <c r="C14" s="12" t="s">
        <v>1425</v>
      </c>
      <c r="D14" s="12" t="s">
        <v>1426</v>
      </c>
      <c r="E14" s="11">
        <v>1</v>
      </c>
      <c r="F14" s="11">
        <v>1</v>
      </c>
      <c r="G14" s="87"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88.5" x14ac:dyDescent="0.75">
      <c r="A15" s="59">
        <v>6</v>
      </c>
      <c r="B15" s="12" t="s">
        <v>1439</v>
      </c>
      <c r="C15" s="12" t="s">
        <v>1668</v>
      </c>
      <c r="D15" s="12" t="s">
        <v>1669</v>
      </c>
      <c r="E15" s="11">
        <v>0</v>
      </c>
      <c r="F15" s="11">
        <v>1</v>
      </c>
      <c r="G15" s="134" t="s">
        <v>1808</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1440</v>
      </c>
      <c r="C16" s="12" t="s">
        <v>1427</v>
      </c>
      <c r="D16" s="13" t="s">
        <v>1427</v>
      </c>
      <c r="E16" s="11">
        <v>0</v>
      </c>
      <c r="F16" s="11">
        <v>1</v>
      </c>
      <c r="G16" s="135"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1802</v>
      </c>
      <c r="C17" s="12" t="s">
        <v>1428</v>
      </c>
      <c r="D17" s="13" t="s">
        <v>1428</v>
      </c>
      <c r="E17" s="11">
        <v>1</v>
      </c>
      <c r="F17" s="11">
        <v>1</v>
      </c>
      <c r="G17" s="87" t="s">
        <v>1474</v>
      </c>
      <c r="H17" s="12" t="s">
        <v>1670</v>
      </c>
      <c r="I17" s="12" t="b">
        <v>1</v>
      </c>
      <c r="J17" s="12" t="b">
        <v>1</v>
      </c>
      <c r="K17" s="25" t="s">
        <v>2243</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1803</v>
      </c>
      <c r="C18" s="12" t="s">
        <v>1429</v>
      </c>
      <c r="D18" s="13" t="s">
        <v>1429</v>
      </c>
      <c r="E18" s="11">
        <v>1</v>
      </c>
      <c r="F18" s="11">
        <v>1</v>
      </c>
      <c r="G18" s="87" t="s">
        <v>1474</v>
      </c>
      <c r="H18" s="12" t="s">
        <v>1670</v>
      </c>
      <c r="I18" s="12" t="b">
        <v>1</v>
      </c>
      <c r="J18" s="12" t="b">
        <v>1</v>
      </c>
      <c r="K18" s="25" t="s">
        <v>2244</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1804</v>
      </c>
      <c r="C19" s="12" t="s">
        <v>1430</v>
      </c>
      <c r="D19" s="13" t="s">
        <v>1430</v>
      </c>
      <c r="E19" s="11">
        <v>1</v>
      </c>
      <c r="F19" s="11">
        <v>1</v>
      </c>
      <c r="G19" s="87" t="s">
        <v>1474</v>
      </c>
      <c r="H19" s="12" t="s">
        <v>1670</v>
      </c>
      <c r="I19" s="12" t="b">
        <v>1</v>
      </c>
      <c r="J19" s="12" t="b">
        <v>1</v>
      </c>
      <c r="K19" t="s">
        <v>2245</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1805</v>
      </c>
      <c r="C20" s="12" t="s">
        <v>1433</v>
      </c>
      <c r="D20" s="12" t="s">
        <v>1671</v>
      </c>
      <c r="E20" s="11">
        <v>1</v>
      </c>
      <c r="F20" s="11">
        <v>1</v>
      </c>
      <c r="G20" s="87" t="s">
        <v>43</v>
      </c>
      <c r="H20" s="12"/>
      <c r="I20" s="12" t="b">
        <v>1</v>
      </c>
      <c r="J20" s="12" t="b">
        <v>0</v>
      </c>
      <c r="K20" t="s">
        <v>2246</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1806</v>
      </c>
      <c r="C21" s="12" t="s">
        <v>1434</v>
      </c>
      <c r="D21" s="12" t="s">
        <v>1672</v>
      </c>
      <c r="E21" s="11">
        <v>1</v>
      </c>
      <c r="F21" s="11">
        <v>1</v>
      </c>
      <c r="G21" s="87" t="s">
        <v>43</v>
      </c>
      <c r="H21" s="12"/>
      <c r="I21" s="12" t="b">
        <v>1</v>
      </c>
      <c r="J21" s="12" t="b">
        <v>0</v>
      </c>
      <c r="K21" t="s">
        <v>2247</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87" t="s">
        <v>1474</v>
      </c>
      <c r="H22" s="12" t="s">
        <v>1673</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1889</v>
      </c>
      <c r="C23" s="11" t="s">
        <v>1674</v>
      </c>
      <c r="D23" s="11" t="s">
        <v>1675</v>
      </c>
      <c r="E23" s="11">
        <v>1</v>
      </c>
      <c r="F23" s="11">
        <v>1</v>
      </c>
      <c r="G23" t="s">
        <v>1474</v>
      </c>
      <c r="H23" s="12" t="s">
        <v>1676</v>
      </c>
      <c r="I23" s="12" t="b">
        <v>1</v>
      </c>
      <c r="J23" s="12" t="b">
        <v>1</v>
      </c>
      <c r="K23" t="s">
        <v>1889</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1677</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C8" workbookViewId="0">
      <selection activeCell="G21" sqref="G21"/>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1840</v>
      </c>
      <c r="D3" s="47" t="s">
        <v>1479</v>
      </c>
      <c r="E3" s="72" t="str">
        <f>$C$1&amp;B14</f>
        <v>http://hl7.eu/fhir/ig/idea4rc/StructureDefinition/SystemicTreatment</v>
      </c>
    </row>
    <row r="4" spans="1:19" x14ac:dyDescent="0.75">
      <c r="B4" s="47" t="s">
        <v>16</v>
      </c>
      <c r="C4" s="28" t="s">
        <v>1840</v>
      </c>
      <c r="D4" s="47" t="s">
        <v>1480</v>
      </c>
      <c r="E4" s="144" t="s">
        <v>1849</v>
      </c>
      <c r="F4" s="152"/>
      <c r="G4" s="152"/>
    </row>
    <row r="5" spans="1:19" x14ac:dyDescent="0.75">
      <c r="B5" s="47" t="s">
        <v>10</v>
      </c>
      <c r="C5" s="7" t="s">
        <v>1841</v>
      </c>
      <c r="D5" s="47"/>
      <c r="E5" s="7"/>
    </row>
    <row r="6" spans="1:19" x14ac:dyDescent="0.75">
      <c r="B6" s="47" t="s">
        <v>18</v>
      </c>
      <c r="C6" s="41"/>
      <c r="D6" s="47" t="s">
        <v>1481</v>
      </c>
      <c r="E6" s="144" t="str">
        <f>E3</f>
        <v>http://hl7.eu/fhir/ig/idea4rc/StructureDefinition/SystemicTreatment</v>
      </c>
      <c r="F6" s="145"/>
      <c r="G6" s="145"/>
    </row>
    <row r="7" spans="1:19" x14ac:dyDescent="0.75">
      <c r="B7" s="47" t="s">
        <v>15</v>
      </c>
      <c r="C7" s="73"/>
      <c r="D7" s="47" t="s">
        <v>1482</v>
      </c>
      <c r="E7" s="144" t="str">
        <f>E4</f>
        <v>http://hl7.eu/fhir/ig/idea4rc/StructureDefinition/MedicationAdministration-eu-i4rc</v>
      </c>
      <c r="F7" s="145"/>
      <c r="G7" s="145"/>
    </row>
    <row r="8" spans="1:19" ht="45" thickBot="1" x14ac:dyDescent="0.9">
      <c r="B8" s="47" t="s">
        <v>1483</v>
      </c>
      <c r="C8" s="7" t="s">
        <v>1841</v>
      </c>
      <c r="D8" s="47"/>
      <c r="E8" s="7"/>
      <c r="I8" s="12" t="s">
        <v>1289</v>
      </c>
      <c r="J8" s="12" t="s">
        <v>1290</v>
      </c>
      <c r="K8" s="12" t="s">
        <v>1291</v>
      </c>
      <c r="L8" s="12" t="s">
        <v>1292</v>
      </c>
      <c r="M8" s="11" t="s">
        <v>1293</v>
      </c>
      <c r="P8" s="34" t="s">
        <v>1328</v>
      </c>
      <c r="Q8" s="34">
        <v>6</v>
      </c>
    </row>
    <row r="9" spans="1:19" ht="30.25" thickBot="1" x14ac:dyDescent="0.9">
      <c r="B9" s="47" t="s">
        <v>1484</v>
      </c>
      <c r="C9" s="12" t="s">
        <v>1842</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1814</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1815</v>
      </c>
      <c r="E15" s="12"/>
      <c r="F15" s="49" t="s">
        <v>1294</v>
      </c>
      <c r="G15" s="78"/>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73.75" x14ac:dyDescent="0.75">
      <c r="A16" s="44"/>
      <c r="B16" s="11" t="str">
        <f>SystemicTreatment!B9</f>
        <v>typeOfSystemicTreatment</v>
      </c>
      <c r="C16" s="11" t="str">
        <f>SystemicTreatment!C9</f>
        <v>type of systemic treatment</v>
      </c>
      <c r="D16" s="12" t="s">
        <v>1843</v>
      </c>
      <c r="E16" s="12"/>
      <c r="F16" s="49" t="s">
        <v>1316</v>
      </c>
      <c r="G16" s="78" t="s">
        <v>2378</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1843</v>
      </c>
      <c r="E17" s="12"/>
      <c r="F17" s="49" t="s">
        <v>1294</v>
      </c>
      <c r="G17" s="49" t="s">
        <v>1485</v>
      </c>
      <c r="H17" s="43"/>
      <c r="I17" s="12" t="str">
        <f t="shared" si="7"/>
        <v>* group[=].element[+].code = #SystemicTreatment.intent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1843</v>
      </c>
      <c r="E18" s="12"/>
      <c r="F18" s="49" t="s">
        <v>1294</v>
      </c>
      <c r="G18" s="77" t="s">
        <v>1485</v>
      </c>
      <c r="H18" s="43"/>
      <c r="I18" s="12" t="str">
        <f t="shared" si="7"/>
        <v>* group[=].element[+].code = #SystemicTreatment.setting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1624</v>
      </c>
      <c r="E19" s="12"/>
      <c r="F19" s="49" t="s">
        <v>1316</v>
      </c>
      <c r="G19" s="78"/>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1844</v>
      </c>
      <c r="E20" s="12"/>
      <c r="F20" s="49" t="s">
        <v>1316</v>
      </c>
      <c r="G20" s="78"/>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7" t="s">
        <v>2351</v>
      </c>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78"/>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1845</v>
      </c>
      <c r="E23" s="11"/>
      <c r="F23" s="49" t="s">
        <v>1294</v>
      </c>
      <c r="G23" s="77"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1845</v>
      </c>
      <c r="E24" s="11"/>
      <c r="F24" s="49" t="s">
        <v>1294</v>
      </c>
      <c r="G24" s="77"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1845</v>
      </c>
      <c r="E25" s="11"/>
      <c r="F25" s="49" t="s">
        <v>1294</v>
      </c>
      <c r="G25" s="77"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7"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7"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1846</v>
      </c>
      <c r="E28" s="12"/>
      <c r="F28" s="49" t="s">
        <v>1294</v>
      </c>
      <c r="G28" s="78"/>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1847</v>
      </c>
      <c r="E29" s="12"/>
      <c r="F29" s="49" t="s">
        <v>1294</v>
      </c>
      <c r="G29" s="77" t="s">
        <v>1848</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B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1850</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6"/>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25" zoomScale="115" zoomScaleNormal="115" workbookViewId="0">
      <selection activeCell="A18" sqref="A18"/>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1948</v>
      </c>
      <c r="L4" s="16" t="str">
        <f>CONCATENATE("Logical: ",B4)</f>
        <v>Logical: RadiotherapyI4rc</v>
      </c>
    </row>
    <row r="5" spans="1:18" ht="15.5" thickBot="1" x14ac:dyDescent="0.9">
      <c r="A5" s="14" t="s">
        <v>16</v>
      </c>
      <c r="B5" s="30" t="s">
        <v>1735</v>
      </c>
      <c r="L5" s="16" t="str">
        <f>CONCATENATE("Id: ",B5)</f>
        <v>Id: Radiotherapy</v>
      </c>
    </row>
    <row r="6" spans="1:18" ht="15.5" thickBot="1" x14ac:dyDescent="0.9">
      <c r="A6" s="14" t="s">
        <v>10</v>
      </c>
      <c r="B6" s="30" t="s">
        <v>1735</v>
      </c>
      <c r="L6" s="17" t="str">
        <f>CONCATENATE("Title: ##34#",B6,"##34#")</f>
        <v>Title: ##34#Radiotherapy##34#</v>
      </c>
    </row>
    <row r="7" spans="1:18" x14ac:dyDescent="0.75">
      <c r="A7" s="26" t="s">
        <v>2</v>
      </c>
      <c r="B7" s="30" t="s">
        <v>1735</v>
      </c>
      <c r="C7" s="9" t="s">
        <v>3</v>
      </c>
      <c r="D7" s="1" t="s">
        <v>4</v>
      </c>
      <c r="E7" s="3" t="s">
        <v>5</v>
      </c>
      <c r="F7" s="3" t="s">
        <v>6</v>
      </c>
      <c r="G7" s="3" t="s">
        <v>7</v>
      </c>
      <c r="H7" s="64" t="s">
        <v>1384</v>
      </c>
      <c r="I7" s="122" t="s">
        <v>2110</v>
      </c>
      <c r="J7" s="122" t="s">
        <v>2111</v>
      </c>
      <c r="L7" s="17" t="str">
        <f>CONCATENATE("Description: "," ##334#",B7,"##334#",)</f>
        <v>Description:  ##334#Radiotherapy##334#</v>
      </c>
    </row>
    <row r="8" spans="1:18" ht="59" x14ac:dyDescent="0.75">
      <c r="A8" s="59">
        <v>0</v>
      </c>
      <c r="B8" s="11" t="s">
        <v>1599</v>
      </c>
      <c r="C8" s="11" t="s">
        <v>1658</v>
      </c>
      <c r="D8" s="12" t="s">
        <v>1568</v>
      </c>
      <c r="E8" s="11">
        <v>1</v>
      </c>
      <c r="F8" s="11">
        <v>1</v>
      </c>
      <c r="G8" s="136" t="s">
        <v>1620</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1734</v>
      </c>
      <c r="C9" s="11" t="s">
        <v>1735</v>
      </c>
      <c r="D9" s="12" t="s">
        <v>1736</v>
      </c>
      <c r="E9" s="11">
        <v>1</v>
      </c>
      <c r="F9" s="11">
        <v>1</v>
      </c>
      <c r="G9" s="11" t="s">
        <v>1474</v>
      </c>
      <c r="H9" s="12" t="s">
        <v>1681</v>
      </c>
      <c r="I9" s="12" t="b">
        <v>1</v>
      </c>
      <c r="J9" s="12" t="b">
        <v>1</v>
      </c>
      <c r="K9" s="25" t="s">
        <v>1734</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2" t="s">
        <v>1737</v>
      </c>
      <c r="E10" s="11">
        <v>1</v>
      </c>
      <c r="F10" s="11">
        <v>1</v>
      </c>
      <c r="G10" s="11" t="s">
        <v>1474</v>
      </c>
      <c r="H10" s="12" t="s">
        <v>1664</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1436</v>
      </c>
      <c r="C11" s="11" t="s">
        <v>1665</v>
      </c>
      <c r="D11" s="12" t="s">
        <v>1738</v>
      </c>
      <c r="E11" s="11">
        <v>0</v>
      </c>
      <c r="F11" s="11">
        <v>1</v>
      </c>
      <c r="G11" s="11" t="s">
        <v>1474</v>
      </c>
      <c r="H11" s="12" t="s">
        <v>1739</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1740</v>
      </c>
      <c r="C12" s="11" t="s">
        <v>1741</v>
      </c>
      <c r="D12" s="12" t="s">
        <v>1742</v>
      </c>
      <c r="E12" s="11">
        <v>1</v>
      </c>
      <c r="F12" s="11">
        <v>1</v>
      </c>
      <c r="G12" s="11" t="s">
        <v>1474</v>
      </c>
      <c r="H12" s="12" t="s">
        <v>1743</v>
      </c>
      <c r="I12" s="12" t="b">
        <v>1</v>
      </c>
      <c r="J12" s="12" t="b">
        <v>1</v>
      </c>
      <c r="K12" s="25" t="s">
        <v>1740</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9">
        <v>5</v>
      </c>
      <c r="B13" s="11" t="s">
        <v>1744</v>
      </c>
      <c r="C13" s="11" t="s">
        <v>1745</v>
      </c>
      <c r="D13" s="4" t="s">
        <v>1745</v>
      </c>
      <c r="E13" s="11">
        <v>0</v>
      </c>
      <c r="F13" s="11">
        <v>1</v>
      </c>
      <c r="G13" s="11" t="s">
        <v>0</v>
      </c>
      <c r="H13" s="12"/>
      <c r="I13" s="12" t="b">
        <v>1</v>
      </c>
      <c r="J13" s="12" t="b">
        <v>0</v>
      </c>
      <c r="K13" s="25" t="s">
        <v>1744</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1746</v>
      </c>
      <c r="C14" s="11" t="s">
        <v>1747</v>
      </c>
      <c r="D14" s="12" t="s">
        <v>1748</v>
      </c>
      <c r="E14" s="11">
        <v>1</v>
      </c>
      <c r="F14" s="11">
        <v>1</v>
      </c>
      <c r="G14" s="11" t="s">
        <v>1474</v>
      </c>
      <c r="H14" s="12" t="s">
        <v>1749</v>
      </c>
      <c r="I14" s="12" t="b">
        <v>1</v>
      </c>
      <c r="J14" s="12" t="b">
        <v>1</v>
      </c>
      <c r="K14" s="25" t="s">
        <v>1746</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1750</v>
      </c>
      <c r="C15" s="11" t="s">
        <v>1751</v>
      </c>
      <c r="D15" s="12" t="s">
        <v>1752</v>
      </c>
      <c r="E15" s="11">
        <v>1</v>
      </c>
      <c r="F15" s="11">
        <v>1</v>
      </c>
      <c r="G15" s="42" t="s">
        <v>1808</v>
      </c>
      <c r="H15" s="12"/>
      <c r="I15" s="12" t="b">
        <v>1</v>
      </c>
      <c r="J15" s="12" t="b">
        <v>1</v>
      </c>
      <c r="K15" s="25" t="s">
        <v>2251</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60">
        <v>8</v>
      </c>
      <c r="B16" s="11" t="s">
        <v>1753</v>
      </c>
      <c r="C16" s="11" t="s">
        <v>1754</v>
      </c>
      <c r="D16" s="12" t="s">
        <v>1755</v>
      </c>
      <c r="E16" s="11">
        <v>1</v>
      </c>
      <c r="F16" s="11">
        <v>1</v>
      </c>
      <c r="G16" s="42" t="s">
        <v>1808</v>
      </c>
      <c r="H16" s="12"/>
      <c r="I16" s="12" t="b">
        <v>1</v>
      </c>
      <c r="J16" s="12" t="b">
        <v>0</v>
      </c>
      <c r="K16" s="25" t="s">
        <v>2252</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1756</v>
      </c>
      <c r="C17" s="11" t="s">
        <v>1757</v>
      </c>
      <c r="D17" s="12" t="s">
        <v>1758</v>
      </c>
      <c r="E17" s="11">
        <v>1</v>
      </c>
      <c r="F17" s="11">
        <v>1</v>
      </c>
      <c r="G17" s="42" t="s">
        <v>1808</v>
      </c>
      <c r="H17" s="12"/>
      <c r="I17" s="12" t="b">
        <v>1</v>
      </c>
      <c r="J17" s="12" t="b">
        <v>1</v>
      </c>
      <c r="K17" s="25" t="s">
        <v>1756</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1759</v>
      </c>
      <c r="C18" s="11" t="s">
        <v>1760</v>
      </c>
      <c r="D18" s="12" t="s">
        <v>1761</v>
      </c>
      <c r="E18" s="11">
        <v>0</v>
      </c>
      <c r="F18" s="11">
        <v>1</v>
      </c>
      <c r="G18" s="11" t="s">
        <v>1474</v>
      </c>
      <c r="H18" s="12" t="s">
        <v>1699</v>
      </c>
      <c r="I18" s="12" t="b">
        <v>1</v>
      </c>
      <c r="J18" s="12" t="b">
        <v>0</v>
      </c>
      <c r="K18" t="s">
        <v>1759</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1762</v>
      </c>
      <c r="C19" s="11" t="s">
        <v>1763</v>
      </c>
      <c r="D19" s="12" t="s">
        <v>1764</v>
      </c>
      <c r="E19" s="11">
        <v>0</v>
      </c>
      <c r="F19" s="11">
        <v>1</v>
      </c>
      <c r="G19" s="11" t="s">
        <v>1474</v>
      </c>
      <c r="H19" s="12" t="s">
        <v>1699</v>
      </c>
      <c r="I19" s="12" t="b">
        <v>1</v>
      </c>
      <c r="J19" s="12" t="b">
        <v>0</v>
      </c>
      <c r="K19" t="s">
        <v>2253</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1765</v>
      </c>
      <c r="C20" s="11" t="s">
        <v>1766</v>
      </c>
      <c r="D20" s="12" t="s">
        <v>1767</v>
      </c>
      <c r="E20" s="11">
        <v>1</v>
      </c>
      <c r="F20" s="11">
        <v>1</v>
      </c>
      <c r="G20" s="11" t="s">
        <v>43</v>
      </c>
      <c r="H20" s="12"/>
      <c r="I20" s="12" t="b">
        <v>1</v>
      </c>
      <c r="J20" s="12" t="b">
        <v>1</v>
      </c>
      <c r="K20" t="s">
        <v>1765</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1768</v>
      </c>
      <c r="C21" s="11" t="s">
        <v>1769</v>
      </c>
      <c r="D21" s="12" t="s">
        <v>1770</v>
      </c>
      <c r="E21" s="11">
        <v>1</v>
      </c>
      <c r="F21" s="11">
        <v>1</v>
      </c>
      <c r="G21" s="11" t="s">
        <v>43</v>
      </c>
      <c r="H21" s="12"/>
      <c r="I21" s="12" t="b">
        <v>1</v>
      </c>
      <c r="J21" s="12" t="b">
        <v>1</v>
      </c>
      <c r="K21" t="s">
        <v>1768</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1771</v>
      </c>
      <c r="C22" s="11" t="s">
        <v>1772</v>
      </c>
      <c r="D22" s="12" t="s">
        <v>1773</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1792</v>
      </c>
      <c r="C23" s="11" t="s">
        <v>1774</v>
      </c>
      <c r="D23" s="13" t="s">
        <v>1774</v>
      </c>
      <c r="E23" s="11">
        <v>0</v>
      </c>
      <c r="F23" s="11">
        <v>1</v>
      </c>
      <c r="G23" s="11" t="s">
        <v>44</v>
      </c>
      <c r="H23" s="12"/>
      <c r="I23" s="12" t="b">
        <v>1</v>
      </c>
      <c r="J23" s="12" t="b">
        <v>0</v>
      </c>
      <c r="K23" t="s">
        <v>2254</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1793</v>
      </c>
      <c r="C24" s="11" t="s">
        <v>1775</v>
      </c>
      <c r="D24" s="13" t="s">
        <v>1775</v>
      </c>
      <c r="E24" s="11">
        <v>0</v>
      </c>
      <c r="F24" s="11">
        <v>1</v>
      </c>
      <c r="G24" s="11" t="s">
        <v>44</v>
      </c>
      <c r="H24" s="12"/>
      <c r="I24" s="12" t="b">
        <v>1</v>
      </c>
      <c r="J24" s="12" t="b">
        <v>0</v>
      </c>
      <c r="K24" t="s">
        <v>2255</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1794</v>
      </c>
      <c r="C25" s="11" t="s">
        <v>1776</v>
      </c>
      <c r="D25" s="13" t="s">
        <v>1776</v>
      </c>
      <c r="E25" s="11">
        <v>1</v>
      </c>
      <c r="F25" s="11">
        <v>1</v>
      </c>
      <c r="G25" s="11" t="s">
        <v>44</v>
      </c>
      <c r="H25" s="12"/>
      <c r="I25" s="12" t="b">
        <v>1</v>
      </c>
      <c r="J25" s="12" t="b">
        <v>0</v>
      </c>
      <c r="K25" t="s">
        <v>2256</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1795</v>
      </c>
      <c r="C26" s="11" t="s">
        <v>1777</v>
      </c>
      <c r="D26" s="13" t="s">
        <v>1777</v>
      </c>
      <c r="E26" s="11">
        <v>1</v>
      </c>
      <c r="F26" s="11">
        <v>1</v>
      </c>
      <c r="G26" s="11" t="s">
        <v>44</v>
      </c>
      <c r="H26" s="12"/>
      <c r="I26" s="12" t="b">
        <v>1</v>
      </c>
      <c r="J26" s="12" t="b">
        <v>0</v>
      </c>
      <c r="K26" t="s">
        <v>2257</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1796</v>
      </c>
      <c r="C27" s="11" t="s">
        <v>1778</v>
      </c>
      <c r="D27" s="13" t="s">
        <v>1778</v>
      </c>
      <c r="E27" s="11">
        <v>1</v>
      </c>
      <c r="F27" s="11">
        <v>1</v>
      </c>
      <c r="G27" s="11" t="s">
        <v>44</v>
      </c>
      <c r="H27" s="12"/>
      <c r="I27" s="12" t="b">
        <v>1</v>
      </c>
      <c r="J27" s="12" t="b">
        <v>0</v>
      </c>
      <c r="K27" t="s">
        <v>2258</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1779</v>
      </c>
      <c r="C28" s="11" t="s">
        <v>1780</v>
      </c>
      <c r="D28" s="12" t="s">
        <v>1781</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1797</v>
      </c>
      <c r="C29" s="11" t="s">
        <v>1782</v>
      </c>
      <c r="D29" s="13" t="s">
        <v>1782</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1798</v>
      </c>
      <c r="C30" s="11" t="s">
        <v>1784</v>
      </c>
      <c r="D30" s="13" t="s">
        <v>1784</v>
      </c>
      <c r="E30" s="11">
        <v>0</v>
      </c>
      <c r="F30" s="11">
        <v>1</v>
      </c>
      <c r="G30" s="11" t="s">
        <v>44</v>
      </c>
      <c r="H30" s="12"/>
      <c r="I30" s="12" t="b">
        <v>1</v>
      </c>
      <c r="J30" s="12" t="b">
        <v>1</v>
      </c>
      <c r="K30" t="s">
        <v>1783</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1799</v>
      </c>
      <c r="C31" s="12" t="s">
        <v>1785</v>
      </c>
      <c r="D31" s="13" t="s">
        <v>1785</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1800</v>
      </c>
      <c r="C32" s="12" t="s">
        <v>1786</v>
      </c>
      <c r="D32" s="13" t="s">
        <v>1786</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1801</v>
      </c>
      <c r="C33" s="12" t="s">
        <v>1787</v>
      </c>
      <c r="D33" s="13" t="s">
        <v>1787</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1788</v>
      </c>
      <c r="C34" s="12" t="s">
        <v>1789</v>
      </c>
      <c r="D34" s="12" t="s">
        <v>1790</v>
      </c>
      <c r="E34" s="11">
        <v>1</v>
      </c>
      <c r="F34" s="11">
        <v>1</v>
      </c>
      <c r="G34" s="11" t="s">
        <v>1474</v>
      </c>
      <c r="H34" s="12" t="s">
        <v>1791</v>
      </c>
      <c r="I34" s="12" t="b">
        <v>1</v>
      </c>
      <c r="J34" s="12" t="b">
        <v>1</v>
      </c>
      <c r="K34" t="s">
        <v>1788</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2259</v>
      </c>
      <c r="C35" s="11" t="s">
        <v>2263</v>
      </c>
      <c r="D35" s="12" t="s">
        <v>2263</v>
      </c>
      <c r="E35" s="11">
        <v>1</v>
      </c>
      <c r="F35" s="11">
        <v>1</v>
      </c>
      <c r="G35" s="100" t="s">
        <v>1</v>
      </c>
      <c r="H35" s="6"/>
      <c r="I35" s="12" t="b">
        <v>0</v>
      </c>
      <c r="J35" s="12" t="b">
        <v>1</v>
      </c>
      <c r="K35" t="s">
        <v>2259</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2269</v>
      </c>
      <c r="C36" s="11" t="s">
        <v>2263</v>
      </c>
      <c r="D36" s="12" t="s">
        <v>2264</v>
      </c>
      <c r="E36" s="11">
        <v>0</v>
      </c>
      <c r="F36" s="11">
        <v>1</v>
      </c>
      <c r="G36" s="100" t="s">
        <v>43</v>
      </c>
      <c r="H36" s="11"/>
      <c r="I36" s="12" t="b">
        <v>0</v>
      </c>
      <c r="J36" s="12" t="b">
        <v>1</v>
      </c>
      <c r="K36" t="s">
        <v>2260</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2270</v>
      </c>
      <c r="C37" s="11" t="s">
        <v>2263</v>
      </c>
      <c r="D37" s="12" t="s">
        <v>2265</v>
      </c>
      <c r="E37" s="11">
        <v>0</v>
      </c>
      <c r="F37" s="11">
        <v>1</v>
      </c>
      <c r="G37" s="100" t="s">
        <v>43</v>
      </c>
      <c r="H37" s="11"/>
      <c r="I37" s="12" t="b">
        <v>0</v>
      </c>
      <c r="J37" s="12" t="b">
        <v>1</v>
      </c>
      <c r="K37" t="s">
        <v>2261</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2262</v>
      </c>
      <c r="C38" s="11" t="s">
        <v>2266</v>
      </c>
      <c r="D38" s="12" t="s">
        <v>2267</v>
      </c>
      <c r="E38" s="11">
        <v>0</v>
      </c>
      <c r="F38" s="11">
        <v>1</v>
      </c>
      <c r="G38" s="11" t="s">
        <v>1474</v>
      </c>
      <c r="H38" s="12" t="s">
        <v>2268</v>
      </c>
      <c r="I38" s="12" t="b">
        <v>0</v>
      </c>
      <c r="J38" s="12" t="b">
        <v>1</v>
      </c>
      <c r="K38" t="s">
        <v>2262</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1809</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topLeftCell="L169" zoomScale="55" zoomScaleNormal="55"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1824</v>
      </c>
      <c r="D3" s="47" t="s">
        <v>1479</v>
      </c>
      <c r="E3" s="72" t="str">
        <f>$C$1&amp;B14</f>
        <v>http://hl7.eu/fhir/ig/idea4rc/StructureDefinition/RadiotherapyI4rc</v>
      </c>
    </row>
    <row r="4" spans="1:19" x14ac:dyDescent="0.75">
      <c r="B4" s="47" t="s">
        <v>16</v>
      </c>
      <c r="C4" s="28" t="s">
        <v>1824</v>
      </c>
      <c r="D4" s="47" t="s">
        <v>1480</v>
      </c>
      <c r="E4" s="144" t="s">
        <v>1851</v>
      </c>
      <c r="F4" s="145"/>
      <c r="G4" s="145"/>
    </row>
    <row r="5" spans="1:19" x14ac:dyDescent="0.75">
      <c r="B5" s="47" t="s">
        <v>10</v>
      </c>
      <c r="C5" s="7" t="s">
        <v>1825</v>
      </c>
      <c r="D5" s="47"/>
      <c r="E5" s="7"/>
    </row>
    <row r="6" spans="1:19" x14ac:dyDescent="0.75">
      <c r="B6" s="47" t="s">
        <v>18</v>
      </c>
      <c r="C6" s="41"/>
      <c r="D6" s="47" t="s">
        <v>1481</v>
      </c>
      <c r="E6" s="144" t="str">
        <f>E3</f>
        <v>http://hl7.eu/fhir/ig/idea4rc/StructureDefinition/RadiotherapyI4rc</v>
      </c>
      <c r="F6" s="145"/>
      <c r="G6" s="145"/>
    </row>
    <row r="7" spans="1:19" x14ac:dyDescent="0.75">
      <c r="B7" s="47" t="s">
        <v>15</v>
      </c>
      <c r="C7" s="73"/>
      <c r="D7" s="47" t="s">
        <v>1482</v>
      </c>
      <c r="E7" s="144" t="str">
        <f>E4</f>
        <v>http://hl7.eu/fhir/ig/idea4rc/StructureDefinition/Procedure-radiotheraphy-eu-i4rc</v>
      </c>
      <c r="F7" s="145"/>
      <c r="G7" s="145"/>
    </row>
    <row r="8" spans="1:19" ht="15.5" thickBot="1" x14ac:dyDescent="0.9">
      <c r="B8" s="47" t="s">
        <v>1483</v>
      </c>
      <c r="C8" s="7" t="s">
        <v>1825</v>
      </c>
      <c r="D8" s="47"/>
      <c r="E8" s="7"/>
      <c r="I8" s="12"/>
      <c r="J8" s="12"/>
      <c r="K8" s="12"/>
      <c r="L8" s="12"/>
      <c r="M8" s="11"/>
      <c r="P8" s="34" t="s">
        <v>1328</v>
      </c>
      <c r="Q8" s="34">
        <v>6</v>
      </c>
    </row>
    <row r="9" spans="1:19" ht="30.25" thickBot="1" x14ac:dyDescent="0.9">
      <c r="B9" s="47" t="s">
        <v>1484</v>
      </c>
      <c r="C9" s="12" t="s">
        <v>1826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1814</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1815</v>
      </c>
      <c r="E15" s="12"/>
      <c r="F15" s="49" t="s">
        <v>1294</v>
      </c>
      <c r="G15" s="78"/>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73.75" x14ac:dyDescent="0.75">
      <c r="A16" s="44"/>
      <c r="B16" s="11" t="str">
        <f>Radiotherapy!B9</f>
        <v>radiotherapy</v>
      </c>
      <c r="C16" s="11" t="str">
        <f>Radiotherapy!C9</f>
        <v>Radiotherapy</v>
      </c>
      <c r="D16" s="12"/>
      <c r="E16" s="12"/>
      <c r="F16" s="49" t="s">
        <v>1294</v>
      </c>
      <c r="G16" s="77" t="s">
        <v>2379</v>
      </c>
      <c r="I16" s="12" t="str">
        <f t="shared" ref="I16:I41" si="7">"* group[=].element[+].code = #"&amp;$B$14&amp;"."&amp;B16</f>
        <v>* group[=].element[+].code = #RadiotherapyI4rc.radiotherapy</v>
      </c>
      <c r="J16" s="12" t="str">
        <f t="shared" ref="J16:J41" si="8">"* group[=].element[=].display = ##34#"&amp;C16&amp;"##34#"</f>
        <v>* group[=].element[=].display = ##34#Radiotherapy##34#</v>
      </c>
      <c r="K16" s="12" t="str">
        <f t="shared" ref="K16:K41" si="9">IF(F16="unmatched","//-- unmatched","* group[=].element[=].target.code = #"&amp;$D$14&amp;"."&amp;D16)</f>
        <v>* group[=].element[=].target.code = #Procedure.</v>
      </c>
      <c r="L16" s="12" t="str">
        <f t="shared" ref="L16:L41" si="10">IF(F16="unmatched","//-- unmatched","* group[=].element[=].target.display = ##34#"&amp;E16&amp;"##34#")</f>
        <v>* group[=].element[=].target.display = ##34###34#</v>
      </c>
      <c r="M16" s="12" t="str">
        <f t="shared" ref="M16:M41" si="11">"* group[=].element[=].target.equivalence = #"&amp;F16</f>
        <v>* group[=].element[=].target.equivalence = #relatedto</v>
      </c>
      <c r="N16" s="12" t="str">
        <f t="shared" ref="N16:N41" si="12">IF(G16&lt;&gt;"",CONCATENATE("* group[=].element[=].target.comment = ","##34#",G16,"##34#"),"")</f>
        <v>* group[=].element[=].target.comment = ##34#to be analyzed: the element covers different conceppt, please clarify. ##34#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2380</v>
      </c>
      <c r="E17" s="12"/>
      <c r="F17" s="49" t="s">
        <v>1294</v>
      </c>
      <c r="G17" s="77" t="s">
        <v>2381</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INDEX('Radiotherapy-ConceptMap-1'!$I$15:$N$124,Q17+1,R17)</f>
        <v>* group[=].element[=].target.code = #Procedure.reasonReference</v>
      </c>
    </row>
    <row r="18" spans="1:19" ht="73.75" x14ac:dyDescent="0.75">
      <c r="A18" s="44"/>
      <c r="B18" s="11" t="str">
        <f>Radiotherapy!B11</f>
        <v>setting</v>
      </c>
      <c r="C18" s="11" t="str">
        <f>Radiotherapy!C11</f>
        <v>Setting</v>
      </c>
      <c r="D18" s="12" t="s">
        <v>1838</v>
      </c>
      <c r="E18" s="12"/>
      <c r="F18" s="49" t="s">
        <v>1294</v>
      </c>
      <c r="G18" s="77"/>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1834</v>
      </c>
      <c r="E19" s="12"/>
      <c r="F19" s="49" t="s">
        <v>1294</v>
      </c>
      <c r="G19" s="78"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1835</v>
      </c>
      <c r="E20" s="12"/>
      <c r="F20" s="49" t="s">
        <v>1311</v>
      </c>
      <c r="G20" s="78"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1829</v>
      </c>
      <c r="E21" s="12"/>
      <c r="F21" s="49" t="s">
        <v>1294</v>
      </c>
      <c r="G21" s="78"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1830</v>
      </c>
      <c r="E22" s="12"/>
      <c r="F22" s="49" t="s">
        <v>1316</v>
      </c>
      <c r="G22" s="78"/>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77" t="s">
        <v>1831</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v>
      </c>
    </row>
    <row r="24" spans="1:19" ht="29.5" customHeight="1" x14ac:dyDescent="0.75">
      <c r="A24" s="44"/>
      <c r="B24" s="11" t="str">
        <f>Radiotherapy!B17</f>
        <v>numberOfFractions</v>
      </c>
      <c r="C24" s="11" t="str">
        <f>Radiotherapy!C17</f>
        <v>Number of fractions</v>
      </c>
      <c r="D24" s="12" t="s">
        <v>2382</v>
      </c>
      <c r="E24" s="11"/>
      <c r="F24" s="49" t="s">
        <v>1294</v>
      </c>
      <c r="G24" s="78"/>
      <c r="H24" s="43"/>
      <c r="I24" s="12" t="str">
        <f t="shared" si="7"/>
        <v>* group[=].element[+].code = #RadiotherapyI4rc.numberOfFractions</v>
      </c>
      <c r="J24" s="12" t="str">
        <f t="shared" si="8"/>
        <v>* group[=].element[=].display = ##34#Number of fractions##34#</v>
      </c>
      <c r="K24" s="12" t="str">
        <f t="shared" si="9"/>
        <v>* group[=].element[=].target.code = #Procedure.extension:doseToVolume.extension:fractionsDelivered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1832</v>
      </c>
      <c r="E25" s="11"/>
      <c r="F25" s="49" t="s">
        <v>1294</v>
      </c>
      <c r="G25" s="77" t="s">
        <v>1833</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1829</v>
      </c>
      <c r="E26" s="12"/>
      <c r="F26" s="49" t="s">
        <v>1294</v>
      </c>
      <c r="G26" s="77"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the element covers different conceppt, please clarify. ##34#</v>
      </c>
    </row>
    <row r="27" spans="1:19" ht="73.75" x14ac:dyDescent="0.75">
      <c r="A27" s="44"/>
      <c r="B27" s="11" t="str">
        <f>Radiotherapy!B20</f>
        <v>startDate</v>
      </c>
      <c r="C27" s="11" t="str">
        <f>Radiotherapy!C20</f>
        <v>Start date</v>
      </c>
      <c r="D27" s="12" t="s">
        <v>1836</v>
      </c>
      <c r="E27" s="12"/>
      <c r="F27" s="49" t="s">
        <v>1317</v>
      </c>
      <c r="G27" s="78"/>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1837</v>
      </c>
      <c r="E28" s="12"/>
      <c r="F28" s="49" t="s">
        <v>1317</v>
      </c>
      <c r="G28" s="78"/>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1625</v>
      </c>
      <c r="E29" s="12"/>
      <c r="F29" s="49" t="s">
        <v>1316</v>
      </c>
      <c r="G29" s="78"/>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#Procedure.extension:treatmentIntent</v>
      </c>
    </row>
    <row r="30" spans="1:19" ht="59" x14ac:dyDescent="0.75">
      <c r="B30" s="11" t="str">
        <f>Radiotherapy!B23</f>
        <v>treatmentSites.primary</v>
      </c>
      <c r="C30" s="11" t="str">
        <f>Radiotherapy!C23</f>
        <v>Primary</v>
      </c>
      <c r="D30" s="12" t="s">
        <v>1625</v>
      </c>
      <c r="E30" s="12"/>
      <c r="F30" s="49" t="s">
        <v>1294</v>
      </c>
      <c r="G30" s="77" t="s">
        <v>2383</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INDEX('Radiotherapy-ConceptMap-1'!$I$15:$N$124,Q30+1,R30)</f>
        <v>* group[=].element[=].target.display = ##34###34#</v>
      </c>
    </row>
    <row r="31" spans="1:19" ht="59" x14ac:dyDescent="0.75">
      <c r="B31" s="11" t="str">
        <f>Radiotherapy!B24</f>
        <v>treatmentSites.neck</v>
      </c>
      <c r="C31" s="11" t="str">
        <f>Radiotherapy!C24</f>
        <v>Neck</v>
      </c>
      <c r="D31" s="12" t="s">
        <v>1625</v>
      </c>
      <c r="E31" s="12"/>
      <c r="F31" s="49" t="s">
        <v>1294</v>
      </c>
      <c r="G31" s="77" t="s">
        <v>2383</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INDEX('Radiotherapy-ConceptMap-1'!$I$15:$N$124,Q31+1,R31)</f>
        <v>* group[=].element[=].target.equivalence = #relatedto</v>
      </c>
    </row>
    <row r="32" spans="1:19" ht="59" x14ac:dyDescent="0.75">
      <c r="B32" s="11" t="str">
        <f>Radiotherapy!B25</f>
        <v>treatmentSites.primaryAndIpsilateralNeck</v>
      </c>
      <c r="C32" s="11" t="str">
        <f>Radiotherapy!C25</f>
        <v>Primary and Ipsilateral Neck</v>
      </c>
      <c r="D32" s="12" t="s">
        <v>1625</v>
      </c>
      <c r="E32" s="12"/>
      <c r="F32" s="49" t="s">
        <v>1294</v>
      </c>
      <c r="G32" s="77" t="s">
        <v>2383</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INDEX('Radiotherapy-ConceptMap-1'!$I$15:$N$124,Q32+1,R32)</f>
        <v>* group[=].element[=].target.comment = ##34#from mcode https://build.fhir.org/ig/HL7/fhir-mCODE-ig/StructureDefinition-mcode-radiotherapy-course-summary.html##34#</v>
      </c>
    </row>
    <row r="33" spans="1:19" ht="59" x14ac:dyDescent="0.75">
      <c r="B33" s="11" t="str">
        <f>Radiotherapy!B26</f>
        <v>treatmentSites.primaryAndBilateralNeck</v>
      </c>
      <c r="C33" s="11" t="str">
        <f>Radiotherapy!C26</f>
        <v>Primary and Bilateral Neck</v>
      </c>
      <c r="D33" s="12" t="s">
        <v>1625</v>
      </c>
      <c r="E33" s="12"/>
      <c r="F33" s="49" t="s">
        <v>1294</v>
      </c>
      <c r="G33" s="77" t="s">
        <v>2383</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INDEX('Radiotherapy-ConceptMap-1'!$I$15:$N$124,Q33+1,R33)</f>
        <v>* group[=].element[+].code = #RadiotherapyI4rc.setting</v>
      </c>
    </row>
    <row r="34" spans="1:19" ht="59" x14ac:dyDescent="0.75">
      <c r="B34" s="11" t="str">
        <f>Radiotherapy!B27</f>
        <v>treatmentSites.distantMetastasis</v>
      </c>
      <c r="C34" s="11" t="str">
        <f>Radiotherapy!C27</f>
        <v>Distant Metastasis</v>
      </c>
      <c r="D34" s="12" t="s">
        <v>1625</v>
      </c>
      <c r="E34" s="12"/>
      <c r="F34" s="49" t="s">
        <v>1294</v>
      </c>
      <c r="G34" s="77" t="s">
        <v>2383</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the availability of proper coded concepts##34#</v>
      </c>
      <c r="P34" s="11">
        <v>20</v>
      </c>
      <c r="Q34" s="11">
        <f t="shared" si="13"/>
        <v>3</v>
      </c>
      <c r="R34" s="11">
        <f t="shared" si="14"/>
        <v>2</v>
      </c>
      <c r="S34" s="12" t="str" cm="1">
        <f t="array" ref="S34">INDEX('Radiotherapy-ConceptMap-1'!$I$15:$N$124,Q34+1,R34)</f>
        <v>* group[=].element[=].display = ##34#Setting##34#</v>
      </c>
    </row>
    <row r="35" spans="1:19" ht="73.75" x14ac:dyDescent="0.75">
      <c r="B35" s="11" t="str">
        <f>Radiotherapy!B28</f>
        <v>metastaticTreatmentSites</v>
      </c>
      <c r="C35" s="11" t="str">
        <f>Radiotherapy!C28</f>
        <v>Metastatic Treatment Sites:</v>
      </c>
      <c r="D35" s="12" t="s">
        <v>1625</v>
      </c>
      <c r="E35" s="12"/>
      <c r="F35" s="49" t="s">
        <v>1294</v>
      </c>
      <c r="G35" s="77" t="s">
        <v>2385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if  a specific bodySite qualifer should be used##34#</v>
      </c>
      <c r="P35" s="11">
        <v>21</v>
      </c>
      <c r="Q35" s="11">
        <f t="shared" si="13"/>
        <v>3</v>
      </c>
      <c r="R35" s="11">
        <f t="shared" si="14"/>
        <v>3</v>
      </c>
      <c r="S35" s="12" t="str" cm="1">
        <f t="array" ref="S35">INDEX('Radiotherapy-ConceptMap-1'!$I$15:$N$124,Q35+1,R35)</f>
        <v>* group[=].element[=].target.code = #Procedure.extension:procedureCategoryR5</v>
      </c>
    </row>
    <row r="36" spans="1:19" ht="59" x14ac:dyDescent="0.75">
      <c r="B36" s="11" t="str">
        <f>Radiotherapy!B29</f>
        <v>metastaticTreatmentSites.lung</v>
      </c>
      <c r="C36" s="11" t="str">
        <f>Radiotherapy!C29</f>
        <v xml:space="preserve">Lung
</v>
      </c>
      <c r="D36" s="12" t="s">
        <v>1625</v>
      </c>
      <c r="E36" s="12"/>
      <c r="F36" s="49" t="s">
        <v>1294</v>
      </c>
      <c r="G36" s="77" t="s">
        <v>2383</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INDEX('Radiotherapy-ConceptMap-1'!$I$15:$N$124,Q36+1,R36)</f>
        <v>* group[=].element[=].target.display = ##34###34#</v>
      </c>
    </row>
    <row r="37" spans="1:19" ht="59" x14ac:dyDescent="0.75">
      <c r="B37" s="11" t="str">
        <f>Radiotherapy!B30</f>
        <v>metastaticTreatmentSites.mediastinum</v>
      </c>
      <c r="C37" s="11" t="str">
        <f>Radiotherapy!C30</f>
        <v xml:space="preserve">Mediastinum
</v>
      </c>
      <c r="D37" s="12" t="s">
        <v>1625</v>
      </c>
      <c r="E37" s="12"/>
      <c r="F37" s="49" t="s">
        <v>1294</v>
      </c>
      <c r="G37" s="77" t="s">
        <v>2383</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1625</v>
      </c>
      <c r="E38" s="12"/>
      <c r="F38" s="49" t="s">
        <v>1294</v>
      </c>
      <c r="G38" s="77" t="s">
        <v>2383</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INDEX('Radiotherapy-ConceptMap-1'!$I$15:$N$124,Q38+1,R38)</f>
        <v/>
      </c>
    </row>
    <row r="39" spans="1:19" ht="59" x14ac:dyDescent="0.75">
      <c r="B39" s="11" t="str">
        <f>Radiotherapy!B32</f>
        <v>metastaticTreatmentSites.softTissue</v>
      </c>
      <c r="C39" s="11" t="str">
        <f>Radiotherapy!C32</f>
        <v xml:space="preserve">Soft Tissue
</v>
      </c>
      <c r="D39" s="12" t="s">
        <v>1625</v>
      </c>
      <c r="E39" s="12"/>
      <c r="F39" s="49" t="s">
        <v>1294</v>
      </c>
      <c r="G39" s="77" t="s">
        <v>2383</v>
      </c>
      <c r="H39" s="43"/>
      <c r="I39" s="12" t="str">
        <f t="shared" si="7"/>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INDEX('Radiotherapy-ConceptMap-1'!$I$15:$N$124,Q39+1,R39)</f>
        <v>* group[=].element[+].code = #RadiotherapyI4rc.beamQuality</v>
      </c>
    </row>
    <row r="40" spans="1:19" s="2" customFormat="1" ht="59" x14ac:dyDescent="0.75">
      <c r="A40"/>
      <c r="B40" s="11" t="str">
        <f>Radiotherapy!B33</f>
        <v>metastaticTreatmentSites.liver</v>
      </c>
      <c r="C40" s="11" t="str">
        <f>Radiotherapy!C33</f>
        <v xml:space="preserve">Liver
</v>
      </c>
      <c r="D40" s="12" t="s">
        <v>1625</v>
      </c>
      <c r="E40" s="12"/>
      <c r="F40" s="49" t="s">
        <v>1294</v>
      </c>
      <c r="G40" s="77" t="s">
        <v>2383</v>
      </c>
      <c r="H40" s="43"/>
      <c r="I40" s="12" t="str">
        <f t="shared" si="7"/>
        <v>* group[=].element[+].code = #RadiotherapyI4rc.metastaticTreatmentSites.liver</v>
      </c>
      <c r="J40" s="12" t="str">
        <f t="shared" si="8"/>
        <v>* group[=].element[=].display = ##34#Liver
##34#</v>
      </c>
      <c r="K40" s="12" t="str">
        <f t="shared" si="9"/>
        <v>* group[=].element[=].target.code = #Procedure.bodySite</v>
      </c>
      <c r="L40" s="12" t="str">
        <f t="shared" si="10"/>
        <v>* group[=].element[=].target.display = ##34###34#</v>
      </c>
      <c r="M40" s="12" t="str">
        <f t="shared" si="11"/>
        <v>* group[=].element[=].target.equivalence = #relatedto</v>
      </c>
      <c r="N40" s="12" t="str">
        <f t="shared" si="12"/>
        <v>* group[=].element[=].target.comment = ##34#check the availability of proper coded concepts##34#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1832</v>
      </c>
      <c r="E41" s="11"/>
      <c r="F41" s="49" t="s">
        <v>1294</v>
      </c>
      <c r="G41" s="77" t="s">
        <v>2384</v>
      </c>
      <c r="H41" s="43"/>
      <c r="I41" s="12" t="str">
        <f t="shared" si="7"/>
        <v>* group[=].element[+].code = #RadiotherapyI4rc.treatmentCompletedAsPlanned</v>
      </c>
      <c r="J41" s="12" t="str">
        <f t="shared" si="8"/>
        <v>* group[=].element[=].display = ##34#Treatment Completed as Planned?##34#</v>
      </c>
      <c r="K41" s="12" t="str">
        <f t="shared" si="9"/>
        <v>* group[=].element[=].target.code = #Procedure.extension:terminationReason</v>
      </c>
      <c r="L41" s="12" t="str">
        <f t="shared" si="10"/>
        <v>* group[=].element[=].target.display = ##34###34#</v>
      </c>
      <c r="M41" s="12" t="str">
        <f t="shared" si="11"/>
        <v>* group[=].element[=].target.equivalence = #relatedto</v>
      </c>
      <c r="N41" s="12" t="str">
        <f t="shared" si="12"/>
        <v>* group[=].element[=].target.comment = ##34#to be reviewed; extension to be localized to change the used value set. Chack if the statusReason can be used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#Procedure.extension:doseToVolume.extension:fractionsDelivered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15"/>
        <v>11</v>
      </c>
      <c r="R81" s="11">
        <f t="shared" si="16"/>
        <v>1</v>
      </c>
      <c r="S81" s="12" t="str" cm="1">
        <f t="array" ref="S81">INDEX('Radiotherapy-ConceptMap-1'!$I$15:$N$124,Q81+1,R81)</f>
        <v>* group[=].element[+].code = #RadiotherapyI4rc.igrtImageGuideRadiotherapy</v>
      </c>
    </row>
    <row r="82" spans="16:19" x14ac:dyDescent="0.75">
      <c r="P82" s="11">
        <v>68</v>
      </c>
      <c r="Q82" s="11">
        <f t="shared" si="15"/>
        <v>11</v>
      </c>
      <c r="R82" s="11">
        <f t="shared" si="16"/>
        <v>2</v>
      </c>
      <c r="S82" s="12" t="str" cm="1">
        <f t="array" ref="S82">INDEX('Radiotherapy-ConceptMap-1'!$I$15:$N$124,Q82+1,R82)</f>
        <v>* group[=].element[=].display = ##34#IGRT  (image guide radiotherapy)##34#</v>
      </c>
    </row>
    <row r="83" spans="16:19" x14ac:dyDescent="0.75">
      <c r="P83" s="11">
        <v>69</v>
      </c>
      <c r="Q83" s="11">
        <f t="shared" si="15"/>
        <v>11</v>
      </c>
      <c r="R83" s="11">
        <f t="shared" si="16"/>
        <v>3</v>
      </c>
      <c r="S83" s="12" t="str" cm="1">
        <f t="array" ref="S83">INDEX('Radiotherapy-ConceptMap-1'!$I$15:$N$124,Q83+1,R83)</f>
        <v>* group[=].element[=].target.code = #Procedure.extension:modalityAndTechnique.extension:technique.valueCodeableConcept</v>
      </c>
    </row>
    <row r="84" spans="16:19" x14ac:dyDescent="0.75">
      <c r="P84" s="11">
        <v>70</v>
      </c>
      <c r="Q84" s="11">
        <f t="shared" si="15"/>
        <v>11</v>
      </c>
      <c r="R84" s="11">
        <f t="shared" si="16"/>
        <v>4</v>
      </c>
      <c r="S84" s="12" t="str" cm="1">
        <f t="array" ref="S84">INDEX('Radiotherapy-ConceptMap-1'!$I$15:$N$124,Q84+1,R84)</f>
        <v>* group[=].element[=].target.display = ##34###34#</v>
      </c>
    </row>
    <row r="85" spans="16:19" x14ac:dyDescent="0.75">
      <c r="P85" s="11">
        <v>71</v>
      </c>
      <c r="Q85" s="11">
        <f t="shared" si="15"/>
        <v>11</v>
      </c>
      <c r="R85" s="11">
        <f t="shared" si="16"/>
        <v>5</v>
      </c>
      <c r="S85" s="12" t="str" cm="1">
        <f t="array" ref="S85">INDEX('Radiotherapy-ConceptMap-1'!$I$15:$N$124,Q85+1,R85)</f>
        <v>* group[=].element[=].target.equivalence = #relatedto</v>
      </c>
    </row>
    <row r="86" spans="16:19" x14ac:dyDescent="0.75">
      <c r="P86" s="11">
        <v>72</v>
      </c>
      <c r="Q86" s="11">
        <f t="shared" si="15"/>
        <v>11</v>
      </c>
      <c r="R86" s="11">
        <f t="shared" si="16"/>
        <v>6</v>
      </c>
      <c r="S86" s="12" t="str" cm="1">
        <f t="array" ref="S86">INDEX('Radiotherapy-ConceptMap-1'!$I$15:$N$124,Q86+1,R86)</f>
        <v>* group[=].element[=].target.comment = ##34#to be checked##34#</v>
      </c>
    </row>
    <row r="87" spans="16:19" x14ac:dyDescent="0.75">
      <c r="P87" s="11">
        <v>73</v>
      </c>
      <c r="Q87" s="11">
        <f t="shared" si="15"/>
        <v>12</v>
      </c>
      <c r="R87" s="11">
        <f t="shared" si="16"/>
        <v>1</v>
      </c>
      <c r="S87" s="12" t="str" cm="1">
        <f t="array" ref="S87">INDEX('Radiotherapy-ConceptMap-1'!$I$15:$N$124,Q87+1,R87)</f>
        <v>* group[=].element[+].code = #RadiotherapyI4rc.startDate</v>
      </c>
    </row>
    <row r="88" spans="16:19" x14ac:dyDescent="0.75">
      <c r="P88" s="11">
        <v>74</v>
      </c>
      <c r="Q88" s="11">
        <f t="shared" si="15"/>
        <v>12</v>
      </c>
      <c r="R88" s="11">
        <f t="shared" si="16"/>
        <v>2</v>
      </c>
      <c r="S88" s="12" t="str" cm="1">
        <f t="array" ref="S88">INDEX('Radiotherapy-ConceptMap-1'!$I$15:$N$124,Q88+1,R88)</f>
        <v>* group[=].element[=].display = ##34#Start date##34#</v>
      </c>
    </row>
    <row r="89" spans="16:19" x14ac:dyDescent="0.75">
      <c r="P89" s="11">
        <v>75</v>
      </c>
      <c r="Q89" s="11">
        <f t="shared" si="15"/>
        <v>12</v>
      </c>
      <c r="R89" s="11">
        <f t="shared" si="16"/>
        <v>3</v>
      </c>
      <c r="S89" s="12" t="str" cm="1">
        <f t="array" ref="S89">INDEX('Radiotherapy-ConceptMap-1'!$I$15:$N$124,Q89+1,R89)</f>
        <v>* group[=].element[=].target.code = #Procedure.performedPeriod.start</v>
      </c>
    </row>
    <row r="90" spans="16:19" x14ac:dyDescent="0.75">
      <c r="P90" s="11">
        <v>76</v>
      </c>
      <c r="Q90" s="11">
        <f t="shared" si="15"/>
        <v>12</v>
      </c>
      <c r="R90" s="11">
        <f t="shared" si="16"/>
        <v>4</v>
      </c>
      <c r="S90" s="12" t="str" cm="1">
        <f t="array" ref="S90">INDEX('Radiotherapy-ConceptMap-1'!$I$15:$N$124,Q90+1,R90)</f>
        <v>* group[=].element[=].target.display = ##34###34#</v>
      </c>
    </row>
    <row r="91" spans="16:19" x14ac:dyDescent="0.75">
      <c r="P91" s="11">
        <v>77</v>
      </c>
      <c r="Q91" s="11">
        <f t="shared" si="15"/>
        <v>12</v>
      </c>
      <c r="R91" s="11">
        <f t="shared" si="16"/>
        <v>5</v>
      </c>
      <c r="S91" s="12" t="str" cm="1">
        <f t="array" ref="S91">INDEX('Radiotherapy-ConceptMap-1'!$I$15:$N$124,Q91+1,R91)</f>
        <v>* group[=].element[=].target.equivalence = #equal</v>
      </c>
    </row>
    <row r="92" spans="16:19" x14ac:dyDescent="0.75">
      <c r="P92" s="11">
        <v>78</v>
      </c>
      <c r="Q92" s="11">
        <f t="shared" si="15"/>
        <v>12</v>
      </c>
      <c r="R92" s="11">
        <f t="shared" si="16"/>
        <v>6</v>
      </c>
      <c r="S92" s="12" t="str" cm="1">
        <f t="array" ref="S92">INDEX('Radiotherapy-ConceptMap-1'!$I$15:$N$124,Q92+1,R92)</f>
        <v/>
      </c>
    </row>
    <row r="93" spans="16:19" x14ac:dyDescent="0.75">
      <c r="P93" s="11">
        <v>79</v>
      </c>
      <c r="Q93" s="11">
        <f t="shared" si="15"/>
        <v>13</v>
      </c>
      <c r="R93" s="11">
        <f t="shared" si="16"/>
        <v>1</v>
      </c>
      <c r="S93" s="12" t="str" cm="1">
        <f t="array" ref="S93">INDEX('Radiotherapy-ConceptMap-1'!$I$15:$N$124,Q93+1,R93)</f>
        <v>* group[=].element[+].code = #RadiotherapyI4rc.endDate</v>
      </c>
    </row>
    <row r="94" spans="16:19" x14ac:dyDescent="0.75">
      <c r="P94" s="11">
        <v>80</v>
      </c>
      <c r="Q94" s="11">
        <f t="shared" si="15"/>
        <v>13</v>
      </c>
      <c r="R94" s="11">
        <f t="shared" si="16"/>
        <v>2</v>
      </c>
      <c r="S94" s="12" t="str" cm="1">
        <f t="array" ref="S94">INDEX('Radiotherapy-ConceptMap-1'!$I$15:$N$124,Q94+1,R94)</f>
        <v>* group[=].element[=].display = ##34#End  date##34#</v>
      </c>
    </row>
    <row r="95" spans="16:19" x14ac:dyDescent="0.75">
      <c r="P95" s="11">
        <v>81</v>
      </c>
      <c r="Q95" s="11">
        <f t="shared" si="15"/>
        <v>13</v>
      </c>
      <c r="R95" s="11">
        <f t="shared" si="16"/>
        <v>3</v>
      </c>
      <c r="S95" s="12" t="str" cm="1">
        <f t="array" ref="S95">INDEX('Radiotherapy-ConceptMap-1'!$I$15:$N$124,Q95+1,R95)</f>
        <v>* group[=].element[=].target.code = #Procedure.performedPeriod.end</v>
      </c>
    </row>
    <row r="96" spans="16:19" x14ac:dyDescent="0.75">
      <c r="P96" s="11">
        <v>82</v>
      </c>
      <c r="Q96" s="11">
        <f t="shared" si="15"/>
        <v>13</v>
      </c>
      <c r="R96" s="11">
        <f t="shared" si="16"/>
        <v>4</v>
      </c>
      <c r="S96" s="12" t="str" cm="1">
        <f t="array" ref="S96">INDEX('Radiotherapy-ConceptMap-1'!$I$15:$N$124,Q96+1,R96)</f>
        <v>* group[=].element[=].target.display = ##34###34#</v>
      </c>
    </row>
    <row r="97" spans="16:19" x14ac:dyDescent="0.75">
      <c r="P97" s="11">
        <v>83</v>
      </c>
      <c r="Q97" s="11">
        <f t="shared" si="15"/>
        <v>13</v>
      </c>
      <c r="R97" s="11">
        <f t="shared" si="16"/>
        <v>5</v>
      </c>
      <c r="S97" s="12" t="str" cm="1">
        <f t="array" ref="S97">INDEX('Radiotherapy-ConceptMap-1'!$I$15:$N$124,Q97+1,R97)</f>
        <v>* group[=].element[=].target.equivalence = #equal</v>
      </c>
    </row>
    <row r="98" spans="16:19" x14ac:dyDescent="0.75">
      <c r="P98" s="11">
        <v>84</v>
      </c>
      <c r="Q98" s="11">
        <f t="shared" si="15"/>
        <v>13</v>
      </c>
      <c r="R98" s="11">
        <f t="shared" si="16"/>
        <v>6</v>
      </c>
      <c r="S98" s="12" t="str" cm="1">
        <f t="array" ref="S98">INDEX('Radiotherapy-ConceptMap-1'!$I$15:$N$124,Q98+1,R98)</f>
        <v/>
      </c>
    </row>
    <row r="99" spans="16:19" x14ac:dyDescent="0.75">
      <c r="P99" s="11">
        <v>85</v>
      </c>
      <c r="Q99" s="11">
        <f t="shared" si="15"/>
        <v>14</v>
      </c>
      <c r="R99" s="11">
        <f t="shared" si="16"/>
        <v>1</v>
      </c>
      <c r="S99" s="12" t="str" cm="1">
        <f t="array" ref="S99">INDEX('Radiotherapy-ConceptMap-1'!$I$15:$N$124,Q99+1,R99)</f>
        <v>* group[=].element[+].code = #RadiotherapyI4rc.treatmentSites</v>
      </c>
    </row>
    <row r="100" spans="16:19" x14ac:dyDescent="0.75">
      <c r="P100" s="11">
        <v>86</v>
      </c>
      <c r="Q100" s="11">
        <f t="shared" si="15"/>
        <v>14</v>
      </c>
      <c r="R100" s="11">
        <f t="shared" si="16"/>
        <v>2</v>
      </c>
      <c r="S100" s="12" t="str" cm="1">
        <f t="array" ref="S100">INDEX('Radiotherapy-ConceptMap-1'!$I$15:$N$124,Q100+1,R100)</f>
        <v>* group[=].element[=].display = ##34#Treatment Sites:##34#</v>
      </c>
    </row>
    <row r="101" spans="16:19" x14ac:dyDescent="0.75">
      <c r="P101" s="11">
        <v>87</v>
      </c>
      <c r="Q101" s="11">
        <f t="shared" si="15"/>
        <v>14</v>
      </c>
      <c r="R101" s="11">
        <f t="shared" si="16"/>
        <v>3</v>
      </c>
      <c r="S101" s="12" t="str" cm="1">
        <f t="array" ref="S101">INDEX('Radiotherapy-ConceptMap-1'!$I$15:$N$124,Q101+1,R101)</f>
        <v>* group[=].element[=].target.code = #Procedure.bodySite</v>
      </c>
    </row>
    <row r="102" spans="16:19" x14ac:dyDescent="0.75">
      <c r="P102" s="11">
        <v>88</v>
      </c>
      <c r="Q102" s="11">
        <f t="shared" si="15"/>
        <v>14</v>
      </c>
      <c r="R102" s="11">
        <f t="shared" si="16"/>
        <v>4</v>
      </c>
      <c r="S102" s="12" t="str" cm="1">
        <f t="array" ref="S102">INDEX('Radiotherapy-ConceptMap-1'!$I$15:$N$124,Q102+1,R102)</f>
        <v>* group[=].element[=].target.display = ##34###34#</v>
      </c>
    </row>
    <row r="103" spans="16:19" x14ac:dyDescent="0.75">
      <c r="P103" s="11">
        <v>89</v>
      </c>
      <c r="Q103" s="11">
        <f t="shared" si="15"/>
        <v>14</v>
      </c>
      <c r="R103" s="11">
        <f t="shared" si="16"/>
        <v>5</v>
      </c>
      <c r="S103" s="12" t="str" cm="1">
        <f t="array" ref="S103">INDEX('Radiotherapy-ConceptMap-1'!$I$15:$N$124,Q103+1,R103)</f>
        <v>* group[=].element[=].target.equivalence = #equivalent</v>
      </c>
    </row>
    <row r="104" spans="16:19" x14ac:dyDescent="0.75">
      <c r="P104" s="11">
        <v>90</v>
      </c>
      <c r="Q104" s="11">
        <f t="shared" si="15"/>
        <v>14</v>
      </c>
      <c r="R104" s="11">
        <f t="shared" si="16"/>
        <v>6</v>
      </c>
      <c r="S104" s="12" t="str" cm="1">
        <f t="array" ref="S104">INDEX('Radiotherapy-ConceptMap-1'!$I$15:$N$124,Q104+1,R104)</f>
        <v/>
      </c>
    </row>
    <row r="105" spans="16:19" x14ac:dyDescent="0.75">
      <c r="P105" s="11">
        <v>91</v>
      </c>
      <c r="Q105" s="11">
        <f t="shared" si="15"/>
        <v>15</v>
      </c>
      <c r="R105" s="11">
        <f t="shared" si="16"/>
        <v>1</v>
      </c>
      <c r="S105" s="12" t="str" cm="1">
        <f t="array" ref="S105">INDEX('Radiotherapy-ConceptMap-1'!$I$15:$N$124,Q105+1,R105)</f>
        <v>* group[=].element[+].code = #RadiotherapyI4rc.treatmentSites.primary</v>
      </c>
    </row>
    <row r="106" spans="16:19" x14ac:dyDescent="0.75">
      <c r="P106" s="11">
        <v>92</v>
      </c>
      <c r="Q106" s="11">
        <f t="shared" si="15"/>
        <v>15</v>
      </c>
      <c r="R106" s="11">
        <f t="shared" si="16"/>
        <v>2</v>
      </c>
      <c r="S106" s="12" t="str" cm="1">
        <f t="array" ref="S106">INDEX('Radiotherapy-ConceptMap-1'!$I$15:$N$124,Q106+1,R106)</f>
        <v>* group[=].element[=].display = ##34#Primary##34#</v>
      </c>
    </row>
    <row r="107" spans="16:19" x14ac:dyDescent="0.75">
      <c r="P107" s="11">
        <v>93</v>
      </c>
      <c r="Q107" s="11">
        <f t="shared" si="15"/>
        <v>15</v>
      </c>
      <c r="R107" s="11">
        <f t="shared" si="16"/>
        <v>3</v>
      </c>
      <c r="S107" s="12" t="str" cm="1">
        <f t="array" ref="S107">INDEX('Radiotherapy-ConceptMap-1'!$I$15:$N$124,Q107+1,R107)</f>
        <v>* group[=].element[=].target.code = #Procedure.bodySite</v>
      </c>
    </row>
    <row r="108" spans="16:19" x14ac:dyDescent="0.75">
      <c r="P108" s="11">
        <v>94</v>
      </c>
      <c r="Q108" s="11">
        <f t="shared" si="15"/>
        <v>15</v>
      </c>
      <c r="R108" s="11">
        <f t="shared" si="16"/>
        <v>4</v>
      </c>
      <c r="S108" s="12" t="str" cm="1">
        <f t="array" ref="S108">INDEX('Radiotherapy-ConceptMap-1'!$I$15:$N$124,Q108+1,R108)</f>
        <v>* group[=].element[=].target.display = ##34###34#</v>
      </c>
    </row>
    <row r="109" spans="16:19" x14ac:dyDescent="0.75">
      <c r="P109" s="11">
        <v>95</v>
      </c>
      <c r="Q109" s="11">
        <f t="shared" si="15"/>
        <v>15</v>
      </c>
      <c r="R109" s="11">
        <f t="shared" si="16"/>
        <v>5</v>
      </c>
      <c r="S109" s="12" t="str" cm="1">
        <f t="array" ref="S109">INDEX('Radiotherapy-ConceptMap-1'!$I$15:$N$124,Q109+1,R109)</f>
        <v>* group[=].element[=].target.equivalence = #relatedto</v>
      </c>
    </row>
    <row r="110" spans="16:19" x14ac:dyDescent="0.75">
      <c r="P110" s="11">
        <v>96</v>
      </c>
      <c r="Q110" s="11">
        <f t="shared" si="15"/>
        <v>15</v>
      </c>
      <c r="R110" s="11">
        <f t="shared" si="16"/>
        <v>6</v>
      </c>
      <c r="S110" s="12" t="str" cm="1">
        <f t="array" ref="S110">INDEX('Radiotherapy-ConceptMap-1'!$I$15:$N$124,Q110+1,R110)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INDEX('Radiotherapy-ConceptMap-1'!$I$15:$N$124,Q111+1,R111)</f>
        <v>* group[=].element[+].code = #RadiotherapyI4rc.treatmentSites.neck</v>
      </c>
    </row>
    <row r="112" spans="16:19" x14ac:dyDescent="0.75">
      <c r="P112" s="11">
        <v>98</v>
      </c>
      <c r="Q112" s="11">
        <f t="shared" si="15"/>
        <v>16</v>
      </c>
      <c r="R112" s="11">
        <f t="shared" si="16"/>
        <v>2</v>
      </c>
      <c r="S112" s="12" t="str" cm="1">
        <f t="array" ref="S112">INDEX('Radiotherapy-ConceptMap-1'!$I$15:$N$124,Q112+1,R112)</f>
        <v>* group[=].element[=].display = ##34#Neck##34#</v>
      </c>
    </row>
    <row r="113" spans="16:19" x14ac:dyDescent="0.75">
      <c r="P113" s="11">
        <v>99</v>
      </c>
      <c r="Q113" s="11">
        <f t="shared" si="15"/>
        <v>16</v>
      </c>
      <c r="R113" s="11">
        <f t="shared" si="16"/>
        <v>3</v>
      </c>
      <c r="S113" s="12" t="str" cm="1">
        <f t="array" ref="S113">INDEX('Radiotherapy-ConceptMap-1'!$I$15:$N$124,Q113+1,R113)</f>
        <v>* group[=].element[=].target.code = #Procedure.bodySite</v>
      </c>
    </row>
    <row r="114" spans="16:19" x14ac:dyDescent="0.75">
      <c r="P114" s="11">
        <v>100</v>
      </c>
      <c r="Q114" s="11">
        <f t="shared" si="15"/>
        <v>16</v>
      </c>
      <c r="R114" s="11">
        <f t="shared" si="16"/>
        <v>4</v>
      </c>
      <c r="S114" s="12" t="str" cm="1">
        <f t="array" ref="S114">INDEX('Radiotherapy-ConceptMap-1'!$I$15:$N$124,Q114+1,R114)</f>
        <v>* group[=].element[=].target.display = ##34###34#</v>
      </c>
    </row>
    <row r="115" spans="16:19" x14ac:dyDescent="0.75">
      <c r="P115" s="11">
        <v>101</v>
      </c>
      <c r="Q115" s="11">
        <f t="shared" si="15"/>
        <v>16</v>
      </c>
      <c r="R115" s="11">
        <f t="shared" si="16"/>
        <v>5</v>
      </c>
      <c r="S115" s="12" t="str" cm="1">
        <f t="array" ref="S115">INDEX('Radiotherapy-ConceptMap-1'!$I$15:$N$124,Q115+1,R115)</f>
        <v>* group[=].element[=].target.equivalence = #relatedto</v>
      </c>
    </row>
    <row r="116" spans="16:19" x14ac:dyDescent="0.75">
      <c r="P116" s="11">
        <v>102</v>
      </c>
      <c r="Q116" s="11">
        <f t="shared" si="15"/>
        <v>16</v>
      </c>
      <c r="R116" s="11">
        <f t="shared" si="16"/>
        <v>6</v>
      </c>
      <c r="S116" s="12" t="str" cm="1">
        <f t="array" ref="S116">INDEX('Radiotherapy-ConceptMap-1'!$I$15:$N$124,Q116+1,R116)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INDEX('Radiotherapy-ConceptMap-1'!$I$15:$N$124,Q117+1,R117)</f>
        <v>* group[=].element[+].code = #RadiotherapyI4rc.treatmentSites.primaryAndIpsilateralNeck</v>
      </c>
    </row>
    <row r="118" spans="16:19" x14ac:dyDescent="0.75">
      <c r="P118" s="11">
        <v>104</v>
      </c>
      <c r="Q118" s="11">
        <f t="shared" si="15"/>
        <v>17</v>
      </c>
      <c r="R118" s="11">
        <f t="shared" si="16"/>
        <v>2</v>
      </c>
      <c r="S118" s="12" t="str" cm="1">
        <f t="array" ref="S118">INDEX('Radiotherapy-ConceptMap-1'!$I$15:$N$124,Q118+1,R118)</f>
        <v>* group[=].element[=].display = ##34#Primary and Ipsilateral Neck##34#</v>
      </c>
    </row>
    <row r="119" spans="16:19" x14ac:dyDescent="0.75">
      <c r="P119" s="11">
        <v>105</v>
      </c>
      <c r="Q119" s="11">
        <f t="shared" si="15"/>
        <v>17</v>
      </c>
      <c r="R119" s="11">
        <f t="shared" si="16"/>
        <v>3</v>
      </c>
      <c r="S119" s="12" t="str" cm="1">
        <f t="array" ref="S119">INDEX('Radiotherapy-ConceptMap-1'!$I$15:$N$124,Q119+1,R119)</f>
        <v>* group[=].element[=].target.code = #Procedure.bodySite</v>
      </c>
    </row>
    <row r="120" spans="16:19" x14ac:dyDescent="0.75">
      <c r="P120" s="11">
        <v>106</v>
      </c>
      <c r="Q120" s="11">
        <f t="shared" si="15"/>
        <v>17</v>
      </c>
      <c r="R120" s="11">
        <f t="shared" si="16"/>
        <v>4</v>
      </c>
      <c r="S120" s="12" t="str" cm="1">
        <f t="array" ref="S120">INDEX('Radiotherapy-ConceptMap-1'!$I$15:$N$124,Q120+1,R120)</f>
        <v>* group[=].element[=].target.display = ##34###34#</v>
      </c>
    </row>
    <row r="121" spans="16:19" x14ac:dyDescent="0.75">
      <c r="P121" s="11">
        <v>107</v>
      </c>
      <c r="Q121" s="11">
        <f t="shared" si="15"/>
        <v>17</v>
      </c>
      <c r="R121" s="11">
        <f t="shared" si="16"/>
        <v>5</v>
      </c>
      <c r="S121" s="12" t="str" cm="1">
        <f t="array" ref="S121">INDEX('Radiotherapy-ConceptMap-1'!$I$15:$N$124,Q121+1,R121)</f>
        <v>* group[=].element[=].target.equivalence = #relatedto</v>
      </c>
    </row>
    <row r="122" spans="16:19" x14ac:dyDescent="0.75">
      <c r="P122" s="11">
        <v>108</v>
      </c>
      <c r="Q122" s="11">
        <f t="shared" si="15"/>
        <v>17</v>
      </c>
      <c r="R122" s="11">
        <f t="shared" si="16"/>
        <v>6</v>
      </c>
      <c r="S122" s="12" t="str" cm="1">
        <f t="array" ref="S122">INDEX('Radiotherapy-ConceptMap-1'!$I$15:$N$124,Q122+1,R122)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INDEX('Radiotherapy-ConceptMap-1'!$I$15:$N$124,Q123+1,R123)</f>
        <v>* group[=].element[+].code = #RadiotherapyI4rc.treatmentSites.primaryAndBilateralNeck</v>
      </c>
    </row>
    <row r="124" spans="16:19" x14ac:dyDescent="0.75">
      <c r="P124" s="11">
        <v>110</v>
      </c>
      <c r="Q124" s="11">
        <f t="shared" si="15"/>
        <v>18</v>
      </c>
      <c r="R124" s="11">
        <f t="shared" si="16"/>
        <v>2</v>
      </c>
      <c r="S124" s="12" t="str" cm="1">
        <f t="array" ref="S124">INDEX('Radiotherapy-ConceptMap-1'!$I$15:$N$124,Q124+1,R124)</f>
        <v>* group[=].element[=].display = ##34#Primary and Bilateral Neck##34#</v>
      </c>
    </row>
    <row r="125" spans="16:19" x14ac:dyDescent="0.75">
      <c r="P125" s="11">
        <v>111</v>
      </c>
      <c r="Q125" s="11">
        <f t="shared" si="15"/>
        <v>18</v>
      </c>
      <c r="R125" s="11">
        <f t="shared" si="16"/>
        <v>3</v>
      </c>
      <c r="S125" s="12" t="str" cm="1">
        <f t="array" ref="S125">INDEX('Radiotherapy-ConceptMap-1'!$I$15:$N$124,Q125+1,R125)</f>
        <v>* group[=].element[=].target.code = #Procedure.bodySite</v>
      </c>
    </row>
    <row r="126" spans="16:19" x14ac:dyDescent="0.75">
      <c r="P126" s="11">
        <v>112</v>
      </c>
      <c r="Q126" s="11">
        <f t="shared" si="15"/>
        <v>18</v>
      </c>
      <c r="R126" s="11">
        <f t="shared" si="16"/>
        <v>4</v>
      </c>
      <c r="S126" s="12" t="str" cm="1">
        <f t="array" ref="S126">INDEX('Radiotherapy-ConceptMap-1'!$I$15:$N$124,Q126+1,R126)</f>
        <v>* group[=].element[=].target.display = ##34###34#</v>
      </c>
    </row>
    <row r="127" spans="16:19" x14ac:dyDescent="0.75">
      <c r="P127" s="11">
        <v>113</v>
      </c>
      <c r="Q127" s="11">
        <f t="shared" si="15"/>
        <v>18</v>
      </c>
      <c r="R127" s="11">
        <f t="shared" si="16"/>
        <v>5</v>
      </c>
      <c r="S127" s="12" t="str" cm="1">
        <f t="array" ref="S127">INDEX('Radiotherapy-ConceptMap-1'!$I$15:$N$124,Q127+1,R127)</f>
        <v>* group[=].element[=].target.equivalence = #relatedto</v>
      </c>
    </row>
    <row r="128" spans="16:19" x14ac:dyDescent="0.75">
      <c r="P128" s="11">
        <v>114</v>
      </c>
      <c r="Q128" s="11">
        <f t="shared" si="15"/>
        <v>18</v>
      </c>
      <c r="R128" s="11">
        <f t="shared" si="16"/>
        <v>6</v>
      </c>
      <c r="S128" s="12" t="str" cm="1">
        <f t="array" ref="S128">INDEX('Radiotherapy-ConceptMap-1'!$I$15:$N$124,Q128+1,R128)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INDEX('Radiotherapy-ConceptMap-1'!$I$15:$N$124,Q129+1,R129)</f>
        <v>* group[=].element[+].code = #RadiotherapyI4rc.treatmentSites.distantMetastasis</v>
      </c>
    </row>
    <row r="130" spans="16:19" x14ac:dyDescent="0.75">
      <c r="P130" s="11">
        <v>116</v>
      </c>
      <c r="Q130" s="11">
        <f t="shared" si="15"/>
        <v>19</v>
      </c>
      <c r="R130" s="11">
        <f t="shared" si="16"/>
        <v>2</v>
      </c>
      <c r="S130" s="12" t="str" cm="1">
        <f t="array" ref="S130">INDEX('Radiotherapy-ConceptMap-1'!$I$15:$N$124,Q130+1,R130)</f>
        <v>* group[=].element[=].display = ##34#Distant Metastasis##34#</v>
      </c>
    </row>
    <row r="131" spans="16:19" x14ac:dyDescent="0.75">
      <c r="P131" s="11">
        <v>117</v>
      </c>
      <c r="Q131" s="11">
        <f t="shared" si="15"/>
        <v>19</v>
      </c>
      <c r="R131" s="11">
        <f t="shared" si="16"/>
        <v>3</v>
      </c>
      <c r="S131" s="12" t="str" cm="1">
        <f t="array" ref="S131">INDEX('Radiotherapy-ConceptMap-1'!$I$15:$N$124,Q131+1,R131)</f>
        <v>* group[=].element[=].target.code = #Procedure.bodySite</v>
      </c>
    </row>
    <row r="132" spans="16:19" x14ac:dyDescent="0.75">
      <c r="P132" s="11">
        <v>118</v>
      </c>
      <c r="Q132" s="11">
        <f t="shared" si="15"/>
        <v>19</v>
      </c>
      <c r="R132" s="11">
        <f t="shared" si="16"/>
        <v>4</v>
      </c>
      <c r="S132" s="12" t="str" cm="1">
        <f t="array" ref="S132">INDEX('Radiotherapy-ConceptMap-1'!$I$15:$N$124,Q132+1,R132)</f>
        <v>* group[=].element[=].target.display = ##34###34#</v>
      </c>
    </row>
    <row r="133" spans="16:19" x14ac:dyDescent="0.75">
      <c r="P133" s="11">
        <v>119</v>
      </c>
      <c r="Q133" s="11">
        <f t="shared" si="15"/>
        <v>19</v>
      </c>
      <c r="R133" s="11">
        <f t="shared" si="16"/>
        <v>5</v>
      </c>
      <c r="S133" s="12" t="str" cm="1">
        <f t="array" ref="S133">INDEX('Radiotherapy-ConceptMap-1'!$I$15:$N$124,Q133+1,R133)</f>
        <v>* group[=].element[=].target.equivalence = #relatedto</v>
      </c>
    </row>
    <row r="134" spans="16:19" x14ac:dyDescent="0.75">
      <c r="P134" s="11">
        <v>120</v>
      </c>
      <c r="Q134" s="11">
        <f t="shared" si="15"/>
        <v>19</v>
      </c>
      <c r="R134" s="11">
        <f t="shared" si="16"/>
        <v>6</v>
      </c>
      <c r="S134" s="12" t="str" cm="1">
        <f t="array" ref="S134">INDEX('Radiotherapy-ConceptMap-1'!$I$15:$N$124,Q134+1,R134)</f>
        <v>* group[=].element[=].target.comment = ##34#check the availability of proper coded concepts##34#</v>
      </c>
    </row>
    <row r="135" spans="16:19" x14ac:dyDescent="0.75">
      <c r="P135" s="11">
        <v>121</v>
      </c>
      <c r="Q135" s="11">
        <f t="shared" si="15"/>
        <v>20</v>
      </c>
      <c r="R135" s="11">
        <f t="shared" si="16"/>
        <v>1</v>
      </c>
      <c r="S135" s="12" t="str" cm="1">
        <f t="array" ref="S135">INDEX('Radiotherapy-ConceptMap-1'!$I$15:$N$124,Q135+1,R135)</f>
        <v>* group[=].element[+].code = #RadiotherapyI4rc.metastaticTreatmentSites</v>
      </c>
    </row>
    <row r="136" spans="16:19" x14ac:dyDescent="0.75">
      <c r="P136" s="11">
        <v>122</v>
      </c>
      <c r="Q136" s="11">
        <f t="shared" si="15"/>
        <v>20</v>
      </c>
      <c r="R136" s="11">
        <f t="shared" si="16"/>
        <v>2</v>
      </c>
      <c r="S136" s="12" t="str" cm="1">
        <f t="array" ref="S136">INDEX('Radiotherapy-ConceptMap-1'!$I$15:$N$124,Q136+1,R136)</f>
        <v>* group[=].element[=].display = ##34#Metastatic Treatment Sites:##34#</v>
      </c>
    </row>
    <row r="137" spans="16:19" x14ac:dyDescent="0.75">
      <c r="P137" s="11">
        <v>123</v>
      </c>
      <c r="Q137" s="11">
        <f t="shared" si="15"/>
        <v>20</v>
      </c>
      <c r="R137" s="11">
        <f t="shared" si="16"/>
        <v>3</v>
      </c>
      <c r="S137" s="12" t="str" cm="1">
        <f t="array" ref="S137">INDEX('Radiotherapy-ConceptMap-1'!$I$15:$N$124,Q137+1,R137)</f>
        <v>* group[=].element[=].target.code = #Procedure.bodySite</v>
      </c>
    </row>
    <row r="138" spans="16:19" x14ac:dyDescent="0.75">
      <c r="P138" s="11">
        <v>124</v>
      </c>
      <c r="Q138" s="11">
        <f t="shared" si="15"/>
        <v>20</v>
      </c>
      <c r="R138" s="11">
        <f t="shared" si="16"/>
        <v>4</v>
      </c>
      <c r="S138" s="12" t="str" cm="1">
        <f t="array" ref="S138">INDEX('Radiotherapy-ConceptMap-1'!$I$15:$N$124,Q138+1,R138)</f>
        <v>* group[=].element[=].target.display = ##34###34#</v>
      </c>
    </row>
    <row r="139" spans="16:19" x14ac:dyDescent="0.75">
      <c r="P139" s="11">
        <v>125</v>
      </c>
      <c r="Q139" s="11">
        <f t="shared" si="15"/>
        <v>20</v>
      </c>
      <c r="R139" s="11">
        <f t="shared" si="16"/>
        <v>5</v>
      </c>
      <c r="S139" s="12" t="str" cm="1">
        <f t="array" ref="S139">INDEX('Radiotherapy-ConceptMap-1'!$I$15:$N$124,Q139+1,R139)</f>
        <v>* group[=].element[=].target.equivalence = #relatedto</v>
      </c>
    </row>
    <row r="140" spans="16:19" x14ac:dyDescent="0.75">
      <c r="P140" s="11">
        <v>126</v>
      </c>
      <c r="Q140" s="11">
        <f t="shared" si="15"/>
        <v>20</v>
      </c>
      <c r="R140" s="11">
        <f t="shared" si="16"/>
        <v>6</v>
      </c>
      <c r="S140" s="12" t="str" cm="1">
        <f t="array" ref="S140">INDEX('Radiotherapy-ConceptMap-1'!$I$15:$N$124,Q140+1,R140)</f>
        <v>* group[=].element[=].target.comment = ##34#check if  a specific bodySite qualifer should be used##34#</v>
      </c>
    </row>
    <row r="141" spans="16:19" x14ac:dyDescent="0.75">
      <c r="P141" s="11">
        <v>127</v>
      </c>
      <c r="Q141" s="11">
        <f t="shared" si="15"/>
        <v>21</v>
      </c>
      <c r="R141" s="11">
        <f t="shared" si="16"/>
        <v>1</v>
      </c>
      <c r="S141" s="12" t="str" cm="1">
        <f t="array" ref="S141">INDEX('Radiotherapy-ConceptMap-1'!$I$15:$N$124,Q141+1,R141)</f>
        <v>* group[=].element[+].code = #RadiotherapyI4rc.metastaticTreatmentSites.lung</v>
      </c>
    </row>
    <row r="142" spans="16:19" x14ac:dyDescent="0.75">
      <c r="P142" s="11">
        <v>128</v>
      </c>
      <c r="Q142" s="11">
        <f t="shared" si="15"/>
        <v>21</v>
      </c>
      <c r="R142" s="11">
        <f t="shared" si="16"/>
        <v>2</v>
      </c>
      <c r="S142" s="12" t="str" cm="1">
        <f t="array" ref="S142">INDEX('Radiotherapy-ConceptMap-1'!$I$15:$N$124,Q142+1,R142)</f>
        <v>* group[=].element[=].display = ##34#Lung
##34#</v>
      </c>
    </row>
    <row r="143" spans="16:19" x14ac:dyDescent="0.75">
      <c r="P143" s="11">
        <v>129</v>
      </c>
      <c r="Q143" s="11">
        <f t="shared" si="15"/>
        <v>21</v>
      </c>
      <c r="R143" s="11">
        <f t="shared" si="16"/>
        <v>3</v>
      </c>
      <c r="S143" s="12" t="str" cm="1">
        <f t="array" ref="S143">INDEX('Radiotherapy-ConceptMap-1'!$I$15:$N$124,Q143+1,R143)</f>
        <v>* group[=].element[=].target.code = #Procedure.bodySite</v>
      </c>
    </row>
    <row r="144" spans="16:19" x14ac:dyDescent="0.75">
      <c r="P144" s="11">
        <v>130</v>
      </c>
      <c r="Q144" s="11">
        <f t="shared" ref="Q144:Q184" si="17">IF(MOD(P144,$Q$8)=0,P144/$Q$8-1,INT(P144/$Q$8))</f>
        <v>21</v>
      </c>
      <c r="R144" s="11">
        <f t="shared" ref="R144:R184" si="18">IF(MOD(P144,$Q$8)=0,$Q$8,MOD(P144,$Q$8))</f>
        <v>4</v>
      </c>
      <c r="S144" s="12" t="str" cm="1">
        <f t="array" ref="S144">INDEX('Radiotherapy-ConceptMap-1'!$I$15:$N$124,Q144+1,R144)</f>
        <v>* group[=].element[=].target.display = ##34###34#</v>
      </c>
    </row>
    <row r="145" spans="16:19" x14ac:dyDescent="0.75">
      <c r="P145" s="11">
        <v>131</v>
      </c>
      <c r="Q145" s="11">
        <f t="shared" si="17"/>
        <v>21</v>
      </c>
      <c r="R145" s="11">
        <f t="shared" si="18"/>
        <v>5</v>
      </c>
      <c r="S145" s="12" t="str" cm="1">
        <f t="array" ref="S145">INDEX('Radiotherapy-ConceptMap-1'!$I$15:$N$124,Q145+1,R145)</f>
        <v>* group[=].element[=].target.equivalence = #relatedto</v>
      </c>
    </row>
    <row r="146" spans="16:19" x14ac:dyDescent="0.75">
      <c r="P146" s="11">
        <v>132</v>
      </c>
      <c r="Q146" s="11">
        <f t="shared" si="17"/>
        <v>21</v>
      </c>
      <c r="R146" s="11">
        <f t="shared" si="18"/>
        <v>6</v>
      </c>
      <c r="S146" s="12" t="str" cm="1">
        <f t="array" ref="S146">INDEX('Radiotherapy-ConceptMap-1'!$I$15:$N$124,Q146+1,R146)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INDEX('Radiotherapy-ConceptMap-1'!$I$15:$N$124,Q147+1,R147)</f>
        <v>* group[=].element[+].code = #RadiotherapyI4rc.metastaticTreatmentSites.mediastinum</v>
      </c>
    </row>
    <row r="148" spans="16:19" x14ac:dyDescent="0.75">
      <c r="P148" s="11">
        <v>134</v>
      </c>
      <c r="Q148" s="11">
        <f t="shared" si="17"/>
        <v>22</v>
      </c>
      <c r="R148" s="11">
        <f t="shared" si="18"/>
        <v>2</v>
      </c>
      <c r="S148" s="12" t="str" cm="1">
        <f t="array" ref="S148">INDEX('Radiotherapy-ConceptMap-1'!$I$15:$N$124,Q148+1,R148)</f>
        <v>* group[=].element[=].display = ##34#Mediastinum
##34#</v>
      </c>
    </row>
    <row r="149" spans="16:19" x14ac:dyDescent="0.75">
      <c r="P149" s="11">
        <v>135</v>
      </c>
      <c r="Q149" s="11">
        <f t="shared" si="17"/>
        <v>22</v>
      </c>
      <c r="R149" s="11">
        <f t="shared" si="18"/>
        <v>3</v>
      </c>
      <c r="S149" s="12" t="str" cm="1">
        <f t="array" ref="S149">INDEX('Radiotherapy-ConceptMap-1'!$I$15:$N$124,Q149+1,R149)</f>
        <v>* group[=].element[=].target.code = #Procedure.bodySite</v>
      </c>
    </row>
    <row r="150" spans="16:19" x14ac:dyDescent="0.75">
      <c r="P150" s="11">
        <v>136</v>
      </c>
      <c r="Q150" s="11">
        <f t="shared" si="17"/>
        <v>22</v>
      </c>
      <c r="R150" s="11">
        <f t="shared" si="18"/>
        <v>4</v>
      </c>
      <c r="S150" s="12" t="str" cm="1">
        <f t="array" ref="S150">INDEX('Radiotherapy-ConceptMap-1'!$I$15:$N$124,Q150+1,R150)</f>
        <v>* group[=].element[=].target.display = ##34###34#</v>
      </c>
    </row>
    <row r="151" spans="16:19" x14ac:dyDescent="0.75">
      <c r="P151" s="11">
        <v>137</v>
      </c>
      <c r="Q151" s="11">
        <f t="shared" si="17"/>
        <v>22</v>
      </c>
      <c r="R151" s="11">
        <f t="shared" si="18"/>
        <v>5</v>
      </c>
      <c r="S151" s="12" t="str" cm="1">
        <f t="array" ref="S151">INDEX('Radiotherapy-ConceptMap-1'!$I$15:$N$124,Q151+1,R151)</f>
        <v>* group[=].element[=].target.equivalence = #relatedto</v>
      </c>
    </row>
    <row r="152" spans="16:19" x14ac:dyDescent="0.75">
      <c r="P152" s="11">
        <v>138</v>
      </c>
      <c r="Q152" s="11">
        <f t="shared" si="17"/>
        <v>22</v>
      </c>
      <c r="R152" s="11">
        <f t="shared" si="18"/>
        <v>6</v>
      </c>
      <c r="S152" s="12" t="str" cm="1">
        <f t="array" ref="S152">INDEX('Radiotherapy-ConceptMap-1'!$I$15:$N$124,Q152+1,R152)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INDEX('Radiotherapy-ConceptMap-1'!$I$15:$N$124,Q153+1,R153)</f>
        <v>* group[=].element[+].code = #RadiotherapyI4rc.metastaticTreatmentSites.bone</v>
      </c>
    </row>
    <row r="154" spans="16:19" x14ac:dyDescent="0.75">
      <c r="P154" s="11">
        <v>140</v>
      </c>
      <c r="Q154" s="11">
        <f t="shared" si="17"/>
        <v>23</v>
      </c>
      <c r="R154" s="11">
        <f t="shared" si="18"/>
        <v>2</v>
      </c>
      <c r="S154" s="12" t="str" cm="1">
        <f t="array" ref="S154">INDEX('Radiotherapy-ConceptMap-1'!$I$15:$N$124,Q154+1,R154)</f>
        <v>* group[=].element[=].display = ##34#Bone
##34#</v>
      </c>
    </row>
    <row r="155" spans="16:19" x14ac:dyDescent="0.75">
      <c r="P155" s="11">
        <v>141</v>
      </c>
      <c r="Q155" s="11">
        <f t="shared" si="17"/>
        <v>23</v>
      </c>
      <c r="R155" s="11">
        <f t="shared" si="18"/>
        <v>3</v>
      </c>
      <c r="S155" s="12" t="str" cm="1">
        <f t="array" ref="S155">INDEX('Radiotherapy-ConceptMap-1'!$I$15:$N$124,Q155+1,R155)</f>
        <v>* group[=].element[=].target.code = #Procedure.bodySite</v>
      </c>
    </row>
    <row r="156" spans="16:19" x14ac:dyDescent="0.75">
      <c r="P156" s="11">
        <v>142</v>
      </c>
      <c r="Q156" s="11">
        <f t="shared" si="17"/>
        <v>23</v>
      </c>
      <c r="R156" s="11">
        <f t="shared" si="18"/>
        <v>4</v>
      </c>
      <c r="S156" s="12" t="str" cm="1">
        <f t="array" ref="S156">INDEX('Radiotherapy-ConceptMap-1'!$I$15:$N$124,Q156+1,R156)</f>
        <v>* group[=].element[=].target.display = ##34###34#</v>
      </c>
    </row>
    <row r="157" spans="16:19" x14ac:dyDescent="0.75">
      <c r="P157" s="11">
        <v>143</v>
      </c>
      <c r="Q157" s="11">
        <f t="shared" si="17"/>
        <v>23</v>
      </c>
      <c r="R157" s="11">
        <f t="shared" si="18"/>
        <v>5</v>
      </c>
      <c r="S157" s="12" t="str" cm="1">
        <f t="array" ref="S157">INDEX('Radiotherapy-ConceptMap-1'!$I$15:$N$124,Q157+1,R157)</f>
        <v>* group[=].element[=].target.equivalence = #relatedto</v>
      </c>
    </row>
    <row r="158" spans="16:19" x14ac:dyDescent="0.75">
      <c r="P158" s="11">
        <v>144</v>
      </c>
      <c r="Q158" s="11">
        <f t="shared" si="17"/>
        <v>23</v>
      </c>
      <c r="R158" s="11">
        <f t="shared" si="18"/>
        <v>6</v>
      </c>
      <c r="S158" s="12" t="str" cm="1">
        <f t="array" ref="S158">INDEX('Radiotherapy-ConceptMap-1'!$I$15:$N$124,Q158+1,R158)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INDEX('Radiotherapy-ConceptMap-1'!$I$15:$N$124,Q159+1,R159)</f>
        <v>* group[=].element[+].code = #RadiotherapyI4rc.metastaticTreatmentSites.softTissue</v>
      </c>
    </row>
    <row r="160" spans="16:19" x14ac:dyDescent="0.75">
      <c r="P160" s="11">
        <v>146</v>
      </c>
      <c r="Q160" s="11">
        <f t="shared" si="17"/>
        <v>24</v>
      </c>
      <c r="R160" s="11">
        <f t="shared" si="18"/>
        <v>2</v>
      </c>
      <c r="S160" s="12" t="str" cm="1">
        <f t="array" ref="S160">INDEX('Radiotherapy-ConceptMap-1'!$I$15:$N$124,Q160+1,R160)</f>
        <v>* group[=].element[=].display = ##34#Soft Tissue
##34#</v>
      </c>
    </row>
    <row r="161" spans="16:19" x14ac:dyDescent="0.75">
      <c r="P161" s="11">
        <v>147</v>
      </c>
      <c r="Q161" s="11">
        <f t="shared" si="17"/>
        <v>24</v>
      </c>
      <c r="R161" s="11">
        <f t="shared" si="18"/>
        <v>3</v>
      </c>
      <c r="S161" s="12" t="str" cm="1">
        <f t="array" ref="S161">INDEX('Radiotherapy-ConceptMap-1'!$I$15:$N$124,Q161+1,R161)</f>
        <v>* group[=].element[=].target.code = #Procedure.bodySite</v>
      </c>
    </row>
    <row r="162" spans="16:19" x14ac:dyDescent="0.75">
      <c r="P162" s="11">
        <v>148</v>
      </c>
      <c r="Q162" s="11">
        <f t="shared" si="17"/>
        <v>24</v>
      </c>
      <c r="R162" s="11">
        <f t="shared" si="18"/>
        <v>4</v>
      </c>
      <c r="S162" s="12" t="str" cm="1">
        <f t="array" ref="S162">INDEX('Radiotherapy-ConceptMap-1'!$I$15:$N$124,Q162+1,R162)</f>
        <v>* group[=].element[=].target.display = ##34###34#</v>
      </c>
    </row>
    <row r="163" spans="16:19" x14ac:dyDescent="0.75">
      <c r="P163" s="11">
        <v>149</v>
      </c>
      <c r="Q163" s="11">
        <f t="shared" si="17"/>
        <v>24</v>
      </c>
      <c r="R163" s="11">
        <f t="shared" si="18"/>
        <v>5</v>
      </c>
      <c r="S163" s="12" t="str" cm="1">
        <f t="array" ref="S163">INDEX('Radiotherapy-ConceptMap-1'!$I$15:$N$124,Q163+1,R163)</f>
        <v>* group[=].element[=].target.equivalence = #relatedto</v>
      </c>
    </row>
    <row r="164" spans="16:19" x14ac:dyDescent="0.75">
      <c r="P164" s="11">
        <v>150</v>
      </c>
      <c r="Q164" s="11">
        <f t="shared" si="17"/>
        <v>24</v>
      </c>
      <c r="R164" s="11">
        <f t="shared" si="18"/>
        <v>6</v>
      </c>
      <c r="S164" s="12" t="str" cm="1">
        <f t="array" ref="S164">INDEX('Radiotherapy-ConceptMap-1'!$I$15:$N$124,Q164+1,R164)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INDEX('Radiotherapy-ConceptMap-1'!$I$15:$N$124,Q165+1,R165)</f>
        <v>* group[=].element[+].code = #RadiotherapyI4rc.metastaticTreatmentSites.liver</v>
      </c>
    </row>
    <row r="166" spans="16:19" x14ac:dyDescent="0.75">
      <c r="P166" s="11">
        <v>152</v>
      </c>
      <c r="Q166" s="11">
        <f t="shared" si="17"/>
        <v>25</v>
      </c>
      <c r="R166" s="11">
        <f t="shared" si="18"/>
        <v>2</v>
      </c>
      <c r="S166" s="12" t="str" cm="1">
        <f t="array" ref="S166">INDEX('Radiotherapy-ConceptMap-1'!$I$15:$N$124,Q166+1,R166)</f>
        <v>* group[=].element[=].display = ##34#Liver
##34#</v>
      </c>
    </row>
    <row r="167" spans="16:19" x14ac:dyDescent="0.75">
      <c r="P167" s="11">
        <v>153</v>
      </c>
      <c r="Q167" s="11">
        <f t="shared" si="17"/>
        <v>25</v>
      </c>
      <c r="R167" s="11">
        <f t="shared" si="18"/>
        <v>3</v>
      </c>
      <c r="S167" s="12" t="str" cm="1">
        <f t="array" ref="S167">INDEX('Radiotherapy-ConceptMap-1'!$I$15:$N$124,Q167+1,R167)</f>
        <v>* group[=].element[=].target.code = #Procedure.bodySite</v>
      </c>
    </row>
    <row r="168" spans="16:19" x14ac:dyDescent="0.75">
      <c r="P168" s="11">
        <v>154</v>
      </c>
      <c r="Q168" s="11">
        <f t="shared" si="17"/>
        <v>25</v>
      </c>
      <c r="R168" s="11">
        <f t="shared" si="18"/>
        <v>4</v>
      </c>
      <c r="S168" s="12" t="str" cm="1">
        <f t="array" ref="S168">INDEX('Radiotherapy-ConceptMap-1'!$I$15:$N$124,Q168+1,R168)</f>
        <v>* group[=].element[=].target.display = ##34###34#</v>
      </c>
    </row>
    <row r="169" spans="16:19" x14ac:dyDescent="0.75">
      <c r="P169" s="11">
        <v>155</v>
      </c>
      <c r="Q169" s="11">
        <f t="shared" si="17"/>
        <v>25</v>
      </c>
      <c r="R169" s="11">
        <f t="shared" si="18"/>
        <v>5</v>
      </c>
      <c r="S169" s="12" t="str" cm="1">
        <f t="array" ref="S169">INDEX('Radiotherapy-ConceptMap-1'!$I$15:$N$124,Q169+1,R169)</f>
        <v>* group[=].element[=].target.equivalence = #relatedto</v>
      </c>
    </row>
    <row r="170" spans="16:19" x14ac:dyDescent="0.75">
      <c r="P170" s="11">
        <v>156</v>
      </c>
      <c r="Q170" s="11">
        <f t="shared" si="17"/>
        <v>25</v>
      </c>
      <c r="R170" s="11">
        <f t="shared" si="18"/>
        <v>6</v>
      </c>
      <c r="S170" s="12" t="str" cm="1">
        <f t="array" ref="S170">INDEX('Radiotherapy-ConceptMap-1'!$I$15:$N$124,Q170+1,R170)</f>
        <v>* group[=].element[=].target.comment = ##34#check the availability of proper coded concepts##34#</v>
      </c>
    </row>
    <row r="171" spans="16:19" x14ac:dyDescent="0.75">
      <c r="P171" s="11">
        <v>157</v>
      </c>
      <c r="Q171" s="11">
        <f t="shared" si="17"/>
        <v>26</v>
      </c>
      <c r="R171" s="11">
        <f t="shared" si="18"/>
        <v>1</v>
      </c>
      <c r="S171" s="12" t="str" cm="1">
        <f t="array" ref="S171">INDEX('Radiotherapy-ConceptMap-1'!$I$15:$N$124,Q171+1,R171)</f>
        <v>* group[=].element[+].code = #RadiotherapyI4rc.treatmentCompletedAsPlanned</v>
      </c>
    </row>
    <row r="172" spans="16:19" x14ac:dyDescent="0.75">
      <c r="P172" s="11">
        <v>158</v>
      </c>
      <c r="Q172" s="11">
        <f t="shared" si="17"/>
        <v>26</v>
      </c>
      <c r="R172" s="11">
        <f t="shared" si="18"/>
        <v>2</v>
      </c>
      <c r="S172" s="12" t="str" cm="1">
        <f t="array" ref="S172">INDEX('Radiotherapy-ConceptMap-1'!$I$15:$N$124,Q172+1,R172)</f>
        <v>* group[=].element[=].display = ##34#Treatment Completed as Planned?##34#</v>
      </c>
    </row>
    <row r="173" spans="16:19" x14ac:dyDescent="0.75">
      <c r="P173" s="11">
        <v>159</v>
      </c>
      <c r="Q173" s="11">
        <f t="shared" si="17"/>
        <v>26</v>
      </c>
      <c r="R173" s="11">
        <f t="shared" si="18"/>
        <v>3</v>
      </c>
      <c r="S173" s="12" t="str" cm="1">
        <f t="array" ref="S173">INDEX('Radiotherapy-ConceptMap-1'!$I$15:$N$124,Q173+1,R173)</f>
        <v>* group[=].element[=].target.code = #Procedure.extension:terminationReason</v>
      </c>
    </row>
    <row r="174" spans="16:19" x14ac:dyDescent="0.75">
      <c r="P174" s="11">
        <v>160</v>
      </c>
      <c r="Q174" s="11">
        <f t="shared" si="17"/>
        <v>26</v>
      </c>
      <c r="R174" s="11">
        <f t="shared" si="18"/>
        <v>4</v>
      </c>
      <c r="S174" s="12" t="str" cm="1">
        <f t="array" ref="S174">INDEX('Radiotherapy-ConceptMap-1'!$I$15:$N$124,Q174+1,R174)</f>
        <v>* group[=].element[=].target.display = ##34###34#</v>
      </c>
    </row>
    <row r="175" spans="16:19" x14ac:dyDescent="0.75">
      <c r="P175" s="11">
        <v>161</v>
      </c>
      <c r="Q175" s="11">
        <f t="shared" si="17"/>
        <v>26</v>
      </c>
      <c r="R175" s="11">
        <f t="shared" si="18"/>
        <v>5</v>
      </c>
      <c r="S175" s="12" t="str" cm="1">
        <f t="array" ref="S175">INDEX('Radiotherapy-ConceptMap-1'!$I$15:$N$124,Q175+1,R175)</f>
        <v>* group[=].element[=].target.equivalence = #relatedto</v>
      </c>
    </row>
    <row r="176" spans="16:19" x14ac:dyDescent="0.75">
      <c r="P176" s="11">
        <v>162</v>
      </c>
      <c r="Q176" s="11">
        <f t="shared" si="17"/>
        <v>26</v>
      </c>
      <c r="R176" s="11">
        <f t="shared" si="18"/>
        <v>6</v>
      </c>
      <c r="S176" s="12" t="str" cm="1">
        <f t="array" ref="S176">INDEX('Radiotherapy-ConceptMap-1'!$I$15:$N$124,Q176+1,R176)</f>
        <v>* group[=].element[=].target.comment = ##34#to be reviewed; extension to be localized to change the used value set. Chack if the statusReason can be used for this scope##34#</v>
      </c>
    </row>
    <row r="177" spans="16:19" x14ac:dyDescent="0.75">
      <c r="P177" s="11">
        <v>163</v>
      </c>
      <c r="Q177" s="11">
        <f t="shared" si="17"/>
        <v>27</v>
      </c>
      <c r="R177" s="11">
        <f t="shared" si="18"/>
        <v>1</v>
      </c>
      <c r="S177" s="12" cm="1">
        <f t="array" ref="S177">INDEX('Radiotherapy-ConceptMap-1'!$I$15:$N$124,Q177+1,R177)</f>
        <v>0</v>
      </c>
    </row>
    <row r="178" spans="16:19" x14ac:dyDescent="0.75">
      <c r="P178" s="11">
        <v>164</v>
      </c>
      <c r="Q178" s="11">
        <f t="shared" si="17"/>
        <v>27</v>
      </c>
      <c r="R178" s="11">
        <f t="shared" si="18"/>
        <v>2</v>
      </c>
      <c r="S178" s="12" cm="1">
        <f t="array" ref="S178">INDEX('Radiotherapy-ConceptMap-1'!$I$15:$N$124,Q178+1,R178)</f>
        <v>0</v>
      </c>
    </row>
    <row r="179" spans="16:19" x14ac:dyDescent="0.75">
      <c r="P179" s="11">
        <v>165</v>
      </c>
      <c r="Q179" s="11">
        <f t="shared" si="17"/>
        <v>27</v>
      </c>
      <c r="R179" s="11">
        <f t="shared" si="18"/>
        <v>3</v>
      </c>
      <c r="S179" s="12" cm="1">
        <f t="array" ref="S179">INDEX('Radiotherapy-ConceptMap-1'!$I$15:$N$124,Q179+1,R179)</f>
        <v>0</v>
      </c>
    </row>
    <row r="180" spans="16:19" x14ac:dyDescent="0.75">
      <c r="P180" s="11">
        <v>166</v>
      </c>
      <c r="Q180" s="11">
        <f t="shared" si="17"/>
        <v>27</v>
      </c>
      <c r="R180" s="11">
        <f t="shared" si="18"/>
        <v>4</v>
      </c>
      <c r="S180" s="12" cm="1">
        <f t="array" ref="S180">INDEX('Radiotherapy-ConceptMap-1'!$I$15:$N$124,Q180+1,R180)</f>
        <v>0</v>
      </c>
    </row>
    <row r="181" spans="16:19" x14ac:dyDescent="0.75">
      <c r="P181" s="11">
        <v>167</v>
      </c>
      <c r="Q181" s="11">
        <f t="shared" si="17"/>
        <v>27</v>
      </c>
      <c r="R181" s="11">
        <f t="shared" si="18"/>
        <v>5</v>
      </c>
      <c r="S181" s="12" cm="1">
        <f t="array" ref="S181">INDEX('Radiotherapy-ConceptMap-1'!$I$15:$N$124,Q181+1,R181)</f>
        <v>0</v>
      </c>
    </row>
    <row r="182" spans="16:19" x14ac:dyDescent="0.75">
      <c r="P182" s="11">
        <v>168</v>
      </c>
      <c r="Q182" s="11">
        <f t="shared" si="17"/>
        <v>27</v>
      </c>
      <c r="R182" s="11">
        <f t="shared" si="18"/>
        <v>6</v>
      </c>
      <c r="S182" s="12" cm="1">
        <f t="array" ref="S182">INDEX('Radiotherapy-ConceptMap-1'!$I$15:$N$124,Q182+1,R182)</f>
        <v>0</v>
      </c>
    </row>
    <row r="183" spans="16:19" x14ac:dyDescent="0.75">
      <c r="P183" s="11">
        <v>169</v>
      </c>
      <c r="Q183" s="11">
        <f t="shared" si="17"/>
        <v>28</v>
      </c>
      <c r="R183" s="11">
        <f t="shared" si="18"/>
        <v>1</v>
      </c>
      <c r="S183" s="12" cm="1">
        <f t="array" ref="S183">INDEX('Radiotherapy-ConceptMap-1'!$I$15:$N$124,Q183+1,R183)</f>
        <v>0</v>
      </c>
    </row>
    <row r="184" spans="16:19" x14ac:dyDescent="0.75">
      <c r="P184" s="11">
        <v>170</v>
      </c>
      <c r="Q184" s="11">
        <f t="shared" si="17"/>
        <v>28</v>
      </c>
      <c r="R184" s="11">
        <f t="shared" si="18"/>
        <v>2</v>
      </c>
      <c r="S184" s="12" cm="1">
        <f t="array" ref="S184">INDEX('Radiotherapy-ConceptMap-1'!$I$15:$N$124,Q184+1,R184)</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1839</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6"/>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the element covers different conceppt, please clarify. ##34#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#Procedure.extension:doseToVolume.extension:fractionsDelivered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the availability of proper coded concepts##34#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if  a specific bodySite qualifer should be used##34#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##34#check the availability of proper coded concepts##34#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used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topLeftCell="D9" zoomScale="85" zoomScaleNormal="85" workbookViewId="0">
      <selection activeCell="H12" sqref="H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5.5" thickBot="1" x14ac:dyDescent="0.9">
      <c r="L3" s="24" t="str">
        <f>L1</f>
        <v>//===================================================</v>
      </c>
      <c r="N3" s="24" t="str">
        <f>N1</f>
        <v>// -------------------------------------------------------------------------------</v>
      </c>
      <c r="P3" s="24" t="str">
        <f>P1</f>
        <v>// -------------------------------------------------------------------------------</v>
      </c>
      <c r="R3" s="24" t="str">
        <f>R1</f>
        <v>// -------------------------------------------------------------------------------</v>
      </c>
    </row>
    <row r="4" spans="1:18" ht="15.5" thickBot="1" x14ac:dyDescent="0.9">
      <c r="A4" s="5" t="s">
        <v>11</v>
      </c>
      <c r="B4" s="30" t="s">
        <v>2305</v>
      </c>
      <c r="L4" s="16" t="str">
        <f>CONCATENATE("Logical: ",B4)</f>
        <v>Logical: OtherTreatmentI4rc</v>
      </c>
    </row>
    <row r="5" spans="1:18" ht="15.5" thickBot="1" x14ac:dyDescent="0.9">
      <c r="A5" s="14" t="s">
        <v>16</v>
      </c>
      <c r="B5" s="30" t="s">
        <v>2306</v>
      </c>
      <c r="L5" s="16" t="str">
        <f>CONCATENATE("Id: ",B5)</f>
        <v>Id: OtherTreatment</v>
      </c>
    </row>
    <row r="6" spans="1:18" ht="15.5" thickBot="1" x14ac:dyDescent="0.9">
      <c r="A6" s="14" t="s">
        <v>10</v>
      </c>
      <c r="B6" s="30" t="s">
        <v>2307</v>
      </c>
      <c r="L6" s="17" t="str">
        <f>CONCATENATE("Title: ##34#",B6,"##34#")</f>
        <v>Title: ##34#Other Local Treatment##34#</v>
      </c>
    </row>
    <row r="7" spans="1:18" x14ac:dyDescent="0.75">
      <c r="A7" s="26" t="s">
        <v>2</v>
      </c>
      <c r="B7" s="30" t="s">
        <v>2307</v>
      </c>
      <c r="C7" s="9" t="s">
        <v>3</v>
      </c>
      <c r="D7" s="1" t="s">
        <v>4</v>
      </c>
      <c r="E7" s="3" t="s">
        <v>5</v>
      </c>
      <c r="F7" s="3" t="s">
        <v>6</v>
      </c>
      <c r="G7" s="3" t="s">
        <v>7</v>
      </c>
      <c r="H7" s="64" t="s">
        <v>1384</v>
      </c>
      <c r="I7" s="122" t="s">
        <v>2110</v>
      </c>
      <c r="J7" s="122" t="s">
        <v>2111</v>
      </c>
      <c r="L7" s="17" t="str">
        <f>CONCATENATE("Description: "," ##334#",B7,"##334#",)</f>
        <v>Description:  ##334#Other Local Treatment##334#</v>
      </c>
    </row>
    <row r="8" spans="1:18" ht="59" x14ac:dyDescent="0.75">
      <c r="A8" s="59">
        <v>0</v>
      </c>
      <c r="B8" s="12" t="s">
        <v>1573</v>
      </c>
      <c r="C8" s="12" t="s">
        <v>1658</v>
      </c>
      <c r="D8" s="12" t="s">
        <v>1568</v>
      </c>
      <c r="E8" s="12">
        <v>1</v>
      </c>
      <c r="F8" s="12">
        <v>1</v>
      </c>
      <c r="G8" s="136" t="s">
        <v>1620</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1906</v>
      </c>
      <c r="C9" s="12" t="s">
        <v>2297</v>
      </c>
      <c r="D9" s="12" t="s">
        <v>2298</v>
      </c>
      <c r="E9" s="12">
        <v>1</v>
      </c>
      <c r="F9" s="12">
        <v>1</v>
      </c>
      <c r="G9" s="12" t="s">
        <v>1474</v>
      </c>
      <c r="H9" s="12" t="s">
        <v>2299</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1765</v>
      </c>
      <c r="C10" s="12" t="s">
        <v>1766</v>
      </c>
      <c r="D10" s="12" t="s">
        <v>2300</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1768</v>
      </c>
      <c r="C11" s="12" t="s">
        <v>1769</v>
      </c>
      <c r="D11" s="12" t="s">
        <v>2301</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1889</v>
      </c>
      <c r="C12" s="12" t="s">
        <v>2302</v>
      </c>
      <c r="D12" s="12" t="s">
        <v>1675</v>
      </c>
      <c r="E12" s="12">
        <v>0</v>
      </c>
      <c r="F12" s="12">
        <v>1</v>
      </c>
      <c r="G12" s="12" t="s">
        <v>1474</v>
      </c>
      <c r="H12" s="12" t="s">
        <v>2303</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7"/>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7"/>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7"/>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7"/>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7"/>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7"/>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7"/>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7"/>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7"/>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2304</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rgb="FFFFFF00"/>
  </sheetPr>
  <dimension ref="A1:S163"/>
  <sheetViews>
    <sheetView topLeftCell="I34" zoomScale="40" zoomScaleNormal="40" workbookViewId="0">
      <selection activeCell="P15" sqref="P15:S16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1840</v>
      </c>
      <c r="D3" s="47" t="s">
        <v>1479</v>
      </c>
      <c r="E3" s="72" t="str">
        <f>$C$1&amp;B14</f>
        <v>http://hl7.eu/fhir/ig/idea4rc/StructureDefinition/OtherTreatment</v>
      </c>
    </row>
    <row r="4" spans="1:19" x14ac:dyDescent="0.75">
      <c r="B4" s="47" t="s">
        <v>16</v>
      </c>
      <c r="C4" s="28" t="s">
        <v>1840</v>
      </c>
      <c r="D4" s="47" t="s">
        <v>1480</v>
      </c>
      <c r="E4" s="153" t="s">
        <v>2386</v>
      </c>
      <c r="F4" s="154"/>
      <c r="G4" s="154"/>
    </row>
    <row r="5" spans="1:19" x14ac:dyDescent="0.75">
      <c r="B5" s="47" t="s">
        <v>10</v>
      </c>
      <c r="C5" s="7" t="s">
        <v>1841</v>
      </c>
      <c r="D5" s="47"/>
      <c r="E5" s="7"/>
    </row>
    <row r="6" spans="1:19" x14ac:dyDescent="0.75">
      <c r="B6" s="47" t="s">
        <v>18</v>
      </c>
      <c r="C6" s="41"/>
      <c r="D6" s="47" t="s">
        <v>1481</v>
      </c>
      <c r="E6" s="144" t="str">
        <f>E3</f>
        <v>http://hl7.eu/fhir/ig/idea4rc/StructureDefinition/OtherTreatment</v>
      </c>
      <c r="F6" s="145"/>
      <c r="G6" s="145"/>
    </row>
    <row r="7" spans="1:19" x14ac:dyDescent="0.75">
      <c r="B7" s="47" t="s">
        <v>15</v>
      </c>
      <c r="C7" s="73"/>
      <c r="D7" s="47" t="s">
        <v>1482</v>
      </c>
      <c r="E7" s="144" t="str">
        <f>E4</f>
        <v>http://hl7.eu/fhir/ig/idea4rc/StructureDefinition/ProcedureXXX</v>
      </c>
      <c r="F7" s="145"/>
      <c r="G7" s="145"/>
    </row>
    <row r="8" spans="1:19" ht="45" thickBot="1" x14ac:dyDescent="0.9">
      <c r="B8" s="47" t="s">
        <v>1483</v>
      </c>
      <c r="C8" s="7" t="s">
        <v>1841</v>
      </c>
      <c r="D8" s="47"/>
      <c r="E8" s="7"/>
      <c r="I8" s="12" t="s">
        <v>1289</v>
      </c>
      <c r="J8" s="12" t="s">
        <v>1290</v>
      </c>
      <c r="K8" s="12" t="s">
        <v>1291</v>
      </c>
      <c r="L8" s="12" t="s">
        <v>1292</v>
      </c>
      <c r="M8" s="11" t="s">
        <v>1293</v>
      </c>
      <c r="P8" s="34" t="s">
        <v>1328</v>
      </c>
      <c r="Q8" s="34">
        <v>6</v>
      </c>
    </row>
    <row r="9" spans="1:19" ht="30.25" thickBot="1" x14ac:dyDescent="0.9">
      <c r="B9" s="47" t="s">
        <v>1484</v>
      </c>
      <c r="C9" s="12" t="s">
        <v>1842</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1814</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1815</v>
      </c>
      <c r="E15" s="12"/>
      <c r="F15" s="49" t="s">
        <v>1294</v>
      </c>
      <c r="G15" s="78"/>
      <c r="I15" s="12" t="str">
        <f>"* group[=].element[+].code = #"&amp;$B$14&amp;"."&amp;B15</f>
        <v>* group[=].element[+].code = #OtherTreatment.episodeEvent</v>
      </c>
      <c r="J15" s="12" t="str">
        <f t="shared" ref="J15:J29" si="0">"* group[=].element[=].display = ##34#"&amp;C15&amp;"##34#"</f>
        <v>* group[=].element[=].display = ##34#Episode Event reference##34#</v>
      </c>
      <c r="K15" s="12" t="str">
        <f t="shared" ref="K15:K29" si="1">IF(F15="unmatched","//-- unmatched","* group[=].element[=].target.code = #"&amp;$D$14&amp;"."&amp;D15)</f>
        <v>* group[=].element[=].target.code = #Procedure.reasonReference</v>
      </c>
      <c r="L15" s="12" t="str">
        <f t="shared" ref="L15:L29" si="2">IF(F15="unmatched","//-- unmatched","* group[=].element[=].target.display = ##34#"&amp;E15&amp;"##34#")</f>
        <v>* group[=].element[=].target.display = ##34###34#</v>
      </c>
      <c r="M15" s="12" t="str">
        <f t="shared" ref="M15:M29" si="3">"* group[=].element[=].target.equivalence = #"&amp;F15</f>
        <v>* group[=].element[=].target.equivalence = #relatedto</v>
      </c>
      <c r="N15" s="12" t="str">
        <f t="shared" ref="N15:N29" si="4">IF(G15&lt;&gt;"",CONCATENATE("* group[=].element[=].target.comment = ","##34#",G15,"##34#"),"")</f>
        <v/>
      </c>
      <c r="P15" s="11">
        <v>1</v>
      </c>
      <c r="Q15" s="11">
        <f t="shared" ref="Q15:Q78" si="5">IF(MOD(P15,$Q$8)=0,P15/$Q$8-1,INT(P15/$Q$8))</f>
        <v>0</v>
      </c>
      <c r="R15" s="11">
        <f t="shared" ref="R15:R78"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7" t="s">
        <v>2387</v>
      </c>
      <c r="I16" s="12" t="str">
        <f t="shared" ref="I16:I29" si="7">"* group[=].element[+].code = #"&amp;$B$14&amp;"."&amp;B16</f>
        <v>* group[=].element[+].code = #OtherTreatment.type</v>
      </c>
      <c r="J16" s="12" t="str">
        <f t="shared" ref="J16:J29" si="8">"* group[=].element[=].display = ##34#"&amp;C16&amp;"##34#"</f>
        <v>* group[=].element[=].display = ##34#Type of local treatment##34#</v>
      </c>
      <c r="K16" s="12" t="str">
        <f t="shared" ref="K16:K29" si="9">IF(F16="unmatched","//-- unmatched","* group[=].element[=].target.code = #"&amp;$D$14&amp;"."&amp;D16)</f>
        <v>* group[=].element[=].target.code = #Procedure.code</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55" t="s">
        <v>1836</v>
      </c>
      <c r="E17" s="12"/>
      <c r="F17" s="49" t="s">
        <v>1294</v>
      </c>
      <c r="G17" s="77"/>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55" t="s">
        <v>1837</v>
      </c>
      <c r="E18" s="12"/>
      <c r="F18" s="49" t="s">
        <v>1294</v>
      </c>
      <c r="G18" s="77" t="s">
        <v>1485</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1819</v>
      </c>
      <c r="E19" s="12"/>
      <c r="F19" s="49" t="s">
        <v>1294</v>
      </c>
      <c r="G19" s="78"/>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56"/>
      <c r="C20" s="156"/>
      <c r="D20" s="157"/>
      <c r="E20" s="157"/>
      <c r="F20" s="158"/>
      <c r="G20" s="159"/>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56"/>
      <c r="C21" s="156"/>
      <c r="D21" s="157"/>
      <c r="E21" s="157"/>
      <c r="F21" s="158"/>
      <c r="G21" s="159"/>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56"/>
      <c r="C22" s="156"/>
      <c r="D22" s="157"/>
      <c r="E22" s="157"/>
      <c r="F22" s="158"/>
      <c r="G22" s="159"/>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56"/>
      <c r="C23" s="156"/>
      <c r="D23" s="157"/>
      <c r="E23" s="156"/>
      <c r="F23" s="158"/>
      <c r="G23" s="159"/>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56"/>
      <c r="C24" s="156"/>
      <c r="D24" s="157"/>
      <c r="E24" s="156"/>
      <c r="F24" s="158"/>
      <c r="G24" s="159"/>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56"/>
      <c r="C25" s="156"/>
      <c r="D25" s="157"/>
      <c r="E25" s="156"/>
      <c r="F25" s="158"/>
      <c r="G25" s="159"/>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x14ac:dyDescent="0.75">
      <c r="A26" s="44"/>
      <c r="B26" s="156"/>
      <c r="C26" s="156"/>
      <c r="D26" s="157"/>
      <c r="E26" s="157"/>
      <c r="F26" s="158"/>
      <c r="G26" s="159"/>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56"/>
      <c r="C27" s="156"/>
      <c r="D27" s="157"/>
      <c r="E27" s="157"/>
      <c r="F27" s="158"/>
      <c r="G27" s="159"/>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56"/>
      <c r="C28" s="156"/>
      <c r="D28" s="157"/>
      <c r="E28" s="157"/>
      <c r="F28" s="158"/>
      <c r="G28" s="159"/>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56"/>
      <c r="C29" s="156"/>
      <c r="D29" s="157"/>
      <c r="E29" s="157"/>
      <c r="F29" s="158"/>
      <c r="G29" s="159"/>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rgb="FFFFFF00"/>
  </sheetPr>
  <dimension ref="B1:G52"/>
  <sheetViews>
    <sheetView tabSelected="1" workbookViewId="0">
      <selection activeCell="B53" sqref="B53:G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1850</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##34#http://hl7.eu/fhir/ig/idea4rc/StructureDefinition/ProcedureXXX##34#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##34#http://hl7.eu/fhir/ig/idea4rc/StructureDefinition/ProcedureXXX##34#</v>
      </c>
    </row>
    <row r="18" spans="2:7" x14ac:dyDescent="0.75">
      <c r="B18" s="76"/>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G9" sqref="G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1942</v>
      </c>
      <c r="L4" s="16" t="str">
        <f>CONCATENATE("Logical: ",B4)</f>
        <v>Logical: TreatmentResponseI4rc</v>
      </c>
    </row>
    <row r="5" spans="1:18" ht="15.5" thickBot="1" x14ac:dyDescent="0.9">
      <c r="A5" s="14" t="s">
        <v>16</v>
      </c>
      <c r="B5" s="30" t="s">
        <v>1888</v>
      </c>
      <c r="L5" s="16" t="str">
        <f>CONCATENATE("Id: ",B5)</f>
        <v>Id: TreatmentResponse</v>
      </c>
    </row>
    <row r="6" spans="1:18" ht="15.5" thickBot="1" x14ac:dyDescent="0.9">
      <c r="A6" s="14" t="s">
        <v>10</v>
      </c>
      <c r="B6" s="30" t="s">
        <v>1890</v>
      </c>
      <c r="L6" s="17" t="str">
        <f>CONCATENATE("Title: ##34#",B6,"##34#")</f>
        <v>Title: ##34#Treatment Response##34#</v>
      </c>
    </row>
    <row r="7" spans="1:18" x14ac:dyDescent="0.75">
      <c r="A7" s="26" t="s">
        <v>2</v>
      </c>
      <c r="B7" s="30" t="s">
        <v>1890</v>
      </c>
      <c r="C7" s="9" t="s">
        <v>3</v>
      </c>
      <c r="D7" s="1" t="s">
        <v>4</v>
      </c>
      <c r="E7" s="3" t="s">
        <v>5</v>
      </c>
      <c r="F7" s="3" t="s">
        <v>6</v>
      </c>
      <c r="G7" s="3" t="s">
        <v>7</v>
      </c>
      <c r="H7" s="64" t="s">
        <v>1384</v>
      </c>
      <c r="I7" s="122" t="s">
        <v>2110</v>
      </c>
      <c r="J7" s="122" t="s">
        <v>2111</v>
      </c>
      <c r="L7" s="17" t="str">
        <f>CONCATENATE("Description: "," ##334#",B7,"##334#",)</f>
        <v>Description:  ##334#Treatment Response##334#</v>
      </c>
    </row>
    <row r="8" spans="1:18" ht="59" x14ac:dyDescent="0.75">
      <c r="A8" s="59">
        <v>0</v>
      </c>
      <c r="B8" s="11" t="s">
        <v>1573</v>
      </c>
      <c r="C8" s="11" t="s">
        <v>1567</v>
      </c>
      <c r="D8" s="11" t="s">
        <v>1568</v>
      </c>
      <c r="E8" s="11">
        <v>1</v>
      </c>
      <c r="F8" s="11">
        <v>1</v>
      </c>
      <c r="G8" s="73" t="s">
        <v>1620</v>
      </c>
      <c r="H8" s="11"/>
      <c r="I8" s="12" t="b">
        <v>1</v>
      </c>
      <c r="J8" s="12" t="b">
        <v>1</v>
      </c>
      <c r="K8" s="25" t="s">
        <v>1573</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11" t="s">
        <v>1889</v>
      </c>
      <c r="C9" s="11" t="s">
        <v>1674</v>
      </c>
      <c r="D9" s="11" t="s">
        <v>1891</v>
      </c>
      <c r="E9" s="11">
        <v>1</v>
      </c>
      <c r="F9" s="11">
        <v>1</v>
      </c>
      <c r="G9" s="11" t="s">
        <v>1474</v>
      </c>
      <c r="H9" s="12" t="s">
        <v>2272</v>
      </c>
      <c r="I9" s="12" t="b">
        <v>1</v>
      </c>
      <c r="J9" s="12" t="b">
        <v>1</v>
      </c>
      <c r="K9" s="25" t="s">
        <v>1889</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2271</v>
      </c>
      <c r="C10" s="11" t="s">
        <v>1892</v>
      </c>
      <c r="D10" s="11" t="s">
        <v>1893</v>
      </c>
      <c r="E10" s="11">
        <v>1</v>
      </c>
      <c r="F10" s="11">
        <v>1</v>
      </c>
      <c r="G10" s="11" t="s">
        <v>1474</v>
      </c>
      <c r="H10" s="11" t="s">
        <v>1894</v>
      </c>
      <c r="I10" s="12" t="b">
        <v>1</v>
      </c>
      <c r="J10" s="12" t="b">
        <v>1</v>
      </c>
      <c r="K10" s="25" t="s">
        <v>2271</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4"/>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1895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1896</v>
      </c>
      <c r="D3" s="47" t="s">
        <v>1479</v>
      </c>
      <c r="E3" s="72" t="str">
        <f>$C$1&amp;B14</f>
        <v>http://hl7.eu/fhir/ig/idea4rc/StructureDefinition/TreatmentResponseI4rc</v>
      </c>
    </row>
    <row r="4" spans="1:19" x14ac:dyDescent="0.75">
      <c r="B4" s="47" t="s">
        <v>16</v>
      </c>
      <c r="C4" s="28" t="s">
        <v>1896</v>
      </c>
      <c r="D4" s="47" t="s">
        <v>1480</v>
      </c>
      <c r="E4" s="144" t="s">
        <v>1851</v>
      </c>
      <c r="F4" s="145"/>
      <c r="G4" s="145"/>
    </row>
    <row r="5" spans="1:19" x14ac:dyDescent="0.75">
      <c r="B5" s="47" t="s">
        <v>10</v>
      </c>
      <c r="C5" s="7" t="s">
        <v>1825</v>
      </c>
      <c r="D5" s="47"/>
      <c r="E5" s="7"/>
    </row>
    <row r="6" spans="1:19" x14ac:dyDescent="0.75">
      <c r="B6" s="47" t="s">
        <v>18</v>
      </c>
      <c r="C6" s="41"/>
      <c r="D6" s="47" t="s">
        <v>1481</v>
      </c>
      <c r="E6" s="144" t="str">
        <f>E3</f>
        <v>http://hl7.eu/fhir/ig/idea4rc/StructureDefinition/TreatmentResponseI4rc</v>
      </c>
      <c r="F6" s="145"/>
      <c r="G6" s="145"/>
    </row>
    <row r="7" spans="1:19" x14ac:dyDescent="0.75">
      <c r="B7" s="47" t="s">
        <v>15</v>
      </c>
      <c r="C7" s="73"/>
      <c r="D7" s="47" t="s">
        <v>1482</v>
      </c>
      <c r="E7" s="144" t="str">
        <f>E4</f>
        <v>http://hl7.eu/fhir/ig/idea4rc/StructureDefinition/Procedure-radiotheraphy-eu-i4rc</v>
      </c>
      <c r="F7" s="145"/>
      <c r="G7" s="145"/>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1814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8"/>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8"/>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8"/>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8"/>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8"/>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8"/>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8"/>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8"/>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8"/>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8"/>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8"/>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8"/>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8"/>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8"/>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8"/>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8"/>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8"/>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8"/>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8"/>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8"/>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8"/>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8"/>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8"/>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8"/>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8"/>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8"/>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8"/>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8"/>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INDEX('TreatmentRespon-ConceptMap-1'!$I$15:$N$124,Q50+1,R50)</f>
        <v/>
      </c>
    </row>
    <row r="51" spans="2:19" x14ac:dyDescent="0.75">
      <c r="B51" s="11"/>
      <c r="C51" s="11"/>
      <c r="D51" s="12"/>
      <c r="E51" s="12"/>
      <c r="F51" s="49"/>
      <c r="G51" s="78"/>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8"/>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INDEX('TreatmentRespon-ConceptMap-1'!$I$15:$N$124,Q56+1,R56)</f>
        <v/>
      </c>
    </row>
    <row r="57" spans="2:19" x14ac:dyDescent="0.75">
      <c r="B57" s="11"/>
      <c r="C57" s="11"/>
      <c r="D57" s="12"/>
      <c r="E57" s="12"/>
      <c r="F57" s="49"/>
      <c r="G57" s="78"/>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8"/>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INDEX('TreatmentRespon-ConceptMap-1'!$I$15:$N$124,Q62+1,R62)</f>
        <v/>
      </c>
    </row>
    <row r="63" spans="2:19" x14ac:dyDescent="0.75">
      <c r="B63" s="11"/>
      <c r="C63" s="11"/>
      <c r="D63" s="12"/>
      <c r="E63" s="12"/>
      <c r="F63" s="49"/>
      <c r="G63" s="78"/>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8"/>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INDEX('TreatmentRespon-ConceptMap-1'!$I$15:$N$124,Q68+1,R68)</f>
        <v/>
      </c>
    </row>
    <row r="69" spans="2:19" x14ac:dyDescent="0.75">
      <c r="B69" s="11"/>
      <c r="C69" s="11"/>
      <c r="D69" s="12"/>
      <c r="E69" s="12"/>
      <c r="F69" s="49"/>
      <c r="G69" s="78"/>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8"/>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INDEX('TreatmentRespon-ConceptMap-1'!$I$15:$N$124,Q74+1,R74)</f>
        <v/>
      </c>
    </row>
    <row r="75" spans="2:19" x14ac:dyDescent="0.75">
      <c r="B75" s="11"/>
      <c r="C75" s="11"/>
      <c r="D75" s="12"/>
      <c r="E75" s="12"/>
      <c r="F75" s="49"/>
      <c r="G75" s="78"/>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8"/>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INDEX('TreatmentRespon-ConceptMap-1'!$I$15:$N$124,Q80+1,R80)</f>
        <v/>
      </c>
    </row>
    <row r="81" spans="2:19" x14ac:dyDescent="0.75">
      <c r="B81" s="11"/>
      <c r="C81" s="11"/>
      <c r="D81" s="12"/>
      <c r="E81" s="12"/>
      <c r="F81" s="49"/>
      <c r="G81" s="78"/>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8"/>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INDEX('TreatmentRespon-ConceptMap-1'!$I$15:$N$124,Q86+1,R86)</f>
        <v/>
      </c>
    </row>
    <row r="87" spans="2:19" x14ac:dyDescent="0.75">
      <c r="B87" s="11"/>
      <c r="C87" s="11"/>
      <c r="D87" s="12"/>
      <c r="E87" s="12"/>
      <c r="F87" s="49"/>
      <c r="G87" s="78"/>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8"/>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INDEX('TreatmentRespon-ConceptMap-1'!$I$15:$N$124,Q92+1,R92)</f>
        <v/>
      </c>
    </row>
    <row r="93" spans="2:19" x14ac:dyDescent="0.75">
      <c r="B93" s="11"/>
      <c r="C93" s="11"/>
      <c r="D93" s="12"/>
      <c r="E93" s="12"/>
      <c r="F93" s="49"/>
      <c r="G93" s="78"/>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8"/>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INDEX('TreatmentRespon-ConceptMap-1'!$I$15:$N$124,Q98+1,R98)</f>
        <v/>
      </c>
    </row>
    <row r="99" spans="2:19" x14ac:dyDescent="0.75">
      <c r="B99" s="11"/>
      <c r="C99" s="11"/>
      <c r="D99" s="12"/>
      <c r="E99" s="12"/>
      <c r="F99" s="49"/>
      <c r="G99" s="78"/>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8"/>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8"/>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8"/>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8"/>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8"/>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1897</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6"/>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I13" zoomScale="85" zoomScaleNormal="85" workbookViewId="0">
      <selection activeCell="L15" sqref="L15"/>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2112</v>
      </c>
      <c r="R2" s="24" t="s">
        <v>2113</v>
      </c>
    </row>
    <row r="3" spans="1:18" ht="17.75" customHeight="1" thickBot="1" x14ac:dyDescent="0.9">
      <c r="L3" s="24" t="str">
        <f>L1</f>
        <v>//===================================================</v>
      </c>
      <c r="N3" s="24" t="str">
        <f>N1</f>
        <v>// -------------------------------------------------------------------------------</v>
      </c>
      <c r="P3" s="24" t="str">
        <f>P1</f>
        <v>// -------------------------------------------------------------------------------</v>
      </c>
      <c r="R3" s="24" t="str">
        <f>R1</f>
        <v>// -------------------------------------------------------------------------------</v>
      </c>
    </row>
    <row r="4" spans="1:18" ht="15.5" thickBot="1" x14ac:dyDescent="0.9">
      <c r="A4" s="5" t="s">
        <v>11</v>
      </c>
      <c r="B4" s="30" t="s">
        <v>1940</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1905</v>
      </c>
      <c r="L6" s="17" t="str">
        <f>CONCATENATE("Title: ##34#",B6,"##34#")</f>
        <v>Title: ##34#Adverse Event##34#</v>
      </c>
    </row>
    <row r="7" spans="1:18" x14ac:dyDescent="0.75">
      <c r="A7" s="26" t="s">
        <v>2</v>
      </c>
      <c r="B7" s="30" t="s">
        <v>1905</v>
      </c>
      <c r="C7" s="9" t="s">
        <v>3</v>
      </c>
      <c r="D7" s="1" t="s">
        <v>4</v>
      </c>
      <c r="E7" s="3" t="s">
        <v>5</v>
      </c>
      <c r="F7" s="3" t="s">
        <v>6</v>
      </c>
      <c r="G7" s="3" t="s">
        <v>7</v>
      </c>
      <c r="H7" s="64" t="s">
        <v>1384</v>
      </c>
      <c r="I7" s="122" t="s">
        <v>2110</v>
      </c>
      <c r="J7" s="122" t="s">
        <v>2111</v>
      </c>
      <c r="L7" s="17" t="str">
        <f>CONCATENATE("Description: "," ##334#",B7,"##334#",)</f>
        <v>Description:  ##334#Adverse Event##334#</v>
      </c>
    </row>
    <row r="8" spans="1:18" ht="59" x14ac:dyDescent="0.75">
      <c r="A8" s="59">
        <v>0</v>
      </c>
      <c r="B8" s="25" t="s">
        <v>1573</v>
      </c>
      <c r="C8" s="11" t="s">
        <v>1658</v>
      </c>
      <c r="D8" s="11" t="s">
        <v>1568</v>
      </c>
      <c r="E8" s="11">
        <v>1</v>
      </c>
      <c r="F8" s="11">
        <v>1</v>
      </c>
      <c r="G8" s="11" t="s">
        <v>1620</v>
      </c>
      <c r="H8" s="11"/>
      <c r="I8" s="12" t="b">
        <v>1</v>
      </c>
      <c r="J8" s="12" t="b">
        <v>0</v>
      </c>
      <c r="K8" s="25" t="s">
        <v>1573</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42" t="s">
        <v>1906</v>
      </c>
      <c r="C9" s="11" t="s">
        <v>1898</v>
      </c>
      <c r="D9" s="11" t="s">
        <v>1899</v>
      </c>
      <c r="E9" s="11">
        <v>1</v>
      </c>
      <c r="F9" s="11">
        <v>1</v>
      </c>
      <c r="G9" s="11" t="s">
        <v>1474</v>
      </c>
      <c r="H9" s="11"/>
      <c r="I9" s="12" t="b">
        <v>1</v>
      </c>
      <c r="J9" s="12" t="b">
        <v>0</v>
      </c>
      <c r="K9" s="25" t="s">
        <v>2273</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1907</v>
      </c>
      <c r="C10" s="11" t="s">
        <v>1900</v>
      </c>
      <c r="D10" s="11" t="s">
        <v>1901</v>
      </c>
      <c r="E10" s="11">
        <v>1</v>
      </c>
      <c r="F10" s="11">
        <v>1</v>
      </c>
      <c r="G10" s="11" t="s">
        <v>43</v>
      </c>
      <c r="H10" s="11"/>
      <c r="I10" s="12" t="b">
        <v>1</v>
      </c>
      <c r="J10" s="12" t="b">
        <v>0</v>
      </c>
      <c r="K10" s="25" t="s">
        <v>2274</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1908</v>
      </c>
      <c r="C11" s="11" t="s">
        <v>1902</v>
      </c>
      <c r="D11" s="11" t="s">
        <v>1903</v>
      </c>
      <c r="E11" s="11">
        <v>1</v>
      </c>
      <c r="F11" s="11">
        <v>1</v>
      </c>
      <c r="G11" s="11" t="s">
        <v>1474</v>
      </c>
      <c r="H11" s="62" t="s">
        <v>1904</v>
      </c>
      <c r="I11" s="12" t="b">
        <v>1</v>
      </c>
      <c r="J11" s="12" t="b">
        <v>0</v>
      </c>
      <c r="K11" s="25" t="s">
        <v>2275</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ht="59"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ht="59"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ht="59"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AdverseEvent!L1</f>
        <v>//===================================================</v>
      </c>
    </row>
    <row r="2" spans="3:7" ht="16.75" thickBot="1" x14ac:dyDescent="0.9">
      <c r="C2" s="24" t="str">
        <f>AdverseEvent!L2</f>
        <v>//  Logical Model</v>
      </c>
      <c r="G2" s="29" t="s">
        <v>1909</v>
      </c>
    </row>
    <row r="3" spans="3:7" x14ac:dyDescent="0.75">
      <c r="C3" s="24" t="str">
        <f>AdverseEvent!L3</f>
        <v>//===================================================</v>
      </c>
    </row>
    <row r="4" spans="3:7" x14ac:dyDescent="0.75">
      <c r="C4" s="102" t="str">
        <f>AdverseEvent!L4</f>
        <v>Logical: AdverseEventI4rc</v>
      </c>
    </row>
    <row r="5" spans="3:7" x14ac:dyDescent="0.75">
      <c r="C5" s="102" t="str">
        <f>AdverseEvent!L5</f>
        <v>Id: AdverseEvent</v>
      </c>
    </row>
    <row r="6" spans="3:7" x14ac:dyDescent="0.75">
      <c r="C6" s="102" t="str">
        <f>AdverseEvent!L6</f>
        <v>Title: ##34#Adverse Event##34#</v>
      </c>
    </row>
    <row r="7" spans="3:7" x14ac:dyDescent="0.75">
      <c r="C7" s="102" t="str">
        <f>AdverseEvent!L7</f>
        <v>Description:  ##334#Adverse Event##334#</v>
      </c>
    </row>
    <row r="8" spans="3:7" ht="29.5" x14ac:dyDescent="0.75">
      <c r="C8" s="103"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3"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3" t="str">
        <f>IF(AdverseEvent!L10="*  ..  ##34###34# ##334###334#","//--- END",AdverseEvent!L10)</f>
        <v>* eventStartingDate 1..1 date ##34#Adverse event starting date  ##34# ##334#specifies when adverse events begins##334#</v>
      </c>
    </row>
    <row r="11" spans="3:7" ht="29.5" x14ac:dyDescent="0.75">
      <c r="C11" s="103" t="str">
        <f>IF(AdverseEvent!L11="*  ..  ##34###34# ##334###334#","//--- END",AdverseEvent!L11)</f>
        <v>* eventDuration 1..1 CodeableConcept ##34#Adverse event duration##34# ##334#specifies the duration of the adverse event##334#</v>
      </c>
    </row>
    <row r="12" spans="3:7" x14ac:dyDescent="0.75">
      <c r="C12" s="103" t="str">
        <f>IF(AdverseEvent!L12="*  ..  ##34###34# ##334###334#","//--- END",AdverseEvent!L12)</f>
        <v>//--- END</v>
      </c>
    </row>
    <row r="13" spans="3:7" x14ac:dyDescent="0.75">
      <c r="C13" s="103" t="str">
        <f>IF(AdverseEvent!L13="*  ..  ##34###34# ##334###334#","//--- END",AdverseEvent!L13)</f>
        <v>//--- END</v>
      </c>
    </row>
    <row r="14" spans="3:7" x14ac:dyDescent="0.75">
      <c r="C14" s="103" t="str">
        <f>IF(AdverseEvent!L14="*  ..  ##34###34# ##334###334#","//--- END",AdverseEvent!L14)</f>
        <v>//--- END</v>
      </c>
    </row>
    <row r="16" spans="3:7" x14ac:dyDescent="0.75">
      <c r="C16" s="101" t="s">
        <v>1387</v>
      </c>
    </row>
    <row r="17" spans="3:3" x14ac:dyDescent="0.75">
      <c r="C17" s="24" t="s">
        <v>1421</v>
      </c>
    </row>
    <row r="18" spans="3:3" x14ac:dyDescent="0.75">
      <c r="C18" s="24" t="s">
        <v>1387</v>
      </c>
    </row>
    <row r="19" spans="3:3" x14ac:dyDescent="0.75">
      <c r="C19" s="103" t="str">
        <f>IF(AdverseEvent!N8="*  ..  ##34###34# ##334###334#","//--- END",AdverseEvent!N8)</f>
        <v/>
      </c>
    </row>
    <row r="20" spans="3:3" x14ac:dyDescent="0.75">
      <c r="C20" s="103" t="str">
        <f>IF(AdverseEvent!N9="*  ..  ##34###34# ##334###334#","//--- END",AdverseEvent!N9)</f>
        <v/>
      </c>
    </row>
    <row r="21" spans="3:3" x14ac:dyDescent="0.75">
      <c r="C21" s="103" t="str">
        <f>IF(AdverseEvent!N10="*  ..  ##34###34# ##334###334#","//--- END",AdverseEvent!N10)</f>
        <v/>
      </c>
    </row>
    <row r="22" spans="3:3" ht="44.25" x14ac:dyDescent="0.75">
      <c r="C22" s="103" t="str">
        <f>IF(AdverseEvent!N11="*  ..  ##34###34# ##334###334#","//--- END",AdverseEvent!N11)</f>
        <v>* eventDuration ^comment = ##334#Less than one week; More than one week but  less than a month; More than a month but less than 3 months; More than 3 months; Unknown.
Custom##334#</v>
      </c>
    </row>
    <row r="23" spans="3:3" x14ac:dyDescent="0.75">
      <c r="C23" s="103" t="str">
        <f>IF(AdverseEvent!N12="*  ..  ##34###34# ##334###334#","//--- END",AdverseEvent!N12)</f>
        <v>//--- END</v>
      </c>
    </row>
    <row r="24" spans="3:3" x14ac:dyDescent="0.75">
      <c r="C24" s="103" t="str">
        <f>IF(AdverseEvent!N13="*  ..  ##34###34# ##334###334#","//--- END",AdverseEvent!N13)</f>
        <v>//--- END</v>
      </c>
    </row>
    <row r="25" spans="3:3" x14ac:dyDescent="0.75">
      <c r="C25" s="103"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1896</v>
      </c>
      <c r="D3" s="47" t="s">
        <v>1479</v>
      </c>
      <c r="E3" s="72" t="str">
        <f>$C$1&amp;B14</f>
        <v>http://hl7.eu/fhir/ig/idea4rc/StructureDefinition/AdverseEventI4rc</v>
      </c>
    </row>
    <row r="4" spans="1:19" x14ac:dyDescent="0.75">
      <c r="B4" s="47" t="s">
        <v>16</v>
      </c>
      <c r="C4" s="28" t="s">
        <v>1896</v>
      </c>
      <c r="D4" s="47" t="s">
        <v>1480</v>
      </c>
      <c r="E4" s="144" t="s">
        <v>1851</v>
      </c>
      <c r="F4" s="145"/>
      <c r="G4" s="145"/>
    </row>
    <row r="5" spans="1:19" x14ac:dyDescent="0.75">
      <c r="B5" s="47" t="s">
        <v>10</v>
      </c>
      <c r="C5" s="7" t="s">
        <v>1825</v>
      </c>
      <c r="D5" s="47"/>
      <c r="E5" s="7"/>
    </row>
    <row r="6" spans="1:19" x14ac:dyDescent="0.75">
      <c r="B6" s="47" t="s">
        <v>18</v>
      </c>
      <c r="C6" s="41"/>
      <c r="D6" s="47" t="s">
        <v>1481</v>
      </c>
      <c r="E6" s="144" t="str">
        <f>E3</f>
        <v>http://hl7.eu/fhir/ig/idea4rc/StructureDefinition/AdverseEventI4rc</v>
      </c>
      <c r="F6" s="145"/>
      <c r="G6" s="145"/>
    </row>
    <row r="7" spans="1:19" x14ac:dyDescent="0.75">
      <c r="B7" s="47" t="s">
        <v>15</v>
      </c>
      <c r="C7" s="73"/>
      <c r="D7" s="47" t="s">
        <v>1482</v>
      </c>
      <c r="E7" s="144" t="str">
        <f>E4</f>
        <v>http://hl7.eu/fhir/ig/idea4rc/StructureDefinition/Procedure-radiotheraphy-eu-i4rc</v>
      </c>
      <c r="F7" s="145"/>
      <c r="G7" s="145"/>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1814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78"/>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78"/>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78"/>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78"/>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78"/>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78"/>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78"/>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78"/>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78"/>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78"/>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78"/>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78"/>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78"/>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78"/>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78"/>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78"/>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78"/>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78"/>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78"/>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78"/>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78"/>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78"/>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78"/>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78"/>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78"/>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78"/>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78"/>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78"/>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INDEX('AdverseEvent-ConceptMap-1'!$I$15:$N$124,Q50+1,R50)</f>
        <v/>
      </c>
    </row>
    <row r="51" spans="2:19" x14ac:dyDescent="0.75">
      <c r="B51" s="11"/>
      <c r="C51" s="11"/>
      <c r="D51" s="12"/>
      <c r="E51" s="12"/>
      <c r="F51" s="49"/>
      <c r="G51" s="78"/>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78"/>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INDEX('AdverseEvent-ConceptMap-1'!$I$15:$N$124,Q56+1,R56)</f>
        <v/>
      </c>
    </row>
    <row r="57" spans="2:19" x14ac:dyDescent="0.75">
      <c r="B57" s="11"/>
      <c r="C57" s="11"/>
      <c r="D57" s="12"/>
      <c r="E57" s="12"/>
      <c r="F57" s="49"/>
      <c r="G57" s="78"/>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78"/>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INDEX('AdverseEvent-ConceptMap-1'!$I$15:$N$124,Q62+1,R62)</f>
        <v/>
      </c>
    </row>
    <row r="63" spans="2:19" x14ac:dyDescent="0.75">
      <c r="B63" s="11"/>
      <c r="C63" s="11"/>
      <c r="D63" s="12"/>
      <c r="E63" s="12"/>
      <c r="F63" s="49"/>
      <c r="G63" s="78"/>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78"/>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INDEX('AdverseEvent-ConceptMap-1'!$I$15:$N$124,Q68+1,R68)</f>
        <v/>
      </c>
    </row>
    <row r="69" spans="2:19" x14ac:dyDescent="0.75">
      <c r="B69" s="11"/>
      <c r="C69" s="11"/>
      <c r="D69" s="12"/>
      <c r="E69" s="12"/>
      <c r="F69" s="49"/>
      <c r="G69" s="78"/>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78"/>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INDEX('AdverseEvent-ConceptMap-1'!$I$15:$N$124,Q74+1,R74)</f>
        <v/>
      </c>
    </row>
    <row r="75" spans="2:19" x14ac:dyDescent="0.75">
      <c r="B75" s="11"/>
      <c r="C75" s="11"/>
      <c r="D75" s="12"/>
      <c r="E75" s="12"/>
      <c r="F75" s="49"/>
      <c r="G75" s="78"/>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78"/>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INDEX('AdverseEvent-ConceptMap-1'!$I$15:$N$124,Q80+1,R80)</f>
        <v/>
      </c>
    </row>
    <row r="81" spans="2:19" x14ac:dyDescent="0.75">
      <c r="B81" s="11"/>
      <c r="C81" s="11"/>
      <c r="D81" s="12"/>
      <c r="E81" s="12"/>
      <c r="F81" s="49"/>
      <c r="G81" s="78"/>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78"/>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INDEX('AdverseEvent-ConceptMap-1'!$I$15:$N$124,Q86+1,R86)</f>
        <v/>
      </c>
    </row>
    <row r="87" spans="2:19" x14ac:dyDescent="0.75">
      <c r="B87" s="11"/>
      <c r="C87" s="11"/>
      <c r="D87" s="12"/>
      <c r="E87" s="12"/>
      <c r="F87" s="49"/>
      <c r="G87" s="78"/>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78"/>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INDEX('AdverseEvent-ConceptMap-1'!$I$15:$N$124,Q92+1,R92)</f>
        <v/>
      </c>
    </row>
    <row r="93" spans="2:19" x14ac:dyDescent="0.75">
      <c r="B93" s="11"/>
      <c r="C93" s="11"/>
      <c r="D93" s="12"/>
      <c r="E93" s="12"/>
      <c r="F93" s="49"/>
      <c r="G93" s="78"/>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78"/>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INDEX('AdverseEvent-ConceptMap-1'!$I$15:$N$124,Q98+1,R98)</f>
        <v/>
      </c>
    </row>
    <row r="99" spans="2:19" x14ac:dyDescent="0.75">
      <c r="B99" s="11"/>
      <c r="C99" s="11"/>
      <c r="D99" s="12"/>
      <c r="E99" s="12"/>
      <c r="F99" s="49"/>
      <c r="G99" s="78"/>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78"/>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78"/>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78"/>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78"/>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78"/>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1910</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6"/>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1945</v>
      </c>
      <c r="J4" s="16" t="str">
        <f>CONCATENATE("Logical: ",B4)</f>
        <v>Logical: PathologicalStageI4rc</v>
      </c>
    </row>
    <row r="5" spans="1:12" ht="19.899999999999999" customHeight="1" x14ac:dyDescent="0.75">
      <c r="A5" s="14" t="s">
        <v>16</v>
      </c>
      <c r="B5" s="31" t="s">
        <v>1597</v>
      </c>
      <c r="J5" s="16" t="str">
        <f>CONCATENATE("Id: ",B5)</f>
        <v>Id: PathologicalStage</v>
      </c>
    </row>
    <row r="6" spans="1:12" ht="19.899999999999999" customHeight="1" x14ac:dyDescent="0.75">
      <c r="A6" s="14" t="s">
        <v>10</v>
      </c>
      <c r="B6" s="32" t="s">
        <v>1598</v>
      </c>
      <c r="J6" s="17" t="str">
        <f>CONCATENATE("Title: ##34#",B6,"##34#")</f>
        <v>Title: ##34#Pathological Stage##34#</v>
      </c>
    </row>
    <row r="7" spans="1:12" ht="19.899999999999999" customHeight="1" x14ac:dyDescent="0.75">
      <c r="A7" s="26" t="s">
        <v>2</v>
      </c>
      <c r="B7" s="63" t="s">
        <v>1597</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1599</v>
      </c>
      <c r="C8" s="11" t="s">
        <v>1567</v>
      </c>
      <c r="D8" s="11" t="s">
        <v>1568</v>
      </c>
      <c r="E8" s="11">
        <v>1</v>
      </c>
      <c r="F8" s="11">
        <v>1</v>
      </c>
      <c r="G8" s="42" t="s">
        <v>1620</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1575</v>
      </c>
      <c r="C9" s="11" t="s">
        <v>1575</v>
      </c>
      <c r="D9" s="11" t="s">
        <v>1576</v>
      </c>
      <c r="E9" s="11">
        <v>0</v>
      </c>
      <c r="F9" s="11">
        <v>1</v>
      </c>
      <c r="G9" s="42" t="s">
        <v>1474</v>
      </c>
      <c r="H9" s="12" t="s">
        <v>1590</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1577</v>
      </c>
      <c r="C10" s="11" t="s">
        <v>1577</v>
      </c>
      <c r="D10" s="11" t="s">
        <v>1578</v>
      </c>
      <c r="E10" s="11">
        <v>0</v>
      </c>
      <c r="F10" s="11">
        <v>1</v>
      </c>
      <c r="G10" s="42" t="s">
        <v>1474</v>
      </c>
      <c r="H10" s="12" t="s">
        <v>1591</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1579</v>
      </c>
      <c r="C11" s="11" t="s">
        <v>1579</v>
      </c>
      <c r="D11" s="11" t="s">
        <v>1580</v>
      </c>
      <c r="E11" s="11">
        <v>0</v>
      </c>
      <c r="F11" s="11">
        <v>1</v>
      </c>
      <c r="G11" s="42" t="s">
        <v>1474</v>
      </c>
      <c r="H11" s="12" t="s">
        <v>1592</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1603</v>
      </c>
      <c r="C12" s="11" t="s">
        <v>1581</v>
      </c>
      <c r="D12" s="11" t="s">
        <v>1582</v>
      </c>
      <c r="E12" s="11">
        <v>0</v>
      </c>
      <c r="F12" s="11">
        <v>1</v>
      </c>
      <c r="G12" s="42" t="s">
        <v>1474</v>
      </c>
      <c r="H12" s="12" t="s">
        <v>1593</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1600</v>
      </c>
      <c r="C13" s="11" t="s">
        <v>1583</v>
      </c>
      <c r="D13" s="12" t="s">
        <v>1584</v>
      </c>
      <c r="E13" s="11">
        <v>0</v>
      </c>
      <c r="F13" s="11">
        <v>1</v>
      </c>
      <c r="G13" s="42" t="s">
        <v>1474</v>
      </c>
      <c r="H13" s="12" t="s">
        <v>1594</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1601</v>
      </c>
      <c r="C14" s="11" t="s">
        <v>1585</v>
      </c>
      <c r="D14" s="12" t="s">
        <v>1416</v>
      </c>
      <c r="E14" s="11">
        <v>1</v>
      </c>
      <c r="F14" s="11">
        <v>1</v>
      </c>
      <c r="G14" s="42" t="s">
        <v>1474</v>
      </c>
      <c r="H14" s="12" t="s">
        <v>1595</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1586</v>
      </c>
      <c r="E15" s="11">
        <v>0</v>
      </c>
      <c r="F15" s="11">
        <v>1</v>
      </c>
      <c r="G15" s="42" t="s">
        <v>1474</v>
      </c>
      <c r="H15" s="12" t="s">
        <v>1595</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1602</v>
      </c>
      <c r="C16" s="11" t="s">
        <v>1587</v>
      </c>
      <c r="D16" s="12" t="s">
        <v>1588</v>
      </c>
      <c r="E16" s="11">
        <v>1</v>
      </c>
      <c r="F16" s="11">
        <v>1</v>
      </c>
      <c r="G16" s="42" t="s">
        <v>1474</v>
      </c>
      <c r="H16" s="12" t="s">
        <v>1596</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1589</v>
      </c>
      <c r="D18" s="11" t="s">
        <v>1395</v>
      </c>
      <c r="E18" s="11">
        <v>0</v>
      </c>
      <c r="F18" s="11">
        <v>1</v>
      </c>
      <c r="G18" s="42" t="s">
        <v>44</v>
      </c>
      <c r="H18" s="12" t="s">
        <v>1572</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1572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7">
        <v>0</v>
      </c>
      <c r="F20" s="11">
        <v>1</v>
      </c>
      <c r="G20" s="42" t="s">
        <v>44</v>
      </c>
      <c r="H20" s="12" t="s">
        <v>1572</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7">
        <v>0</v>
      </c>
      <c r="F21" s="11">
        <v>1</v>
      </c>
      <c r="G21" s="42" t="s">
        <v>44</v>
      </c>
      <c r="H21" s="12" t="s">
        <v>1572</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7">
        <v>0</v>
      </c>
      <c r="F22" s="11">
        <v>1</v>
      </c>
      <c r="G22" s="42" t="s">
        <v>44</v>
      </c>
      <c r="H22" s="12" t="s">
        <v>1572</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7">
        <v>0</v>
      </c>
      <c r="F23" s="11">
        <v>1</v>
      </c>
      <c r="G23" s="42" t="s">
        <v>44</v>
      </c>
      <c r="H23" s="12" t="s">
        <v>1572</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7">
        <v>0</v>
      </c>
      <c r="F24" s="11">
        <v>1</v>
      </c>
      <c r="G24" s="42" t="s">
        <v>44</v>
      </c>
      <c r="H24" s="12" t="s">
        <v>1572</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1572</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1572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1572</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5" t="s">
        <v>1646</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1604</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1651</v>
      </c>
      <c r="D3" s="47" t="s">
        <v>1479</v>
      </c>
      <c r="E3" s="72" t="str">
        <f>$C$1&amp;Stage!B4</f>
        <v>http://hl7.eu/fhir/ig/idea4rc/StructureDefinition/StageI4rc</v>
      </c>
    </row>
    <row r="4" spans="1:19" x14ac:dyDescent="0.75">
      <c r="B4" s="47" t="s">
        <v>16</v>
      </c>
      <c r="C4" s="28" t="s">
        <v>1654</v>
      </c>
      <c r="D4" s="47" t="s">
        <v>1480</v>
      </c>
      <c r="E4" s="144" t="s">
        <v>1637</v>
      </c>
      <c r="F4" s="145"/>
      <c r="G4" s="145"/>
    </row>
    <row r="5" spans="1:19" x14ac:dyDescent="0.75">
      <c r="B5" s="47" t="s">
        <v>10</v>
      </c>
      <c r="C5" s="7" t="s">
        <v>1652</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1637</v>
      </c>
      <c r="F7" s="145"/>
      <c r="G7" s="145"/>
    </row>
    <row r="8" spans="1:19" ht="44.25" x14ac:dyDescent="0.75">
      <c r="B8" s="47" t="s">
        <v>1483</v>
      </c>
      <c r="C8" s="74" t="s">
        <v>1652</v>
      </c>
      <c r="D8" s="47"/>
      <c r="E8" s="7"/>
      <c r="I8" s="12" t="s">
        <v>1289</v>
      </c>
      <c r="J8" s="12" t="s">
        <v>1290</v>
      </c>
      <c r="K8" s="12" t="s">
        <v>1291</v>
      </c>
      <c r="L8" s="12" t="s">
        <v>1292</v>
      </c>
      <c r="M8" s="11" t="s">
        <v>1293</v>
      </c>
      <c r="P8" s="34" t="s">
        <v>1328</v>
      </c>
      <c r="Q8" s="34">
        <v>6</v>
      </c>
    </row>
    <row r="9" spans="1:19" ht="29.5" x14ac:dyDescent="0.75">
      <c r="B9" s="47" t="s">
        <v>1484</v>
      </c>
      <c r="C9" s="12" t="s">
        <v>1653</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8" t="s">
        <v>1638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1639</v>
      </c>
      <c r="E16" s="12"/>
      <c r="F16" s="49" t="s">
        <v>1294</v>
      </c>
      <c r="G16" s="78" t="s">
        <v>1644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1640</v>
      </c>
      <c r="E17" s="12"/>
      <c r="F17" s="96" t="s">
        <v>1294</v>
      </c>
      <c r="G17" s="78" t="s">
        <v>1644</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1641</v>
      </c>
      <c r="E18" s="12"/>
      <c r="F18" s="49" t="s">
        <v>1317</v>
      </c>
      <c r="G18" s="78" t="s">
        <v>1644</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7" t="s">
        <v>1827</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7" t="s">
        <v>1827</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7" t="s">
        <v>1827</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7" t="s">
        <v>1827</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1642</v>
      </c>
      <c r="E23" s="12"/>
      <c r="F23" s="49" t="s">
        <v>1294</v>
      </c>
      <c r="G23" s="78" t="s">
        <v>1644</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1643</v>
      </c>
      <c r="E24" s="12"/>
      <c r="F24" s="49" t="s">
        <v>1294</v>
      </c>
      <c r="G24" s="78" t="s">
        <v>1645</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7" t="s">
        <v>1647</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7" t="s">
        <v>1647</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7" t="s">
        <v>1647</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7" t="s">
        <v>1647</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7" t="s">
        <v>1647</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7" t="s">
        <v>1647</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7" t="s">
        <v>1647</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7" t="s">
        <v>1647</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7" t="s">
        <v>1647</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7" t="s">
        <v>1647</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8"/>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8"/>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8"/>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8"/>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8"/>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8"/>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8"/>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8"/>
      <c r="P46" s="11">
        <v>32</v>
      </c>
      <c r="Q46" s="11">
        <f t="shared" si="13"/>
        <v>5</v>
      </c>
      <c r="R46" s="11">
        <f t="shared" si="14"/>
        <v>2</v>
      </c>
      <c r="S46" s="12" t="str" cm="1">
        <f t="array" ref="S46">INDEX('PathStage-ConceptMap-1'!$I$15:$N$124,Q46+1,R46)</f>
        <v>* group[=].element[=].display = ##34#Extranodal Extent##34#</v>
      </c>
    </row>
    <row r="47" spans="1:19" x14ac:dyDescent="0.75">
      <c r="G47" s="78"/>
      <c r="P47" s="11">
        <v>33</v>
      </c>
      <c r="Q47" s="11">
        <f t="shared" si="13"/>
        <v>5</v>
      </c>
      <c r="R47" s="11">
        <f t="shared" si="14"/>
        <v>3</v>
      </c>
      <c r="S47" s="12" t="str" cm="1">
        <f t="array" ref="S47">INDEX('PathStage-ConceptMap-1'!$I$15:$N$124,Q47+1,R47)</f>
        <v>* group[=].element[=].target.code = #Observation.</v>
      </c>
    </row>
    <row r="48" spans="1:19" x14ac:dyDescent="0.75">
      <c r="G48" s="78"/>
      <c r="P48" s="11">
        <v>34</v>
      </c>
      <c r="Q48" s="11">
        <f t="shared" si="13"/>
        <v>5</v>
      </c>
      <c r="R48" s="11">
        <f t="shared" si="14"/>
        <v>4</v>
      </c>
      <c r="S48" s="12" t="str" cm="1">
        <f t="array" ref="S48">INDEX('PathStage-ConceptMap-1'!$I$15:$N$124,Q48+1,R48)</f>
        <v>* group[=].element[=].target.display = ##34###34#</v>
      </c>
    </row>
    <row r="49" spans="7:19" x14ac:dyDescent="0.75">
      <c r="G49" s="78"/>
      <c r="P49" s="11">
        <v>35</v>
      </c>
      <c r="Q49" s="11">
        <f t="shared" si="13"/>
        <v>5</v>
      </c>
      <c r="R49" s="11">
        <f t="shared" si="14"/>
        <v>5</v>
      </c>
      <c r="S49" s="12" t="str" cm="1">
        <f t="array" ref="S49">INDEX('PathStage-ConceptMap-1'!$I$15:$N$124,Q49+1,R49)</f>
        <v>* group[=].element[=].target.equivalence = #relatedto</v>
      </c>
    </row>
    <row r="50" spans="7:19" x14ac:dyDescent="0.75">
      <c r="G50" s="78"/>
      <c r="P50" s="11">
        <v>36</v>
      </c>
      <c r="Q50" s="11">
        <f t="shared" si="13"/>
        <v>5</v>
      </c>
      <c r="R50" s="11">
        <f t="shared" si="14"/>
        <v>6</v>
      </c>
      <c r="S50" s="12" t="str" cm="1">
        <f t="array" ref="S50">INDEX('PathStage-ConceptMap-1'!$I$15:$N$124,Q50+1,R50)</f>
        <v>* group[=].element[=].target.comment = ##34#CLARIFY MAPPING##34#</v>
      </c>
    </row>
    <row r="51" spans="7:19" x14ac:dyDescent="0.75">
      <c r="G51" s="78"/>
      <c r="P51" s="11">
        <v>37</v>
      </c>
      <c r="Q51" s="11">
        <f t="shared" si="13"/>
        <v>6</v>
      </c>
      <c r="R51" s="11">
        <f t="shared" si="14"/>
        <v>1</v>
      </c>
      <c r="S51" s="12" t="str" cm="1">
        <f t="array" ref="S51">INDEX('PathStage-ConceptMap-1'!$I$15:$N$124,Q51+1,R51)</f>
        <v>* group[=].element[+].code = #PathologicalStage.sentinelNode</v>
      </c>
    </row>
    <row r="52" spans="7:19" x14ac:dyDescent="0.75">
      <c r="G52" s="78"/>
      <c r="P52" s="11">
        <v>38</v>
      </c>
      <c r="Q52" s="11">
        <f t="shared" si="13"/>
        <v>6</v>
      </c>
      <c r="R52" s="11">
        <f t="shared" si="14"/>
        <v>2</v>
      </c>
      <c r="S52" s="12" t="str" cm="1">
        <f t="array" ref="S52">INDEX('PathStage-ConceptMap-1'!$I$15:$N$124,Q52+1,R52)</f>
        <v>* group[=].element[=].display = ##34#Sentinel node##34#</v>
      </c>
    </row>
    <row r="53" spans="7:19" x14ac:dyDescent="0.75">
      <c r="G53" s="78"/>
      <c r="P53" s="11">
        <v>39</v>
      </c>
      <c r="Q53" s="11">
        <f t="shared" si="13"/>
        <v>6</v>
      </c>
      <c r="R53" s="11">
        <f t="shared" si="14"/>
        <v>3</v>
      </c>
      <c r="S53" s="12" t="str" cm="1">
        <f t="array" ref="S53">INDEX('PathStage-ConceptMap-1'!$I$15:$N$124,Q53+1,R53)</f>
        <v>* group[=].element[=].target.code = #Observation.</v>
      </c>
    </row>
    <row r="54" spans="7:19" x14ac:dyDescent="0.75">
      <c r="G54" s="78"/>
      <c r="P54" s="11">
        <v>40</v>
      </c>
      <c r="Q54" s="11">
        <f t="shared" si="13"/>
        <v>6</v>
      </c>
      <c r="R54" s="11">
        <f t="shared" si="14"/>
        <v>4</v>
      </c>
      <c r="S54" s="12" t="str" cm="1">
        <f t="array" ref="S54">INDEX('PathStage-ConceptMap-1'!$I$15:$N$124,Q54+1,R54)</f>
        <v>* group[=].element[=].target.display = ##34###34#</v>
      </c>
    </row>
    <row r="55" spans="7:19" x14ac:dyDescent="0.75">
      <c r="G55" s="78"/>
      <c r="P55" s="11">
        <v>41</v>
      </c>
      <c r="Q55" s="11">
        <f t="shared" si="13"/>
        <v>6</v>
      </c>
      <c r="R55" s="11">
        <f t="shared" si="14"/>
        <v>5</v>
      </c>
      <c r="S55" s="12" t="str" cm="1">
        <f t="array" ref="S55">INDEX('PathStage-ConceptMap-1'!$I$15:$N$124,Q55+1,R55)</f>
        <v>* group[=].element[=].target.equivalence = #relatedto</v>
      </c>
    </row>
    <row r="56" spans="7:19" x14ac:dyDescent="0.75">
      <c r="G56" s="78"/>
      <c r="P56" s="11">
        <v>42</v>
      </c>
      <c r="Q56" s="11">
        <f t="shared" si="13"/>
        <v>6</v>
      </c>
      <c r="R56" s="11">
        <f t="shared" si="14"/>
        <v>6</v>
      </c>
      <c r="S56" s="12" t="str" cm="1">
        <f t="array" ref="S56">INDEX('PathStage-ConceptMap-1'!$I$15:$N$124,Q56+1,R56)</f>
        <v>* group[=].element[=].target.comment = ##34#CLARIFY MAPPING##34#</v>
      </c>
    </row>
    <row r="57" spans="7:19" x14ac:dyDescent="0.75">
      <c r="G57" s="78"/>
      <c r="P57" s="11">
        <v>43</v>
      </c>
      <c r="Q57" s="11">
        <f t="shared" si="13"/>
        <v>7</v>
      </c>
      <c r="R57" s="11">
        <f t="shared" si="14"/>
        <v>1</v>
      </c>
      <c r="S57" s="12" t="str" cm="1">
        <f t="array" ref="S57">INDEX('PathStage-ConceptMap-1'!$I$15:$N$124,Q57+1,R57)</f>
        <v>* group[=].element[+].code = #PathologicalStage.neckDissection</v>
      </c>
    </row>
    <row r="58" spans="7:19" x14ac:dyDescent="0.75">
      <c r="G58" s="78"/>
      <c r="P58" s="11">
        <v>44</v>
      </c>
      <c r="Q58" s="11">
        <f t="shared" si="13"/>
        <v>7</v>
      </c>
      <c r="R58" s="11">
        <f t="shared" si="14"/>
        <v>2</v>
      </c>
      <c r="S58" s="12" t="str" cm="1">
        <f t="array" ref="S58">INDEX('PathStage-ConceptMap-1'!$I$15:$N$124,Q58+1,R58)</f>
        <v>* group[=].element[=].display = ##34#Neck dissection##34#</v>
      </c>
    </row>
    <row r="59" spans="7:19" x14ac:dyDescent="0.75">
      <c r="G59" s="78"/>
      <c r="P59" s="11">
        <v>45</v>
      </c>
      <c r="Q59" s="11">
        <f t="shared" si="13"/>
        <v>7</v>
      </c>
      <c r="R59" s="11">
        <f t="shared" si="14"/>
        <v>3</v>
      </c>
      <c r="S59" s="12" t="str" cm="1">
        <f t="array" ref="S59">INDEX('PathStage-ConceptMap-1'!$I$15:$N$124,Q59+1,R59)</f>
        <v>* group[=].element[=].target.code = #Observation.</v>
      </c>
    </row>
    <row r="60" spans="7:19" x14ac:dyDescent="0.75">
      <c r="G60" s="78"/>
      <c r="P60" s="11">
        <v>46</v>
      </c>
      <c r="Q60" s="11">
        <f t="shared" si="13"/>
        <v>7</v>
      </c>
      <c r="R60" s="11">
        <f t="shared" si="14"/>
        <v>4</v>
      </c>
      <c r="S60" s="12" t="str" cm="1">
        <f t="array" ref="S60">INDEX('PathStage-ConceptMap-1'!$I$15:$N$124,Q60+1,R60)</f>
        <v>* group[=].element[=].target.display = ##34###34#</v>
      </c>
    </row>
    <row r="61" spans="7:19" x14ac:dyDescent="0.75">
      <c r="G61" s="78"/>
      <c r="P61" s="11">
        <v>47</v>
      </c>
      <c r="Q61" s="11">
        <f t="shared" si="13"/>
        <v>7</v>
      </c>
      <c r="R61" s="11">
        <f t="shared" si="14"/>
        <v>5</v>
      </c>
      <c r="S61" s="12" t="str" cm="1">
        <f t="array" ref="S61">INDEX('PathStage-ConceptMap-1'!$I$15:$N$124,Q61+1,R61)</f>
        <v>* group[=].element[=].target.equivalence = #relatedto</v>
      </c>
    </row>
    <row r="62" spans="7:19" x14ac:dyDescent="0.75">
      <c r="G62" s="78"/>
      <c r="P62" s="11">
        <v>48</v>
      </c>
      <c r="Q62" s="11">
        <f t="shared" si="13"/>
        <v>7</v>
      </c>
      <c r="R62" s="11">
        <f t="shared" si="14"/>
        <v>6</v>
      </c>
      <c r="S62" s="12" t="str" cm="1">
        <f t="array" ref="S62">INDEX('PathStage-ConceptMap-1'!$I$15:$N$124,Q62+1,R62)</f>
        <v>* group[=].element[=].target.comment = ##34#CLARIFY MAPPING##34#</v>
      </c>
    </row>
    <row r="63" spans="7:19" x14ac:dyDescent="0.75">
      <c r="G63" s="78"/>
      <c r="P63" s="11">
        <v>49</v>
      </c>
      <c r="Q63" s="11">
        <f t="shared" si="13"/>
        <v>8</v>
      </c>
      <c r="R63" s="11">
        <f t="shared" si="14"/>
        <v>1</v>
      </c>
      <c r="S63" s="12" t="str" cm="1">
        <f t="array" ref="S63">INDEX('PathStage-ConceptMap-1'!$I$15:$N$124,Q63+1,R63)</f>
        <v>* group[=].element[+].code = #PathologicalStage.pathologicalStaging</v>
      </c>
    </row>
    <row r="64" spans="7:19" x14ac:dyDescent="0.75">
      <c r="G64" s="78"/>
      <c r="P64" s="11">
        <v>50</v>
      </c>
      <c r="Q64" s="11">
        <f t="shared" si="13"/>
        <v>8</v>
      </c>
      <c r="R64" s="11">
        <f t="shared" si="14"/>
        <v>2</v>
      </c>
      <c r="S64" s="12" t="str" cm="1">
        <f t="array" ref="S64">INDEX('PathStage-ConceptMap-1'!$I$15:$N$124,Q64+1,R64)</f>
        <v>* group[=].element[=].display = ##34#Pathological staging##34#</v>
      </c>
    </row>
    <row r="65" spans="7:19" x14ac:dyDescent="0.75">
      <c r="G65" s="78"/>
      <c r="P65" s="11">
        <v>51</v>
      </c>
      <c r="Q65" s="11">
        <f t="shared" si="13"/>
        <v>8</v>
      </c>
      <c r="R65" s="11">
        <f t="shared" si="14"/>
        <v>3</v>
      </c>
      <c r="S65" s="12" t="str" cm="1">
        <f t="array" ref="S65">INDEX('PathStage-ConceptMap-1'!$I$15:$N$124,Q65+1,R65)</f>
        <v>* group[=].element[=].target.code = #Observation.valueCodeableConcept</v>
      </c>
    </row>
    <row r="66" spans="7:19" x14ac:dyDescent="0.75">
      <c r="G66" s="78"/>
      <c r="P66" s="11">
        <v>52</v>
      </c>
      <c r="Q66" s="11">
        <f t="shared" si="13"/>
        <v>8</v>
      </c>
      <c r="R66" s="11">
        <f t="shared" si="14"/>
        <v>4</v>
      </c>
      <c r="S66" s="12" t="str" cm="1">
        <f t="array" ref="S66">INDEX('PathStage-ConceptMap-1'!$I$15:$N$124,Q66+1,R66)</f>
        <v>* group[=].element[=].target.display = ##34###34#</v>
      </c>
    </row>
    <row r="67" spans="7:19" x14ac:dyDescent="0.75">
      <c r="G67" s="78"/>
      <c r="P67" s="11">
        <v>53</v>
      </c>
      <c r="Q67" s="11">
        <f t="shared" si="13"/>
        <v>8</v>
      </c>
      <c r="R67" s="11">
        <f t="shared" si="14"/>
        <v>5</v>
      </c>
      <c r="S67" s="12" t="str" cm="1">
        <f t="array" ref="S67">INDEX('PathStage-ConceptMap-1'!$I$15:$N$124,Q67+1,R67)</f>
        <v>* group[=].element[=].target.equivalence = #relatedto</v>
      </c>
    </row>
    <row r="68" spans="7:19" ht="29.5" x14ac:dyDescent="0.75">
      <c r="G68" s="78"/>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8"/>
      <c r="P69" s="11">
        <v>55</v>
      </c>
      <c r="Q69" s="11">
        <f t="shared" si="13"/>
        <v>9</v>
      </c>
      <c r="R69" s="11">
        <f t="shared" si="14"/>
        <v>1</v>
      </c>
      <c r="S69" s="12" t="str" cm="1">
        <f t="array" ref="S69">INDEX('PathStage-ConceptMap-1'!$I$15:$N$124,Q69+1,R69)</f>
        <v>* group[=].element[+].code = #PathologicalStage.ajccEdition</v>
      </c>
    </row>
    <row r="70" spans="7:19" x14ac:dyDescent="0.75">
      <c r="G70" s="78"/>
      <c r="P70" s="11">
        <v>56</v>
      </c>
      <c r="Q70" s="11">
        <f t="shared" si="13"/>
        <v>9</v>
      </c>
      <c r="R70" s="11">
        <f t="shared" si="14"/>
        <v>2</v>
      </c>
      <c r="S70" s="12" t="str" cm="1">
        <f t="array" ref="S70">INDEX('PathStage-ConceptMap-1'!$I$15:$N$124,Q70+1,R70)</f>
        <v>* group[=].element[=].display = ##34#Ajcc edition##34#</v>
      </c>
    </row>
    <row r="71" spans="7:19" ht="29.5" x14ac:dyDescent="0.75">
      <c r="G71" s="78"/>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8"/>
      <c r="P72" s="11">
        <v>58</v>
      </c>
      <c r="Q72" s="11">
        <f t="shared" si="13"/>
        <v>9</v>
      </c>
      <c r="R72" s="11">
        <f t="shared" si="14"/>
        <v>4</v>
      </c>
      <c r="S72" s="12" t="str" cm="1">
        <f t="array" ref="S72">INDEX('PathStage-ConceptMap-1'!$I$15:$N$124,Q72+1,R72)</f>
        <v>* group[=].element[=].target.display = ##34###34#</v>
      </c>
    </row>
    <row r="73" spans="7:19" x14ac:dyDescent="0.75">
      <c r="G73" s="78"/>
      <c r="P73" s="11">
        <v>59</v>
      </c>
      <c r="Q73" s="11">
        <f t="shared" si="13"/>
        <v>9</v>
      </c>
      <c r="R73" s="11">
        <f t="shared" si="14"/>
        <v>5</v>
      </c>
      <c r="S73" s="12" t="str" cm="1">
        <f t="array" ref="S73">INDEX('PathStage-ConceptMap-1'!$I$15:$N$124,Q73+1,R73)</f>
        <v>* group[=].element[=].target.equivalence = #relatedto</v>
      </c>
    </row>
    <row r="74" spans="7:19" ht="44.25" x14ac:dyDescent="0.75">
      <c r="G74" s="78"/>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8"/>
      <c r="P75" s="11">
        <v>61</v>
      </c>
      <c r="Q75" s="11">
        <f t="shared" si="13"/>
        <v>10</v>
      </c>
      <c r="R75" s="11">
        <f t="shared" si="14"/>
        <v>1</v>
      </c>
      <c r="S75" s="12" t="str" cm="1">
        <f t="array" ref="S75">INDEX('PathStage-ConceptMap-1'!$I$15:$N$124,Q75+1,R75)</f>
        <v>* group[=].element[+].code = #PathologicalStage.softTissue</v>
      </c>
    </row>
    <row r="76" spans="7:19" x14ac:dyDescent="0.75">
      <c r="G76" s="78"/>
      <c r="P76" s="11">
        <v>62</v>
      </c>
      <c r="Q76" s="11">
        <f t="shared" si="13"/>
        <v>10</v>
      </c>
      <c r="R76" s="11">
        <f t="shared" si="14"/>
        <v>2</v>
      </c>
      <c r="S76" s="12" t="str" cm="1">
        <f t="array" ref="S76">INDEX('PathStage-ConceptMap-1'!$I$15:$N$124,Q76+1,R76)</f>
        <v>* group[=].element[=].display = ##34#Soft Tissue##34#</v>
      </c>
    </row>
    <row r="77" spans="7:19" x14ac:dyDescent="0.75">
      <c r="G77" s="78"/>
      <c r="P77" s="11">
        <v>63</v>
      </c>
      <c r="Q77" s="11">
        <f t="shared" si="13"/>
        <v>10</v>
      </c>
      <c r="R77" s="11">
        <f t="shared" si="14"/>
        <v>3</v>
      </c>
      <c r="S77" s="12" t="str" cm="1">
        <f t="array" ref="S77">INDEX('PathStage-ConceptMap-1'!$I$15:$N$124,Q77+1,R77)</f>
        <v>* group[=].element[=].target.code = #Observation.</v>
      </c>
    </row>
    <row r="78" spans="7:19" x14ac:dyDescent="0.75">
      <c r="G78" s="78"/>
      <c r="P78" s="11">
        <v>64</v>
      </c>
      <c r="Q78" s="11">
        <f t="shared" si="13"/>
        <v>10</v>
      </c>
      <c r="R78" s="11">
        <f t="shared" si="14"/>
        <v>4</v>
      </c>
      <c r="S78" s="12" t="str" cm="1">
        <f t="array" ref="S78">INDEX('PathStage-ConceptMap-1'!$I$15:$N$124,Q78+1,R78)</f>
        <v>* group[=].element[=].target.display = ##34###34#</v>
      </c>
    </row>
    <row r="79" spans="7:19" x14ac:dyDescent="0.75">
      <c r="G79" s="78"/>
      <c r="P79" s="11">
        <v>65</v>
      </c>
      <c r="Q79" s="11">
        <f t="shared" si="13"/>
        <v>10</v>
      </c>
      <c r="R79" s="11">
        <f t="shared" si="14"/>
        <v>5</v>
      </c>
      <c r="S79" s="12" t="str" cm="1">
        <f t="array" ref="S79">INDEX('PathStage-ConceptMap-1'!$I$15:$N$124,Q79+1,R79)</f>
        <v>* group[=].element[=].target.equivalence = #relatedto</v>
      </c>
    </row>
    <row r="80" spans="7:19" ht="29.5" x14ac:dyDescent="0.75">
      <c r="G80" s="78"/>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8"/>
      <c r="P81" s="11">
        <v>67</v>
      </c>
      <c r="Q81" s="11">
        <f t="shared" si="21"/>
        <v>11</v>
      </c>
      <c r="R81" s="11">
        <f t="shared" si="22"/>
        <v>1</v>
      </c>
      <c r="S81" s="12" t="str" cm="1">
        <f t="array" ref="S81">INDEX('PathStage-ConceptMap-1'!$I$15:$N$124,Q81+1,R81)</f>
        <v>* group[=].element[+].code = #PathologicalStage.distantLymphNode</v>
      </c>
    </row>
    <row r="82" spans="7:19" x14ac:dyDescent="0.75">
      <c r="G82" s="78"/>
      <c r="P82" s="11">
        <v>68</v>
      </c>
      <c r="Q82" s="11">
        <f t="shared" si="21"/>
        <v>11</v>
      </c>
      <c r="R82" s="11">
        <f t="shared" si="22"/>
        <v>2</v>
      </c>
      <c r="S82" s="12" t="str" cm="1">
        <f t="array" ref="S82">INDEX('PathStage-ConceptMap-1'!$I$15:$N$124,Q82+1,R82)</f>
        <v>* group[=].element[=].display = ##34#distant lymph node##34#</v>
      </c>
    </row>
    <row r="83" spans="7:19" x14ac:dyDescent="0.75">
      <c r="G83" s="78"/>
      <c r="P83" s="11">
        <v>69</v>
      </c>
      <c r="Q83" s="11">
        <f t="shared" si="21"/>
        <v>11</v>
      </c>
      <c r="R83" s="11">
        <f t="shared" si="22"/>
        <v>3</v>
      </c>
      <c r="S83" s="12" t="str" cm="1">
        <f t="array" ref="S83">INDEX('PathStage-ConceptMap-1'!$I$15:$N$124,Q83+1,R83)</f>
        <v>* group[=].element[=].target.code = #Observation.</v>
      </c>
    </row>
    <row r="84" spans="7:19" x14ac:dyDescent="0.75">
      <c r="G84" s="78"/>
      <c r="P84" s="11">
        <v>70</v>
      </c>
      <c r="Q84" s="11">
        <f t="shared" si="21"/>
        <v>11</v>
      </c>
      <c r="R84" s="11">
        <f t="shared" si="22"/>
        <v>4</v>
      </c>
      <c r="S84" s="12" t="str" cm="1">
        <f t="array" ref="S84">INDEX('PathStage-ConceptMap-1'!$I$15:$N$124,Q84+1,R84)</f>
        <v>* group[=].element[=].target.display = ##34###34#</v>
      </c>
    </row>
    <row r="85" spans="7:19" x14ac:dyDescent="0.75">
      <c r="G85" s="78"/>
      <c r="P85" s="11">
        <v>71</v>
      </c>
      <c r="Q85" s="11">
        <f t="shared" si="21"/>
        <v>11</v>
      </c>
      <c r="R85" s="11">
        <f t="shared" si="22"/>
        <v>5</v>
      </c>
      <c r="S85" s="12" t="str" cm="1">
        <f t="array" ref="S85">INDEX('PathStage-ConceptMap-1'!$I$15:$N$124,Q85+1,R85)</f>
        <v>* group[=].element[=].target.equivalence = #relatedto</v>
      </c>
    </row>
    <row r="86" spans="7:19" ht="29.5" x14ac:dyDescent="0.75">
      <c r="G86" s="78"/>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8"/>
      <c r="P87" s="11">
        <v>73</v>
      </c>
      <c r="Q87" s="11">
        <f t="shared" si="21"/>
        <v>12</v>
      </c>
      <c r="R87" s="11">
        <f t="shared" si="22"/>
        <v>1</v>
      </c>
      <c r="S87" s="12" t="str" cm="1">
        <f t="array" ref="S87">INDEX('PathStage-ConceptMap-1'!$I$15:$N$124,Q87+1,R87)</f>
        <v>* group[=].element[+].code = #PathologicalStage.lung</v>
      </c>
    </row>
    <row r="88" spans="7:19" x14ac:dyDescent="0.75">
      <c r="G88" s="78"/>
      <c r="P88" s="11">
        <v>74</v>
      </c>
      <c r="Q88" s="11">
        <f t="shared" si="21"/>
        <v>12</v>
      </c>
      <c r="R88" s="11">
        <f t="shared" si="22"/>
        <v>2</v>
      </c>
      <c r="S88" s="12" t="str" cm="1">
        <f t="array" ref="S88">INDEX('PathStage-ConceptMap-1'!$I$15:$N$124,Q88+1,R88)</f>
        <v>* group[=].element[=].display = ##34#lung##34#</v>
      </c>
    </row>
    <row r="89" spans="7:19" x14ac:dyDescent="0.75">
      <c r="G89" s="78"/>
      <c r="P89" s="11">
        <v>75</v>
      </c>
      <c r="Q89" s="11">
        <f t="shared" si="21"/>
        <v>12</v>
      </c>
      <c r="R89" s="11">
        <f t="shared" si="22"/>
        <v>3</v>
      </c>
      <c r="S89" s="12" t="str" cm="1">
        <f t="array" ref="S89">INDEX('PathStage-ConceptMap-1'!$I$15:$N$124,Q89+1,R89)</f>
        <v>* group[=].element[=].target.code = #Observation.</v>
      </c>
    </row>
    <row r="90" spans="7:19" x14ac:dyDescent="0.75">
      <c r="G90" s="78"/>
      <c r="P90" s="11">
        <v>76</v>
      </c>
      <c r="Q90" s="11">
        <f t="shared" si="21"/>
        <v>12</v>
      </c>
      <c r="R90" s="11">
        <f t="shared" si="22"/>
        <v>4</v>
      </c>
      <c r="S90" s="12" t="str" cm="1">
        <f t="array" ref="S90">INDEX('PathStage-ConceptMap-1'!$I$15:$N$124,Q90+1,R90)</f>
        <v>* group[=].element[=].target.display = ##34###34#</v>
      </c>
    </row>
    <row r="91" spans="7:19" x14ac:dyDescent="0.75">
      <c r="G91" s="78"/>
      <c r="P91" s="11">
        <v>77</v>
      </c>
      <c r="Q91" s="11">
        <f t="shared" si="21"/>
        <v>12</v>
      </c>
      <c r="R91" s="11">
        <f t="shared" si="22"/>
        <v>5</v>
      </c>
      <c r="S91" s="12" t="str" cm="1">
        <f t="array" ref="S91">INDEX('PathStage-ConceptMap-1'!$I$15:$N$124,Q91+1,R91)</f>
        <v>* group[=].element[=].target.equivalence = #relatedto</v>
      </c>
    </row>
    <row r="92" spans="7:19" ht="29.5" x14ac:dyDescent="0.75">
      <c r="G92" s="78"/>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8"/>
      <c r="P93" s="11">
        <v>79</v>
      </c>
      <c r="Q93" s="11">
        <f t="shared" si="21"/>
        <v>13</v>
      </c>
      <c r="R93" s="11">
        <f t="shared" si="22"/>
        <v>1</v>
      </c>
      <c r="S93" s="12" t="str" cm="1">
        <f t="array" ref="S93">INDEX('PathStage-ConceptMap-1'!$I$15:$N$124,Q93+1,R93)</f>
        <v>* group[=].element[+].code = #PathologicalStage.bone</v>
      </c>
    </row>
    <row r="94" spans="7:19" x14ac:dyDescent="0.75">
      <c r="G94" s="78"/>
      <c r="P94" s="11">
        <v>80</v>
      </c>
      <c r="Q94" s="11">
        <f t="shared" si="21"/>
        <v>13</v>
      </c>
      <c r="R94" s="11">
        <f t="shared" si="22"/>
        <v>2</v>
      </c>
      <c r="S94" s="12" t="str" cm="1">
        <f t="array" ref="S94">INDEX('PathStage-ConceptMap-1'!$I$15:$N$124,Q94+1,R94)</f>
        <v>* group[=].element[=].display = ##34#bone##34#</v>
      </c>
    </row>
    <row r="95" spans="7:19" x14ac:dyDescent="0.75">
      <c r="G95" s="78"/>
      <c r="P95" s="11">
        <v>81</v>
      </c>
      <c r="Q95" s="11">
        <f t="shared" si="21"/>
        <v>13</v>
      </c>
      <c r="R95" s="11">
        <f t="shared" si="22"/>
        <v>3</v>
      </c>
      <c r="S95" s="12" t="str" cm="1">
        <f t="array" ref="S95">INDEX('PathStage-ConceptMap-1'!$I$15:$N$124,Q95+1,R95)</f>
        <v>* group[=].element[=].target.code = #Observation.</v>
      </c>
    </row>
    <row r="96" spans="7:19" x14ac:dyDescent="0.75">
      <c r="G96" s="78"/>
      <c r="P96" s="11">
        <v>82</v>
      </c>
      <c r="Q96" s="11">
        <f t="shared" si="21"/>
        <v>13</v>
      </c>
      <c r="R96" s="11">
        <f t="shared" si="22"/>
        <v>4</v>
      </c>
      <c r="S96" s="12" t="str" cm="1">
        <f t="array" ref="S96">INDEX('PathStage-ConceptMap-1'!$I$15:$N$124,Q96+1,R96)</f>
        <v>* group[=].element[=].target.display = ##34###34#</v>
      </c>
    </row>
    <row r="97" spans="7:19" x14ac:dyDescent="0.75">
      <c r="G97" s="78"/>
      <c r="P97" s="11">
        <v>83</v>
      </c>
      <c r="Q97" s="11">
        <f t="shared" si="21"/>
        <v>13</v>
      </c>
      <c r="R97" s="11">
        <f t="shared" si="22"/>
        <v>5</v>
      </c>
      <c r="S97" s="12" t="str" cm="1">
        <f t="array" ref="S97">INDEX('PathStage-ConceptMap-1'!$I$15:$N$124,Q97+1,R97)</f>
        <v>* group[=].element[=].target.equivalence = #relatedto</v>
      </c>
    </row>
    <row r="98" spans="7:19" ht="29.5" x14ac:dyDescent="0.75">
      <c r="G98" s="78"/>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8"/>
      <c r="P99" s="11">
        <v>85</v>
      </c>
      <c r="Q99" s="11">
        <f t="shared" si="21"/>
        <v>14</v>
      </c>
      <c r="R99" s="11">
        <f t="shared" si="22"/>
        <v>1</v>
      </c>
      <c r="S99" s="12" t="str" cm="1">
        <f t="array" ref="S99">INDEX('PathStage-ConceptMap-1'!$I$15:$N$124,Q99+1,R99)</f>
        <v>* group[=].element[+].code = #PathologicalStage.liver</v>
      </c>
    </row>
    <row r="100" spans="7:19" x14ac:dyDescent="0.75">
      <c r="G100" s="78"/>
      <c r="P100" s="11">
        <v>86</v>
      </c>
      <c r="Q100" s="11">
        <f t="shared" si="21"/>
        <v>14</v>
      </c>
      <c r="R100" s="11">
        <f t="shared" si="22"/>
        <v>2</v>
      </c>
      <c r="S100" s="12" t="str" cm="1">
        <f t="array" ref="S100">INDEX('PathStage-ConceptMap-1'!$I$15:$N$124,Q100+1,R100)</f>
        <v>* group[=].element[=].display = ##34#liver##34#</v>
      </c>
    </row>
    <row r="101" spans="7:19" x14ac:dyDescent="0.75">
      <c r="G101" s="78"/>
      <c r="P101" s="11">
        <v>87</v>
      </c>
      <c r="Q101" s="11">
        <f t="shared" si="21"/>
        <v>14</v>
      </c>
      <c r="R101" s="11">
        <f t="shared" si="22"/>
        <v>3</v>
      </c>
      <c r="S101" s="12" t="str" cm="1">
        <f t="array" ref="S101">INDEX('PathStage-ConceptMap-1'!$I$15:$N$124,Q101+1,R101)</f>
        <v>* group[=].element[=].target.code = #Observation.</v>
      </c>
    </row>
    <row r="102" spans="7:19" x14ac:dyDescent="0.75">
      <c r="G102" s="78"/>
      <c r="P102" s="11">
        <v>88</v>
      </c>
      <c r="Q102" s="11">
        <f t="shared" si="21"/>
        <v>14</v>
      </c>
      <c r="R102" s="11">
        <f t="shared" si="22"/>
        <v>4</v>
      </c>
      <c r="S102" s="12" t="str" cm="1">
        <f t="array" ref="S102">INDEX('PathStage-ConceptMap-1'!$I$15:$N$124,Q102+1,R102)</f>
        <v>* group[=].element[=].target.display = ##34###34#</v>
      </c>
    </row>
    <row r="103" spans="7:19" x14ac:dyDescent="0.75">
      <c r="G103" s="78"/>
      <c r="P103" s="11">
        <v>89</v>
      </c>
      <c r="Q103" s="11">
        <f t="shared" si="21"/>
        <v>14</v>
      </c>
      <c r="R103" s="11">
        <f t="shared" si="22"/>
        <v>5</v>
      </c>
      <c r="S103" s="12" t="str" cm="1">
        <f t="array" ref="S103">INDEX('PathStage-ConceptMap-1'!$I$15:$N$124,Q103+1,R103)</f>
        <v>* group[=].element[=].target.equivalence = #relatedto</v>
      </c>
    </row>
    <row r="104" spans="7:19" ht="29.5" x14ac:dyDescent="0.75">
      <c r="G104" s="78"/>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8"/>
      <c r="P105" s="11">
        <v>91</v>
      </c>
      <c r="Q105" s="11">
        <f t="shared" si="21"/>
        <v>15</v>
      </c>
      <c r="R105" s="11">
        <f t="shared" si="22"/>
        <v>1</v>
      </c>
      <c r="S105" s="12" t="str" cm="1">
        <f t="array" ref="S105">INDEX('PathStage-ConceptMap-1'!$I$15:$N$124,Q105+1,R105)</f>
        <v>* group[=].element[+].code = #PathologicalStage.pleura</v>
      </c>
    </row>
    <row r="106" spans="7:19" x14ac:dyDescent="0.75">
      <c r="G106" s="78"/>
      <c r="P106" s="11">
        <v>92</v>
      </c>
      <c r="Q106" s="11">
        <f t="shared" si="21"/>
        <v>15</v>
      </c>
      <c r="R106" s="11">
        <f t="shared" si="22"/>
        <v>2</v>
      </c>
      <c r="S106" s="12" t="str" cm="1">
        <f t="array" ref="S106">INDEX('PathStage-ConceptMap-1'!$I$15:$N$124,Q106+1,R106)</f>
        <v>* group[=].element[=].display = ##34#pleura##34#</v>
      </c>
    </row>
    <row r="107" spans="7:19" x14ac:dyDescent="0.75">
      <c r="G107" s="78"/>
      <c r="P107" s="11">
        <v>93</v>
      </c>
      <c r="Q107" s="11">
        <f t="shared" si="21"/>
        <v>15</v>
      </c>
      <c r="R107" s="11">
        <f t="shared" si="22"/>
        <v>3</v>
      </c>
      <c r="S107" s="12" t="str" cm="1">
        <f t="array" ref="S107">INDEX('PathStage-ConceptMap-1'!$I$15:$N$124,Q107+1,R107)</f>
        <v>* group[=].element[=].target.code = #Observation.</v>
      </c>
    </row>
    <row r="108" spans="7:19" x14ac:dyDescent="0.75">
      <c r="G108" s="78"/>
      <c r="P108" s="11">
        <v>94</v>
      </c>
      <c r="Q108" s="11">
        <f t="shared" si="21"/>
        <v>15</v>
      </c>
      <c r="R108" s="11">
        <f t="shared" si="22"/>
        <v>4</v>
      </c>
      <c r="S108" s="12" t="str" cm="1">
        <f t="array" ref="S108">INDEX('PathStage-ConceptMap-1'!$I$15:$N$124,Q108+1,R108)</f>
        <v>* group[=].element[=].target.display = ##34###34#</v>
      </c>
    </row>
    <row r="109" spans="7:19" x14ac:dyDescent="0.75">
      <c r="G109" s="78"/>
      <c r="P109" s="11">
        <v>95</v>
      </c>
      <c r="Q109" s="11">
        <f t="shared" si="21"/>
        <v>15</v>
      </c>
      <c r="R109" s="11">
        <f t="shared" si="22"/>
        <v>5</v>
      </c>
      <c r="S109" s="12" t="str" cm="1">
        <f t="array" ref="S109">INDEX('PathStage-ConceptMap-1'!$I$15:$N$124,Q109+1,R109)</f>
        <v>* group[=].element[=].target.equivalence = #relatedto</v>
      </c>
    </row>
    <row r="110" spans="7:19" ht="29.5" x14ac:dyDescent="0.75">
      <c r="G110" s="78"/>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8"/>
      <c r="P111" s="11">
        <v>97</v>
      </c>
      <c r="Q111" s="11">
        <f t="shared" si="21"/>
        <v>16</v>
      </c>
      <c r="R111" s="11">
        <f t="shared" si="22"/>
        <v>1</v>
      </c>
      <c r="S111" s="12" t="str" cm="1">
        <f t="array" ref="S111">INDEX('PathStage-ConceptMap-1'!$I$15:$N$124,Q111+1,R111)</f>
        <v>* group[=].element[+].code = #PathologicalStage.peritoneum</v>
      </c>
    </row>
    <row r="112" spans="7:19" x14ac:dyDescent="0.75">
      <c r="G112" s="78"/>
      <c r="P112" s="11">
        <v>98</v>
      </c>
      <c r="Q112" s="11">
        <f t="shared" si="21"/>
        <v>16</v>
      </c>
      <c r="R112" s="11">
        <f t="shared" si="22"/>
        <v>2</v>
      </c>
      <c r="S112" s="12" t="str" cm="1">
        <f t="array" ref="S112">INDEX('PathStage-ConceptMap-1'!$I$15:$N$124,Q112+1,R112)</f>
        <v>* group[=].element[=].display = ##34#peritoneum##34#</v>
      </c>
    </row>
    <row r="113" spans="7:19" x14ac:dyDescent="0.75">
      <c r="G113" s="78"/>
      <c r="P113" s="11">
        <v>99</v>
      </c>
      <c r="Q113" s="11">
        <f t="shared" si="21"/>
        <v>16</v>
      </c>
      <c r="R113" s="11">
        <f t="shared" si="22"/>
        <v>3</v>
      </c>
      <c r="S113" s="12" t="str" cm="1">
        <f t="array" ref="S113">INDEX('PathStage-ConceptMap-1'!$I$15:$N$124,Q113+1,R113)</f>
        <v>* group[=].element[=].target.code = #Observation.</v>
      </c>
    </row>
    <row r="114" spans="7:19" x14ac:dyDescent="0.75">
      <c r="G114" s="78"/>
      <c r="P114" s="11">
        <v>100</v>
      </c>
      <c r="Q114" s="11">
        <f t="shared" si="21"/>
        <v>16</v>
      </c>
      <c r="R114" s="11">
        <f t="shared" si="22"/>
        <v>4</v>
      </c>
      <c r="S114" s="12" t="str" cm="1">
        <f t="array" ref="S114">INDEX('PathStage-ConceptMap-1'!$I$15:$N$124,Q114+1,R114)</f>
        <v>* group[=].element[=].target.display = ##34###34#</v>
      </c>
    </row>
    <row r="115" spans="7:19" x14ac:dyDescent="0.75">
      <c r="G115" s="78"/>
      <c r="P115" s="11">
        <v>101</v>
      </c>
      <c r="Q115" s="11">
        <f t="shared" si="21"/>
        <v>16</v>
      </c>
      <c r="R115" s="11">
        <f t="shared" si="22"/>
        <v>5</v>
      </c>
      <c r="S115" s="12" t="str" cm="1">
        <f t="array" ref="S115">INDEX('PathStage-ConceptMap-1'!$I$15:$N$124,Q115+1,R115)</f>
        <v>* group[=].element[=].target.equivalence = #relatedto</v>
      </c>
    </row>
    <row r="116" spans="7:19" ht="29.5" x14ac:dyDescent="0.75">
      <c r="G116" s="78"/>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8"/>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1651</v>
      </c>
      <c r="D3" s="47" t="s">
        <v>1479</v>
      </c>
      <c r="E3" s="72" t="str">
        <f>$C$1&amp;Stage!B4</f>
        <v>http://hl7.eu/fhir/ig/idea4rc/StructureDefinition/StageI4rc</v>
      </c>
    </row>
    <row r="4" spans="1:19" x14ac:dyDescent="0.75">
      <c r="B4" s="47" t="s">
        <v>16</v>
      </c>
      <c r="C4" s="28" t="s">
        <v>1651</v>
      </c>
      <c r="D4" s="47" t="s">
        <v>1480</v>
      </c>
      <c r="E4" s="144" t="s">
        <v>1648</v>
      </c>
      <c r="F4" s="145"/>
      <c r="G4" s="145"/>
    </row>
    <row r="5" spans="1:19" x14ac:dyDescent="0.75">
      <c r="B5" s="47" t="s">
        <v>10</v>
      </c>
      <c r="C5" s="7" t="s">
        <v>1633</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1648</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1642</v>
      </c>
      <c r="E15" s="12"/>
      <c r="F15" s="49" t="s">
        <v>1294</v>
      </c>
      <c r="G15" s="78" t="s">
        <v>1644</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4" t="s">
        <v>1649</v>
      </c>
      <c r="F4" s="145"/>
      <c r="G4" s="145"/>
    </row>
    <row r="5" spans="1:19" x14ac:dyDescent="0.75">
      <c r="B5" s="47" t="s">
        <v>10</v>
      </c>
      <c r="C5" s="7" t="s">
        <v>1633</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1649</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Stage!B10</f>
        <v>t</v>
      </c>
      <c r="C15" s="11" t="str">
        <f>Stage!C10</f>
        <v>T</v>
      </c>
      <c r="D15" s="12" t="s">
        <v>1642</v>
      </c>
      <c r="E15" s="12"/>
      <c r="F15" s="49" t="s">
        <v>1294</v>
      </c>
      <c r="G15" s="78" t="s">
        <v>1644</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8"/>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6"/>
      <c r="G17" s="78"/>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6"/>
      <c r="G18" s="78"/>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8"/>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8"/>
      <c r="P44" s="11">
        <v>30</v>
      </c>
      <c r="Q44" s="11">
        <f t="shared" si="6"/>
        <v>4</v>
      </c>
      <c r="R44" s="11">
        <f t="shared" si="7"/>
        <v>6</v>
      </c>
      <c r="S44" s="12" cm="1">
        <f t="array" ref="S44">INDEX('PathStage-ConceptMap-3'!$I$15:$N$123,Q44+1,R44)</f>
        <v>0</v>
      </c>
    </row>
    <row r="45" spans="1:19" x14ac:dyDescent="0.75">
      <c r="B45" s="11"/>
      <c r="C45" s="11"/>
      <c r="G45" s="78"/>
      <c r="P45" s="11">
        <v>31</v>
      </c>
      <c r="Q45" s="11">
        <f t="shared" si="6"/>
        <v>5</v>
      </c>
      <c r="R45" s="11">
        <f t="shared" si="7"/>
        <v>1</v>
      </c>
      <c r="S45" s="12" cm="1">
        <f t="array" ref="S45">INDEX('PathStage-ConceptMap-3'!$I$15:$N$123,Q45+1,R45)</f>
        <v>0</v>
      </c>
    </row>
    <row r="46" spans="1:19" x14ac:dyDescent="0.75">
      <c r="G46" s="78"/>
      <c r="P46" s="11">
        <v>32</v>
      </c>
      <c r="Q46" s="11">
        <f t="shared" si="6"/>
        <v>5</v>
      </c>
      <c r="R46" s="11">
        <f t="shared" si="7"/>
        <v>2</v>
      </c>
      <c r="S46" s="12" cm="1">
        <f t="array" ref="S46">INDEX('PathStage-ConceptMap-3'!$I$15:$N$123,Q46+1,R46)</f>
        <v>0</v>
      </c>
    </row>
    <row r="47" spans="1:19" x14ac:dyDescent="0.75">
      <c r="G47" s="78"/>
      <c r="P47" s="11">
        <v>33</v>
      </c>
      <c r="Q47" s="11">
        <f t="shared" si="6"/>
        <v>5</v>
      </c>
      <c r="R47" s="11">
        <f t="shared" si="7"/>
        <v>3</v>
      </c>
      <c r="S47" s="12" cm="1">
        <f t="array" ref="S47">INDEX('PathStage-ConceptMap-3'!$I$15:$N$123,Q47+1,R47)</f>
        <v>0</v>
      </c>
    </row>
    <row r="48" spans="1:19" x14ac:dyDescent="0.75">
      <c r="G48" s="78"/>
      <c r="P48" s="11">
        <v>34</v>
      </c>
      <c r="Q48" s="11">
        <f t="shared" si="6"/>
        <v>5</v>
      </c>
      <c r="R48" s="11">
        <f t="shared" si="7"/>
        <v>4</v>
      </c>
      <c r="S48" s="12" cm="1">
        <f t="array" ref="S48">INDEX('PathStage-ConceptMap-3'!$I$15:$N$123,Q48+1,R48)</f>
        <v>0</v>
      </c>
    </row>
    <row r="49" spans="7:19" x14ac:dyDescent="0.75">
      <c r="G49" s="78"/>
      <c r="P49" s="11">
        <v>35</v>
      </c>
      <c r="Q49" s="11">
        <f t="shared" si="6"/>
        <v>5</v>
      </c>
      <c r="R49" s="11">
        <f t="shared" si="7"/>
        <v>5</v>
      </c>
      <c r="S49" s="12" cm="1">
        <f t="array" ref="S49">INDEX('PathStage-ConceptMap-3'!$I$15:$N$123,Q49+1,R49)</f>
        <v>0</v>
      </c>
    </row>
    <row r="50" spans="7:19" x14ac:dyDescent="0.75">
      <c r="G50" s="78"/>
      <c r="P50" s="11">
        <v>36</v>
      </c>
      <c r="Q50" s="11">
        <f t="shared" si="6"/>
        <v>5</v>
      </c>
      <c r="R50" s="11">
        <f t="shared" si="7"/>
        <v>6</v>
      </c>
      <c r="S50" s="12" cm="1">
        <f t="array" ref="S50">INDEX('PathStage-ConceptMap-3'!$I$15:$N$123,Q50+1,R50)</f>
        <v>0</v>
      </c>
    </row>
    <row r="51" spans="7:19" x14ac:dyDescent="0.75">
      <c r="G51" s="78"/>
      <c r="P51" s="11">
        <v>37</v>
      </c>
      <c r="Q51" s="11">
        <f t="shared" si="6"/>
        <v>6</v>
      </c>
      <c r="R51" s="11">
        <f t="shared" si="7"/>
        <v>1</v>
      </c>
      <c r="S51" s="12" cm="1">
        <f t="array" ref="S51">INDEX('PathStage-ConceptMap-3'!$I$15:$N$123,Q51+1,R51)</f>
        <v>0</v>
      </c>
    </row>
    <row r="52" spans="7:19" x14ac:dyDescent="0.75">
      <c r="G52" s="78"/>
      <c r="P52" s="11">
        <v>38</v>
      </c>
      <c r="Q52" s="11">
        <f t="shared" si="6"/>
        <v>6</v>
      </c>
      <c r="R52" s="11">
        <f t="shared" si="7"/>
        <v>2</v>
      </c>
      <c r="S52" s="12" cm="1">
        <f t="array" ref="S52">INDEX('PathStage-ConceptMap-3'!$I$15:$N$123,Q52+1,R52)</f>
        <v>0</v>
      </c>
    </row>
    <row r="53" spans="7:19" x14ac:dyDescent="0.75">
      <c r="G53" s="78"/>
      <c r="P53" s="11">
        <v>39</v>
      </c>
      <c r="Q53" s="11">
        <f t="shared" si="6"/>
        <v>6</v>
      </c>
      <c r="R53" s="11">
        <f t="shared" si="7"/>
        <v>3</v>
      </c>
      <c r="S53" s="12" cm="1">
        <f t="array" ref="S53">INDEX('PathStage-ConceptMap-3'!$I$15:$N$123,Q53+1,R53)</f>
        <v>0</v>
      </c>
    </row>
    <row r="54" spans="7:19" x14ac:dyDescent="0.75">
      <c r="G54" s="78"/>
      <c r="P54" s="11">
        <v>40</v>
      </c>
      <c r="Q54" s="11">
        <f t="shared" si="6"/>
        <v>6</v>
      </c>
      <c r="R54" s="11">
        <f t="shared" si="7"/>
        <v>4</v>
      </c>
      <c r="S54" s="12" cm="1">
        <f t="array" ref="S54">INDEX('PathStage-ConceptMap-3'!$I$15:$N$123,Q54+1,R54)</f>
        <v>0</v>
      </c>
    </row>
    <row r="55" spans="7:19" x14ac:dyDescent="0.75">
      <c r="G55" s="78"/>
      <c r="P55" s="11">
        <v>41</v>
      </c>
      <c r="Q55" s="11">
        <f t="shared" si="6"/>
        <v>6</v>
      </c>
      <c r="R55" s="11">
        <f t="shared" si="7"/>
        <v>5</v>
      </c>
      <c r="S55" s="12" cm="1">
        <f t="array" ref="S55">INDEX('PathStage-ConceptMap-3'!$I$15:$N$123,Q55+1,R55)</f>
        <v>0</v>
      </c>
    </row>
    <row r="56" spans="7:19" x14ac:dyDescent="0.75">
      <c r="G56" s="78"/>
      <c r="P56" s="11">
        <v>42</v>
      </c>
      <c r="Q56" s="11">
        <f t="shared" si="6"/>
        <v>6</v>
      </c>
      <c r="R56" s="11">
        <f t="shared" si="7"/>
        <v>6</v>
      </c>
      <c r="S56" s="12" cm="1">
        <f t="array" ref="S56">INDEX('PathStage-ConceptMap-3'!$I$15:$N$123,Q56+1,R56)</f>
        <v>0</v>
      </c>
    </row>
    <row r="57" spans="7:19" x14ac:dyDescent="0.75">
      <c r="G57" s="78"/>
      <c r="P57" s="11">
        <v>43</v>
      </c>
      <c r="Q57" s="11">
        <f t="shared" si="6"/>
        <v>7</v>
      </c>
      <c r="R57" s="11">
        <f t="shared" si="7"/>
        <v>1</v>
      </c>
      <c r="S57" s="12" cm="1">
        <f t="array" ref="S57">INDEX('PathStage-ConceptMap-3'!$I$15:$N$123,Q57+1,R57)</f>
        <v>0</v>
      </c>
    </row>
    <row r="58" spans="7:19" x14ac:dyDescent="0.75">
      <c r="G58" s="78"/>
      <c r="P58" s="11">
        <v>44</v>
      </c>
      <c r="Q58" s="11">
        <f t="shared" si="6"/>
        <v>7</v>
      </c>
      <c r="R58" s="11">
        <f t="shared" si="7"/>
        <v>2</v>
      </c>
      <c r="S58" s="12" cm="1">
        <f t="array" ref="S58">INDEX('PathStage-ConceptMap-3'!$I$15:$N$123,Q58+1,R58)</f>
        <v>0</v>
      </c>
    </row>
    <row r="59" spans="7:19" x14ac:dyDescent="0.75">
      <c r="G59" s="78"/>
      <c r="P59" s="11">
        <v>45</v>
      </c>
      <c r="Q59" s="11">
        <f t="shared" si="6"/>
        <v>7</v>
      </c>
      <c r="R59" s="11">
        <f t="shared" si="7"/>
        <v>3</v>
      </c>
      <c r="S59" s="12" cm="1">
        <f t="array" ref="S59">INDEX('PathStage-ConceptMap-3'!$I$15:$N$123,Q59+1,R59)</f>
        <v>0</v>
      </c>
    </row>
    <row r="60" spans="7:19" x14ac:dyDescent="0.75">
      <c r="G60" s="78"/>
      <c r="P60" s="11">
        <v>46</v>
      </c>
      <c r="Q60" s="11">
        <f t="shared" si="6"/>
        <v>7</v>
      </c>
      <c r="R60" s="11">
        <f t="shared" si="7"/>
        <v>4</v>
      </c>
      <c r="S60" s="12" cm="1">
        <f t="array" ref="S60">INDEX('PathStage-ConceptMap-3'!$I$15:$N$123,Q60+1,R60)</f>
        <v>0</v>
      </c>
    </row>
    <row r="61" spans="7:19" x14ac:dyDescent="0.75">
      <c r="G61" s="78"/>
      <c r="P61" s="11">
        <v>47</v>
      </c>
      <c r="Q61" s="11">
        <f t="shared" si="6"/>
        <v>7</v>
      </c>
      <c r="R61" s="11">
        <f t="shared" si="7"/>
        <v>5</v>
      </c>
      <c r="S61" s="12" cm="1">
        <f t="array" ref="S61">INDEX('PathStage-ConceptMap-3'!$I$15:$N$123,Q61+1,R61)</f>
        <v>0</v>
      </c>
    </row>
    <row r="62" spans="7:19" x14ac:dyDescent="0.75">
      <c r="G62" s="78"/>
      <c r="P62" s="11">
        <v>48</v>
      </c>
      <c r="Q62" s="11">
        <f t="shared" si="6"/>
        <v>7</v>
      </c>
      <c r="R62" s="11">
        <f t="shared" si="7"/>
        <v>6</v>
      </c>
      <c r="S62" s="12" cm="1">
        <f t="array" ref="S62">INDEX('PathStage-ConceptMap-3'!$I$15:$N$123,Q62+1,R62)</f>
        <v>0</v>
      </c>
    </row>
    <row r="63" spans="7:19" x14ac:dyDescent="0.75">
      <c r="G63" s="78"/>
      <c r="P63" s="11">
        <v>49</v>
      </c>
      <c r="Q63" s="11">
        <f t="shared" si="6"/>
        <v>8</v>
      </c>
      <c r="R63" s="11">
        <f t="shared" si="7"/>
        <v>1</v>
      </c>
      <c r="S63" s="12" cm="1">
        <f t="array" ref="S63">INDEX('PathStage-ConceptMap-3'!$I$15:$N$123,Q63+1,R63)</f>
        <v>0</v>
      </c>
    </row>
    <row r="64" spans="7:19" x14ac:dyDescent="0.75">
      <c r="G64" s="78"/>
      <c r="P64" s="11">
        <v>50</v>
      </c>
      <c r="Q64" s="11">
        <f t="shared" si="6"/>
        <v>8</v>
      </c>
      <c r="R64" s="11">
        <f t="shared" si="7"/>
        <v>2</v>
      </c>
      <c r="S64" s="12" cm="1">
        <f t="array" ref="S64">INDEX('PathStage-ConceptMap-3'!$I$15:$N$123,Q64+1,R64)</f>
        <v>0</v>
      </c>
    </row>
    <row r="65" spans="7:19" x14ac:dyDescent="0.75">
      <c r="G65" s="78"/>
      <c r="P65" s="11">
        <v>51</v>
      </c>
      <c r="Q65" s="11">
        <f t="shared" si="6"/>
        <v>8</v>
      </c>
      <c r="R65" s="11">
        <f t="shared" si="7"/>
        <v>3</v>
      </c>
      <c r="S65" s="12" cm="1">
        <f t="array" ref="S65">INDEX('PathStage-ConceptMap-3'!$I$15:$N$123,Q65+1,R65)</f>
        <v>0</v>
      </c>
    </row>
    <row r="66" spans="7:19" x14ac:dyDescent="0.75">
      <c r="G66" s="78"/>
      <c r="P66" s="11">
        <v>52</v>
      </c>
      <c r="Q66" s="11">
        <f t="shared" si="6"/>
        <v>8</v>
      </c>
      <c r="R66" s="11">
        <f t="shared" si="7"/>
        <v>4</v>
      </c>
      <c r="S66" s="12" cm="1">
        <f t="array" ref="S66">INDEX('PathStage-ConceptMap-3'!$I$15:$N$123,Q66+1,R66)</f>
        <v>0</v>
      </c>
    </row>
    <row r="67" spans="7:19" x14ac:dyDescent="0.75">
      <c r="G67" s="78"/>
      <c r="P67" s="11">
        <v>53</v>
      </c>
      <c r="Q67" s="11">
        <f t="shared" si="6"/>
        <v>8</v>
      </c>
      <c r="R67" s="11">
        <f t="shared" si="7"/>
        <v>5</v>
      </c>
      <c r="S67" s="12" cm="1">
        <f t="array" ref="S67">INDEX('PathStage-ConceptMap-3'!$I$15:$N$123,Q67+1,R67)</f>
        <v>0</v>
      </c>
    </row>
    <row r="68" spans="7:19" x14ac:dyDescent="0.75">
      <c r="G68" s="78"/>
      <c r="P68" s="11">
        <v>54</v>
      </c>
      <c r="Q68" s="11">
        <f t="shared" si="6"/>
        <v>8</v>
      </c>
      <c r="R68" s="11">
        <f t="shared" si="7"/>
        <v>6</v>
      </c>
      <c r="S68" s="12" cm="1">
        <f t="array" ref="S68">INDEX('PathStage-ConceptMap-3'!$I$15:$N$123,Q68+1,R68)</f>
        <v>0</v>
      </c>
    </row>
    <row r="69" spans="7:19" x14ac:dyDescent="0.75">
      <c r="G69" s="78"/>
      <c r="P69" s="11">
        <v>55</v>
      </c>
      <c r="Q69" s="11">
        <f t="shared" si="6"/>
        <v>9</v>
      </c>
      <c r="R69" s="11">
        <f t="shared" si="7"/>
        <v>1</v>
      </c>
      <c r="S69" s="12" cm="1">
        <f t="array" ref="S69">INDEX('PathStage-ConceptMap-3'!$I$15:$N$123,Q69+1,R69)</f>
        <v>0</v>
      </c>
    </row>
    <row r="70" spans="7:19" x14ac:dyDescent="0.75">
      <c r="G70" s="78"/>
      <c r="P70" s="11">
        <v>56</v>
      </c>
      <c r="Q70" s="11">
        <f t="shared" si="6"/>
        <v>9</v>
      </c>
      <c r="R70" s="11">
        <f t="shared" si="7"/>
        <v>2</v>
      </c>
      <c r="S70" s="12" cm="1">
        <f t="array" ref="S70">INDEX('PathStage-ConceptMap-3'!$I$15:$N$123,Q70+1,R70)</f>
        <v>0</v>
      </c>
    </row>
    <row r="71" spans="7:19" x14ac:dyDescent="0.75">
      <c r="G71" s="78"/>
      <c r="P71" s="11">
        <v>57</v>
      </c>
      <c r="Q71" s="11">
        <f t="shared" si="6"/>
        <v>9</v>
      </c>
      <c r="R71" s="11">
        <f t="shared" si="7"/>
        <v>3</v>
      </c>
      <c r="S71" s="12" cm="1">
        <f t="array" ref="S71">INDEX('PathStage-ConceptMap-3'!$I$15:$N$123,Q71+1,R71)</f>
        <v>0</v>
      </c>
    </row>
    <row r="72" spans="7:19" x14ac:dyDescent="0.75">
      <c r="G72" s="78"/>
      <c r="P72" s="11">
        <v>58</v>
      </c>
      <c r="Q72" s="11">
        <f t="shared" si="6"/>
        <v>9</v>
      </c>
      <c r="R72" s="11">
        <f t="shared" si="7"/>
        <v>4</v>
      </c>
      <c r="S72" s="12" cm="1">
        <f t="array" ref="S72">INDEX('PathStage-ConceptMap-3'!$I$15:$N$123,Q72+1,R72)</f>
        <v>0</v>
      </c>
    </row>
    <row r="73" spans="7:19" x14ac:dyDescent="0.75">
      <c r="G73" s="78"/>
      <c r="P73" s="11">
        <v>59</v>
      </c>
      <c r="Q73" s="11">
        <f t="shared" si="6"/>
        <v>9</v>
      </c>
      <c r="R73" s="11">
        <f t="shared" si="7"/>
        <v>5</v>
      </c>
      <c r="S73" s="12" cm="1">
        <f t="array" ref="S73">INDEX('PathStage-ConceptMap-3'!$I$15:$N$123,Q73+1,R73)</f>
        <v>0</v>
      </c>
    </row>
    <row r="74" spans="7:19" x14ac:dyDescent="0.75">
      <c r="G74" s="78"/>
      <c r="P74" s="11">
        <v>60</v>
      </c>
      <c r="Q74" s="11">
        <f t="shared" si="6"/>
        <v>9</v>
      </c>
      <c r="R74" s="11">
        <f t="shared" si="7"/>
        <v>6</v>
      </c>
      <c r="S74" s="12" cm="1">
        <f t="array" ref="S74">INDEX('PathStage-ConceptMap-3'!$I$15:$N$123,Q74+1,R74)</f>
        <v>0</v>
      </c>
    </row>
    <row r="75" spans="7:19" x14ac:dyDescent="0.75">
      <c r="G75" s="78"/>
      <c r="P75" s="11">
        <v>61</v>
      </c>
      <c r="Q75" s="11">
        <f t="shared" si="6"/>
        <v>10</v>
      </c>
      <c r="R75" s="11">
        <f t="shared" si="7"/>
        <v>1</v>
      </c>
      <c r="S75" s="12" cm="1">
        <f t="array" ref="S75">INDEX('PathStage-ConceptMap-3'!$I$15:$N$123,Q75+1,R75)</f>
        <v>0</v>
      </c>
    </row>
    <row r="76" spans="7:19" x14ac:dyDescent="0.75">
      <c r="G76" s="78"/>
      <c r="P76" s="11">
        <v>62</v>
      </c>
      <c r="Q76" s="11">
        <f t="shared" si="6"/>
        <v>10</v>
      </c>
      <c r="R76" s="11">
        <f t="shared" si="7"/>
        <v>2</v>
      </c>
      <c r="S76" s="12" cm="1">
        <f t="array" ref="S76">INDEX('PathStage-ConceptMap-3'!$I$15:$N$123,Q76+1,R76)</f>
        <v>0</v>
      </c>
    </row>
    <row r="77" spans="7:19" x14ac:dyDescent="0.75">
      <c r="G77" s="78"/>
      <c r="P77" s="11">
        <v>63</v>
      </c>
      <c r="Q77" s="11">
        <f t="shared" si="6"/>
        <v>10</v>
      </c>
      <c r="R77" s="11">
        <f t="shared" si="7"/>
        <v>3</v>
      </c>
      <c r="S77" s="12" cm="1">
        <f t="array" ref="S77">INDEX('PathStage-ConceptMap-3'!$I$15:$N$123,Q77+1,R77)</f>
        <v>0</v>
      </c>
    </row>
    <row r="78" spans="7:19" x14ac:dyDescent="0.75">
      <c r="G78" s="78"/>
      <c r="P78" s="11">
        <v>64</v>
      </c>
      <c r="Q78" s="11">
        <f t="shared" si="6"/>
        <v>10</v>
      </c>
      <c r="R78" s="11">
        <f t="shared" si="7"/>
        <v>4</v>
      </c>
      <c r="S78" s="12" cm="1">
        <f t="array" ref="S78">INDEX('PathStage-ConceptMap-3'!$I$15:$N$123,Q78+1,R78)</f>
        <v>0</v>
      </c>
    </row>
    <row r="79" spans="7:19" x14ac:dyDescent="0.75">
      <c r="G79" s="78"/>
      <c r="P79" s="11">
        <v>65</v>
      </c>
      <c r="Q79" s="11">
        <f t="shared" ref="Q79:Q142" si="8">IF(MOD(P79,$Q$8)=0,P79/$Q$8-1,INT(P79/$Q$8))</f>
        <v>10</v>
      </c>
      <c r="R79" s="11">
        <f t="shared" ref="R79:R142" si="9">IF(MOD(P79,$Q$8)=0,$Q$8,MOD(P79,$Q$8))</f>
        <v>5</v>
      </c>
      <c r="S79" s="12" cm="1">
        <f t="array" ref="S79">INDEX('PathStage-ConceptMap-3'!$I$15:$N$123,Q79+1,R79)</f>
        <v>0</v>
      </c>
    </row>
    <row r="80" spans="7:19" x14ac:dyDescent="0.75">
      <c r="G80" s="78"/>
      <c r="P80" s="11">
        <v>66</v>
      </c>
      <c r="Q80" s="11">
        <f t="shared" si="8"/>
        <v>10</v>
      </c>
      <c r="R80" s="11">
        <f t="shared" si="9"/>
        <v>6</v>
      </c>
      <c r="S80" s="12" cm="1">
        <f t="array" ref="S80">INDEX('PathStage-ConceptMap-3'!$I$15:$N$123,Q80+1,R80)</f>
        <v>0</v>
      </c>
    </row>
    <row r="81" spans="7:19" x14ac:dyDescent="0.75">
      <c r="G81" s="78"/>
      <c r="P81" s="11">
        <v>67</v>
      </c>
      <c r="Q81" s="11">
        <f t="shared" si="8"/>
        <v>11</v>
      </c>
      <c r="R81" s="11">
        <f t="shared" si="9"/>
        <v>1</v>
      </c>
      <c r="S81" s="12" cm="1">
        <f t="array" ref="S81">INDEX('PathStage-ConceptMap-3'!$I$15:$N$123,Q81+1,R81)</f>
        <v>0</v>
      </c>
    </row>
    <row r="82" spans="7:19" x14ac:dyDescent="0.75">
      <c r="G82" s="78"/>
      <c r="P82" s="11">
        <v>68</v>
      </c>
      <c r="Q82" s="11">
        <f t="shared" si="8"/>
        <v>11</v>
      </c>
      <c r="R82" s="11">
        <f t="shared" si="9"/>
        <v>2</v>
      </c>
      <c r="S82" s="12" cm="1">
        <f t="array" ref="S82">INDEX('PathStage-ConceptMap-3'!$I$15:$N$123,Q82+1,R82)</f>
        <v>0</v>
      </c>
    </row>
    <row r="83" spans="7:19" x14ac:dyDescent="0.75">
      <c r="G83" s="78"/>
      <c r="P83" s="11">
        <v>69</v>
      </c>
      <c r="Q83" s="11">
        <f t="shared" si="8"/>
        <v>11</v>
      </c>
      <c r="R83" s="11">
        <f t="shared" si="9"/>
        <v>3</v>
      </c>
      <c r="S83" s="12" cm="1">
        <f t="array" ref="S83">INDEX('PathStage-ConceptMap-3'!$I$15:$N$123,Q83+1,R83)</f>
        <v>0</v>
      </c>
    </row>
    <row r="84" spans="7:19" x14ac:dyDescent="0.75">
      <c r="G84" s="78"/>
      <c r="P84" s="11">
        <v>70</v>
      </c>
      <c r="Q84" s="11">
        <f t="shared" si="8"/>
        <v>11</v>
      </c>
      <c r="R84" s="11">
        <f t="shared" si="9"/>
        <v>4</v>
      </c>
      <c r="S84" s="12" cm="1">
        <f t="array" ref="S84">INDEX('PathStage-ConceptMap-3'!$I$15:$N$123,Q84+1,R84)</f>
        <v>0</v>
      </c>
    </row>
    <row r="85" spans="7:19" x14ac:dyDescent="0.75">
      <c r="G85" s="78"/>
      <c r="P85" s="11">
        <v>71</v>
      </c>
      <c r="Q85" s="11">
        <f t="shared" si="8"/>
        <v>11</v>
      </c>
      <c r="R85" s="11">
        <f t="shared" si="9"/>
        <v>5</v>
      </c>
      <c r="S85" s="12" cm="1">
        <f t="array" ref="S85">INDEX('PathStage-ConceptMap-3'!$I$15:$N$123,Q85+1,R85)</f>
        <v>0</v>
      </c>
    </row>
    <row r="86" spans="7:19" x14ac:dyDescent="0.75">
      <c r="G86" s="78"/>
      <c r="P86" s="11">
        <v>72</v>
      </c>
      <c r="Q86" s="11">
        <f t="shared" si="8"/>
        <v>11</v>
      </c>
      <c r="R86" s="11">
        <f t="shared" si="9"/>
        <v>6</v>
      </c>
      <c r="S86" s="12" cm="1">
        <f t="array" ref="S86">INDEX('PathStage-ConceptMap-3'!$I$15:$N$123,Q86+1,R86)</f>
        <v>0</v>
      </c>
    </row>
    <row r="87" spans="7:19" x14ac:dyDescent="0.75">
      <c r="G87" s="78"/>
      <c r="P87" s="11">
        <v>73</v>
      </c>
      <c r="Q87" s="11">
        <f t="shared" si="8"/>
        <v>12</v>
      </c>
      <c r="R87" s="11">
        <f t="shared" si="9"/>
        <v>1</v>
      </c>
      <c r="S87" s="12" cm="1">
        <f t="array" ref="S87">INDEX('PathStage-ConceptMap-3'!$I$15:$N$123,Q87+1,R87)</f>
        <v>0</v>
      </c>
    </row>
    <row r="88" spans="7:19" x14ac:dyDescent="0.75">
      <c r="G88" s="78"/>
      <c r="P88" s="11">
        <v>74</v>
      </c>
      <c r="Q88" s="11">
        <f t="shared" si="8"/>
        <v>12</v>
      </c>
      <c r="R88" s="11">
        <f t="shared" si="9"/>
        <v>2</v>
      </c>
      <c r="S88" s="12" cm="1">
        <f t="array" ref="S88">INDEX('PathStage-ConceptMap-3'!$I$15:$N$123,Q88+1,R88)</f>
        <v>0</v>
      </c>
    </row>
    <row r="89" spans="7:19" x14ac:dyDescent="0.75">
      <c r="G89" s="78"/>
      <c r="P89" s="11">
        <v>75</v>
      </c>
      <c r="Q89" s="11">
        <f t="shared" si="8"/>
        <v>12</v>
      </c>
      <c r="R89" s="11">
        <f t="shared" si="9"/>
        <v>3</v>
      </c>
      <c r="S89" s="12" cm="1">
        <f t="array" ref="S89">INDEX('PathStage-ConceptMap-3'!$I$15:$N$123,Q89+1,R89)</f>
        <v>0</v>
      </c>
    </row>
    <row r="90" spans="7:19" x14ac:dyDescent="0.75">
      <c r="G90" s="78"/>
      <c r="P90" s="11">
        <v>76</v>
      </c>
      <c r="Q90" s="11">
        <f t="shared" si="8"/>
        <v>12</v>
      </c>
      <c r="R90" s="11">
        <f t="shared" si="9"/>
        <v>4</v>
      </c>
      <c r="S90" s="12" cm="1">
        <f t="array" ref="S90">INDEX('PathStage-ConceptMap-3'!$I$15:$N$123,Q90+1,R90)</f>
        <v>0</v>
      </c>
    </row>
    <row r="91" spans="7:19" x14ac:dyDescent="0.75">
      <c r="G91" s="78"/>
      <c r="P91" s="11">
        <v>77</v>
      </c>
      <c r="Q91" s="11">
        <f t="shared" si="8"/>
        <v>12</v>
      </c>
      <c r="R91" s="11">
        <f t="shared" si="9"/>
        <v>5</v>
      </c>
      <c r="S91" s="12" cm="1">
        <f t="array" ref="S91">INDEX('PathStage-ConceptMap-3'!$I$15:$N$123,Q91+1,R91)</f>
        <v>0</v>
      </c>
    </row>
    <row r="92" spans="7:19" x14ac:dyDescent="0.75">
      <c r="G92" s="78"/>
      <c r="P92" s="11">
        <v>78</v>
      </c>
      <c r="Q92" s="11">
        <f t="shared" si="8"/>
        <v>12</v>
      </c>
      <c r="R92" s="11">
        <f t="shared" si="9"/>
        <v>6</v>
      </c>
      <c r="S92" s="12" cm="1">
        <f t="array" ref="S92">INDEX('PathStage-ConceptMap-3'!$I$15:$N$123,Q92+1,R92)</f>
        <v>0</v>
      </c>
    </row>
    <row r="93" spans="7:19" x14ac:dyDescent="0.75">
      <c r="G93" s="78"/>
      <c r="P93" s="11">
        <v>79</v>
      </c>
      <c r="Q93" s="11">
        <f t="shared" si="8"/>
        <v>13</v>
      </c>
      <c r="R93" s="11">
        <f t="shared" si="9"/>
        <v>1</v>
      </c>
      <c r="S93" s="12" cm="1">
        <f t="array" ref="S93">INDEX('PathStage-ConceptMap-3'!$I$15:$N$123,Q93+1,R93)</f>
        <v>0</v>
      </c>
    </row>
    <row r="94" spans="7:19" x14ac:dyDescent="0.75">
      <c r="G94" s="78"/>
      <c r="P94" s="11">
        <v>80</v>
      </c>
      <c r="Q94" s="11">
        <f t="shared" si="8"/>
        <v>13</v>
      </c>
      <c r="R94" s="11">
        <f t="shared" si="9"/>
        <v>2</v>
      </c>
      <c r="S94" s="12" cm="1">
        <f t="array" ref="S94">INDEX('PathStage-ConceptMap-3'!$I$15:$N$123,Q94+1,R94)</f>
        <v>0</v>
      </c>
    </row>
    <row r="95" spans="7:19" x14ac:dyDescent="0.75">
      <c r="G95" s="78"/>
      <c r="P95" s="11">
        <v>81</v>
      </c>
      <c r="Q95" s="11">
        <f t="shared" si="8"/>
        <v>13</v>
      </c>
      <c r="R95" s="11">
        <f t="shared" si="9"/>
        <v>3</v>
      </c>
      <c r="S95" s="12" cm="1">
        <f t="array" ref="S95">INDEX('PathStage-ConceptMap-3'!$I$15:$N$123,Q95+1,R95)</f>
        <v>0</v>
      </c>
    </row>
    <row r="96" spans="7:19" x14ac:dyDescent="0.75">
      <c r="G96" s="78"/>
      <c r="P96" s="11">
        <v>82</v>
      </c>
      <c r="Q96" s="11">
        <f t="shared" si="8"/>
        <v>13</v>
      </c>
      <c r="R96" s="11">
        <f t="shared" si="9"/>
        <v>4</v>
      </c>
      <c r="S96" s="12" cm="1">
        <f t="array" ref="S96">INDEX('PathStage-ConceptMap-3'!$I$15:$N$123,Q96+1,R96)</f>
        <v>0</v>
      </c>
    </row>
    <row r="97" spans="7:19" x14ac:dyDescent="0.75">
      <c r="G97" s="78"/>
      <c r="P97" s="11">
        <v>83</v>
      </c>
      <c r="Q97" s="11">
        <f t="shared" si="8"/>
        <v>13</v>
      </c>
      <c r="R97" s="11">
        <f t="shared" si="9"/>
        <v>5</v>
      </c>
      <c r="S97" s="12" cm="1">
        <f t="array" ref="S97">INDEX('PathStage-ConceptMap-3'!$I$15:$N$123,Q97+1,R97)</f>
        <v>0</v>
      </c>
    </row>
    <row r="98" spans="7:19" x14ac:dyDescent="0.75">
      <c r="G98" s="78"/>
      <c r="P98" s="11">
        <v>84</v>
      </c>
      <c r="Q98" s="11">
        <f t="shared" si="8"/>
        <v>13</v>
      </c>
      <c r="R98" s="11">
        <f t="shared" si="9"/>
        <v>6</v>
      </c>
      <c r="S98" s="12" cm="1">
        <f t="array" ref="S98">INDEX('PathStage-ConceptMap-3'!$I$15:$N$123,Q98+1,R98)</f>
        <v>0</v>
      </c>
    </row>
    <row r="99" spans="7:19" x14ac:dyDescent="0.75">
      <c r="G99" s="78"/>
      <c r="P99" s="11">
        <v>85</v>
      </c>
      <c r="Q99" s="11">
        <f t="shared" si="8"/>
        <v>14</v>
      </c>
      <c r="R99" s="11">
        <f t="shared" si="9"/>
        <v>1</v>
      </c>
      <c r="S99" s="12" cm="1">
        <f t="array" ref="S99">INDEX('PathStage-ConceptMap-3'!$I$15:$N$123,Q99+1,R99)</f>
        <v>0</v>
      </c>
    </row>
    <row r="100" spans="7:19" x14ac:dyDescent="0.75">
      <c r="G100" s="78"/>
      <c r="P100" s="11">
        <v>86</v>
      </c>
      <c r="Q100" s="11">
        <f t="shared" si="8"/>
        <v>14</v>
      </c>
      <c r="R100" s="11">
        <f t="shared" si="9"/>
        <v>2</v>
      </c>
      <c r="S100" s="12" cm="1">
        <f t="array" ref="S100">INDEX('PathStage-ConceptMap-3'!$I$15:$N$123,Q100+1,R100)</f>
        <v>0</v>
      </c>
    </row>
    <row r="101" spans="7:19" x14ac:dyDescent="0.75">
      <c r="G101" s="78"/>
      <c r="P101" s="11">
        <v>87</v>
      </c>
      <c r="Q101" s="11">
        <f t="shared" si="8"/>
        <v>14</v>
      </c>
      <c r="R101" s="11">
        <f t="shared" si="9"/>
        <v>3</v>
      </c>
      <c r="S101" s="12" cm="1">
        <f t="array" ref="S101">INDEX('PathStage-ConceptMap-3'!$I$15:$N$123,Q101+1,R101)</f>
        <v>0</v>
      </c>
    </row>
    <row r="102" spans="7:19" x14ac:dyDescent="0.75">
      <c r="G102" s="78"/>
      <c r="P102" s="11">
        <v>88</v>
      </c>
      <c r="Q102" s="11">
        <f t="shared" si="8"/>
        <v>14</v>
      </c>
      <c r="R102" s="11">
        <f t="shared" si="9"/>
        <v>4</v>
      </c>
      <c r="S102" s="12" cm="1">
        <f t="array" ref="S102">INDEX('PathStage-ConceptMap-3'!$I$15:$N$123,Q102+1,R102)</f>
        <v>0</v>
      </c>
    </row>
    <row r="103" spans="7:19" x14ac:dyDescent="0.75">
      <c r="G103" s="78"/>
      <c r="P103" s="11">
        <v>89</v>
      </c>
      <c r="Q103" s="11">
        <f t="shared" si="8"/>
        <v>14</v>
      </c>
      <c r="R103" s="11">
        <f t="shared" si="9"/>
        <v>5</v>
      </c>
      <c r="S103" s="12" cm="1">
        <f t="array" ref="S103">INDEX('PathStage-ConceptMap-3'!$I$15:$N$123,Q103+1,R103)</f>
        <v>0</v>
      </c>
    </row>
    <row r="104" spans="7:19" x14ac:dyDescent="0.75">
      <c r="G104" s="78"/>
      <c r="P104" s="11">
        <v>90</v>
      </c>
      <c r="Q104" s="11">
        <f t="shared" si="8"/>
        <v>14</v>
      </c>
      <c r="R104" s="11">
        <f t="shared" si="9"/>
        <v>6</v>
      </c>
      <c r="S104" s="12" cm="1">
        <f t="array" ref="S104">INDEX('PathStage-ConceptMap-3'!$I$15:$N$123,Q104+1,R104)</f>
        <v>0</v>
      </c>
    </row>
    <row r="105" spans="7:19" x14ac:dyDescent="0.75">
      <c r="G105" s="78"/>
      <c r="P105" s="11">
        <v>91</v>
      </c>
      <c r="Q105" s="11">
        <f t="shared" si="8"/>
        <v>15</v>
      </c>
      <c r="R105" s="11">
        <f t="shared" si="9"/>
        <v>1</v>
      </c>
      <c r="S105" s="12" cm="1">
        <f t="array" ref="S105">INDEX('PathStage-ConceptMap-3'!$I$15:$N$123,Q105+1,R105)</f>
        <v>0</v>
      </c>
    </row>
    <row r="106" spans="7:19" x14ac:dyDescent="0.75">
      <c r="G106" s="78"/>
      <c r="P106" s="11">
        <v>92</v>
      </c>
      <c r="Q106" s="11">
        <f t="shared" si="8"/>
        <v>15</v>
      </c>
      <c r="R106" s="11">
        <f t="shared" si="9"/>
        <v>2</v>
      </c>
      <c r="S106" s="12" cm="1">
        <f t="array" ref="S106">INDEX('PathStage-ConceptMap-3'!$I$15:$N$123,Q106+1,R106)</f>
        <v>0</v>
      </c>
    </row>
    <row r="107" spans="7:19" x14ac:dyDescent="0.75">
      <c r="G107" s="78"/>
      <c r="P107" s="11">
        <v>93</v>
      </c>
      <c r="Q107" s="11">
        <f t="shared" si="8"/>
        <v>15</v>
      </c>
      <c r="R107" s="11">
        <f t="shared" si="9"/>
        <v>3</v>
      </c>
      <c r="S107" s="12" cm="1">
        <f t="array" ref="S107">INDEX('PathStage-ConceptMap-3'!$I$15:$N$123,Q107+1,R107)</f>
        <v>0</v>
      </c>
    </row>
    <row r="108" spans="7:19" x14ac:dyDescent="0.75">
      <c r="G108" s="78"/>
      <c r="P108" s="11">
        <v>94</v>
      </c>
      <c r="Q108" s="11">
        <f t="shared" si="8"/>
        <v>15</v>
      </c>
      <c r="R108" s="11">
        <f t="shared" si="9"/>
        <v>4</v>
      </c>
      <c r="S108" s="12" cm="1">
        <f t="array" ref="S108">INDEX('PathStage-ConceptMap-3'!$I$15:$N$123,Q108+1,R108)</f>
        <v>0</v>
      </c>
    </row>
    <row r="109" spans="7:19" x14ac:dyDescent="0.75">
      <c r="G109" s="78"/>
      <c r="P109" s="11">
        <v>95</v>
      </c>
      <c r="Q109" s="11">
        <f t="shared" si="8"/>
        <v>15</v>
      </c>
      <c r="R109" s="11">
        <f t="shared" si="9"/>
        <v>5</v>
      </c>
      <c r="S109" s="12" cm="1">
        <f t="array" ref="S109">INDEX('PathStage-ConceptMap-3'!$I$15:$N$123,Q109+1,R109)</f>
        <v>0</v>
      </c>
    </row>
    <row r="110" spans="7:19" x14ac:dyDescent="0.75">
      <c r="G110" s="78"/>
      <c r="P110" s="11">
        <v>96</v>
      </c>
      <c r="Q110" s="11">
        <f t="shared" si="8"/>
        <v>15</v>
      </c>
      <c r="R110" s="11">
        <f t="shared" si="9"/>
        <v>6</v>
      </c>
      <c r="S110" s="12" cm="1">
        <f t="array" ref="S110">INDEX('PathStage-ConceptMap-3'!$I$15:$N$123,Q110+1,R110)</f>
        <v>0</v>
      </c>
    </row>
    <row r="111" spans="7:19" x14ac:dyDescent="0.75">
      <c r="G111" s="78"/>
      <c r="P111" s="11">
        <v>97</v>
      </c>
      <c r="Q111" s="11">
        <f t="shared" si="8"/>
        <v>16</v>
      </c>
      <c r="R111" s="11">
        <f t="shared" si="9"/>
        <v>1</v>
      </c>
      <c r="S111" s="12" cm="1">
        <f t="array" ref="S111">INDEX('PathStage-ConceptMap-3'!$I$15:$N$123,Q111+1,R111)</f>
        <v>0</v>
      </c>
    </row>
    <row r="112" spans="7:19" x14ac:dyDescent="0.75">
      <c r="G112" s="78"/>
      <c r="P112" s="11">
        <v>98</v>
      </c>
      <c r="Q112" s="11">
        <f t="shared" si="8"/>
        <v>16</v>
      </c>
      <c r="R112" s="11">
        <f t="shared" si="9"/>
        <v>2</v>
      </c>
      <c r="S112" s="12" cm="1">
        <f t="array" ref="S112">INDEX('PathStage-ConceptMap-3'!$I$15:$N$123,Q112+1,R112)</f>
        <v>0</v>
      </c>
    </row>
    <row r="113" spans="7:19" x14ac:dyDescent="0.75">
      <c r="G113" s="78"/>
      <c r="P113" s="11">
        <v>99</v>
      </c>
      <c r="Q113" s="11">
        <f t="shared" si="8"/>
        <v>16</v>
      </c>
      <c r="R113" s="11">
        <f t="shared" si="9"/>
        <v>3</v>
      </c>
      <c r="S113" s="12" cm="1">
        <f t="array" ref="S113">INDEX('PathStage-ConceptMap-3'!$I$15:$N$123,Q113+1,R113)</f>
        <v>0</v>
      </c>
    </row>
    <row r="114" spans="7:19" x14ac:dyDescent="0.75">
      <c r="G114" s="78"/>
      <c r="P114" s="11">
        <v>100</v>
      </c>
      <c r="Q114" s="11">
        <f t="shared" si="8"/>
        <v>16</v>
      </c>
      <c r="R114" s="11">
        <f t="shared" si="9"/>
        <v>4</v>
      </c>
      <c r="S114" s="12" cm="1">
        <f t="array" ref="S114">INDEX('PathStage-ConceptMap-3'!$I$15:$N$123,Q114+1,R114)</f>
        <v>0</v>
      </c>
    </row>
    <row r="115" spans="7:19" x14ac:dyDescent="0.75">
      <c r="G115" s="78"/>
      <c r="P115" s="11">
        <v>101</v>
      </c>
      <c r="Q115" s="11">
        <f t="shared" si="8"/>
        <v>16</v>
      </c>
      <c r="R115" s="11">
        <f t="shared" si="9"/>
        <v>5</v>
      </c>
      <c r="S115" s="12" cm="1">
        <f t="array" ref="S115">INDEX('PathStage-ConceptMap-3'!$I$15:$N$123,Q115+1,R115)</f>
        <v>0</v>
      </c>
    </row>
    <row r="116" spans="7:19" x14ac:dyDescent="0.75">
      <c r="G116" s="78"/>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4" t="s">
        <v>1650</v>
      </c>
      <c r="F4" s="145"/>
      <c r="G4" s="145"/>
    </row>
    <row r="5" spans="1:19" x14ac:dyDescent="0.75">
      <c r="B5" s="47" t="s">
        <v>10</v>
      </c>
      <c r="C5" s="7" t="s">
        <v>1633</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1650</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Stage!B12</f>
        <v>m</v>
      </c>
      <c r="C15" s="11" t="str">
        <f>Stage!C12</f>
        <v>M</v>
      </c>
      <c r="D15" s="12" t="s">
        <v>1642</v>
      </c>
      <c r="E15" s="12"/>
      <c r="F15" s="49" t="s">
        <v>1294</v>
      </c>
      <c r="G15" s="78"/>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1655</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6"/>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4"/>
    </row>
    <row r="149" spans="2:2" x14ac:dyDescent="0.75">
      <c r="B149" s="53" t="str">
        <f>"* group[+].source = ##34#"&amp;'PathStage-ConceptMap-2'!E6&amp;"##34#"</f>
        <v>* group[+].source = ##34#http://hl7.eu/fhir/ig/idea4rc/StructureDefinition/StageI4rc##34#</v>
      </c>
    </row>
    <row r="150" spans="2:2" x14ac:dyDescent="0.75">
      <c r="B150" s="85" t="str">
        <f>"* group[=].target = ##34#"&amp;'PathStage-ConceptMap-2'!E7&amp;"##34#"</f>
        <v>* group[=].target = ##34#http://hl7.eu/fhir/ig/idea4rc/StructureDefinition/mcode-tnm-primary-tumor-category##34#</v>
      </c>
    </row>
    <row r="151" spans="2:2" x14ac:dyDescent="0.75">
      <c r="B151" s="86"/>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4"/>
      <c r="C163" s="7"/>
      <c r="D163" s="7"/>
      <c r="E163" s="7"/>
      <c r="F163" s="7"/>
      <c r="G163" s="7"/>
    </row>
    <row r="164" spans="2:7" x14ac:dyDescent="0.75">
      <c r="B164" s="84"/>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5" t="str">
        <f>"* group[=].target = ##34#"&amp;'PathStage-ConceptMap-3'!E7&amp;"##34#"</f>
        <v>* group[=].target = ##34#http://hl7.eu/fhir/ig/idea4rc/StructureDefinition/mcode-tnm-regional-nodes-category##34#</v>
      </c>
      <c r="C166" s="7"/>
      <c r="D166" s="7"/>
      <c r="E166" s="7"/>
      <c r="F166" s="7"/>
      <c r="G166" s="7"/>
    </row>
    <row r="167" spans="2:7" x14ac:dyDescent="0.75">
      <c r="B167" s="86"/>
      <c r="C167" s="7"/>
      <c r="D167" s="7"/>
      <c r="E167" s="7"/>
      <c r="F167" s="7"/>
      <c r="G167" s="7"/>
    </row>
    <row r="168" spans="2:7" x14ac:dyDescent="0.75">
      <c r="B168" s="74" t="str">
        <f>IF('PathStage-ConceptMap-3'!S15=0,"//---END",'PathStage-ConceptMap-3'!S15)</f>
        <v>* group[=].element[+].code = #PathologicalStage.t</v>
      </c>
      <c r="C168" s="7"/>
      <c r="D168" s="7"/>
      <c r="E168" s="7"/>
      <c r="F168" s="7"/>
      <c r="G168" s="7"/>
    </row>
    <row r="169" spans="2:7" x14ac:dyDescent="0.75">
      <c r="B169" s="74" t="str">
        <f>IF('PathStage-ConceptMap-3'!S16=0,"//---END",'PathStage-ConceptMap-3'!S16)</f>
        <v>* group[=].element[=].display = ##34#T##34#</v>
      </c>
      <c r="C169" s="7"/>
      <c r="D169" s="7"/>
      <c r="E169" s="7"/>
      <c r="F169" s="7"/>
      <c r="G169" s="7"/>
    </row>
    <row r="170" spans="2:7" x14ac:dyDescent="0.75">
      <c r="B170" s="74" t="str">
        <f>IF('PathStage-ConceptMap-3'!S17=0,"//---END",'PathStage-ConceptMap-3'!S17)</f>
        <v>* group[=].element[=].target.code = #Observation.valueCodeableConcept</v>
      </c>
      <c r="C170" s="7"/>
      <c r="D170" s="7"/>
      <c r="E170" s="7"/>
      <c r="F170" s="7"/>
      <c r="G170" s="7"/>
    </row>
    <row r="171" spans="2:7" x14ac:dyDescent="0.75">
      <c r="B171" s="74" t="str">
        <f>IF('PathStage-ConceptMap-3'!S18=0,"//---END",'PathStage-ConceptMap-3'!S18)</f>
        <v>* group[=].element[=].target.display = ##34###34#</v>
      </c>
      <c r="C171" s="7"/>
      <c r="D171" s="7"/>
      <c r="E171" s="7"/>
      <c r="F171" s="7"/>
      <c r="G171" s="7"/>
    </row>
    <row r="172" spans="2:7" x14ac:dyDescent="0.75">
      <c r="B172" s="74" t="str">
        <f>IF('PathStage-ConceptMap-3'!S19=0,"//---END",'PathStage-ConceptMap-3'!S19)</f>
        <v>* group[=].element[=].target.equivalence = #relatedto</v>
      </c>
      <c r="C172" s="7"/>
      <c r="D172" s="7"/>
      <c r="E172" s="7"/>
      <c r="F172" s="7"/>
      <c r="G172" s="7"/>
    </row>
    <row r="173" spans="2:7" x14ac:dyDescent="0.75">
      <c r="B173" s="74" t="str">
        <f>IF('PathStage-ConceptMap-3'!S20=0,"//---END",'PathStage-ConceptMap-3'!S20)</f>
        <v>* group[=].element[=].target.comment = ##34#where code = 21902-2	 'Stage group.pathology'##34#</v>
      </c>
      <c r="C173" s="7"/>
      <c r="D173" s="7"/>
      <c r="E173" s="7"/>
      <c r="F173" s="7"/>
      <c r="G173" s="7"/>
    </row>
    <row r="174" spans="2:7" x14ac:dyDescent="0.75">
      <c r="B174" s="74" t="str">
        <f>IF('PathStage-ConceptMap-3'!S21=0,"//---END",'PathStage-ConceptMap-3'!S21)</f>
        <v>//---END</v>
      </c>
      <c r="C174" s="7"/>
      <c r="D174" s="7"/>
      <c r="E174" s="7"/>
      <c r="F174" s="7"/>
      <c r="G174" s="7"/>
    </row>
    <row r="175" spans="2:7" x14ac:dyDescent="0.75">
      <c r="B175" s="74" t="str">
        <f>IF('PathStage-ConceptMap-3'!S22=0,"//---END",'PathStage-ConceptMap-3'!S22)</f>
        <v>//---END</v>
      </c>
      <c r="C175" s="7"/>
      <c r="D175" s="7"/>
      <c r="E175" s="7"/>
      <c r="F175" s="7"/>
      <c r="G175" s="7"/>
    </row>
    <row r="176" spans="2:7" x14ac:dyDescent="0.75">
      <c r="B176" s="74" t="str">
        <f>IF('PathStage-ConceptMap-3'!S23=0,"//---END",'PathStage-ConceptMap-3'!S23)</f>
        <v>//---END</v>
      </c>
      <c r="C176" s="7"/>
      <c r="D176" s="7"/>
      <c r="E176" s="7"/>
      <c r="F176" s="7"/>
      <c r="G176" s="7"/>
    </row>
    <row r="177" spans="2:7" x14ac:dyDescent="0.75">
      <c r="B177" s="74" t="str">
        <f>IF('PathStage-ConceptMap-3'!S24=0,"//---END",'PathStage-ConceptMap-3'!S24)</f>
        <v>//---END</v>
      </c>
      <c r="C177" s="7"/>
      <c r="D177" s="7"/>
      <c r="E177" s="7"/>
      <c r="F177" s="7"/>
      <c r="G177" s="7"/>
    </row>
    <row r="178" spans="2:7" x14ac:dyDescent="0.75">
      <c r="B178" s="74" t="str">
        <f>IF('PathStage-ConceptMap-3'!S25=0,"//---END",'PathStage-ConceptMap-3'!S25)</f>
        <v>//---END</v>
      </c>
      <c r="C178" s="7"/>
      <c r="D178" s="7"/>
      <c r="E178" s="7"/>
      <c r="F178" s="7"/>
      <c r="G178" s="7"/>
    </row>
    <row r="179" spans="2:7" x14ac:dyDescent="0.75">
      <c r="B179" s="84"/>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5" t="str">
        <f>"* group[=].target = ##34#"&amp;'PathStage-ConceptMap-4'!E7&amp;"##34#"</f>
        <v>* group[=].target = ##34#http://hl7.eu/fhir/ig/idea4rc/StructureDefinition/mcode-tnm-distant-metastases-category##34#</v>
      </c>
      <c r="C181" s="7"/>
      <c r="D181" s="7"/>
      <c r="E181" s="7"/>
      <c r="F181" s="7"/>
      <c r="G181" s="7"/>
    </row>
    <row r="182" spans="2:7" x14ac:dyDescent="0.75">
      <c r="B182" s="86"/>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2023-11-22T14:16:01Z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