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5DDAD6FD-CF85-4D5B-8A0C-39EC327BFC70}" xr6:coauthVersionLast="47" xr6:coauthVersionMax="47" xr10:uidLastSave="{00000000-0000-0000-0000-000000000000}"/>
  <bookViews>
    <workbookView xWindow="-90" yWindow="-21710" windowWidth="38620" windowHeight="21100" tabRatio="819" xr2:uid="{82F0A5E9-86C8-45A2-AB20-6CF6AA2FD42B}"/>
  </bookViews>
  <sheets>
    <sheet name=" 4. Cancer under study" sheetId="150" r:id="rId1"/>
    <sheet name="2.Demographic &amp; life style" sheetId="137" r:id="rId2"/>
    <sheet name="OsirisDataElementConcept" sheetId="139" r:id="rId3"/>
    <sheet name="Common" sheetId="114" r:id="rId4"/>
    <sheet name="CancerUnderStudy" sheetId="151" r:id="rId5"/>
    <sheet name="CancerUnderStudy-Map-1" sheetId="152" r:id="rId6"/>
    <sheet name="CancerUnderStudy-fsh" sheetId="153" r:id="rId7"/>
    <sheet name="CancerUnderStudy-ConceptMap" sheetId="154" r:id="rId8"/>
    <sheet name="CancerUnderStudy-CM-fsh" sheetId="155" r:id="rId9"/>
    <sheet name="Subject" sheetId="108" r:id="rId10"/>
    <sheet name="Subject-Map-1" sheetId="109" r:id="rId11"/>
    <sheet name="Subject-fsh" sheetId="110" r:id="rId12"/>
    <sheet name="Subject-ConceptMap" sheetId="148" r:id="rId13"/>
    <sheet name="Subject-CM-fsh" sheetId="149" r:id="rId14"/>
    <sheet name="ConvertOsiris" sheetId="138" r:id="rId15"/>
    <sheet name="Osiris" sheetId="141" r:id="rId16"/>
    <sheet name="Osiris-Map" sheetId="142" r:id="rId17"/>
    <sheet name="Osiris-fsh-noMap" sheetId="144" r:id="rId18"/>
    <sheet name="Osiris-fsh" sheetId="143" r:id="rId19"/>
    <sheet name="Osiris-ConceptMap" sheetId="145" r:id="rId20"/>
    <sheet name="Osiris-CM-fsh" sheetId="147" r:id="rId21"/>
    <sheet name="Foglio2" sheetId="146" r:id="rId22"/>
  </sheets>
  <definedNames>
    <definedName name="_xlnm._FilterDatabase" localSheetId="1" hidden="1">'2.Demographic &amp; life style'!$A$2:$S$47</definedName>
    <definedName name="_xlnm._FilterDatabase" localSheetId="14" hidden="1">ConvertOsiris!$D$2:$U$232</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9" i="151" l="1"/>
  <c r="L10" i="151"/>
  <c r="L11" i="151"/>
  <c r="L12" i="151"/>
  <c r="C53" i="153" s="1"/>
  <c r="L13" i="151"/>
  <c r="L14" i="151"/>
  <c r="L15" i="151"/>
  <c r="C56" i="153" s="1"/>
  <c r="L16" i="151"/>
  <c r="C57" i="153" s="1"/>
  <c r="L17" i="151"/>
  <c r="C58" i="153" s="1"/>
  <c r="L18" i="151"/>
  <c r="L19" i="151"/>
  <c r="L20" i="151"/>
  <c r="L21" i="151"/>
  <c r="L22" i="151"/>
  <c r="C63" i="153" s="1"/>
  <c r="L23" i="151"/>
  <c r="C64" i="153" s="1"/>
  <c r="L24" i="151"/>
  <c r="C65" i="153" s="1"/>
  <c r="L25" i="151"/>
  <c r="C66" i="153" s="1"/>
  <c r="L26" i="151"/>
  <c r="L27" i="151"/>
  <c r="L28" i="151"/>
  <c r="C69" i="153" s="1"/>
  <c r="L29" i="151"/>
  <c r="L30" i="151"/>
  <c r="C71" i="153" s="1"/>
  <c r="L31" i="151"/>
  <c r="C72" i="153" s="1"/>
  <c r="L32" i="151"/>
  <c r="C73" i="153" s="1"/>
  <c r="L33" i="151"/>
  <c r="C74" i="153" s="1"/>
  <c r="L34" i="151"/>
  <c r="C75" i="153" s="1"/>
  <c r="L35" i="151"/>
  <c r="L36" i="151"/>
  <c r="C77" i="153" s="1"/>
  <c r="L37" i="151"/>
  <c r="C78" i="153" s="1"/>
  <c r="L38" i="151"/>
  <c r="C79" i="153" s="1"/>
  <c r="L39" i="151"/>
  <c r="C80" i="153" s="1"/>
  <c r="L40" i="151"/>
  <c r="C81" i="153" s="1"/>
  <c r="L41" i="151"/>
  <c r="L42" i="151"/>
  <c r="C83" i="153" s="1"/>
  <c r="L43" i="151"/>
  <c r="L44" i="151"/>
  <c r="C54" i="153"/>
  <c r="C55" i="153"/>
  <c r="C62" i="153"/>
  <c r="C70" i="153"/>
  <c r="L8" i="151"/>
  <c r="C82" i="153"/>
  <c r="C50" i="153"/>
  <c r="C51" i="153"/>
  <c r="C52" i="153"/>
  <c r="C59" i="153"/>
  <c r="C60" i="153"/>
  <c r="C61" i="153"/>
  <c r="C67" i="153"/>
  <c r="C68" i="153"/>
  <c r="C76" i="153"/>
  <c r="C49" i="153"/>
  <c r="L3" i="151"/>
  <c r="C128" i="153"/>
  <c r="C129" i="153"/>
  <c r="C130" i="153"/>
  <c r="E45" i="152"/>
  <c r="E42" i="152"/>
  <c r="E43" i="152"/>
  <c r="E44" i="152"/>
  <c r="B11" i="152"/>
  <c r="B12" i="152"/>
  <c r="B13" i="152"/>
  <c r="B14" i="152"/>
  <c r="E14" i="152" s="1"/>
  <c r="C100" i="153" s="1"/>
  <c r="B15" i="152"/>
  <c r="E15" i="152" s="1"/>
  <c r="C101" i="153" s="1"/>
  <c r="B16" i="152"/>
  <c r="E16" i="152" s="1"/>
  <c r="C102" i="153" s="1"/>
  <c r="B17" i="152"/>
  <c r="E17" i="152" s="1"/>
  <c r="C103" i="153" s="1"/>
  <c r="B18" i="152"/>
  <c r="E18" i="152" s="1"/>
  <c r="C104" i="153" s="1"/>
  <c r="B19" i="152"/>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9" i="152"/>
  <c r="C105" i="153" s="1"/>
  <c r="E13" i="152"/>
  <c r="C99" i="153" s="1"/>
  <c r="E12" i="152"/>
  <c r="C98" i="153" s="1"/>
  <c r="E11" i="152"/>
  <c r="C97"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H10" i="154" l="1"/>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Q42" i="148" l="1"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<sst xmlns="http://schemas.openxmlformats.org/spreadsheetml/2006/main" count="4547" uniqueCount="1683">
  <si>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</si>
  <si>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</si>
  <si>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</si>
  <si>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</si>
  <si>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</si>
  <si>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</si>
  <si>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</si>
  <si>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</si>
  <si>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</si>
  <si>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</si>
  <si>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</si>
  <si>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</si>
  <si>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</si>
  <si>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</si>
  <si>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</si>
  <si>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</si>
  <si>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</si>
  <si>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</si>
  <si>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</si>
  <si>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</si>
  <si>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</si>
  <si>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</si>
  <si>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</si>
  <si>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</si>
  <si>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</si>
  <si>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</si>
  <si>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</si>
  <si>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</si>
  <si>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</si>
  <si>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</si>
  <si>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</si>
  <si>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</si>
  <si>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</si>
  <si>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</si>
  <si>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</si>
  <si>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</si>
  <si>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</si>
  <si>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</si>
  <si>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</si>
  <si>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</si>
  <si>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</si>
  <si>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</si>
  <si>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</si>
  <si>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</si>
  <si>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</si>
  <si>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</si>
  <si>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</si>
  <si>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</si>
  <si>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</si>
  <si>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</si>
  <si>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</si>
  <si>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</si>
  <si>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</si>
  <si>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</si>
  <si>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</si>
  <si>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</si>
  <si>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</si>
  <si>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</si>
  <si>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</si>
  <si>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</si>
  <si>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</si>
  <si>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</si>
  <si>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</si>
  <si>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</si>
  <si>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</si>
  <si>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</si>
  <si>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</si>
  <si>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</si>
  <si>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</si>
  <si>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</si>
  <si>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</si>
  <si>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</si>
  <si>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</si>
  <si>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</si>
  <si>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</si>
  <si>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</si>
  <si>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</si>
  <si>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</si>
  <si>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</si>
  <si>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</si>
  <si>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</si>
  <si>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</si>
  <si>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</si>
  <si>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</si>
  <si>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</si>
  <si>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</si>
  <si>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</si>
  <si>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</si>
  <si>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</si>
  <si>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</si>
  <si>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</si>
  <si>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</si>
  <si>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</si>
  <si>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</si>
  <si>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</si>
  <si>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</si>
  <si>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</si>
  <si>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</si>
  <si>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</si>
  <si>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</si>
  <si>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</si>
  <si>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</si>
  <si>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</si>
  <si>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</si>
  <si>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</si>
  <si>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</si>
  <si>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</si>
  <si>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</si>
  <si>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</si>
  <si>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</si>
  <si>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</si>
  <si>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</si>
  <si>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</si>
  <si>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</si>
  <si>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</si>
  <si>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</si>
  <si>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</si>
  <si>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</si>
  <si>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</si>
  <si>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</si>
  <si>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</si>
  <si>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</si>
  <si>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</si>
  <si>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</si>
  <si>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</si>
  <si>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</si>
  <si>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</si>
  <si>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</si>
  <si>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</si>
  <si>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</si>
  <si>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</si>
  <si>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</si>
  <si>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</si>
  <si>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</si>
  <si>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</si>
  <si>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</si>
  <si>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</si>
  <si>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</si>
  <si>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</si>
  <si>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</si>
  <si>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</si>
  <si>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</si>
  <si>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</si>
  <si>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</si>
  <si>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</si>
  <si>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</si>
  <si>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</si>
  <si>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</si>
  <si>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</si>
  <si>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</si>
  <si>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</si>
  <si>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</si>
  <si>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</si>
  <si>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</si>
  <si>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</si>
  <si>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</si>
  <si>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</si>
  <si>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</si>
  <si>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</si>
  <si>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</si>
  <si>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</si>
  <si>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</si>
  <si>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</si>
  <si>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</si>
  <si>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</si>
  <si>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</si>
  <si>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</si>
  <si>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</si>
  <si>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</si>
  <si>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</si>
  <si>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</si>
  <si>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</si>
  <si>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</si>
  <si>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</si>
  <si>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</si>
  <si>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</si>
  <si>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</si>
  <si>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</si>
  <si>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</si>
  <si>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</si>
  <si>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</si>
  <si>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</si>
  <si>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</si>
  <si>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</si>
  <si>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</si>
  <si>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</si>
  <si>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</si>
  <si>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</si>
  <si>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</si>
  <si>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</si>
  <si>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</si>
  <si>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</si>
  <si>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</si>
  <si>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</si>
  <si>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</si>
  <si>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</si>
  <si>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</si>
  <si>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</si>
  <si>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</si>
  <si>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</si>
  <si>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</si>
  <si>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</si>
  <si>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</si>
  <si>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</si>
  <si>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</si>
  <si>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</si>
  <si>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</si>
  <si>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</si>
  <si>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</si>
  <si>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</si>
  <si>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</si>
  <si>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</si>
  <si>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</si>
  <si>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</si>
  <si>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</si>
  <si>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</si>
  <si>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</si>
  <si>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</si>
  <si>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</si>
  <si>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</si>
  <si>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</si>
  <si>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</si>
  <si>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</si>
  <si>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</si>
  <si>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</si>
  <si>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</si>
  <si>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</si>
  <si>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</si>
  <si>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</si>
  <si>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</si>
  <si>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</si>
  <si>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</si>
  <si>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</si>
  <si>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</si>
  <si>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</si>
  <si>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</si>
  <si>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</si>
  <si>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</si>
  <si>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</si>
  <si>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</si>
  <si>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</si>
  <si>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</si>
  <si>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</si>
  <si>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</si>
  <si>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</si>
  <si>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</si>
  <si>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</si>
  <si>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</si>
  <si>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</si>
  <si>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</si>
  <si>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</si>
  <si>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</si>
  <si>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</si>
  <si>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</si>
  <si>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</si>
  <si>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</si>
  <si>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</si>
  <si>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</si>
  <si>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</si>
  <si>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</si>
  <si>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</si>
  <si>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</si>
  <si>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</si>
  <si>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</si>
  <si>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</si>
  <si>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</si>
  <si>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</si>
  <si>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</si>
  <si>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</si>
  <si>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</si>
  <si>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</si>
  <si>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</si>
  <si>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</si>
  <si>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</si>
  <si>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</si>
  <si>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</si>
  <si>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</si>
  <si>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</si>
  <si>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</si>
  <si>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</si>
  <si>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</si>
  <si>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</si>
  <si>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</si>
  <si>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</si>
  <si>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</si>
  <si>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</si>
  <si>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</si>
  <si>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</si>
  <si>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</si>
  <si>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</si>
  <si>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</si>
  <si>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</si>
  <si>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</si>
  <si>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</si>
  <si>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</si>
  <si>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</si>
  <si>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</si>
  <si>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</si>
  <si>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</si>
  <si>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</si>
  <si>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</si>
  <si>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</si>
  <si>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</si>
  <si>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</si>
  <si>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</si>
  <si>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</si>
  <si>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</si>
  <si>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</si>
  <si>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</si>
  <si>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</si>
  <si>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</si>
  <si>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</si>
  <si>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</si>
  <si>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</si>
  <si>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</si>
  <si>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</si>
  <si>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</si>
  <si>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</si>
  <si>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</si>
  <si>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</si>
  <si>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</si>
  <si>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</si>
  <si>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</si>
  <si>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</si>
  <si>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</si>
  <si>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</si>
  <si>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</si>
  <si>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</si>
  <si>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</si>
  <si>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</si>
  <si>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</si>
  <si>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</si>
  <si>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</si>
  <si>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</si>
  <si>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</si>
  <si>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</si>
  <si>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</si>
  <si>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</si>
  <si>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</si>
  <si>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</si>
  <si>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</si>
  <si>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</si>
  <si>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</si>
  <si>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</si>
  <si>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</si>
  <si>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</si>
  <si>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</si>
  <si>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</si>
  <si>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</si>
  <si>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</si>
  <si>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</si>
  <si>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</si>
  <si>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</si>
  <si>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</si>
  <si>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</si>
  <si>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</si>
  <si>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</si>
  <si>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</si>
  <si>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</si>
  <si>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</si>
  <si>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</si>
  <si>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</si>
  <si>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</si>
  <si>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</si>
  <si>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</si>
  <si>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</si>
  <si>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</si>
  <si>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</si>
  <si>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</si>
  <si>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</si>
  <si>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</si>
  <si>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</si>
  <si>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</si>
  <si>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</si>
  <si>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</si>
  <si>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</si>
  <si>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</si>
  <si>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</si>
  <si>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</si>
  <si>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</si>
  <si>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</si>
  <si>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</si>
  <si>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</si>
  <si>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</si>
  <si>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</si>
  <si>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</si>
  <si>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</si>
  <si>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</si>
  <si>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</si>
  <si>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</si>
  <si>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</si>
  <si>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</si>
  <si>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</si>
  <si>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</si>
  <si>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</si>
  <si>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</si>
  <si>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</si>
  <si>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</si>
  <si>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</si>
  <si>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</si>
  <si>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</si>
  <si>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</si>
  <si>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</si>
  <si>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</si>
  <si>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</si>
  <si>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</si>
  <si>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</si>
  <si>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</si>
  <si>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</si>
  <si>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</si>
  <si>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</si>
  <si>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</si>
  <si>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</si>
  <si>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</si>
  <si>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</si>
  <si>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</si>
  <si>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</si>
  <si>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</si>
  <si>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</si>
  <si>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</si>
  <si>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</si>
  <si>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</si>
  <si>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</si>
  <si>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</si>
  <si>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</si>
  <si>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</si>
  <si>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</si>
  <si>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</si>
  <si>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</si>
  <si>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</si>
  <si>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</si>
  <si>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</si>
  <si>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</si>
  <si>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</si>
  <si>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</si>
  <si>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</si>
  <si>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</si>
  <si>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</si>
  <si>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</si>
  <si>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</si>
  <si>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</si>
  <si>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</si>
  <si>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</si>
  <si>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</si>
  <si>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</si>
  <si>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</si>
  <si>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</si>
  <si>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</si>
  <si>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</si>
  <si>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</si>
  <si>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</si>
  <si>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</si>
  <si>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</si>
  <si>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</si>
  <si>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</si>
  <si>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</si>
  <si>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</si>
  <si>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</si>
  <si>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</si>
  <si>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</si>
  <si>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</si>
  <si>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</si>
  <si>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</si>
  <si>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</si>
  <si>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</si>
  <si>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</si>
  <si>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</si>
  <si>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</si>
  <si>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</si>
  <si>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</si>
  <si>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</si>
  <si>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</si>
  <si>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</si>
  <si>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</si>
  <si>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</si>
  <si>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</si>
  <si>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</si>
  <si>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</si>
  <si>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</si>
  <si>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</si>
  <si>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</si>
  <si>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</si>
  <si>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</si>
  <si>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</si>
  <si>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</si>
  <si>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</si>
  <si>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</si>
  <si>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</si>
  <si>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</si>
  <si>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</si>
  <si>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</si>
  <si>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</si>
  <si>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</si>
  <si>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</si>
  <si>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</si>
  <si>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</si>
  <si>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</si>
  <si>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</si>
  <si>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</si>
  <si>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</si>
  <si>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</si>
  <si>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</si>
  <si>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</si>
  <si>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</si>
  <si>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</si>
  <si>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</si>
  <si>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</si>
  <si>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</si>
  <si>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</si>
  <si>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</si>
  <si>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</si>
  <si>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</si>
  <si>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</si>
  <si>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</si>
  <si>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</si>
  <si>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</si>
  <si>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</si>
  <si>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</si>
  <si>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</si>
  <si>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</si>
  <si>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</si>
  <si>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</si>
  <si>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</si>
  <si>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</si>
  <si>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</si>
  <si>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</si>
  <si>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</si>
  <si>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</si>
  <si>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</si>
  <si>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</si>
  <si>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</si>
  <si>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</si>
  <si>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</si>
  <si>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</si>
  <si>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</si>
  <si>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</si>
  <si>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</si>
  <si>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</si>
  <si>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</si>
  <si>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</si>
  <si>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</si>
  <si>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</si>
  <si>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</si>
  <si>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</si>
  <si>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</si>
  <si>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</si>
  <si>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</si>
  <si>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</si>
  <si>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</si>
  <si>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</si>
  <si>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</si>
  <si>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</si>
  <si>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</si>
  <si>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</si>
  <si>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</si>
  <si>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</si>
  <si>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</si>
  <si>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</si>
  <si>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</si>
  <si>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</si>
  <si>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</si>
  <si>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</si>
  <si>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</si>
  <si>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</si>
  <si>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</si>
  <si>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</si>
  <si>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</si>
  <si>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</si>
  <si>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</si>
  <si>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</si>
  <si>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</si>
  <si>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</si>
  <si>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</si>
  <si>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</si>
  <si>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</si>
  <si>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</si>
  <si>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</si>
  <si>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</si>
  <si>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</si>
  <si>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</si>
  <si>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</si>
  <si>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</si>
  <si>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</si>
  <si>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</si>
  <si>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</si>
  <si>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</si>
  <si>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</si>
  <si>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</si>
  <si>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</si>
  <si>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</si>
  <si>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</si>
  <si>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</si>
  <si>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</si>
  <si>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</si>
  <si>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</si>
  <si>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</si>
  <si>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</si>
  <si>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</si>
  <si>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</si>
  <si>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</si>
  <si>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</si>
  <si>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</si>
  <si>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</si>
  <si>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</si>
  <si>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</si>
  <si>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</si>
  <si>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</si>
  <si>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</si>
  <si>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</si>
  <si>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</si>
  <si>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</si>
  <si>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</si>
  <si>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</si>
  <si>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</si>
  <si>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</si>
  <si>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</si>
  <si>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</si>
  <si>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</si>
  <si>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</si>
  <si>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</si>
  <si>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</si>
  <si>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</si>
  <si>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</si>
  <si>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</si>
  <si>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</si>
  <si>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</si>
  <si>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</si>
  <si>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</si>
  <si>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</si>
  <si>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</si>
  <si>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</si>
  <si>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</si>
  <si>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</si>
  <si>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</si>
  <si>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</si>
  <si>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</si>
  <si>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</si>
  <si>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</si>
  <si>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</si>
  <si>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</si>
  <si>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</si>
  <si>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</si>
  <si>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</si>
  <si>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</si>
  <si>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</si>
  <si>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</si>
  <si>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</si>
  <si>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</si>
  <si>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</si>
  <si>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</si>
  <si>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</si>
  <si>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</si>
  <si>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</si>
  <si>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</si>
  <si>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</si>
  <si>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</si>
  <si>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</si>
  <si>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</si>
  <si>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</si>
  <si>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</si>
  <si>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</si>
  <si>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</si>
  <si>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</si>
  <si>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</si>
  <si>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</si>
  <si>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</si>
  <si>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</si>
  <si>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</si>
  <si>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</si>
  <si>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</si>
  <si>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</si>
  <si>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</si>
  <si>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</si>
  <si>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</si>
  <si>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</si>
  <si>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</si>
  <si>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</si>
  <si>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</si>
  <si>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</si>
  <si>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</si>
  <si>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</si>
  <si>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</si>
  <si>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</si>
  <si>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</si>
  <si>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</si>
  <si>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</si>
  <si>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</si>
  <si>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</si>
  <si>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</si>
  <si>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</si>
  <si>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</si>
  <si>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</si>
  <si>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</si>
  <si>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</si>
  <si>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</si>
  <si>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</si>
  <si>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</si>
  <si>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</si>
  <si>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</si>
  <si>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</si>
  <si>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</si>
  <si>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</si>
  <si>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</si>
  <si>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</si>
  <si>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</si>
  <si>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</si>
  <si>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</si>
  <si>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</si>
  <si>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</si>
  <si>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</si>
  <si>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</si>
  <si>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</si>
  <si>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</si>
  <si>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</si>
  <si>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</si>
  <si>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</si>
  <si>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</si>
  <si>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</si>
  <si>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</si>
  <si>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</si>
  <si>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</si>
  <si>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</si>
  <si>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</si>
  <si>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</si>
  <si>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</si>
  <si>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</si>
  <si>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</si>
  <si>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</si>
  <si>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</si>
  <si>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</si>
  <si>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</si>
  <si>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</si>
  <si>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</si>
  <si>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</si>
  <si>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</si>
  <si>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</si>
  <si>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</si>
  <si>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</si>
  <si>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</si>
  <si>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</si>
  <si>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</si>
  <si>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</si>
  <si>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</si>
  <si>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</si>
  <si>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</si>
  <si>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</si>
  <si>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</si>
  <si>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</si>
  <si>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</si>
  <si>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</si>
  <si>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</si>
  <si>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</si>
  <si>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</si>
  <si>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</si>
  <si>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</si>
  <si>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</si>
  <si>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</si>
  <si>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</si>
  <si>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</si>
  <si>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</si>
  <si>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</si>
  <si>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</si>
  <si>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</si>
  <si>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</si>
  <si>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</si>
  <si>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</si>
  <si>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</si>
  <si>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</si>
  <si>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</si>
  <si>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</si>
  <si>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</si>
  <si>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</si>
  <si>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</si>
  <si>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</si>
  <si>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</si>
  <si>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</si>
  <si>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</si>
  <si>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</si>
  <si>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</si>
  <si>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</si>
  <si>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</si>
  <si>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</si>
  <si>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</si>
  <si>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</si>
  <si>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</si>
  <si>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</si>
  <si>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</si>
  <si>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</si>
  <si>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</si>
  <si>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</si>
  <si>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</si>
  <si>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</si>
  <si>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</si>
  <si>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</si>
  <si>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</si>
  <si>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</si>
  <si>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</si>
  <si>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</si>
  <si>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</si>
  <si>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</si>
  <si>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</si>
  <si>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</si>
  <si>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</si>
  <si>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</si>
  <si>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</si>
  <si>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</si>
  <si>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</si>
  <si>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</si>
  <si>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</si>
  <si>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</si>
  <si>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</si>
  <si>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</si>
  <si>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</si>
  <si>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</si>
  <si>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</si>
  <si>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</si>
  <si>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</si>
  <si>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</si>
  <si>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</si>
  <si>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</si>
  <si>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</si>
  <si>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</si>
  <si>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</si>
  <si>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</si>
  <si>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</si>
  <si>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</si>
  <si>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</si>
  <si>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</si>
  <si>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</si>
  <si>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</si>
  <si>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</si>
  <si>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</si>
  <si>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</si>
  <si>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</si>
  <si>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</si>
  <si>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</si>
  <si>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</si>
  <si>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</si>
  <si>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</si>
  <si>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</si>
  <si>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</si>
  <si>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</si>
  <si>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</si>
  <si>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</si>
  <si>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</si>
  <si>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</si>
  <si>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</si>
  <si>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</si>
  <si>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</si>
  <si>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</si>
  <si>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</si>
  <si>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</si>
  <si>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</si>
  <si>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</si>
  <si>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</si>
  <si>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</si>
  <si>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</si>
  <si>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</si>
  <si>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</si>
  <si>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</si>
  <si>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</si>
  <si>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</si>
  <si>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</si>
  <si>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</si>
  <si>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</si>
  <si>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</si>
  <si>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</si>
  <si>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</si>
  <si>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</si>
  <si>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</si>
  <si>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</si>
  <si>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</si>
  <si>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</si>
  <si>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</si>
  <si>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</si>
  <si>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</si>
  <si>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</si>
  <si>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</si>
  <si>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</si>
  <si>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</si>
  <si>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</si>
  <si>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</si>
  <si>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</si>
  <si>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</si>
  <si>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</si>
  <si>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</si>
  <si>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</si>
  <si>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</si>
  <si>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</si>
  <si>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</si>
  <si>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</si>
  <si>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</si>
  <si>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</si>
  <si>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</si>
  <si>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</si>
  <si>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</si>
  <si>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</si>
  <si>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</si>
  <si>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</si>
  <si>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</si>
  <si>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</si>
  <si>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</si>
  <si>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</si>
  <si>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</si>
  <si>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</si>
  <si>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</si>
  <si>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</si>
  <si>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</si>
  <si>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</si>
  <si>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</si>
  <si>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</si>
  <si>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</si>
  <si>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</si>
  <si>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</si>
  <si>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</si>
  <si>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</si>
  <si>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</si>
  <si>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</si>
  <si>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</si>
  <si>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</si>
  <si>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</si>
  <si>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</si>
  <si>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</si>
  <si>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</si>
  <si>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</si>
  <si>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</si>
  <si>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</si>
  <si>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</si>
  <si>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</si>
  <si>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</si>
  <si>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</si>
  <si>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</si>
  <si>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</si>
  <si>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</si>
  <si>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</si>
  <si>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</si>
  <si>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</si>
  <si>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</si>
  <si>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</si>
  <si>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</si>
  <si>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</si>
  <si>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</si>
  <si>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</si>
  <si>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</si>
  <si>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</si>
  <si>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</si>
  <si>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</si>
  <si>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</si>
  <si>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</si>
  <si>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</si>
  <si>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</si>
  <si>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</si>
  <si>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</si>
  <si>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</si>
  <si>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</si>
  <si>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</si>
  <si>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</si>
  <si>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</si>
  <si>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</si>
  <si>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</si>
  <si>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</si>
  <si>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</si>
  <si>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</si>
  <si>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</si>
  <si>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</si>
  <si>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</si>
  <si>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</si>
  <si>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</si>
  <si>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</si>
  <si>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</si>
  <si>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</si>
  <si>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</si>
  <si>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</si>
  <si>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</si>
  <si>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</si>
  <si>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</si>
  <si>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</si>
  <si>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</si>
  <si>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</si>
  <si>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</si>
  <si>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</si>
  <si>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</si>
  <si>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</si>
  <si>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</si>
  <si>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</si>
  <si>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</si>
  <si>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</si>
  <si>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</si>
  <si>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</si>
  <si>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</si>
  <si>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</si>
  <si>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</si>
  <si>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</si>
  <si>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</si>
  <si>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</si>
  <si>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</si>
  <si>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</si>
  <si>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</si>
  <si>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</si>
  <si>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</si>
  <si>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</si>
  <si>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</si>
  <si>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</si>
  <si>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</si>
  <si>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</si>
  <si>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</si>
  <si>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</si>
  <si>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</si>
  <si>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</si>
  <si>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</si>
  <si>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</si>
  <si>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</si>
  <si>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</si>
  <si>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</si>
  <si>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</si>
  <si>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</si>
  <si>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</si>
  <si>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</si>
  <si>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</si>
  <si>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</si>
  <si>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</si>
  <si>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</si>
  <si>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</si>
  <si>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</si>
  <si>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</si>
  <si>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</si>
  <si>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</si>
  <si>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</si>
  <si>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</si>
  <si>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</si>
  <si>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</si>
  <si>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</si>
  <si>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</si>
  <si>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</si>
  <si>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</si>
  <si>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</si>
  <si>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</si>
  <si>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</si>
  <si>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</si>
  <si>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</si>
  <si>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</si>
  <si>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</si>
  <si>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</si>
  <si>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</si>
  <si>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</si>
  <si>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</si>
  <si>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</si>
  <si>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</si>
  <si>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</si>
  <si>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</si>
  <si>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</si>
  <si>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</si>
  <si>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</si>
  <si>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</si>
  <si>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</si>
  <si>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</si>
  <si>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</si>
  <si>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</si>
  <si>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</si>
  <si>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</si>
  <si>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</si>
  <si>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</si>
  <si>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</si>
  <si>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</si>
  <si>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</si>
  <si>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</si>
  <si>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</si>
  <si>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</si>
  <si>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</si>
  <si>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</si>
  <si>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</si>
  <si>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</si>
  <si>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</si>
  <si>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</si>
  <si>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</si>
  <si>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</si>
  <si>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</si>
  <si>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</si>
  <si>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</si>
  <si>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</si>
  <si>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</si>
  <si>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</si>
  <si>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</si>
  <si>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</si>
  <si>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</si>
  <si>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</si>
  <si>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</si>
  <si>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</si>
  <si>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</si>
  <si>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</si>
  <si>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</si>
  <si>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</si>
  <si>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</si>
  <si>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</si>
  <si>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</si>
  <si>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</si>
  <si>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</si>
  <si>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</si>
  <si>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</si>
  <si>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</si>
  <si>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</si>
  <si>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</si>
  <si>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</si>
  <si>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</si>
  <si>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</si>
  <si>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</si>
  <si>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</si>
  <si>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</si>
  <si>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</si>
  <si>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</si>
  <si>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</si>
  <si>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</si>
  <si>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</si>
  <si>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</si>
  <si>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</si>
  <si>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</si>
  <si>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</si>
  <si>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</si>
  <si>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</si>
  <si>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</si>
  <si>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</si>
  <si>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</si>
  <si>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</si>
  <si>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</si>
  <si>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</si>
  <si>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</si>
  <si>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</si>
  <si>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</si>
  <si>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</si>
  <si>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</si>
  <si>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</si>
  <si>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</si>
  <si>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</si>
  <si>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</si>
  <si>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</si>
  <si>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</si>
  <si>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</si>
  <si>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</si>
  <si>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</si>
  <si>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</si>
  <si>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</si>
  <si>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</si>
  <si>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</si>
  <si>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</si>
  <si>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</si>
  <si>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</si>
  <si>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</si>
  <si>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</si>
  <si>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</si>
  <si>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</si>
  <si>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</si>
  <si>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</si>
  <si>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</si>
  <si>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</si>
  <si>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</si>
  <si>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</si>
  <si>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</si>
  <si>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</si>
  <si>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</si>
  <si>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</si>
  <si>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</si>
  <si>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</si>
  <si>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</si>
  <si>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</si>
  <si>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</si>
  <si>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</si>
  <si>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</si>
  <si>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</si>
  <si>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</si>
  <si>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</si>
  <si>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</si>
  <si>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</si>
  <si>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</si>
  <si>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</si>
  <si>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</si>
  <si>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</si>
  <si>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</si>
  <si>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</si>
  <si>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</si>
  <si>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</si>
  <si>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</si>
  <si>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</si>
  <si>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</si>
  <si>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</si>
  <si>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</si>
  <si>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</si>
  <si>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</si>
  <si>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</si>
  <si>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</si>
  <si>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</si>
  <si>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</si>
  <si>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</si>
  <si>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</si>
  <si>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</si>
  <si>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</si>
  <si>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</si>
  <si>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</si>
  <si>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</si>
  <si>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</si>
  <si>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</si>
  <si>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</si>
  <si>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</si>
  <si>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</si>
  <si>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</si>
  <si>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</si>
  <si>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</si>
  <si>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</si>
  <si>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</si>
  <si>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</si>
  <si>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</si>
  <si>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</si>
  <si>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</si>
  <si>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</si>
  <si>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</si>
  <si>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</si>
  <si>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</si>
  <si>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</si>
  <si>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</si>
  <si>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</si>
  <si>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</si>
  <si>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</si>
  <si>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</si>
  <si>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</si>
  <si>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</si>
  <si>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</si>
  <si>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</si>
  <si>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</si>
  <si>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</si>
  <si>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</si>
  <si>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</si>
  <si>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</si>
  <si>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</si>
  <si>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</si>
  <si>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</si>
  <si>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</si>
  <si>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</si>
  <si>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</si>
  <si>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</si>
  <si>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</si>
  <si>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</si>
  <si>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</si>
  <si>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</si>
  <si>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</si>
  <si>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</si>
  <si>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</si>
  <si>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</si>
  <si>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</si>
  <si>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</si>
  <si>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</si>
  <si>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</si>
  <si>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</si>
  <si>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</si>
  <si>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</si>
  <si>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</si>
  <si>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</si>
  <si>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</si>
  <si>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</si>
  <si>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</si>
  <si>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</si>
  <si>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</si>
  <si>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</si>
  <si>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</si>
  <si>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</si>
  <si>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</si>
  <si>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</si>
  <si>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</si>
  <si>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</si>
  <si>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</si>
  <si>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</si>
  <si>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</si>
  <si>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</si>
  <si>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</si>
  <si>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</si>
  <si>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</si>
  <si>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</si>
  <si>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</si>
  <si>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</si>
  <si>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</si>
  <si>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</si>
  <si>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</si>
  <si>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</si>
  <si>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</si>
  <si>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</si>
  <si>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</si>
  <si>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</si>
  <si>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</si>
  <si>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</si>
  <si>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</si>
  <si>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</si>
  <si>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</si>
  <si>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</si>
  <si>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</si>
  <si>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</si>
  <si>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</si>
  <si>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</si>
  <si>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</si>
  <si>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</si>
  <si>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</si>
  <si>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</si>
  <si>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</si>
  <si>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</si>
  <si>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</si>
  <si>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</si>
  <si>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</si>
  <si>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</si>
  <si>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</si>
  <si>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</si>
  <si>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</si>
  <si>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</si>
  <si>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</si>
  <si>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</si>
  <si>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</si>
  <si>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</si>
  <si>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</si>
  <si>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</si>
  <si>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</si>
  <si>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</si>
  <si>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</si>
  <si>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</si>
  <si>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</si>
  <si>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</si>
  <si>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</si>
  <si>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</si>
  <si>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</si>
  <si>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</si>
  <si>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</si>
  <si>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</si>
  <si>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</si>
  <si>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</si>
  <si>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</si>
  <si>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</si>
  <si>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</si>
  <si>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</si>
  <si>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</si>
  <si>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</si>
  <si>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</si>
  <si>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</si>
  <si>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</si>
  <si>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</si>
  <si>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</si>
  <si>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</si>
  <si>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</si>
  <si>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</si>
  <si>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</si>
  <si>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</si>
  <si>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</si>
  <si>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</si>
  <si>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</si>
  <si>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</si>
  <si>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</si>
  <si>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</si>
  <si>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</si>
  <si>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</si>
  <si>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</si>
  <si>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</si>
  <si>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</si>
  <si>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</si>
  <si>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</si>
  <si>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</si>
  <si>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</si>
  <si>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</si>
  <si>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</si>
  <si>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</si>
  <si>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</si>
  <si>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</si>
  <si>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</si>
  <si>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</si>
  <si>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</si>
  <si>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</si>
  <si>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</si>
  <si>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</si>
  <si>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</si>
  <si>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</si>
  <si>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</si>
  <si>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</si>
  <si>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</si>
  <si>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</si>
  <si>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</si>
  <si>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</si>
  <si>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</si>
  <si>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</si>
  <si>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</si>
  <si>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</si>
  <si>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</si>
  <si>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</si>
  <si>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</si>
  <si>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</si>
  <si>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</si>
  <si>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</si>
  <si>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</si>
  <si>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</si>
  <si>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</si>
  <si>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</si>
  <si>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</si>
  <si>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</si>
  <si>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</si>
  <si>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</si>
  <si>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</si>
  <si>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</si>
  <si>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</si>
  <si>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</si>
  <si>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</si>
  <si>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</si>
  <si>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</si>
  <si>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</si>
  <si>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</si>
  <si>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</si>
  <si>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</si>
  <si>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</si>
  <si>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</si>
  <si>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</si>
  <si>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</si>
  <si>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</si>
  <si>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</si>
  <si>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</si>
  <si>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</si>
  <si>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</si>
  <si>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</si>
  <si>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</si>
  <si>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</si>
  <si>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</si>
  <si>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</si>
  <si>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</si>
  <si>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</si>
  <si>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</si>
  <si>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</si>
  <si>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</si>
  <si>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</si>
  <si>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</si>
  <si>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</si>
  <si>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</si>
  <si>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</si>
  <si>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</si>
  <si>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</si>
  <si>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</si>
  <si>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</si>
  <si>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</si>
  <si>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</si>
  <si>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</si>
  <si>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</si>
  <si>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</si>
  <si>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</si>
  <si>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</si>
  <si>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</si>
  <si>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</si>
  <si>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</si>
  <si>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</si>
  <si>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</si>
  <si>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</si>
  <si>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</si>
  <si>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</si>
  <si>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</si>
  <si>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</si>
  <si>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</si>
  <si>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</si>
  <si>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</si>
  <si>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</si>
  <si>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</si>
  <si>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</si>
  <si>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</si>
  <si>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</si>
  <si>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</si>
  <si>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</si>
  <si>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</si>
  <si>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</si>
  <si>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</si>
  <si>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</si>
  <si>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</si>
  <si>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</si>
  <si>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</si>
  <si>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</si>
  <si>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</si>
  <si>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</si>
  <si>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</si>
  <si>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</si>
  <si>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</si>
  <si>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</si>
  <si>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</si>
  <si>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</si>
  <si>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</si>
  <si>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</si>
  <si>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</si>
  <si>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</si>
  <si>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</si>
  <si>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</si>
  <si>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</si>
  <si>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</si>
  <si>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</si>
  <si>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</si>
  <si>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</si>
  <si>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</si>
  <si>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</si>
  <si>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</si>
  <si>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</si>
  <si>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</si>
  <si>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</si>
  <si>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</si>
  <si>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</si>
  <si>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</si>
  <si>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</si>
  <si>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</si>
  <si>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</si>
  <si>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</si>
  <si>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</si>
  <si>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</si>
  <si>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</si>
  <si>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</si>
  <si>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</si>
  <si>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</si>
  <si>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</si>
  <si>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</si>
  <si>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</si>
  <si>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</si>
  <si>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</si>
  <si>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</si>
  <si>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</si>
  <si>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</si>
  <si>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</si>
  <si>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</si>
  <si>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</si>
  <si>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</si>
  <si>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</si>
  <si>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</si>
  <si>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</si>
  <si>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</si>
  <si>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</si>
  <si>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</si>
  <si>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</si>
  <si>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</si>
  <si>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</si>
  <si>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</si>
  <si>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</si>
  <si>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</si>
  <si>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</si>
  <si>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</si>
  <si>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</si>
  <si>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</si>
  <si>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</si>
  <si>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</si>
  <si>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</si>
  <si>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</si>
  <si>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</si>
  <si>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</si>
  <si>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</si>
  <si>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</si>
  <si>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</si>
  <si>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</si>
  <si>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</si>
  <si>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</si>
  <si>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</si>
  <si>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</si>
  <si>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</si>
  <si>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</si>
  <si>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</si>
  <si>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</si>
  <si>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</si>
  <si>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</si>
  <si>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</si>
  <si>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</si>
  <si>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</si>
  <si>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</si>
  <si>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</si>
  <si>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</si>
  <si>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</si>
  <si>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</si>
  <si>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</si>
  <si>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</si>
  <si>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</si>
  <si>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</si>
  <si>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</si>
  <si>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</si>
  <si>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</si>
  <si>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</si>
  <si>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</si>
  <si>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</si>
  <si>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</si>
  <si>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</si>
  <si>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</si>
  <si>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</si>
  <si>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</si>
  <si>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</si>
  <si>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</si>
  <si>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</si>
  <si>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</si>
  <si>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</si>
  <si>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</si>
  <si>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</si>
  <si>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</si>
  <si>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</si>
  <si>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</si>
  <si>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</si>
  <si>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</si>
  <si>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</si>
  <si>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</si>
  <si>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</si>
  <si>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</si>
  <si>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</si>
  <si>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</si>
  <si>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</si>
  <si>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</si>
  <si>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</si>
  <si>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</si>
  <si>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</si>
  <si>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</si>
  <si>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</si>
  <si>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</si>
  <si>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</si>
  <si>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</si>
  <si>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</si>
  <si>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</si>
  <si>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</si>
  <si>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</si>
  <si>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</si>
  <si>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</si>
  <si>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</si>
  <si>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</si>
  <si>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</si>
  <si>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</si>
  <si>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</si>
  <si>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</si>
  <si>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</si>
  <si>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</si>
  <si>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</si>
  <si>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</si>
  <si>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</si>
  <si>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</si>
  <si>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</si>
  <si>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</si>
  <si>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</si>
  <si>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</si>
  <si>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</si>
  <si>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</si>
  <si>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Age of the patient at the time of the diagnosis.
required if date of diagnosis known</t>
  </si>
  <si>
    <t>histologySubgroup.histology (WHO 2017) subgroup</t>
  </si>
  <si>
    <t>histologySubgroup.histologySquamous</t>
  </si>
  <si>
    <t>histologySubgroup.histologyAdenocarcinoma</t>
  </si>
  <si>
    <t>histologySubgroup.histologyNeuroendocrine</t>
  </si>
  <si>
    <t>histologySubgroup.histologyOdontogenicCarcinoma</t>
  </si>
  <si>
    <t>histologySubgroup.histologySNUC</t>
  </si>
  <si>
    <t>siteRare</t>
  </si>
  <si>
    <t>siteCommonAndRare</t>
  </si>
  <si>
    <t>histologyGroup</t>
  </si>
  <si>
    <t>Specifies the histological subgroup for neuroendocrine cancers</t>
  </si>
  <si>
    <t>Histology of prymary tumour according to WHO 2017 clasification.</t>
  </si>
  <si>
    <t>Specifies the histological subgroup</t>
  </si>
  <si>
    <t>subSite</t>
  </si>
  <si>
    <t>subSite.nasalCavityAndParanasalSinusesSubsite</t>
  </si>
  <si>
    <t>subSite.nasopharynxSubsite</t>
  </si>
  <si>
    <t>subSite.hypopharynxSubsite</t>
  </si>
  <si>
    <t>subSite.oropharynxSubsite</t>
  </si>
  <si>
    <t>subSite.oralCavitySubsite</t>
  </si>
  <si>
    <t>subSite.lipSubsite</t>
  </si>
  <si>
    <t>subSite.larynxSubsite</t>
  </si>
  <si>
    <t>Specifies the subsite</t>
  </si>
  <si>
    <t>Nasopharynx subsite</t>
  </si>
  <si>
    <t>PlasmaticEbvDnaAtBaseline</t>
  </si>
  <si>
    <t>PrimerType</t>
  </si>
  <si>
    <t>HpvStatus</t>
  </si>
  <si>
    <t>HpvStatusDetectedBy</t>
  </si>
  <si>
    <t>P16</t>
  </si>
  <si>
    <t>Pd-L1Method</t>
  </si>
  <si>
    <t>Pd-L1CpsValue</t>
  </si>
  <si>
    <t>Pd-L1TpsValue</t>
  </si>
  <si>
    <t>InstrumentStatus</t>
  </si>
  <si>
    <t>Describes the result of EBV DNA plasma testing before treatment in NPC type II and III (WHO)</t>
  </si>
  <si>
    <t>Describes the primer used for EBV DNA plasma testing t in NPC type II and Type III (WHO)</t>
  </si>
  <si>
    <t>Describes the result of HPV tumor testing in oral carcinoma</t>
  </si>
  <si>
    <t>CRP – C reactive protein tested</t>
  </si>
  <si>
    <t>Quantity</t>
  </si>
  <si>
    <t>Cancer Under Study</t>
  </si>
  <si>
    <t>I4RCCancerUnderStudy2Fhir</t>
  </si>
  <si>
    <t>TBD</t>
  </si>
  <si>
    <t>i4rc-cancerUnderStudy.fsh</t>
  </si>
  <si>
    <t>histologySubgroup</t>
  </si>
  <si>
    <t>CancerUnderStudyI4rc</t>
  </si>
  <si>
    <t>CancerUnderStudy</t>
  </si>
  <si>
    <t>PdL1</t>
  </si>
  <si>
    <t>Crp-CReactiveProteinTested</t>
  </si>
  <si>
    <t>CReactiveProtein-Crp-MgDl</t>
  </si>
  <si>
    <t>Comment</t>
  </si>
  <si>
    <t>//  Comments</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</si>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</sst>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1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6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8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B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B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outlinePr summaryBelow="0" summaryRight="0"/>
  </sheetPr>
  <dimension ref="A1:Z1000"/>
  <sheetViews>
    <sheetView tabSelected="1" topLeftCell="E9" zoomScale="115" zoomScaleNormal="115" workbookViewId="0">
      <selection activeCell="J16" sqref="J16"/>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08" t="s">
        <v>1483</v>
      </c>
      <c r="B1" s="109"/>
      <c r="C1" s="109"/>
      <c r="D1" s="109"/>
      <c r="E1" s="109"/>
      <c r="F1" s="109"/>
      <c r="G1" s="109"/>
      <c r="H1" s="109"/>
      <c r="I1" s="109"/>
      <c r="J1" s="109"/>
      <c r="K1" s="109"/>
      <c r="L1" s="109"/>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10" t="s">
        <v>1517</v>
      </c>
      <c r="B10" s="111"/>
      <c r="C10" s="111"/>
      <c r="D10" s="111"/>
      <c r="E10" s="111"/>
      <c r="F10" s="111"/>
      <c r="G10" s="111"/>
      <c r="H10" s="111"/>
      <c r="I10" s="111"/>
      <c r="J10" s="111"/>
      <c r="K10" s="111"/>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12" t="s">
        <v>1559</v>
      </c>
      <c r="B18" s="111"/>
      <c r="C18" s="111"/>
      <c r="D18" s="111"/>
      <c r="E18" s="111"/>
      <c r="F18" s="111"/>
      <c r="G18" s="111"/>
      <c r="H18" s="111"/>
      <c r="I18" s="111"/>
      <c r="J18" s="111"/>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13" t="s">
        <v>24</v>
      </c>
      <c r="B1" s="113"/>
      <c r="C1" s="113"/>
      <c r="D1" s="113"/>
      <c r="E1" s="113"/>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14" t="s">
        <v>121</v>
      </c>
      <c r="E24" s="31" t="s">
        <v>42</v>
      </c>
      <c r="F24" s="31" t="s">
        <v>119</v>
      </c>
      <c r="G24" s="31" t="s">
        <v>49</v>
      </c>
      <c r="H24" s="32" t="s">
        <v>38</v>
      </c>
    </row>
    <row r="25" spans="1:9" ht="42">
      <c r="A25" s="34" t="s">
        <v>122</v>
      </c>
      <c r="B25" s="31" t="s">
        <v>40</v>
      </c>
      <c r="C25" s="114"/>
      <c r="E25" s="31" t="s">
        <v>42</v>
      </c>
      <c r="F25" s="31" t="s">
        <v>119</v>
      </c>
      <c r="G25" s="31" t="s">
        <v>49</v>
      </c>
      <c r="H25" s="32" t="s">
        <v>38</v>
      </c>
      <c r="I25" s="43"/>
    </row>
    <row r="26" spans="1:9" ht="42">
      <c r="A26" s="34" t="s">
        <v>123</v>
      </c>
      <c r="B26" s="31" t="s">
        <v>40</v>
      </c>
      <c r="C26" s="114"/>
      <c r="E26" s="31" t="s">
        <v>42</v>
      </c>
      <c r="F26" s="31" t="s">
        <v>119</v>
      </c>
      <c r="G26" s="31" t="s">
        <v>49</v>
      </c>
      <c r="H26" s="32" t="s">
        <v>38</v>
      </c>
    </row>
    <row r="27" spans="1:9" ht="42">
      <c r="A27" s="34" t="s">
        <v>124</v>
      </c>
      <c r="B27" s="31" t="s">
        <v>40</v>
      </c>
      <c r="C27" s="114"/>
      <c r="E27" s="31" t="s">
        <v>42</v>
      </c>
      <c r="F27" s="31" t="s">
        <v>119</v>
      </c>
      <c r="G27" s="31" t="s">
        <v>49</v>
      </c>
      <c r="H27" s="32" t="s">
        <v>38</v>
      </c>
    </row>
    <row r="28" spans="1:9" ht="42">
      <c r="A28" s="34" t="s">
        <v>125</v>
      </c>
      <c r="B28" s="31" t="s">
        <v>40</v>
      </c>
      <c r="C28" s="114"/>
      <c r="E28" s="31" t="s">
        <v>42</v>
      </c>
      <c r="F28" s="31" t="s">
        <v>119</v>
      </c>
      <c r="G28" s="31" t="s">
        <v>49</v>
      </c>
      <c r="H28" s="32" t="s">
        <v>38</v>
      </c>
    </row>
    <row r="29" spans="1:9" ht="42">
      <c r="A29" s="34" t="s">
        <v>126</v>
      </c>
      <c r="B29" s="31" t="s">
        <v>40</v>
      </c>
      <c r="C29" s="114"/>
      <c r="E29" s="31" t="s">
        <v>42</v>
      </c>
      <c r="F29" s="31" t="s">
        <v>119</v>
      </c>
      <c r="G29" s="31" t="s">
        <v>49</v>
      </c>
      <c r="H29" s="32" t="s">
        <v>38</v>
      </c>
    </row>
    <row r="30" spans="1:9" ht="42">
      <c r="A30" s="34" t="s">
        <v>127</v>
      </c>
      <c r="B30" s="31" t="s">
        <v>40</v>
      </c>
      <c r="C30" s="114"/>
      <c r="E30" s="31" t="s">
        <v>42</v>
      </c>
      <c r="F30" s="31" t="s">
        <v>119</v>
      </c>
      <c r="G30" s="31" t="s">
        <v>49</v>
      </c>
      <c r="H30" s="32" t="s">
        <v>38</v>
      </c>
    </row>
    <row r="31" spans="1:9" ht="42">
      <c r="A31" s="34" t="s">
        <v>128</v>
      </c>
      <c r="B31" s="31" t="s">
        <v>40</v>
      </c>
      <c r="C31" s="114"/>
      <c r="E31" s="31" t="s">
        <v>42</v>
      </c>
      <c r="F31" s="31" t="s">
        <v>119</v>
      </c>
      <c r="G31" s="31" t="s">
        <v>49</v>
      </c>
      <c r="H31" s="32" t="s">
        <v>38</v>
      </c>
    </row>
    <row r="32" spans="1:9" ht="42">
      <c r="A32" s="34" t="s">
        <v>129</v>
      </c>
      <c r="B32" s="31" t="s">
        <v>40</v>
      </c>
      <c r="C32" s="114"/>
      <c r="E32" s="31" t="s">
        <v>42</v>
      </c>
      <c r="F32" s="31" t="s">
        <v>119</v>
      </c>
      <c r="G32" s="31" t="s">
        <v>49</v>
      </c>
      <c r="H32" s="32" t="s">
        <v>38</v>
      </c>
    </row>
    <row r="33" spans="1:9" ht="42">
      <c r="A33" s="34" t="s">
        <v>130</v>
      </c>
      <c r="B33" s="31" t="s">
        <v>40</v>
      </c>
      <c r="C33" s="114"/>
      <c r="E33" s="31" t="s">
        <v>42</v>
      </c>
      <c r="F33" s="31" t="s">
        <v>119</v>
      </c>
      <c r="G33" s="31" t="s">
        <v>49</v>
      </c>
      <c r="H33" s="32" t="s">
        <v>38</v>
      </c>
    </row>
    <row r="34" spans="1:9" ht="42">
      <c r="A34" s="34" t="s">
        <v>131</v>
      </c>
      <c r="B34" s="31" t="s">
        <v>40</v>
      </c>
      <c r="C34" s="114"/>
      <c r="E34" s="31" t="s">
        <v>42</v>
      </c>
      <c r="F34" s="31" t="s">
        <v>119</v>
      </c>
      <c r="G34" s="31" t="s">
        <v>49</v>
      </c>
      <c r="H34" s="32" t="s">
        <v>38</v>
      </c>
    </row>
    <row r="35" spans="1:9" ht="42">
      <c r="A35" s="34" t="s">
        <v>132</v>
      </c>
      <c r="B35" s="31" t="s">
        <v>40</v>
      </c>
      <c r="C35" s="114"/>
      <c r="E35" s="31" t="s">
        <v>42</v>
      </c>
      <c r="F35" s="31" t="s">
        <v>119</v>
      </c>
      <c r="G35" s="31" t="s">
        <v>49</v>
      </c>
      <c r="H35" s="32" t="s">
        <v>38</v>
      </c>
    </row>
    <row r="36" spans="1:9" ht="42">
      <c r="A36" s="34" t="s">
        <v>133</v>
      </c>
      <c r="B36" s="31" t="s">
        <v>40</v>
      </c>
      <c r="C36" s="114"/>
      <c r="E36" s="31" t="s">
        <v>42</v>
      </c>
      <c r="F36" s="31" t="s">
        <v>119</v>
      </c>
      <c r="G36" s="31" t="s">
        <v>49</v>
      </c>
      <c r="H36" s="32" t="s">
        <v>38</v>
      </c>
    </row>
    <row r="37" spans="1:9" ht="42">
      <c r="A37" s="34" t="s">
        <v>134</v>
      </c>
      <c r="B37" s="31" t="s">
        <v>40</v>
      </c>
      <c r="C37" s="114"/>
      <c r="E37" s="31" t="s">
        <v>42</v>
      </c>
      <c r="F37" s="31" t="s">
        <v>119</v>
      </c>
      <c r="G37" s="31" t="s">
        <v>49</v>
      </c>
      <c r="H37" s="32" t="s">
        <v>38</v>
      </c>
    </row>
    <row r="38" spans="1:9" ht="42">
      <c r="A38" s="34" t="s">
        <v>135</v>
      </c>
      <c r="B38" s="31" t="s">
        <v>40</v>
      </c>
      <c r="C38" s="114"/>
      <c r="E38" s="31" t="s">
        <v>42</v>
      </c>
      <c r="F38" s="31" t="s">
        <v>119</v>
      </c>
      <c r="G38" s="31" t="s">
        <v>49</v>
      </c>
      <c r="H38" s="32" t="s">
        <v>38</v>
      </c>
    </row>
    <row r="39" spans="1:9" ht="42">
      <c r="A39" s="34" t="s">
        <v>136</v>
      </c>
      <c r="B39" s="31" t="s">
        <v>40</v>
      </c>
      <c r="C39" s="114"/>
      <c r="E39" s="31" t="s">
        <v>42</v>
      </c>
      <c r="F39" s="31" t="s">
        <v>119</v>
      </c>
      <c r="G39" s="31" t="s">
        <v>49</v>
      </c>
      <c r="H39" s="32" t="s">
        <v>38</v>
      </c>
    </row>
    <row r="40" spans="1:9" ht="42">
      <c r="A40" s="34" t="s">
        <v>137</v>
      </c>
      <c r="B40" s="31" t="s">
        <v>40</v>
      </c>
      <c r="C40" s="114"/>
      <c r="E40" s="31" t="s">
        <v>42</v>
      </c>
      <c r="F40" s="31" t="s">
        <v>119</v>
      </c>
      <c r="G40" s="31" t="s">
        <v>49</v>
      </c>
      <c r="H40" s="32" t="s">
        <v>38</v>
      </c>
    </row>
    <row r="41" spans="1:9" ht="42">
      <c r="A41" s="34" t="s">
        <v>138</v>
      </c>
      <c r="B41" s="31" t="s">
        <v>40</v>
      </c>
      <c r="C41" s="114"/>
      <c r="E41" s="31" t="s">
        <v>42</v>
      </c>
      <c r="F41" s="31" t="s">
        <v>119</v>
      </c>
      <c r="G41" s="31" t="s">
        <v>49</v>
      </c>
      <c r="H41" s="32" t="s">
        <v>38</v>
      </c>
    </row>
    <row r="42" spans="1:9" ht="42">
      <c r="A42" s="34" t="s">
        <v>139</v>
      </c>
      <c r="B42" s="31" t="s">
        <v>40</v>
      </c>
      <c r="C42" s="114"/>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topLeftCell="B1" zoomScale="115" zoomScaleNormal="115" workbookViewId="0">
      <selection activeCell="B7" sqref="B7:H10"/>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1681</v>
      </c>
      <c r="L1" s="24" t="s">
        <v>21</v>
      </c>
    </row>
    <row r="2" spans="1:12">
      <c r="J2" s="25" t="s">
        <v>20</v>
      </c>
      <c r="L2" s="25" t="s">
        <v>1680</v>
      </c>
    </row>
    <row r="3" spans="1:12" ht="17.75" customHeight="1" thickBot="1">
      <c r="J3" s="25" t="str">
        <f>J1</f>
        <v>//===================================================</v>
      </c>
      <c r="L3" s="25" t="str">
        <f>L1</f>
        <v>// -------------------------------------------------------------------------------</v>
      </c>
    </row>
    <row r="4" spans="1:12">
      <c r="A4" s="5" t="s">
        <v>12</v>
      </c>
      <c r="B4" s="46" t="s">
        <v>1674</v>
      </c>
      <c r="J4" s="17" t="str">
        <f>CONCATENATE("Logical: ",B4)</f>
        <v>Logical: CancerUnderStudyI4rc</v>
      </c>
    </row>
    <row r="5" spans="1:12">
      <c r="A5" s="15" t="s">
        <v>17</v>
      </c>
      <c r="B5" s="47" t="s">
        <v>1675</v>
      </c>
      <c r="J5" s="17" t="str">
        <f>CONCATENATE("Id: ",B5)</f>
        <v>Id: CancerUnderStudy</v>
      </c>
    </row>
    <row r="6" spans="1:12">
      <c r="A6" s="15" t="s">
        <v>11</v>
      </c>
      <c r="B6" s="48" t="s">
        <v>1669</v>
      </c>
      <c r="J6" s="18" t="str">
        <f>CONCATENATE("Title: ##34#",B6,"##34#")</f>
        <v>Title: ##34#Cancer Under Study##34#</v>
      </c>
    </row>
    <row r="7" spans="1:12" ht="30.25" thickBot="1">
      <c r="A7" s="27" t="s">
        <v>3</v>
      </c>
      <c r="B7" s="49" t="s">
        <v>156</v>
      </c>
      <c r="C7" s="9" t="s">
        <v>4</v>
      </c>
      <c r="D7" s="1" t="s">
        <v>5</v>
      </c>
      <c r="E7" s="3" t="s">
        <v>6</v>
      </c>
      <c r="F7" s="3" t="s">
        <v>7</v>
      </c>
      <c r="G7" s="3" t="s">
        <v>8</v>
      </c>
      <c r="H7" s="107" t="s">
        <v>1679</v>
      </c>
      <c r="J7" s="18" t="str">
        <f>CONCATENATE("Description: "," ##334#",B7,"##334#",)</f>
        <v>Description:  ##334#Subject of care 
Maturity Level: 0 Draft##334#</v>
      </c>
    </row>
    <row r="8" spans="1:12" ht="73.75">
      <c r="A8" s="11">
        <v>1</v>
      </c>
      <c r="B8" s="11" t="s">
        <v>1629</v>
      </c>
      <c r="C8" s="104" t="s">
        <v>1495</v>
      </c>
      <c r="D8" s="12" t="s">
        <v>1496</v>
      </c>
      <c r="E8" s="11">
        <v>0</v>
      </c>
      <c r="F8" s="11">
        <v>1</v>
      </c>
      <c r="G8" s="11" t="s">
        <v>164</v>
      </c>
      <c r="H8" s="12" t="s">
        <v>1497</v>
      </c>
      <c r="I8" s="26"/>
      <c r="J8" s="12" t="str">
        <f t="shared" ref="J8:J44" si="0">CONCATENATE("* ",B8, " ",E8,"..",F8," ",G8," ##34#",C8,"##34# ##334#",D8,"##334#")</f>
        <v>* diagnosisDate 0..1 date ##34#Date of diagnosis##34#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 Possible date anonymisation by
setting the 15th of every month i.e.: YYYY-MM-15. If the month is not known, we set it to June (06).##334#</v>
      </c>
    </row>
    <row r="9" spans="1:12" ht="44.25">
      <c r="A9" s="11">
        <v>2</v>
      </c>
      <c r="B9" s="11" t="s">
        <v>1630</v>
      </c>
      <c r="C9" s="104" t="s">
        <v>1504</v>
      </c>
      <c r="D9" s="12" t="s">
        <v>1632</v>
      </c>
      <c r="E9" s="11">
        <v>0</v>
      </c>
      <c r="F9" s="11">
        <v>1</v>
      </c>
      <c r="G9" s="11" t="s">
        <v>1631</v>
      </c>
      <c r="H9" s="12" t="s">
        <v>1508</v>
      </c>
      <c r="I9" s="26"/>
      <c r="J9" s="12" t="str">
        <f t="shared" si="0"/>
        <v>* ageAtDiagnosis 0..1 integer ##34#Age at diagnosis##34# ##334#Age of the patient at the time of the diagnosis.
required if date of diagnosis known##334#</v>
      </c>
      <c r="L9" s="12" t="str">
        <f t="shared" ref="L9:L44" si="1">IF(H9="",IF(J9="*  ..  ##34###34# ##334###334#",J9,""),IF(J9="*  ..  ##34###34# ##334###334#",J9,CONCATENATE("* ",B9," ^comment = ##334#",H9,"##334#")))</f>
        <v>* ageAtDiagnosis ^comment = ##334#An integer value &gt; 0. We use the -1 value for unknown. Automatic  calculation from date of birth and date of diagnosis.##334#</v>
      </c>
    </row>
    <row r="10" spans="1:12" ht="44.25">
      <c r="A10" s="11">
        <v>3</v>
      </c>
      <c r="B10" s="14" t="s">
        <v>1641</v>
      </c>
      <c r="C10" s="106" t="s">
        <v>1510</v>
      </c>
      <c r="D10" s="106" t="s">
        <v>1643</v>
      </c>
      <c r="E10" s="11">
        <v>0</v>
      </c>
      <c r="F10" s="11">
        <v>1</v>
      </c>
      <c r="G10" s="11" t="s">
        <v>0</v>
      </c>
      <c r="H10" s="12" t="s">
        <v>1513</v>
      </c>
      <c r="I10" s="26"/>
      <c r="J10" s="12" t="str">
        <f t="shared" si="0"/>
        <v>* histologyGroup 0..1 CodeableConcept ##34#Histology (WHO 2017) group##34# ##334#Histology of prymary tumour according to WHO 2017 clasification.##334#</v>
      </c>
      <c r="L10" s="12" t="str">
        <f t="shared" si="1"/>
        <v>* histologyGroup ^comment = ##334#A value in the WHO 2017 H&amp;N classification list.##334#</v>
      </c>
    </row>
    <row r="11" spans="1:12" ht="29.5">
      <c r="A11" s="11">
        <v>4</v>
      </c>
      <c r="B11" s="14" t="s">
        <v>1673</v>
      </c>
      <c r="C11" s="104" t="s">
        <v>1633</v>
      </c>
      <c r="D11" s="12" t="s">
        <v>1644</v>
      </c>
      <c r="E11" s="11">
        <v>0</v>
      </c>
      <c r="F11" s="11" t="s">
        <v>9</v>
      </c>
      <c r="G11" s="11" t="s">
        <v>2</v>
      </c>
      <c r="I11" s="26"/>
      <c r="J11" s="12" t="str">
        <f t="shared" si="0"/>
        <v>* histologySubgroup 0..* BackboneElement ##34#histologySubgroup.histology (WHO 2017) subgroup##34# ##334#Specifies the histological subgroup##334#</v>
      </c>
      <c r="L11" s="12" t="str">
        <f t="shared" si="1"/>
        <v/>
      </c>
    </row>
    <row r="12" spans="1:12" ht="44.25">
      <c r="A12" s="11">
        <v>5</v>
      </c>
      <c r="B12" s="11" t="s">
        <v>1634</v>
      </c>
      <c r="C12" s="104" t="s">
        <v>1521</v>
      </c>
      <c r="D12" s="12" t="s">
        <v>1521</v>
      </c>
      <c r="E12" s="11">
        <v>0</v>
      </c>
      <c r="F12" s="11">
        <v>1</v>
      </c>
      <c r="G12" s="11" t="s">
        <v>0</v>
      </c>
      <c r="H12" s="12" t="s">
        <v>1522</v>
      </c>
      <c r="I12" s="26"/>
      <c r="J12" s="12" t="str">
        <f t="shared" si="0"/>
        <v>* histologySubgroup.histologySquamous 0..1 CodeableConcept ##34#Specifies the histological subgroup for squamous cancers##34# ##334#Specifies the histological subgroup for squamous cancers##334#</v>
      </c>
      <c r="L12" s="12" t="str">
        <f t="shared" si="1"/>
        <v>* histologySubgroup.histologySquamous ^comment = ##334#A value in the WHO 2017 H&amp;N squamous classification list.##334#</v>
      </c>
    </row>
    <row r="13" spans="1:12" ht="44.25">
      <c r="A13" s="11">
        <v>6</v>
      </c>
      <c r="B13" s="11" t="s">
        <v>1635</v>
      </c>
      <c r="C13" s="105" t="s">
        <v>1527</v>
      </c>
      <c r="D13" s="51" t="s">
        <v>1527</v>
      </c>
      <c r="E13" s="11">
        <v>0</v>
      </c>
      <c r="F13" s="11">
        <v>1</v>
      </c>
      <c r="G13" s="11" t="s">
        <v>0</v>
      </c>
      <c r="H13" s="2" t="s">
        <v>1528</v>
      </c>
      <c r="I13" s="26"/>
      <c r="J13" s="12" t="str">
        <f t="shared" si="0"/>
        <v>* histologySubgroup.histologyAdenocarcinoma 0..1 CodeableConcept ##34#Specifies the histological subgroup for adenocarcinomas##34# ##334#Specifies the histological subgroup for adenocarcinomas##334#</v>
      </c>
      <c r="L13" s="12" t="str">
        <f t="shared" si="1"/>
        <v>* histologySubgroup.histologyAdenocarcinoma ^comment = ##334#A value in the WHO 2017 H&amp;N adenocarcinoma classification list.##334#</v>
      </c>
    </row>
    <row r="14" spans="1:12" ht="44.25">
      <c r="A14" s="11">
        <v>7</v>
      </c>
      <c r="B14" s="11" t="s">
        <v>1636</v>
      </c>
      <c r="C14" s="104" t="s">
        <v>1533</v>
      </c>
      <c r="D14" s="12" t="s">
        <v>1642</v>
      </c>
      <c r="E14" s="11">
        <v>0</v>
      </c>
      <c r="F14" s="11">
        <v>1</v>
      </c>
      <c r="G14" s="11" t="s">
        <v>0</v>
      </c>
      <c r="H14" s="12" t="s">
        <v>1534</v>
      </c>
      <c r="I14" s="26"/>
      <c r="J14" s="12" t="str">
        <f t="shared" si="0"/>
        <v>* histologySubgroup.histologyNeuroendocrine 0..1 CodeableConcept ##34#Specifies the histological subgroup for neuroendocrine cancers ##34# ##334#Specifies the histological subgroup for neuroendocrine cancers##334#</v>
      </c>
      <c r="L14" s="12" t="str">
        <f t="shared" si="1"/>
        <v>* histologySubgroup.histologyNeuroendocrine ^comment = ##334#A value in the WHO 2017 H&amp;N neuroendocrine classification list.##334#</v>
      </c>
    </row>
    <row r="15" spans="1:12" ht="44.25">
      <c r="A15" s="11">
        <v>8</v>
      </c>
      <c r="B15" s="11" t="s">
        <v>1637</v>
      </c>
      <c r="C15" s="104" t="s">
        <v>1539</v>
      </c>
      <c r="D15" s="12" t="s">
        <v>1539</v>
      </c>
      <c r="E15" s="11">
        <v>0</v>
      </c>
      <c r="F15" s="11">
        <v>1</v>
      </c>
      <c r="G15" s="11" t="s">
        <v>0</v>
      </c>
      <c r="H15" s="12" t="s">
        <v>1540</v>
      </c>
      <c r="I15" s="26"/>
      <c r="J15" s="12" t="str">
        <f t="shared" si="0"/>
        <v>* histologySubgroup.histologyOdontogenicCarcinoma 0..1 CodeableConcept ##34#Specifies the histological subgroup for odontogenic carcinomas##34# ##334#Specifies the histological subgroup for odontogenic carcinomas##334#</v>
      </c>
      <c r="L15" s="12" t="str">
        <f t="shared" si="1"/>
        <v>* histologySubgroup.histologyOdontogenicCarcinoma ^comment = ##334#A value in the WHO 2017 H&amp;N odontogenic carcinoma classification list.##334#</v>
      </c>
    </row>
    <row r="16" spans="1:12" ht="59">
      <c r="A16" s="11">
        <v>9</v>
      </c>
      <c r="B16" s="11" t="s">
        <v>1638</v>
      </c>
      <c r="C16" s="12" t="s">
        <v>1545</v>
      </c>
      <c r="D16" s="11" t="s">
        <v>1545</v>
      </c>
      <c r="E16" s="11">
        <v>0</v>
      </c>
      <c r="F16" s="11">
        <v>1</v>
      </c>
      <c r="G16" s="11" t="s">
        <v>0</v>
      </c>
      <c r="H16" s="12" t="s">
        <v>1546</v>
      </c>
      <c r="I16" s="26"/>
      <c r="J16" s="12" t="str">
        <f t="shared" si="0"/>
        <v>* histologySubgroup.histologySNUC 0..1 CodeableConcept ##34#Specifies the histological subgroup for sinonasl undifferentiated carcinomas##34# ##334#Specifies the histological subgroup for sinonasl undifferentiated carcinomas##334#</v>
      </c>
      <c r="L16" s="12" t="str">
        <f t="shared" si="1"/>
        <v>* histologySubgroup.histologySNUC ^comment = ##334#A value in the WHO 2017 H&amp;N SNUC classification list.##334#</v>
      </c>
    </row>
    <row r="17" spans="1:13" ht="29.5">
      <c r="A17" s="11">
        <v>10</v>
      </c>
      <c r="B17" s="11" t="s">
        <v>1639</v>
      </c>
      <c r="C17" s="11" t="s">
        <v>1550</v>
      </c>
      <c r="D17" s="11" t="s">
        <v>1551</v>
      </c>
      <c r="E17" s="11">
        <v>0</v>
      </c>
      <c r="F17" s="11">
        <v>1</v>
      </c>
      <c r="G17" s="11" t="s">
        <v>0</v>
      </c>
      <c r="H17" s="12" t="s">
        <v>1552</v>
      </c>
      <c r="I17" s="26"/>
      <c r="J17" s="12" t="str">
        <f t="shared" si="0"/>
        <v>* siteRare 0..1 CodeableConcept ##34#Site Rare##34# ##334#Describe the primary tumor site, according to AJCC .##334#</v>
      </c>
      <c r="L17" s="12" t="str">
        <f t="shared" si="1"/>
        <v>* siteRare ^comment = ##334#A value in the AJCC Cancer Staging Manual 8th site list##334#</v>
      </c>
    </row>
    <row r="18" spans="1:13" ht="29.5">
      <c r="A18" s="11">
        <v>11</v>
      </c>
      <c r="B18" s="11" t="s">
        <v>1640</v>
      </c>
      <c r="C18" s="11" t="s">
        <v>1557</v>
      </c>
      <c r="D18" s="11" t="s">
        <v>1551</v>
      </c>
      <c r="E18" s="11">
        <v>0</v>
      </c>
      <c r="F18" s="11">
        <v>1</v>
      </c>
      <c r="G18" s="11" t="s">
        <v>0</v>
      </c>
      <c r="H18" s="12" t="s">
        <v>1552</v>
      </c>
      <c r="J18" s="12" t="str">
        <f t="shared" si="0"/>
        <v>* siteCommonAndRare 0..1 CodeableConcept ##34#Site common and rare##34# ##334#Describe the primary tumor site, according to AJCC .##334#</v>
      </c>
      <c r="L18" s="12" t="str">
        <f t="shared" si="1"/>
        <v>* siteCommonAndRare ^comment = ##334#A value in the AJCC Cancer Staging Manual 8th site list##334#</v>
      </c>
    </row>
    <row r="19" spans="1:13" ht="29.5">
      <c r="A19" s="11">
        <v>12</v>
      </c>
      <c r="B19" s="11" t="s">
        <v>1645</v>
      </c>
      <c r="C19" s="12" t="s">
        <v>1559</v>
      </c>
      <c r="D19" s="12" t="s">
        <v>1653</v>
      </c>
      <c r="E19" s="11">
        <v>0</v>
      </c>
      <c r="F19" s="11" t="s">
        <v>9</v>
      </c>
      <c r="G19" s="11" t="s">
        <v>2</v>
      </c>
      <c r="H19" s="12"/>
      <c r="J19" s="12" t="str">
        <f t="shared" si="0"/>
        <v>* subSite 0..* BackboneElement ##34#Subsite##34# ##334#Specifies the subsite##334#</v>
      </c>
      <c r="L19" s="12" t="str">
        <f t="shared" si="1"/>
        <v/>
      </c>
    </row>
    <row r="20" spans="1:13" ht="44.25">
      <c r="A20" s="11">
        <v>13</v>
      </c>
      <c r="B20" s="11" t="s">
        <v>1646</v>
      </c>
      <c r="C20" s="12" t="s">
        <v>1560</v>
      </c>
      <c r="D20" s="12" t="s">
        <v>1562</v>
      </c>
      <c r="E20" s="11">
        <v>0</v>
      </c>
      <c r="F20" s="11">
        <v>1</v>
      </c>
      <c r="G20" s="11" t="s">
        <v>0</v>
      </c>
      <c r="H20" s="12" t="s">
        <v>1563</v>
      </c>
      <c r="J20" s="12" t="str">
        <f t="shared" si="0"/>
        <v>* subSite.nasalCavityAndParanasalSinusesSubsite 0..1 CodeableConcept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44.25">
      <c r="A21" s="11">
        <v>14</v>
      </c>
      <c r="B21" s="11" t="s">
        <v>1647</v>
      </c>
      <c r="C21" s="12" t="s">
        <v>1654</v>
      </c>
      <c r="D21" s="12" t="s">
        <v>1567</v>
      </c>
      <c r="E21" s="11">
        <v>0</v>
      </c>
      <c r="F21" s="11">
        <v>1</v>
      </c>
      <c r="G21" s="11" t="s">
        <v>0</v>
      </c>
      <c r="H21" s="12" t="s">
        <v>1563</v>
      </c>
      <c r="J21" s="12" t="str">
        <f t="shared" si="0"/>
        <v>* subSite.nasopharynxSubsite 0..1 CodeableConcept ##34#Nasopharynx subsite##34# ##334#Specifies the subsite for cancers occurred in nasopharynx##334#</v>
      </c>
      <c r="L21" s="12" t="str">
        <f t="shared" si="1"/>
        <v>* subSite.nasopharynxSubsite ^comment = ##334#A string value in the AJCC Cancer Staging Manual 8th subsite list##334#</v>
      </c>
      <c r="M21"/>
    </row>
    <row r="22" spans="1:13" ht="44.25">
      <c r="A22" s="11">
        <v>15</v>
      </c>
      <c r="B22" s="11" t="s">
        <v>1648</v>
      </c>
      <c r="C22" s="12" t="s">
        <v>1569</v>
      </c>
      <c r="D22" s="12" t="s">
        <v>1570</v>
      </c>
      <c r="E22" s="11">
        <v>0</v>
      </c>
      <c r="F22" s="11">
        <v>1</v>
      </c>
      <c r="G22" s="11" t="s">
        <v>0</v>
      </c>
      <c r="H22" s="12" t="s">
        <v>1563</v>
      </c>
      <c r="J22" s="12" t="str">
        <f t="shared" si="0"/>
        <v>* subSite.hypopharynxSubsite 0..1 CodeableConcept ##34#Hypopharynx subsite##34# ##334#Specifies the subsite for cancers occurred in hypopharynx##334#</v>
      </c>
      <c r="L22" s="12" t="str">
        <f t="shared" si="1"/>
        <v>* subSite.hypopharynxSubsite ^comment = ##334#A string value in the AJCC Cancer Staging Manual 8th subsite list##334#</v>
      </c>
      <c r="M22"/>
    </row>
    <row r="23" spans="1:13" ht="44.25">
      <c r="A23" s="11">
        <v>16</v>
      </c>
      <c r="B23" s="11" t="s">
        <v>1649</v>
      </c>
      <c r="C23" s="12" t="s">
        <v>1572</v>
      </c>
      <c r="D23" s="12" t="s">
        <v>1573</v>
      </c>
      <c r="E23" s="11">
        <v>0</v>
      </c>
      <c r="F23" s="11">
        <v>1</v>
      </c>
      <c r="G23" s="11" t="s">
        <v>0</v>
      </c>
      <c r="H23" s="12" t="s">
        <v>1563</v>
      </c>
      <c r="J23" s="12" t="str">
        <f t="shared" si="0"/>
        <v>* subSite.oropharynxSubsite 0..1 CodeableConcept ##34#Oropharynx subsite##34# ##334#Specifies the subsite for cancers occurred in oropharynx##334#</v>
      </c>
      <c r="L23" s="12" t="str">
        <f t="shared" si="1"/>
        <v>* subSite.oropharynxSubsite ^comment = ##334#A string value in the AJCC Cancer Staging Manual 8th subsite list##334#</v>
      </c>
      <c r="M23"/>
    </row>
    <row r="24" spans="1:13" ht="29.5">
      <c r="A24" s="11">
        <v>17</v>
      </c>
      <c r="B24" s="11" t="s">
        <v>1652</v>
      </c>
      <c r="C24" s="12" t="s">
        <v>1575</v>
      </c>
      <c r="D24" s="12" t="s">
        <v>1576</v>
      </c>
      <c r="E24" s="11">
        <v>0</v>
      </c>
      <c r="F24" s="11">
        <v>1</v>
      </c>
      <c r="G24" s="11" t="s">
        <v>0</v>
      </c>
      <c r="H24" s="12" t="s">
        <v>1563</v>
      </c>
      <c r="J24" s="12" t="str">
        <f t="shared" si="0"/>
        <v>* subSite.larynxSubsite 0..1 CodeableConcept ##34#Larynx subsite##34# ##334#Specifies the subsite for cancers occurred in larynx##334#</v>
      </c>
      <c r="L24" s="12" t="str">
        <f t="shared" si="1"/>
        <v>* subSite.larynxSubsite ^comment = ##334#A string value in the AJCC Cancer Staging Manual 8th subsite list##334#</v>
      </c>
      <c r="M24"/>
    </row>
    <row r="25" spans="1:13" ht="44.25">
      <c r="A25" s="11">
        <v>18</v>
      </c>
      <c r="B25" s="11" t="s">
        <v>1650</v>
      </c>
      <c r="C25" s="12" t="s">
        <v>1578</v>
      </c>
      <c r="D25" s="12" t="s">
        <v>1579</v>
      </c>
      <c r="E25" s="11">
        <v>0</v>
      </c>
      <c r="F25" s="11">
        <v>1</v>
      </c>
      <c r="G25" s="11" t="s">
        <v>0</v>
      </c>
      <c r="H25" s="12" t="s">
        <v>1563</v>
      </c>
      <c r="J25" s="12" t="str">
        <f t="shared" si="0"/>
        <v>* subSite.oralCavitySubsite 0..1 CodeableConcept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19</v>
      </c>
      <c r="B26" s="11" t="s">
        <v>1651</v>
      </c>
      <c r="C26" s="12" t="s">
        <v>1581</v>
      </c>
      <c r="D26" s="12" t="s">
        <v>1582</v>
      </c>
      <c r="E26" s="11">
        <v>0</v>
      </c>
      <c r="F26" s="11">
        <v>1</v>
      </c>
      <c r="G26" s="11" t="s">
        <v>0</v>
      </c>
      <c r="H26" s="12" t="s">
        <v>1563</v>
      </c>
      <c r="J26" s="12" t="str">
        <f t="shared" si="0"/>
        <v>* subSite.lipSubsite 0..1 CodeableConcept ##34#Lip subsite##34# ##334#Specifies the subsite for cancers occurred in lip##334#</v>
      </c>
      <c r="L26" s="12" t="str">
        <f t="shared" si="1"/>
        <v>* subSite.lipSubsite ^comment = ##334#A string value in the AJCC Cancer Staging Manual 8th subsite list##334#</v>
      </c>
      <c r="M26"/>
    </row>
    <row r="27" spans="1:13" ht="44.25">
      <c r="A27" s="11">
        <v>20</v>
      </c>
      <c r="B27" s="11" t="s">
        <v>1655</v>
      </c>
      <c r="C27" s="12" t="s">
        <v>1584</v>
      </c>
      <c r="D27" s="11" t="s">
        <v>1664</v>
      </c>
      <c r="E27" s="11">
        <v>0</v>
      </c>
      <c r="F27" s="11">
        <v>1</v>
      </c>
      <c r="G27" s="11" t="s">
        <v>0</v>
      </c>
      <c r="H27" s="12" t="s">
        <v>1586</v>
      </c>
      <c r="J27" s="12" t="str">
        <f t="shared" si="0"/>
        <v>* PlasmaticEbvDnaAtBaseline 0..1 CodeableConcept ##34#Plasmatic EBV DNA at baseline##34# ##334#Describes the result of EBV DNA plasma testing before treatment in NPC type II and III (WHO)##334#</v>
      </c>
      <c r="L27" s="12" t="str">
        <f t="shared" si="1"/>
        <v>* PlasmaticEbvDnaAtBaseline ^comment = ##334#A string value representing whether the test value was positive, negative or it was untested. Empty if unknown.##334#</v>
      </c>
      <c r="M27"/>
    </row>
    <row r="28" spans="1:13" ht="44.25">
      <c r="A28" s="11">
        <v>21</v>
      </c>
      <c r="B28" s="11" t="s">
        <v>1656</v>
      </c>
      <c r="C28" s="12" t="s">
        <v>1588</v>
      </c>
      <c r="D28" s="11" t="s">
        <v>1665</v>
      </c>
      <c r="E28" s="11">
        <v>0</v>
      </c>
      <c r="F28" s="11">
        <v>1</v>
      </c>
      <c r="G28" s="11" t="s">
        <v>0</v>
      </c>
      <c r="H28" s="12" t="s">
        <v>1590</v>
      </c>
      <c r="J28" s="12" t="str">
        <f t="shared" si="0"/>
        <v>* PrimerType 0..1 CodeableConcept ##34#Primer type##34# ##334#Describes the primer used for EBV DNA plasma testing t in NPC type II and Type III (WHO)##334#</v>
      </c>
      <c r="L28" s="12" t="str">
        <f t="shared" si="1"/>
        <v>* PrimerType ^comment = ##334#A string value representing the plasma testing type. Empty if unknown##334#</v>
      </c>
      <c r="M28"/>
    </row>
    <row r="29" spans="1:13" ht="29.5">
      <c r="A29" s="11">
        <v>22</v>
      </c>
      <c r="B29" s="11" t="s">
        <v>874</v>
      </c>
      <c r="C29" s="12" t="s">
        <v>876</v>
      </c>
      <c r="D29" s="11" t="s">
        <v>1593</v>
      </c>
      <c r="E29" s="11">
        <v>0</v>
      </c>
      <c r="F29" s="11">
        <v>1</v>
      </c>
      <c r="G29" s="11" t="s">
        <v>1631</v>
      </c>
      <c r="H29" s="12" t="s">
        <v>1594</v>
      </c>
      <c r="I29" s="2"/>
      <c r="J29" s="12" t="str">
        <f t="shared" si="0"/>
        <v>* CopyNumber 0..1 integer ##34#Copy Number##34# ##334#Copy number of EBVDNA##334#</v>
      </c>
      <c r="L29" s="12" t="str">
        <f t="shared" si="1"/>
        <v>* CopyNumber ^comment = ##334#An integer for the number of EBVDNA. Empty if unknown##334#</v>
      </c>
      <c r="M29"/>
    </row>
    <row r="30" spans="1:13" ht="44.25">
      <c r="A30" s="11">
        <v>23</v>
      </c>
      <c r="B30" s="11" t="s">
        <v>1657</v>
      </c>
      <c r="C30" s="12" t="s">
        <v>1595</v>
      </c>
      <c r="D30" s="11" t="s">
        <v>1666</v>
      </c>
      <c r="E30" s="11">
        <v>0</v>
      </c>
      <c r="F30" s="11">
        <v>1</v>
      </c>
      <c r="G30" s="11" t="s">
        <v>0</v>
      </c>
      <c r="H30" s="12" t="s">
        <v>1597</v>
      </c>
      <c r="J30" s="12" t="str">
        <f t="shared" si="0"/>
        <v>* HpvStatus 0..1 CodeableConcept ##34#HPV status##34# ##334#Describes the result of HPV tumor testing in oral carcinoma##334#</v>
      </c>
      <c r="L30" s="12" t="str">
        <f t="shared" si="1"/>
        <v>* HpvStatus ^comment = ##334#A string value representing whether the result was positive, negative or not tested. Empty if unknown.##334#</v>
      </c>
    </row>
    <row r="31" spans="1:13" ht="44.25">
      <c r="A31" s="11">
        <v>24</v>
      </c>
      <c r="B31" s="11" t="s">
        <v>1658</v>
      </c>
      <c r="C31" s="12" t="s">
        <v>1600</v>
      </c>
      <c r="D31" s="11" t="s">
        <v>1601</v>
      </c>
      <c r="E31" s="11">
        <v>0</v>
      </c>
      <c r="F31" s="11">
        <v>1</v>
      </c>
      <c r="G31" s="11" t="s">
        <v>0</v>
      </c>
      <c r="H31" s="12" t="s">
        <v>1602</v>
      </c>
      <c r="J31" s="12" t="str">
        <f t="shared" si="0"/>
        <v>* HpvStatusDetectedBy 0..1 CodeableConcept ##34#HPV status detecection##34# ##334#Describes the technique used for HPV tumour testing in orall carcinoma##334#</v>
      </c>
      <c r="L31" s="12" t="str">
        <f t="shared" si="1"/>
        <v>* HpvStatusDetectedBy ^comment = ##334#A string value representing which was the used technique. Empty if unknown.##334#</v>
      </c>
    </row>
    <row r="32" spans="1:13" ht="44.25">
      <c r="A32" s="11">
        <v>25</v>
      </c>
      <c r="B32" s="11" t="s">
        <v>1659</v>
      </c>
      <c r="C32" s="12" t="s">
        <v>1604</v>
      </c>
      <c r="D32" s="11" t="s">
        <v>1605</v>
      </c>
      <c r="E32" s="11">
        <v>0</v>
      </c>
      <c r="F32" s="11">
        <v>1</v>
      </c>
      <c r="G32" s="11" t="s">
        <v>0</v>
      </c>
      <c r="H32" s="12" t="s">
        <v>1597</v>
      </c>
      <c r="J32" s="12" t="str">
        <f t="shared" si="0"/>
        <v>* P16 0..1 CodeableConcept ##34#p16##34# ##334#Describes the result of p16 tumour testing in oral carcinoma##334#</v>
      </c>
      <c r="L32" s="12" t="str">
        <f t="shared" si="1"/>
        <v>* P16 ^comment = ##334#A string value representing whether the result was positive, negative or not tested. Empty if unknown.##334#</v>
      </c>
    </row>
    <row r="33" spans="1:12" ht="44.25">
      <c r="A33" s="11">
        <v>26</v>
      </c>
      <c r="B33" s="11" t="s">
        <v>1676</v>
      </c>
      <c r="C33" s="12" t="s">
        <v>1607</v>
      </c>
      <c r="D33" s="11" t="s">
        <v>1608</v>
      </c>
      <c r="E33" s="11">
        <v>0</v>
      </c>
      <c r="F33" s="11">
        <v>1</v>
      </c>
      <c r="G33" s="11" t="s">
        <v>0</v>
      </c>
      <c r="H33" s="12" t="s">
        <v>1597</v>
      </c>
      <c r="J33" s="12" t="str">
        <f t="shared" si="0"/>
        <v>* PdL1 0..1 CodeableConcept ##34#PD-L1##34# ##334#Describes the result of PDL tumour testing in oral carcinoma##334#</v>
      </c>
      <c r="L33" s="12" t="str">
        <f t="shared" si="1"/>
        <v>* PdL1 ^comment = ##334#A string value representing whether the result was positive, negative or not tested. Empty if unknown.##334#</v>
      </c>
    </row>
    <row r="34" spans="1:12" ht="44.25">
      <c r="A34" s="11">
        <v>27</v>
      </c>
      <c r="B34" s="11" t="s">
        <v>1660</v>
      </c>
      <c r="C34" s="12" t="s">
        <v>1610</v>
      </c>
      <c r="D34" s="11" t="s">
        <v>1611</v>
      </c>
      <c r="E34" s="11">
        <v>0</v>
      </c>
      <c r="F34" s="11">
        <v>1</v>
      </c>
      <c r="G34" s="11" t="s">
        <v>0</v>
      </c>
      <c r="H34" s="12" t="s">
        <v>1602</v>
      </c>
      <c r="J34" s="12" t="str">
        <f t="shared" si="0"/>
        <v>* Pd-L1Method 0..1 CodeableConcept ##34#PD-L1 Method##34# ##334#Describes the technique used for PDL tumour testing in oral carcinoma##334#</v>
      </c>
      <c r="L34" s="12" t="str">
        <f t="shared" si="1"/>
        <v>* Pd-L1Method ^comment = ##334#A string value representing which was the used technique. Empty if unknown.##334#</v>
      </c>
    </row>
    <row r="35" spans="1:12" ht="29.5">
      <c r="A35" s="11">
        <v>28</v>
      </c>
      <c r="B35" s="11" t="s">
        <v>1661</v>
      </c>
      <c r="C35" s="12" t="s">
        <v>1614</v>
      </c>
      <c r="D35" s="11" t="s">
        <v>1615</v>
      </c>
      <c r="E35" s="11">
        <v>0</v>
      </c>
      <c r="F35" s="11">
        <v>1</v>
      </c>
      <c r="G35" s="11" t="s">
        <v>1631</v>
      </c>
      <c r="H35" s="12" t="s">
        <v>1616</v>
      </c>
      <c r="J35" s="12" t="str">
        <f t="shared" si="0"/>
        <v>* Pd-L1CpsValue 0..1 integer ##34#PD-L1 CPS##34# ##334#Result of PDL1CPS testing, when performed##334#</v>
      </c>
      <c r="L35" s="12" t="str">
        <f t="shared" si="1"/>
        <v>* Pd-L1CpsValue ^comment = ##334#An integer for the PDL1CPS test. Empty if unknown.##334#</v>
      </c>
    </row>
    <row r="36" spans="1:12" ht="29.5">
      <c r="A36" s="11">
        <v>29</v>
      </c>
      <c r="B36" s="11" t="s">
        <v>1662</v>
      </c>
      <c r="C36" s="12" t="s">
        <v>1618</v>
      </c>
      <c r="D36" s="11" t="s">
        <v>1619</v>
      </c>
      <c r="E36" s="11">
        <v>0</v>
      </c>
      <c r="F36" s="11">
        <v>1</v>
      </c>
      <c r="G36" s="11" t="s">
        <v>1631</v>
      </c>
      <c r="H36" s="12" t="s">
        <v>1620</v>
      </c>
      <c r="J36" s="12" t="str">
        <f t="shared" si="0"/>
        <v>* Pd-L1TpsValue 0..1 integer ##34#PD-L1 TPS##34# ##334#Result of PDL1TPS testing, when performed##334#</v>
      </c>
      <c r="L36" s="12" t="str">
        <f t="shared" si="1"/>
        <v>* Pd-L1TpsValue ^comment = ##334#An integer for the PDL1TPS test. Empty if unknown.##334#</v>
      </c>
    </row>
    <row r="37" spans="1:12" ht="44.25">
      <c r="A37" s="11">
        <v>30</v>
      </c>
      <c r="B37" s="11" t="s">
        <v>1677</v>
      </c>
      <c r="C37" s="12" t="s">
        <v>1667</v>
      </c>
      <c r="D37" s="11" t="s">
        <v>1622</v>
      </c>
      <c r="E37" s="11">
        <v>0</v>
      </c>
      <c r="F37" s="11">
        <v>1</v>
      </c>
      <c r="G37" s="11" t="s">
        <v>0</v>
      </c>
      <c r="H37" s="12" t="s">
        <v>1597</v>
      </c>
      <c r="J37" s="12" t="str">
        <f t="shared" si="0"/>
        <v>* Crp-CReactiveProteinTested 0..1 CodeableConcept ##34#CRP – C reactive protein tested##34# ##334#Describes the result of C reactive protein testing##334#</v>
      </c>
      <c r="L37" s="12" t="str">
        <f t="shared" si="1"/>
        <v>* Crp-CReactiveProteinTested ^comment = ##334#A string value representing whether the result was positive, negative or not tested. Empty if unknown.##334#</v>
      </c>
    </row>
    <row r="38" spans="1:12" ht="29.5">
      <c r="A38" s="11">
        <v>31</v>
      </c>
      <c r="B38" s="11" t="s">
        <v>1678</v>
      </c>
      <c r="C38" s="12" t="s">
        <v>1623</v>
      </c>
      <c r="D38" s="11" t="s">
        <v>1624</v>
      </c>
      <c r="E38" s="11">
        <v>0</v>
      </c>
      <c r="F38" s="11">
        <v>1</v>
      </c>
      <c r="G38" s="11" t="s">
        <v>1668</v>
      </c>
      <c r="H38" s="12" t="s">
        <v>1625</v>
      </c>
      <c r="J38" s="12" t="str">
        <f t="shared" si="0"/>
        <v>* CReactiveProtein-Crp-MgDl 0..1 Quantity ##34#C reactive protein - CRP (mg/dl)##34# ##334#Result of CRP testing, when performed##334#</v>
      </c>
      <c r="L38" s="12" t="str">
        <f t="shared" si="1"/>
        <v>* CReactiveProtein-Crp-MgDl ^comment = ##334#An integer for the CRP test. Empty if unknown.##334#</v>
      </c>
    </row>
    <row r="39" spans="1:12" ht="29.5">
      <c r="A39" s="11">
        <v>32</v>
      </c>
      <c r="B39" s="11" t="s">
        <v>1663</v>
      </c>
      <c r="C39" s="12" t="s">
        <v>1626</v>
      </c>
      <c r="D39" s="11" t="s">
        <v>153</v>
      </c>
      <c r="E39" s="11">
        <v>0</v>
      </c>
      <c r="F39" s="11">
        <v>1</v>
      </c>
      <c r="G39" s="11" t="s">
        <v>0</v>
      </c>
      <c r="H39" s="12" t="s">
        <v>1628</v>
      </c>
      <c r="J39" s="12" t="str">
        <f t="shared" si="0"/>
        <v>* InstrumentStatus 0..1 CodeableConcept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E25" sqref="E25:E4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1670</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1671</v>
      </c>
      <c r="E9" s="28" t="str">
        <f>CONCATENATE("* -&gt; ##34#",C9,"##34#")</f>
        <v>* -&gt; ##34#TBD##34#</v>
      </c>
      <c r="H9" s="7"/>
      <c r="I9" s="7"/>
      <c r="J9" s="7"/>
      <c r="K9" s="7"/>
      <c r="L9" s="7"/>
      <c r="M9" s="7"/>
      <c r="N9" s="7"/>
      <c r="O9" s="7"/>
    </row>
    <row r="10" spans="1:15">
      <c r="A10" s="11"/>
      <c r="B10" s="11" t="str">
        <f>CancerUnderStudy!B8</f>
        <v>diagnosisDate</v>
      </c>
      <c r="C10" s="11" t="s">
        <v>1671</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1671</v>
      </c>
      <c r="E11" s="12" t="str">
        <f t="shared" si="0"/>
        <v>* ageAtDiagnosis -&gt; ##34#TBD##34#</v>
      </c>
      <c r="H11" s="7"/>
      <c r="I11" s="7"/>
      <c r="J11" s="7"/>
      <c r="K11" s="7"/>
      <c r="L11" s="7"/>
      <c r="M11" s="7"/>
      <c r="N11" s="7"/>
      <c r="O11" s="7"/>
    </row>
    <row r="12" spans="1:15">
      <c r="A12" s="11"/>
      <c r="B12" s="11" t="str">
        <f>CancerUnderStudy!B10</f>
        <v>histologyGroup</v>
      </c>
      <c r="C12" s="11" t="s">
        <v>1671</v>
      </c>
      <c r="E12" s="12" t="str">
        <f t="shared" si="0"/>
        <v>* histologyGroup -&gt; ##34#TBD##34#</v>
      </c>
      <c r="H12" s="7"/>
      <c r="I12" s="7"/>
      <c r="J12" s="7"/>
      <c r="K12" s="7"/>
      <c r="L12" s="7"/>
      <c r="M12" s="7"/>
      <c r="N12" s="7"/>
      <c r="O12" s="7"/>
    </row>
    <row r="13" spans="1:15">
      <c r="A13" s="11"/>
      <c r="B13" s="11" t="str">
        <f>CancerUnderStudy!B11</f>
        <v>histologySubgroup</v>
      </c>
      <c r="C13" s="11" t="s">
        <v>1671</v>
      </c>
      <c r="E13" s="12" t="str">
        <f t="shared" si="0"/>
        <v>* histologySubgroup -&gt; ##34#TBD##34#</v>
      </c>
      <c r="H13" s="7"/>
      <c r="I13" s="7"/>
      <c r="J13" s="7"/>
      <c r="K13" s="7"/>
      <c r="L13" s="7"/>
      <c r="M13" s="7"/>
      <c r="N13" s="7"/>
      <c r="O13" s="7"/>
    </row>
    <row r="14" spans="1:15">
      <c r="A14" s="11"/>
      <c r="B14" s="11" t="str">
        <f>CancerUnderStudy!B12</f>
        <v>histologySubgroup.histologySquamous</v>
      </c>
      <c r="C14" s="11" t="s">
        <v>1671</v>
      </c>
      <c r="E14" s="12" t="str">
        <f t="shared" si="0"/>
        <v>* histologySubgroup.histologySquamous -&gt; ##34#TBD##34#</v>
      </c>
      <c r="H14" s="7"/>
      <c r="I14" s="7"/>
      <c r="J14" s="7"/>
      <c r="K14" s="7"/>
      <c r="L14" s="7"/>
      <c r="M14" s="7"/>
      <c r="N14" s="7"/>
      <c r="O14" s="7"/>
    </row>
    <row r="15" spans="1:15">
      <c r="A15" s="11"/>
      <c r="B15" s="11" t="str">
        <f>CancerUnderStudy!B13</f>
        <v>histologySubgroup.histologyAdenocarcinoma</v>
      </c>
      <c r="C15" s="11" t="s">
        <v>1671</v>
      </c>
      <c r="E15" s="12" t="str">
        <f t="shared" si="0"/>
        <v>* histologySubgroup.histologyAdenocarcinoma -&gt; ##34#TBD##34#</v>
      </c>
      <c r="H15" s="7"/>
      <c r="I15" s="7"/>
      <c r="J15" s="7"/>
      <c r="K15" s="7"/>
      <c r="L15" s="7"/>
      <c r="M15" s="7"/>
      <c r="N15" s="7"/>
      <c r="O15" s="7"/>
    </row>
    <row r="16" spans="1:15">
      <c r="A16" s="11"/>
      <c r="B16" s="11" t="str">
        <f>CancerUnderStudy!B14</f>
        <v>histologySubgroup.histologyNeuroendocrine</v>
      </c>
      <c r="C16" s="11" t="s">
        <v>1671</v>
      </c>
      <c r="E16" s="12" t="str">
        <f t="shared" si="0"/>
        <v>* histologySubgroup.histologyNeuroendocrine -&gt; ##34#TBD##34#</v>
      </c>
      <c r="H16" s="7"/>
      <c r="I16" s="7"/>
      <c r="J16" s="7"/>
      <c r="K16" s="7"/>
      <c r="L16" s="7"/>
      <c r="M16" s="7"/>
      <c r="N16" s="7"/>
      <c r="O16" s="7"/>
    </row>
    <row r="17" spans="1:5">
      <c r="A17" s="11"/>
      <c r="B17" s="11" t="str">
        <f>CancerUnderStudy!B15</f>
        <v>histologySubgroup.histologyOdontogenicCarcinoma</v>
      </c>
      <c r="C17" s="11" t="s">
        <v>1671</v>
      </c>
      <c r="E17" s="12" t="str">
        <f t="shared" si="0"/>
        <v>* histologySubgroup.histologyOdontogenicCarcinoma -&gt; ##34#TBD##34#</v>
      </c>
    </row>
    <row r="18" spans="1:5">
      <c r="A18" s="11"/>
      <c r="B18" s="11" t="str">
        <f>CancerUnderStudy!B16</f>
        <v>histologySubgroup.histologySNUC</v>
      </c>
      <c r="C18" s="11" t="s">
        <v>1671</v>
      </c>
      <c r="E18" s="12" t="str">
        <f t="shared" si="0"/>
        <v>* histologySubgroup.histologySNUC -&gt; ##34#TBD##34#</v>
      </c>
    </row>
    <row r="19" spans="1:5">
      <c r="A19" s="11"/>
      <c r="B19" s="11" t="str">
        <f>CancerUnderStudy!B17</f>
        <v>siteRare</v>
      </c>
      <c r="C19" s="11" t="s">
        <v>1671</v>
      </c>
      <c r="E19" s="12" t="str">
        <f t="shared" si="0"/>
        <v>* siteRare -&gt; ##34#TBD##34#</v>
      </c>
    </row>
    <row r="20" spans="1:5">
      <c r="A20" s="11"/>
      <c r="B20" s="11" t="str">
        <f>CancerUnderStudy!B18</f>
        <v>siteCommonAndRare</v>
      </c>
      <c r="C20" s="11" t="s">
        <v>1671</v>
      </c>
      <c r="E20" s="12" t="str">
        <f t="shared" si="0"/>
        <v>* siteCommonAndRare -&gt; ##34#TBD##34#</v>
      </c>
    </row>
    <row r="21" spans="1:5">
      <c r="B21" s="11" t="str">
        <f>CancerUnderStudy!B19</f>
        <v>subSite</v>
      </c>
      <c r="C21" s="11" t="s">
        <v>1671</v>
      </c>
      <c r="E21" s="12" t="str">
        <f t="shared" si="0"/>
        <v>* subSite -&gt; ##34#TBD##34#</v>
      </c>
    </row>
    <row r="22" spans="1:5">
      <c r="B22" s="11" t="str">
        <f>CancerUnderStudy!B20</f>
        <v>subSite.nasalCavityAndParanasalSinusesSubsite</v>
      </c>
      <c r="C22" s="11" t="s">
        <v>1671</v>
      </c>
      <c r="E22" s="12" t="str">
        <f t="shared" si="0"/>
        <v>* subSite.nasalCavityAndParanasalSinusesSubsite -&gt; ##34#TBD##34#</v>
      </c>
    </row>
    <row r="23" spans="1:5">
      <c r="B23" s="11" t="str">
        <f>CancerUnderStudy!B21</f>
        <v>subSite.nasopharynxSubsite</v>
      </c>
      <c r="C23" s="11" t="s">
        <v>1671</v>
      </c>
      <c r="E23" s="12" t="str">
        <f t="shared" si="0"/>
        <v>* subSite.nasopharynxSubsite -&gt; ##34#TBD##34#</v>
      </c>
    </row>
    <row r="24" spans="1:5">
      <c r="B24" s="11" t="str">
        <f>CancerUnderStudy!B22</f>
        <v>subSite.hypopharynxSubsite</v>
      </c>
      <c r="C24" s="11" t="s">
        <v>1671</v>
      </c>
      <c r="E24" s="12" t="str">
        <f t="shared" si="0"/>
        <v>* subSite.hypopharynxSubsite -&gt; ##34#TBD##34#</v>
      </c>
    </row>
    <row r="25" spans="1:5">
      <c r="B25" s="11" t="str">
        <f>CancerUnderStudy!B23</f>
        <v>subSite.oropharynxSubsite</v>
      </c>
      <c r="C25" s="11" t="s">
        <v>1671</v>
      </c>
      <c r="E25" s="12" t="str">
        <f t="shared" si="0"/>
        <v>* subSite.oropharynxSubsite -&gt; ##34#TBD##34#</v>
      </c>
    </row>
    <row r="26" spans="1:5">
      <c r="B26" s="11" t="str">
        <f>CancerUnderStudy!B24</f>
        <v>subSite.larynxSubsite</v>
      </c>
      <c r="C26" s="11" t="s">
        <v>1671</v>
      </c>
      <c r="E26" s="12" t="str">
        <f t="shared" si="0"/>
        <v>* subSite.larynxSubsite -&gt; ##34#TBD##34#</v>
      </c>
    </row>
    <row r="27" spans="1:5">
      <c r="B27" s="11" t="str">
        <f>CancerUnderStudy!B25</f>
        <v>subSite.oralCavitySubsite</v>
      </c>
      <c r="C27" s="11" t="s">
        <v>1671</v>
      </c>
      <c r="E27" s="12" t="str">
        <f t="shared" si="0"/>
        <v>* subSite.oralCavitySubsite -&gt; ##34#TBD##34#</v>
      </c>
    </row>
    <row r="28" spans="1:5">
      <c r="B28" s="11" t="str">
        <f>CancerUnderStudy!B26</f>
        <v>subSite.lipSubsite</v>
      </c>
      <c r="C28" s="11" t="s">
        <v>1671</v>
      </c>
      <c r="E28" s="12" t="str">
        <f t="shared" si="0"/>
        <v>* subSite.lipSubsite -&gt; ##34#TBD##34#</v>
      </c>
    </row>
    <row r="29" spans="1:5">
      <c r="B29" s="11" t="str">
        <f>CancerUnderStudy!B27</f>
        <v>PlasmaticEbvDnaAtBaseline</v>
      </c>
      <c r="C29" s="11" t="s">
        <v>1671</v>
      </c>
      <c r="E29" s="12" t="str">
        <f t="shared" si="0"/>
        <v>* PlasmaticEbvDnaAtBaseline -&gt; ##34#TBD##34#</v>
      </c>
    </row>
    <row r="30" spans="1:5">
      <c r="B30" s="11" t="str">
        <f>CancerUnderStudy!B28</f>
        <v>PrimerType</v>
      </c>
      <c r="C30" s="11" t="s">
        <v>1671</v>
      </c>
      <c r="E30" s="12" t="str">
        <f t="shared" si="0"/>
        <v>* PrimerType -&gt; ##34#TBD##34#</v>
      </c>
    </row>
    <row r="31" spans="1:5">
      <c r="B31" s="11" t="str">
        <f>CancerUnderStudy!B29</f>
        <v>CopyNumber</v>
      </c>
      <c r="C31" s="11" t="s">
        <v>1671</v>
      </c>
      <c r="E31" s="12" t="str">
        <f t="shared" si="0"/>
        <v>* CopyNumber -&gt; ##34#TBD##34#</v>
      </c>
    </row>
    <row r="32" spans="1:5">
      <c r="B32" s="11" t="str">
        <f>CancerUnderStudy!B30</f>
        <v>HpvStatus</v>
      </c>
      <c r="C32" s="11" t="s">
        <v>1671</v>
      </c>
      <c r="E32" s="12" t="str">
        <f t="shared" si="0"/>
        <v>* HpvStatus -&gt; ##34#TBD##34#</v>
      </c>
    </row>
    <row r="33" spans="2:5">
      <c r="B33" s="11" t="str">
        <f>CancerUnderStudy!B31</f>
        <v>HpvStatusDetectedBy</v>
      </c>
      <c r="C33" s="11" t="s">
        <v>1671</v>
      </c>
      <c r="E33" s="12" t="str">
        <f t="shared" si="0"/>
        <v>* HpvStatusDetectedBy -&gt; ##34#TBD##34#</v>
      </c>
    </row>
    <row r="34" spans="2:5">
      <c r="B34" s="11" t="str">
        <f>CancerUnderStudy!B32</f>
        <v>P16</v>
      </c>
      <c r="C34" s="11" t="s">
        <v>1671</v>
      </c>
      <c r="E34" s="12" t="str">
        <f t="shared" si="0"/>
        <v>* P16 -&gt; ##34#TBD##34#</v>
      </c>
    </row>
    <row r="35" spans="2:5">
      <c r="B35" s="11" t="str">
        <f>CancerUnderStudy!B33</f>
        <v>PdL1</v>
      </c>
      <c r="C35" s="11" t="s">
        <v>1671</v>
      </c>
      <c r="E35" s="12" t="str">
        <f t="shared" si="0"/>
        <v>* PdL1 -&gt; ##34#TBD##34#</v>
      </c>
    </row>
    <row r="36" spans="2:5">
      <c r="B36" s="11" t="str">
        <f>CancerUnderStudy!B34</f>
        <v>Pd-L1Method</v>
      </c>
      <c r="C36" s="11" t="s">
        <v>1671</v>
      </c>
      <c r="E36" s="12" t="str">
        <f t="shared" si="0"/>
        <v>* Pd-L1Method -&gt; ##34#TBD##34#</v>
      </c>
    </row>
    <row r="37" spans="2:5">
      <c r="B37" s="11" t="str">
        <f>CancerUnderStudy!B35</f>
        <v>Pd-L1CpsValue</v>
      </c>
      <c r="C37" s="11" t="s">
        <v>1671</v>
      </c>
      <c r="E37" s="12" t="str">
        <f t="shared" si="0"/>
        <v>* Pd-L1CpsValue -&gt; ##34#TBD##34#</v>
      </c>
    </row>
    <row r="38" spans="2:5">
      <c r="B38" s="11" t="str">
        <f>CancerUnderStudy!B36</f>
        <v>Pd-L1TpsValue</v>
      </c>
      <c r="C38" s="11" t="s">
        <v>1671</v>
      </c>
      <c r="E38" s="12" t="str">
        <f t="shared" si="0"/>
        <v>* Pd-L1TpsValue -&gt; ##34#TBD##34#</v>
      </c>
    </row>
    <row r="39" spans="2:5">
      <c r="B39" s="11" t="str">
        <f>CancerUnderStudy!B37</f>
        <v>Crp-CReactiveProteinTested</v>
      </c>
      <c r="C39" s="11" t="s">
        <v>1671</v>
      </c>
      <c r="E39" s="12" t="str">
        <f t="shared" si="0"/>
        <v>* Crp-CReactiveProteinTested -&gt; ##34#TBD##34#</v>
      </c>
    </row>
    <row r="40" spans="2:5">
      <c r="B40" s="11" t="str">
        <f>CancerUnderStudy!B38</f>
        <v>CReactiveProtein-Crp-MgDl</v>
      </c>
      <c r="C40" s="11" t="s">
        <v>1671</v>
      </c>
      <c r="E40" s="12" t="str">
        <f t="shared" si="0"/>
        <v>* CReactiveProtein-Crp-MgDl -&gt; ##34#TBD##34#</v>
      </c>
    </row>
    <row r="41" spans="2:5">
      <c r="B41" s="11" t="str">
        <f>CancerUnderStudy!B39</f>
        <v>InstrumentStatus</v>
      </c>
      <c r="C41" s="11" t="s">
        <v>1671</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workbookViewId="0">
      <selection activeCell="F73" sqref="F73"/>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1672</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##334#Subject of care 
Maturity Level: 0 Draft##334#</v>
      </c>
    </row>
    <row r="8" spans="3:7" ht="29.5">
      <c r="C8" s="12" t="str">
        <f>IF(CancerUnderStudy!J8="*  ..  ##34###34# ##334###334#","//--- END",CancerUnderStudy!J8)</f>
        <v>* diagnosisDate 0..1 date ##34#Date of diagnosis##34# ##334#Date of the procedure from which the specimen was obtained that allowed the histological diagnosis.##334#</v>
      </c>
    </row>
    <row r="9" spans="3:7" ht="29.5">
      <c r="C9" s="12" t="str">
        <f>IF(CancerUnderStudy!J9="*  ..  ##34###34# ##334###334#","//--- END",CancerUnderStudy!J9)</f>
        <v>* ageAtDiagnosis 0..1 integer ##34#Age at diagnosis##34# ##334#Age of the patient at the time of the diagnosis.
required if date of diagnosis known##334#</v>
      </c>
    </row>
    <row r="10" spans="3:7" ht="29.5">
      <c r="C10" s="12" t="str">
        <f>IF(CancerUnderStudy!J10="*  ..  ##34###34# ##334###334#","//--- END",CancerUnderStudy!J10)</f>
        <v>* histologyGroup 0..1 CodeableConcept ##34#Histology (WHO 2017) group##34# ##334#Histology of prymary tumour according to WHO 2017 clasification.##334#</v>
      </c>
    </row>
    <row r="11" spans="3:7" ht="29.5">
      <c r="C11" s="12" t="str">
        <f>IF(CancerUnderStudy!J11="*  ..  ##34###34# ##334###334#","//--- END",CancerUnderStudy!J11)</f>
        <v>* histologySubgroup 0..* BackboneElement ##34#histologySubgroup.histology (WHO 2017) subgroup##34# ##334#Specifies the histological subgroup##334#</v>
      </c>
    </row>
    <row r="12" spans="3:7" ht="29.5">
      <c r="C12" s="12" t="str">
        <f>IF(CancerUnderStudy!J12="*  ..  ##34###34# ##334###334#","//--- END",CancerUnderStudy!J12)</f>
        <v>* histologySubgroup.histologySquamous 0..1 CodeableConcept ##34#Specifies the histological subgroup for squamous cancers##34# ##334#Specifies the histological subgroup for squamous cancers##334#</v>
      </c>
    </row>
    <row r="13" spans="3:7" ht="29.5">
      <c r="C13" s="12" t="str">
        <f>IF(CancerUnderStudy!J13="*  ..  ##34###34# ##334###334#","//--- END",CancerUnderStudy!J13)</f>
        <v>* histologySubgroup.histologyAdenocarcinoma 0..1 CodeableConcept ##34#Specifies the histological subgroup for adenocarcinomas##34# ##334#Specifies the histological subgroup for adenocarcinomas##334#</v>
      </c>
    </row>
    <row r="14" spans="3:7" ht="29.5">
      <c r="C14" s="12" t="str">
        <f>IF(CancerUnderStudy!J14="*  ..  ##34###34# ##334###334#","//--- END",CancerUnderStudy!J14)</f>
        <v>* histologySubgroup.histologyNeuroendocrine 0..1 CodeableConcept ##34#Specifies the histological subgroup for neuroendocrine cancers ##34# ##334#Specifies the histological subgroup for neuroendocrine cancers##334#</v>
      </c>
    </row>
    <row r="15" spans="3:7" ht="29.5">
      <c r="C15" s="12" t="str">
        <f>IF(CancerUnderStudy!J15="*  ..  ##34###34# ##334###334#","//--- END",CancerUnderStudy!J15)</f>
        <v>* histologySubgroup.histologyOdontogenicCarcinoma 0..1 CodeableConcept ##34#Specifies the histological subgroup for odontogenic carcinomas##34# ##334#Specifies the histological subgroup for odontogenic carcinomas##334#</v>
      </c>
    </row>
    <row r="16" spans="3:7" ht="29.5">
      <c r="C16" s="12" t="str">
        <f>IF(CancerUnderStudy!J16="*  ..  ##34###34# ##334###334#","//--- END",CancerUnderStudy!J16)</f>
        <v>* histologySubgroup.histologySNUC 0..1 CodeableConcept ##34#Specifies the histological subgroup for sinonasl undifferentiated carcinomas##34# ##334#Specifies the histological subgroup for sinonasl undifferentiated carcinomas##334#</v>
      </c>
    </row>
    <row r="17" spans="3:3">
      <c r="C17" s="12" t="str">
        <f>IF(CancerUnderStudy!J17="*  ..  ##34###34# ##334###334#","//--- END",CancerUnderStudy!J17)</f>
        <v>* siteRare 0..1 CodeableConcept ##34#Site Rare##34# ##334#Describe the primary tumor site, according to AJCC .##334#</v>
      </c>
    </row>
    <row r="18" spans="3:3" ht="29.5">
      <c r="C18" s="12" t="str">
        <f>IF(CancerUnderStudy!J18="*  ..  ##34###34# ##334###334#","//--- END",CancerUnderStudy!J18)</f>
        <v>* siteCommonAndRare 0..1 CodeableConcept ##34#Site common and rare##34# ##334#Describe the primary tumor site, according to AJCC .##334#</v>
      </c>
    </row>
    <row r="19" spans="3:3">
      <c r="C19" s="12" t="str">
        <f>IF(CancerUnderStudy!J19="*  ..  ##34###34# ##334###334#","//--- END",CancerUnderStudy!J19)</f>
        <v>* subSite 0..* BackboneElement ##34#Subsite##34# ##334#Specifies the subsite##334#</v>
      </c>
    </row>
    <row r="20" spans="3:3" ht="29.5">
      <c r="C20" s="12" t="str">
        <f>IF(CancerUnderStudy!J20="*  ..  ##34###34# ##334###334#","//--- END",CancerUnderStudy!J20)</f>
        <v>* subSite.nasalCavityAndParanasalSinusesSubsite 0..1 CodeableConcept ##34#Nasal cavity and paranasal sinuses subsite##34# ##334#Specifies the subsite for cancers occurred in nasal cavity and paranasal sinusess##334#</v>
      </c>
    </row>
    <row r="21" spans="3:3" ht="29.5">
      <c r="C21" s="12" t="str">
        <f>IF(CancerUnderStudy!J21="*  ..  ##34###34# ##334###334#","//--- END",CancerUnderStudy!J21)</f>
        <v>* subSite.nasopharynxSubsite 0..1 CodeableConcept ##34#Nasopharynx subsite##34# ##334#Specifies the subsite for cancers occurred in nasopharynx##334#</v>
      </c>
    </row>
    <row r="22" spans="3:3" ht="29.5">
      <c r="C22" s="12" t="str">
        <f>IF(CancerUnderStudy!J22="*  ..  ##34###34# ##334###334#","//--- END",CancerUnderStudy!J22)</f>
        <v>* subSite.hypopharynxSubsite 0..1 CodeableConcept ##34#Hypopharynx subsite##34# ##334#Specifies the subsite for cancers occurred in hypopharynx##334#</v>
      </c>
    </row>
    <row r="23" spans="3:3" ht="29.5">
      <c r="C23" s="12" t="str">
        <f>IF(CancerUnderStudy!J23="*  ..  ##34###34# ##334###334#","//--- END",CancerUnderStudy!J23)</f>
        <v>* subSite.oropharynxSubsite 0..1 CodeableConcept ##34#Oropharynx subsite##34# ##334#Specifies the subsite for cancers occurred in oropharynx##334#</v>
      </c>
    </row>
    <row r="24" spans="3:3" ht="29.5">
      <c r="C24" s="12" t="str">
        <f>IF(CancerUnderStudy!J24="*  ..  ##34###34# ##334###334#","//--- END",CancerUnderStudy!J24)</f>
        <v>* subSite.larynxSubsite 0..1 CodeableConcept ##34#Larynx subsite##34# ##334#Specifies the subsite for cancers occurred in larynx##334#</v>
      </c>
    </row>
    <row r="25" spans="3:3" ht="29.5">
      <c r="C25" s="12" t="str">
        <f>IF(CancerUnderStudy!J25="*  ..  ##34###34# ##334###334#","//--- END",CancerUnderStudy!J25)</f>
        <v>* subSite.oralCavitySubsite 0..1 CodeableConcept ##34#Oral cavity subsite##34# ##334#Specifies the subsite for cancers occurred in oral cavity##334#</v>
      </c>
    </row>
    <row r="26" spans="3:3">
      <c r="C26" s="12" t="str">
        <f>IF(CancerUnderStudy!J26="*  ..  ##34###34# ##334###334#","//--- END",CancerUnderStudy!J26)</f>
        <v>* subSite.lipSubsite 0..1 CodeableConcept ##34#Lip subsite##34# ##334#Specifies the subsite for cancers occurred in lip##334#</v>
      </c>
    </row>
    <row r="27" spans="3:3" ht="29.5">
      <c r="C27" s="12" t="str">
        <f>IF(CancerUnderStudy!J27="*  ..  ##34###34# ##334###334#","//--- END",CancerUnderStudy!J27)</f>
        <v>* PlasmaticEbvDnaAtBaseline 0..1 CodeableConcept ##34#Plasmatic EBV DNA at baseline##34# ##334#Describes the result of EBV DNA plasma testing before treatment in NPC type II and III (WHO)##334#</v>
      </c>
    </row>
    <row r="28" spans="3:3" ht="29.5">
      <c r="C28" s="12" t="str">
        <f>IF(CancerUnderStudy!J28="*  ..  ##34###34# ##334###334#","//--- END",CancerUnderStudy!J28)</f>
        <v>* PrimerType 0..1 CodeableConcept ##34#Primer type##34# ##334#Describes the primer used for EBV DNA plasma testing t in NPC type II and Type III (WHO)##334#</v>
      </c>
    </row>
    <row r="29" spans="3:3">
      <c r="C29" s="12" t="str">
        <f>IF(CancerUnderStudy!J29="*  ..  ##34###34# ##334###334#","//--- END",CancerUnderStudy!J29)</f>
        <v>* CopyNumber 0..1 integer ##34#Copy Number##34# ##334#Copy number of EBVDNA##334#</v>
      </c>
    </row>
    <row r="30" spans="3:3" ht="29.5">
      <c r="C30" s="12" t="str">
        <f>IF(CancerUnderStudy!J30="*  ..  ##34###34# ##334###334#","//--- END",CancerUnderStudy!J30)</f>
        <v>* HpvStatus 0..1 CodeableConcept ##34#HPV status##34# ##334#Describes the result of HPV tumor testing in oral carcinoma##334#</v>
      </c>
    </row>
    <row r="31" spans="3:3" ht="29.5">
      <c r="C31" s="12" t="str">
        <f>IF(CancerUnderStudy!J31="*  ..  ##34###34# ##334###334#","//--- END",CancerUnderStudy!J31)</f>
        <v>* HpvStatusDetectedBy 0..1 CodeableConcept ##34#HPV status detecection##34# ##334#Describes the technique used for HPV tumour testing in orall carcinoma##334#</v>
      </c>
    </row>
    <row r="32" spans="3:3">
      <c r="C32" s="12" t="str">
        <f>IF(CancerUnderStudy!J32="*  ..  ##34###34# ##334###334#","//--- END",CancerUnderStudy!J32)</f>
        <v>* P16 0..1 CodeableConcept ##34#p16##34# ##334#Describes the result of p16 tumour testing in oral carcinoma##334#</v>
      </c>
    </row>
    <row r="33" spans="3:3">
      <c r="C33" s="12" t="str">
        <f>IF(CancerUnderStudy!J33="*  ..  ##34###34# ##334###334#","//--- END",CancerUnderStudy!J33)</f>
        <v>* PdL1 0..1 CodeableConcept ##34#PD-L1##34# ##334#Describes the result of PDL tumour testing in oral carcinoma##334#</v>
      </c>
    </row>
    <row r="34" spans="3:3" ht="29.5">
      <c r="C34" s="12" t="str">
        <f>IF(CancerUnderStudy!J34="*  ..  ##34###34# ##334###334#","//--- END",CancerUnderStudy!J34)</f>
        <v>* Pd-L1Method 0..1 CodeableConcept ##34#PD-L1 Method##34# ##334#Describes the technique used for PDL tumour testing in oral carcinoma##334#</v>
      </c>
    </row>
    <row r="35" spans="3:3">
      <c r="C35" s="12" t="str">
        <f>IF(CancerUnderStudy!J35="*  ..  ##34###34# ##334###334#","//--- END",CancerUnderStudy!J35)</f>
        <v>* Pd-L1CpsValue 0..1 integer ##34#PD-L1 CPS##34# ##334#Result of PDL1CPS testing, when performed##334#</v>
      </c>
    </row>
    <row r="36" spans="3:3">
      <c r="C36" s="12" t="str">
        <f>IF(CancerUnderStudy!J36="*  ..  ##34###34# ##334###334#","//--- END",CancerUnderStudy!J36)</f>
        <v>* Pd-L1TpsValue 0..1 integer ##34#PD-L1 TPS##34# ##334#Result of PDL1TPS testing, when performed##334#</v>
      </c>
    </row>
    <row r="37" spans="3:3" ht="29.5">
      <c r="C37" s="12" t="str">
        <f>IF(CancerUnderStudy!J37="*  ..  ##34###34# ##334###334#","//--- END",CancerUnderStudy!J37)</f>
        <v>* Crp-CReactiveProteinTested 0..1 CodeableConcept ##34#CRP – C reactive protein tested##34# ##334#Describes the result of C reactive protein testing##334#</v>
      </c>
    </row>
    <row r="38" spans="3:3" ht="29.5">
      <c r="C38" s="12" t="str">
        <f>IF(CancerUnderStudy!J38="*  ..  ##34###34# ##334###334#","//--- END",CancerUnderStudy!J38)</f>
        <v>* CReactiveProtein-Crp-MgDl 0..1 Quantity ##34#C reactive protein - CRP (mg/dl)##34# ##334#Result of CRP testing, when performed##334#</v>
      </c>
    </row>
    <row r="39" spans="3:3" ht="29.5">
      <c r="C39" s="12" t="str">
        <f>IF(CancerUnderStudy!J39="*  ..  ##34###34# ##334###334#","//--- END",CancerUnderStudy!J39)</f>
        <v>* InstrumentStatus 0..1 CodeableConcept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1682</v>
      </c>
    </row>
    <row r="47" spans="3:3">
      <c r="C47" s="25" t="s">
        <v>20</v>
      </c>
    </row>
    <row r="48" spans="3:3">
      <c r="C48" s="25" t="s">
        <v>1682</v>
      </c>
    </row>
    <row r="49" spans="3:3" ht="44.25">
      <c r="C49" s="12" t="str">
        <f>IF(CancerUnderStudy!L8="*  ..  ##34###34# ##334###334#","//--- END",CancerUnderStudy!L8)</f>
        <v>* diagnosisDate ^comment = ##334#Must be formatted as YYYY-MM-DD. Leave empty if not known. Optional rule : Possible date anonymisation by
setting the 15th of every month i.e.: YYYY-MM-15. If the month is not known, we set it to June (06).##334#</v>
      </c>
    </row>
    <row r="50" spans="3:3" ht="29.5">
      <c r="C50" s="12" t="str">
        <f>IF(CancerUnderStudy!L9="*  ..  ##34###34# ##334###334#","//--- END",CancerUnderStudy!L9)</f>
        <v>* ageAtDiagnosis ^comment = ##334#An integer value &gt; 0. We use the -1 value for unknown. Automatic  calculation from date of birth and date of diagnosis.##334#</v>
      </c>
    </row>
    <row r="51" spans="3:3">
      <c r="C51" s="12" t="str">
        <f>IF(CancerUnderStudy!L10="*  ..  ##34###34# ##334###334#","//--- END",CancerUnderStudy!L10)</f>
        <v>* histologyGroup ^comment = ##334#A value in the WHO 2017 H&amp;N classification list.##334#</v>
      </c>
    </row>
    <row r="52" spans="3:3">
      <c r="C52" s="12" t="str">
        <f>IF(CancerUnderStudy!L11="*  ..  ##34###34# ##334###334#","//--- END",CancerUnderStudy!L11)</f>
        <v/>
      </c>
    </row>
    <row r="53" spans="3:3">
      <c r="C53" s="12" t="str">
        <f>IF(CancerUnderStudy!L12="*  ..  ##34###34# ##334###334#","//--- END",CancerUnderStudy!L12)</f>
        <v>* histologySubgroup.histologySquamous ^comment = ##334#A value in the WHO 2017 H&amp;N squamous classification list.##334#</v>
      </c>
    </row>
    <row r="54" spans="3:3" ht="29.5">
      <c r="C54" s="12" t="str">
        <f>IF(CancerUnderStudy!L13="*  ..  ##34###34# ##334###334#","//--- END",CancerUnderStudy!L13)</f>
        <v>* histologySubgroup.histologyAdenocarcinoma ^comment = ##334#A value in the WHO 2017 H&amp;N adenocarcinoma classification list.##334#</v>
      </c>
    </row>
    <row r="55" spans="3:3" ht="29.5">
      <c r="C55" s="12" t="str">
        <f>IF(CancerUnderStudy!L14="*  ..  ##34###34# ##334###334#","//--- END",CancerUnderStudy!L14)</f>
        <v>* histologySubgroup.histologyNeuroendocrine ^comment = ##334#A value in the WHO 2017 H&amp;N neuroendocrine classification list.##334#</v>
      </c>
    </row>
    <row r="56" spans="3:3" ht="29.5">
      <c r="C56" s="12" t="str">
        <f>IF(CancerUnderStudy!L15="*  ..  ##34###34# ##334###334#","//--- END",CancerUnderStudy!L15)</f>
        <v>* histologySubgroup.histologyOdontogenicCarcinoma ^comment = ##334#A value in the WHO 2017 H&amp;N odontogenic carcinoma classification list.##334#</v>
      </c>
    </row>
    <row r="57" spans="3:3">
      <c r="C57" s="12" t="str">
        <f>IF(CancerUnderStudy!L16="*  ..  ##34###34# ##334###334#","//--- END",CancerUnderStudy!L16)</f>
        <v>* histologySubgroup.histologySNUC ^comment = ##334#A value in the WHO 2017 H&amp;N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histologySubgroup -&gt; ##34#TBD##34#</v>
      </c>
    </row>
    <row r="100" spans="3:3">
      <c r="C100" s="12" t="str">
        <f>IF('CancerUnderStudy-Map-1'!E14="*  -&gt; ##34###34#","// --END",'CancerUnderStudy-Map-1'!E14)</f>
        <v>* histologySubgroup.histologySquamous -&gt; ##34#TBD##34#</v>
      </c>
    </row>
    <row r="101" spans="3:3">
      <c r="C101" s="12" t="str">
        <f>IF('CancerUnderStudy-Map-1'!E15="*  -&gt; ##34###34#","// --END",'CancerUnderStudy-Map-1'!E15)</f>
        <v>* histologySubgroup.histologyAdenocarcinoma -&gt; ##34#TBD##34#</v>
      </c>
    </row>
    <row r="102" spans="3:3">
      <c r="C102" s="12" t="str">
        <f>IF('CancerUnderStudy-Map-1'!E16="*  -&gt; ##34###34#","// --END",'CancerUnderStudy-Map-1'!E16)</f>
        <v>* histologySubgroup.histologyNeuroendocrine -&gt; ##34#TBD##34#</v>
      </c>
    </row>
    <row r="103" spans="3:3">
      <c r="C103" s="12" t="str">
        <f>IF('CancerUnderStudy-Map-1'!E17="*  -&gt; ##34###34#","// --END",'CancerUnderStudy-Map-1'!E17)</f>
        <v>* histologySubgroup.histologyOdontogenicCarcinoma -&gt; ##34#TBD##34#</v>
      </c>
    </row>
    <row r="104" spans="3:3">
      <c r="C104" s="12" t="str">
        <f>IF('CancerUnderStudy-Map-1'!E18="*  -&gt; ##34###34#","// --END",'CancerUnderStudy-Map-1'!E18)</f>
        <v>* histologySubgroup.histologySNUC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CancerUnderStudy.histologySubgroup</v>
      </c>
      <c r="C13" s="11" t="str">
        <f>CancerUnderStudy!C11</f>
        <v>histologySubgroup.histology (WHO 2017) subgroup</v>
      </c>
      <c r="D13" s="11"/>
      <c r="E13" s="11"/>
      <c r="F13" s="68" t="s">
        <v>1434</v>
      </c>
      <c r="G13" s="62"/>
      <c r="H13" s="12" t="str">
        <f t="shared" si="0"/>
        <v>* group[=].element[+].code = #CancerUnderStudy.histologySubgroup</v>
      </c>
      <c r="I13" s="12" t="str">
        <f t="shared" si="1"/>
        <v>* group[=].element[=].display = ##34#histologySubgroup.histology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CancerUnderStudy.histologySubgroup.histologySquamous</v>
      </c>
      <c r="C14" s="11" t="str">
        <f>CancerUnderStudy!C12</f>
        <v>Specifies the histological subgroup for squamous cancers</v>
      </c>
      <c r="D14" s="11"/>
      <c r="E14" s="11"/>
      <c r="F14" s="68" t="s">
        <v>1434</v>
      </c>
      <c r="G14" s="62"/>
      <c r="H14" s="12" t="str">
        <f t="shared" si="0"/>
        <v>* group[=].element[+].code = #CancerUnderStudy.histologySubgroup.histologySquamous</v>
      </c>
      <c r="I14" s="12" t="str">
        <f t="shared" si="1"/>
        <v>* group[=].element[=].display = ##34#Specifies the histological subgroup for squamous cancers##34#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CancerUnderStudy.histologySubgroup.histologyAdenocarcinoma</v>
      </c>
      <c r="C15" s="11" t="str">
        <f>CancerUnderStudy!C13</f>
        <v>Specifies the histological subgroup for adenocarcinomas</v>
      </c>
      <c r="D15" s="11" t="str">
        <f>ConvertOsiris!I4</f>
        <v>Patient.Gender</v>
      </c>
      <c r="E15" s="11" t="str">
        <f>ConvertOsiris!J4</f>
        <v>Gender [C2]</v>
      </c>
      <c r="F15" s="68" t="s">
        <v>1443</v>
      </c>
      <c r="G15" s="62"/>
      <c r="H15" s="12" t="str">
        <f t="shared" si="0"/>
        <v>* group[=].element[+].code = #CancerUnderStudy.histologySubgroup.histologyAdenocarcinoma</v>
      </c>
      <c r="I15" s="12" t="str">
        <f t="shared" si="1"/>
        <v>* group[=].element[=].display = ##34#Specifies the histological subgroup for adenocarcinomas##34#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CancerUnderStudy.histologySubgroup.histologyNeuroendocrine</v>
      </c>
      <c r="C16" s="11" t="str">
        <f>CancerUnderStudy!C14</f>
        <v xml:space="preserve">Specifies the histological subgroup for neuroendocrine cancers </v>
      </c>
      <c r="D16" s="11" t="str">
        <f>ConvertOsiris!I5</f>
        <v>Patient.Ethnicity</v>
      </c>
      <c r="E16" s="11" t="str">
        <f>ConvertOsiris!J5</f>
        <v>Ethnicity [C3]</v>
      </c>
      <c r="F16" s="68" t="s">
        <v>1441</v>
      </c>
      <c r="G16" s="62"/>
      <c r="H16" s="12" t="str">
        <f t="shared" si="0"/>
        <v>* group[=].element[+].code = #CancerUnderStudy.histologySubgroup.histologyNeuroendocrine</v>
      </c>
      <c r="I16" s="12" t="str">
        <f t="shared" si="1"/>
        <v>* group[=].element[=].display = ##34#Specifies the histological subgroup for neuroendocrine cancers ##34#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diagnosis##34#</v>
      </c>
    </row>
    <row r="17" spans="1:17" ht="44.25">
      <c r="A17" s="63"/>
      <c r="B17" s="11" t="str">
        <f>$B$10&amp;"."&amp;CancerUnderStudy!B15</f>
        <v>CancerUnderStudy.histologySubgroup.histologyOdontogenicCarcinoma</v>
      </c>
      <c r="C17" s="11" t="str">
        <f>CancerUnderStudy!C15</f>
        <v>Specifies the histological subgroup for odontogenic carcinomas</v>
      </c>
      <c r="D17" s="11"/>
      <c r="E17" s="12"/>
      <c r="F17" s="68" t="s">
        <v>1434</v>
      </c>
      <c r="G17" s="62"/>
      <c r="H17" s="12" t="str">
        <f t="shared" si="0"/>
        <v>* group[=].element[+].code = #CancerUnderStudy.histologySubgroup.histologyOdontogenicCarcinoma</v>
      </c>
      <c r="I17" s="12" t="str">
        <f t="shared" si="1"/>
        <v>* group[=].element[=].display = ##34#Specifies the histological subgroup for odontogenic carcinomas##34#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#CancerUnderStudy.histologySubgroup</v>
      </c>
    </row>
    <row r="26" spans="1:17" ht="29.5">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##34#histologySubgroup.histology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#CancerUnderStudy.histologySubgroup.histologySquamous</v>
      </c>
    </row>
    <row r="31" spans="1:17" s="2" customFormat="1" ht="29.5">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##34#Specifies the histological subgroup for squamous cancers##34#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#CancerUnderStudy.histologySubgroup.histologyAdenocarcinoma</v>
      </c>
    </row>
    <row r="36" spans="1:17" s="2" customFormat="1" ht="29.5">
      <c r="A36"/>
      <c r="B36" s="11"/>
      <c r="C36"/>
      <c r="F36" s="62"/>
      <c r="G36" s="62"/>
      <c r="I36" s="62"/>
      <c r="J36" s="62"/>
      <c r="K36" s="62"/>
      <c r="L36" s="70"/>
      <c r="N36" s="11">
        <v>27</v>
      </c>
      <c r="O36" s="11">
        <f t="shared" si="5"/>
        <v>5</v>
      </c>
      <c r="P36" s="11">
        <f t="shared" si="6"/>
        <v>2</v>
      </c>
      <c r="Q36" s="12" t="str" cm="1">
        <f t="array" ref="Q36">INDEX('CancerUnderStudy-ConceptMap'!$H$10:$L$264,O36+1,P36)</f>
        <v>* group[=].element[=].display = ##34#Specifies the histological subgroup for adenocarcinomas##34#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#CancerUnderStudy.histologySubgroup.histologyNeuroendocrine</v>
      </c>
    </row>
    <row r="41" spans="1:17" s="2" customFormat="1" ht="29.5">
      <c r="A41"/>
      <c r="B41" s="11"/>
      <c r="C41"/>
      <c r="F41" s="62"/>
      <c r="G41" s="62"/>
      <c r="I41" s="62"/>
      <c r="J41" s="62"/>
      <c r="K41" s="62"/>
      <c r="L41" s="62"/>
      <c r="N41" s="11">
        <v>32</v>
      </c>
      <c r="O41" s="11">
        <f t="shared" si="5"/>
        <v>6</v>
      </c>
      <c r="P41" s="11">
        <f t="shared" si="6"/>
        <v>2</v>
      </c>
      <c r="Q41" s="12" t="str" cm="1">
        <f t="array" ref="Q41">INDEX('CancerUnderStudy-ConceptMap'!$H$10:$L$264,O41+1,P41)</f>
        <v>* group[=].element[=].display = ##34#Specifies the histological subgroup for neuroendocrine cancers ##34#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#CancerUnderStudy.histologySubgroup.histologyOdontogenicCarcinoma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##34#Specifies the histological subgroup for odontogenic carcinomas##34#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G51" sqref="G5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#CancerUnderStudy.histologySubgroup</v>
      </c>
    </row>
    <row r="36" spans="2:2">
      <c r="B36" s="12" t="str">
        <f>IF('CancerUnderStudy-ConceptMap'!Q26=0,"//---END",'CancerUnderStudy-ConceptMap'!Q26)</f>
        <v>* group[=].element[=].display = ##34#histologySubgroup.histology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#CancerUnderStudy.histologySubgroup.histologySquamous</v>
      </c>
    </row>
    <row r="41" spans="2:2">
      <c r="B41" s="12" t="str">
        <f>IF('CancerUnderStudy-ConceptMap'!Q31=0,"//---END",'CancerUnderStudy-ConceptMap'!Q31)</f>
        <v>* group[=].element[=].display = ##34#Specifies the histological subgroup for squamous cancers##34#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#CancerUnderStudy.histologySubgroup.histologyAdenocarcinoma</v>
      </c>
    </row>
    <row r="46" spans="2:2">
      <c r="B46" s="12" t="str">
        <f>IF('CancerUnderStudy-ConceptMap'!Q36=0,"//---END",'CancerUnderStudy-ConceptMap'!Q36)</f>
        <v>* group[=].element[=].display = ##34#Specifies the histological subgroup for adenocarcinomas##34#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#CancerUnderStudy.histologySubgroup.histologyNeuroendocrine</v>
      </c>
    </row>
    <row r="51" spans="2:2">
      <c r="B51" s="12" t="str">
        <f>IF('CancerUnderStudy-ConceptMap'!Q41=0,"//---END",'CancerUnderStudy-ConceptMap'!Q41)</f>
        <v>* group[=].element[=].display = ##34#Specifies the histological subgroup for neuroendocrine cancers ##34#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#CancerUnderStudy.histologySubgroup.histologyOdontogenicCarcinoma</v>
      </c>
    </row>
    <row r="56" spans="2:2">
      <c r="B56" s="12" t="str">
        <f>IF('CancerUnderStudy-ConceptMap'!Q46=0,"//---END",'CancerUnderStudy-ConceptMap'!Q46)</f>
        <v>* group[=].element[=].display = ##34#Specifies the histological subgroup for odontogenic carcinomas##34#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I1" sqref="I1:I20"/>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22</vt:i4>
      </vt:variant>
    </vt:vector>
  </HeadingPairs>
  <TitlesOfParts>
    <vt:vector size="22" baseType="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2023-02-05T18:30:29Z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