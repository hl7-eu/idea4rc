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42B3562D-C3DD-4DA2-9571-8665ED11E660}" xr6:coauthVersionLast="47" xr6:coauthVersionMax="47" xr10:uidLastSave="{00000000-0000-0000-0000-000000000000}"/>
  <bookViews>
    <workbookView xWindow="-90" yWindow="-21710" windowWidth="38620" windowHeight="21100" tabRatio="819" firstSheet="38" activeTab="4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Subject!$A$7:$O$40</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0" l="1"/>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Q165" i="213"/>
  <c r="S165" i="213" s="1" a="1"/>
  <c r="S165" i="213" s="1"/>
  <c r="B169" i="214" s="1"/>
  <c r="R165" i="213"/>
  <c r="Q166" i="213"/>
  <c r="S166" i="213" s="1" a="1"/>
  <c r="S166" i="213" s="1"/>
  <c r="B170" i="214" s="1"/>
  <c r="R166" i="213"/>
  <c r="Q167" i="213"/>
  <c r="S167" i="213" s="1" a="1"/>
  <c r="S167" i="213" s="1"/>
  <c r="B171" i="214" s="1"/>
  <c r="R167" i="213"/>
  <c r="Q168" i="213"/>
  <c r="S168" i="213" s="1" a="1"/>
  <c r="S168" i="213" s="1"/>
  <c r="B172" i="214"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B28" i="214" s="1"/>
  <c r="R24" i="213"/>
  <c r="Q25" i="213"/>
  <c r="R25" i="213"/>
  <c r="S25" i="213" a="1"/>
  <c r="S25" i="213" s="1"/>
  <c r="B29" i="214" s="1"/>
  <c r="Q26" i="213"/>
  <c r="R26" i="213"/>
  <c r="Q27" i="213"/>
  <c r="R27" i="213"/>
  <c r="S27" i="213" a="1"/>
  <c r="S27" i="213" s="1"/>
  <c r="B31" i="214" s="1"/>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Q34" i="213"/>
  <c r="S34" i="213" s="1" a="1"/>
  <c r="S34" i="213" s="1"/>
  <c r="B38" i="214" s="1"/>
  <c r="R34" i="213"/>
  <c r="Q35" i="213"/>
  <c r="R35" i="213"/>
  <c r="S35" i="213" a="1"/>
  <c r="S35" i="213" s="1"/>
  <c r="B39" i="214" s="1"/>
  <c r="Q36" i="213"/>
  <c r="S36" i="213" s="1" a="1"/>
  <c r="S36" i="213" s="1"/>
  <c r="B40" i="214" s="1"/>
  <c r="R36" i="213"/>
  <c r="Q37" i="213"/>
  <c r="R37" i="213"/>
  <c r="S37" i="213" a="1"/>
  <c r="S37" i="213" s="1"/>
  <c r="B41" i="214" s="1"/>
  <c r="Q38" i="213"/>
  <c r="S38" i="213" s="1" a="1"/>
  <c r="S38" i="213" s="1"/>
  <c r="B42" i="214" s="1"/>
  <c r="R38" i="213"/>
  <c r="Q39" i="213"/>
  <c r="R39" i="213"/>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Q46" i="213"/>
  <c r="S46" i="213" s="1" a="1"/>
  <c r="S46" i="213" s="1"/>
  <c r="B50" i="214" s="1"/>
  <c r="R46" i="213"/>
  <c r="Q47" i="213"/>
  <c r="R47" i="213"/>
  <c r="Q48" i="213"/>
  <c r="S48" i="213" s="1" a="1"/>
  <c r="S48" i="213" s="1"/>
  <c r="B52" i="214" s="1"/>
  <c r="R48" i="213"/>
  <c r="Q49" i="213"/>
  <c r="R49" i="213"/>
  <c r="S49" i="213" a="1"/>
  <c r="S49" i="213" s="1"/>
  <c r="B53" i="214" s="1"/>
  <c r="Q50" i="213"/>
  <c r="R50" i="213"/>
  <c r="Q51" i="213"/>
  <c r="R51" i="213"/>
  <c r="Q52" i="213"/>
  <c r="S52" i="213" s="1" a="1"/>
  <c r="S52" i="213" s="1"/>
  <c r="B56" i="214" s="1"/>
  <c r="R52" i="213"/>
  <c r="Q53" i="213"/>
  <c r="R53" i="213"/>
  <c r="Q54" i="213"/>
  <c r="S54" i="213" s="1" a="1"/>
  <c r="S54" i="213" s="1"/>
  <c r="B58" i="214" s="1"/>
  <c r="R54" i="213"/>
  <c r="Q55" i="213"/>
  <c r="R55" i="213"/>
  <c r="S55" i="213" a="1"/>
  <c r="S55" i="213" s="1"/>
  <c r="B59" i="214" s="1"/>
  <c r="Q56" i="213"/>
  <c r="R56" i="213"/>
  <c r="Q57" i="213"/>
  <c r="R57" i="213"/>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Q64" i="213"/>
  <c r="S64" i="213" s="1" a="1"/>
  <c r="S64" i="213" s="1"/>
  <c r="B68" i="214" s="1"/>
  <c r="R64" i="213"/>
  <c r="Q65" i="213"/>
  <c r="R65" i="213"/>
  <c r="Q66" i="213"/>
  <c r="S66" i="213" s="1" a="1"/>
  <c r="S66" i="213" s="1"/>
  <c r="B70" i="214" s="1"/>
  <c r="R66" i="213"/>
  <c r="Q67" i="213"/>
  <c r="R67" i="213"/>
  <c r="S67" i="213" a="1"/>
  <c r="S67" i="213" s="1"/>
  <c r="B71" i="214" s="1"/>
  <c r="Q68" i="213"/>
  <c r="R68" i="213"/>
  <c r="Q69" i="213"/>
  <c r="R69" i="213"/>
  <c r="Q70" i="213"/>
  <c r="S70" i="213" s="1" a="1"/>
  <c r="S70" i="213" s="1"/>
  <c r="B74" i="214" s="1"/>
  <c r="R70" i="213"/>
  <c r="Q71" i="213"/>
  <c r="R71" i="213"/>
  <c r="Q72" i="213"/>
  <c r="S72" i="213" s="1" a="1"/>
  <c r="S72" i="213" s="1"/>
  <c r="B76" i="214" s="1"/>
  <c r="R72" i="213"/>
  <c r="Q73" i="213"/>
  <c r="R73" i="213"/>
  <c r="S73" i="213" a="1"/>
  <c r="S73" i="213" s="1"/>
  <c r="B77" i="214" s="1"/>
  <c r="Q74" i="213"/>
  <c r="R74" i="213"/>
  <c r="Q75" i="213"/>
  <c r="R75" i="213"/>
  <c r="S75" i="213" a="1"/>
  <c r="S75" i="213" s="1"/>
  <c r="B79" i="214" s="1"/>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S86" i="213" s="1" a="1"/>
  <c r="S86" i="213" s="1"/>
  <c r="B90" i="214" s="1"/>
  <c r="R86" i="213"/>
  <c r="Q87" i="213"/>
  <c r="R87" i="213"/>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s="1"/>
  <c r="B107" i="214" s="1"/>
  <c r="Q104" i="213"/>
  <c r="S104" i="213" s="1" a="1"/>
  <c r="S104" i="213" s="1"/>
  <c r="B108" i="214" s="1"/>
  <c r="R104" i="213"/>
  <c r="Q105" i="213"/>
  <c r="R105" i="213"/>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Q118" i="213"/>
  <c r="S118" i="213" s="1" a="1"/>
  <c r="S118" i="213" s="1"/>
  <c r="B122" i="214" s="1"/>
  <c r="R118" i="213"/>
  <c r="Q119" i="213"/>
  <c r="R119" i="213"/>
  <c r="S119" i="213" a="1"/>
  <c r="S119" i="213" s="1"/>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s="1"/>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s="1"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s="1" a="1"/>
  <c r="S137" i="213" s="1"/>
  <c r="B141" i="214" s="1"/>
  <c r="Q138" i="213"/>
  <c r="S138" i="213" s="1" a="1"/>
  <c r="S138" i="213" s="1"/>
  <c r="B142" i="214" s="1"/>
  <c r="R138" i="213"/>
  <c r="Q139" i="213"/>
  <c r="R139" i="213"/>
  <c r="S139" i="213" s="1" a="1"/>
  <c r="S139" i="213" s="1"/>
  <c r="B143" i="214" s="1"/>
  <c r="Q140" i="213"/>
  <c r="S140" i="213" s="1" a="1"/>
  <c r="S140" i="213" s="1"/>
  <c r="B144" i="214" s="1"/>
  <c r="R140" i="213"/>
  <c r="Q141" i="213"/>
  <c r="R141" i="213"/>
  <c r="Q142" i="213"/>
  <c r="S142" i="213" s="1" a="1"/>
  <c r="S142" i="213" s="1"/>
  <c r="B146" i="214" s="1"/>
  <c r="R142" i="213"/>
  <c r="Q143" i="213"/>
  <c r="R143" i="213"/>
  <c r="S143" i="213" a="1"/>
  <c r="S143" i="213" s="1"/>
  <c r="B147" i="214" s="1"/>
  <c r="Q144" i="213"/>
  <c r="S144" i="213" s="1" a="1"/>
  <c r="S144" i="213" s="1"/>
  <c r="B148" i="214" s="1"/>
  <c r="R144" i="213"/>
  <c r="Q145" i="213"/>
  <c r="R145" i="213"/>
  <c r="S145" i="213" s="1" a="1"/>
  <c r="S145" i="213" s="1"/>
  <c r="B149" i="214" s="1"/>
  <c r="Q146" i="213"/>
  <c r="S146" i="213" s="1" a="1"/>
  <c r="S146" i="213" s="1"/>
  <c r="B150" i="214" s="1"/>
  <c r="R146" i="213"/>
  <c r="Q147" i="213"/>
  <c r="R147" i="213"/>
  <c r="S147" i="213" a="1"/>
  <c r="S147" i="213" s="1"/>
  <c r="B151" i="214" s="1"/>
  <c r="Q148" i="213"/>
  <c r="S148" i="213" s="1" a="1"/>
  <c r="S148" i="213" s="1"/>
  <c r="B152" i="214" s="1"/>
  <c r="R148" i="213"/>
  <c r="Q149" i="213"/>
  <c r="R149" i="213"/>
  <c r="S149" i="213" s="1" a="1"/>
  <c r="S149" i="213" s="1"/>
  <c r="B153" i="214" s="1"/>
  <c r="Q150" i="213"/>
  <c r="S150" i="213" s="1" a="1"/>
  <c r="S150" i="213" s="1"/>
  <c r="B154" i="214" s="1"/>
  <c r="R150" i="213"/>
  <c r="Q151" i="213"/>
  <c r="R151" i="213"/>
  <c r="S151" i="213" a="1"/>
  <c r="S151" i="213" s="1"/>
  <c r="B155" i="214" s="1"/>
  <c r="Q152" i="213"/>
  <c r="S152" i="213" s="1" a="1"/>
  <c r="S152" i="213" s="1"/>
  <c r="B156" i="214" s="1"/>
  <c r="R152" i="213"/>
  <c r="Q153" i="213"/>
  <c r="R153" i="213"/>
  <c r="Q154" i="213"/>
  <c r="S154" i="213" s="1" a="1"/>
  <c r="S154" i="213" s="1"/>
  <c r="B158" i="214" s="1"/>
  <c r="R154" i="213"/>
  <c r="Q155" i="213"/>
  <c r="R155" i="213"/>
  <c r="S155" i="213" s="1"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Q160" i="213"/>
  <c r="S160" i="213" s="1" a="1"/>
  <c r="S160" i="213" s="1"/>
  <c r="B164" i="214" s="1"/>
  <c r="R160" i="213"/>
  <c r="Q161" i="213"/>
  <c r="S161" i="213" s="1" a="1"/>
  <c r="S161" i="213" s="1"/>
  <c r="B165" i="214" s="1"/>
  <c r="R161" i="213"/>
  <c r="Q162" i="213"/>
  <c r="S162" i="213" s="1" a="1"/>
  <c r="S162" i="213" s="1"/>
  <c r="B166" i="214" s="1"/>
  <c r="R162" i="213"/>
  <c r="Q163" i="213"/>
  <c r="S163" i="213" s="1" a="1"/>
  <c r="S163" i="213" s="1"/>
  <c r="B167" i="214" s="1"/>
  <c r="R163" i="213"/>
  <c r="Q164" i="213"/>
  <c r="S164" i="213" s="1" a="1"/>
  <c r="S164" i="213" s="1"/>
  <c r="B168" i="214" s="1"/>
  <c r="R164" i="213"/>
  <c r="Q18" i="213"/>
  <c r="S18" i="213" s="1" a="1"/>
  <c r="S18" i="213" s="1"/>
  <c r="B22" i="214" s="1"/>
  <c r="R18" i="213"/>
  <c r="Q19" i="213"/>
  <c r="S19" i="213" s="1" a="1"/>
  <c r="S19" i="213" s="1"/>
  <c r="B23" i="214" s="1"/>
  <c r="R19" i="213"/>
  <c r="Q20" i="213"/>
  <c r="S20" i="213" s="1" a="1"/>
  <c r="S20" i="213" s="1"/>
  <c r="B24" i="214" s="1"/>
  <c r="R20" i="213"/>
  <c r="Q21" i="213"/>
  <c r="R21" i="213"/>
  <c r="Q22" i="213"/>
  <c r="S22" i="213" s="1" a="1"/>
  <c r="S22" i="213" s="1"/>
  <c r="B26" i="214" s="1"/>
  <c r="R22" i="213"/>
  <c r="Q23" i="213"/>
  <c r="R23" i="213"/>
  <c r="Q16" i="213"/>
  <c r="S16" i="213" s="1" a="1"/>
  <c r="S16" i="213" s="1"/>
  <c r="B20" i="214" s="1"/>
  <c r="R16" i="213"/>
  <c r="Q17" i="213"/>
  <c r="R17" i="213"/>
  <c r="S17" i="213" a="1"/>
  <c r="S17" i="213" s="1"/>
  <c r="B21" i="214" s="1"/>
  <c r="I24" i="213"/>
  <c r="S69" i="213" s="1" a="1"/>
  <c r="S69" i="213" s="1"/>
  <c r="B73" i="214" s="1"/>
  <c r="J24" i="213"/>
  <c r="K24" i="213"/>
  <c r="S71" i="213" s="1" a="1"/>
  <c r="S71" i="213" s="1"/>
  <c r="B75" i="214" s="1"/>
  <c r="L24" i="213"/>
  <c r="M24" i="213"/>
  <c r="N24" i="213"/>
  <c r="I25" i="213"/>
  <c r="J25" i="213"/>
  <c r="K25" i="213"/>
  <c r="L25" i="213"/>
  <c r="M25" i="213"/>
  <c r="N25" i="213"/>
  <c r="I26" i="213"/>
  <c r="J26" i="213"/>
  <c r="K26" i="213"/>
  <c r="L26" i="213"/>
  <c r="M26" i="213"/>
  <c r="N26" i="213"/>
  <c r="I27" i="213"/>
  <c r="S87" i="213" s="1" a="1"/>
  <c r="S87" i="213" s="1"/>
  <c r="B91" i="214" s="1"/>
  <c r="J27" i="213"/>
  <c r="K27" i="213"/>
  <c r="L27" i="213"/>
  <c r="M27" i="213"/>
  <c r="N27" i="213"/>
  <c r="I28" i="213"/>
  <c r="S93" i="213" s="1" a="1"/>
  <c r="S93" i="213" s="1"/>
  <c r="B97" i="214" s="1"/>
  <c r="J28" i="213"/>
  <c r="K28" i="213"/>
  <c r="L28" i="213"/>
  <c r="M28" i="213"/>
  <c r="N28" i="213"/>
  <c r="I29" i="213"/>
  <c r="J29" i="213"/>
  <c r="K29" i="213"/>
  <c r="L29" i="213"/>
  <c r="M29" i="213"/>
  <c r="N29" i="213"/>
  <c r="I30" i="213"/>
  <c r="S105" i="213" s="1" a="1"/>
  <c r="S105" i="213" s="1"/>
  <c r="B109" i="214" s="1"/>
  <c r="J30" i="213"/>
  <c r="K30" i="213"/>
  <c r="L30" i="213"/>
  <c r="M30" i="213"/>
  <c r="N30" i="213"/>
  <c r="I31" i="213"/>
  <c r="S111" i="213" s="1" a="1"/>
  <c r="S111" i="213" s="1"/>
  <c r="B115" i="214" s="1"/>
  <c r="J31" i="213"/>
  <c r="K31" i="213"/>
  <c r="L31" i="213"/>
  <c r="M31" i="213"/>
  <c r="N31" i="213"/>
  <c r="I32" i="213"/>
  <c r="S117" i="213" s="1" a="1"/>
  <c r="S117" i="213" s="1"/>
  <c r="B121" i="214" s="1"/>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S141" i="213" s="1" a="1"/>
  <c r="S141" i="213" s="1"/>
  <c r="B145" i="214" s="1"/>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S33" i="213" s="1" a="1"/>
  <c r="S33" i="213" s="1"/>
  <c r="B37" i="214" s="1"/>
  <c r="J18" i="213"/>
  <c r="K18" i="213"/>
  <c r="L18" i="213"/>
  <c r="M18" i="213"/>
  <c r="N18" i="213"/>
  <c r="I19" i="213"/>
  <c r="S39" i="213" s="1" a="1"/>
  <c r="S39" i="213" s="1"/>
  <c r="B43" i="214" s="1"/>
  <c r="J19" i="213"/>
  <c r="K19" i="213"/>
  <c r="L19" i="213"/>
  <c r="M19" i="213"/>
  <c r="N19" i="213"/>
  <c r="I20" i="213"/>
  <c r="S45" i="213" s="1" a="1"/>
  <c r="S45" i="213" s="1"/>
  <c r="B49" i="214" s="1"/>
  <c r="J20" i="213"/>
  <c r="K20" i="213"/>
  <c r="S47" i="213" s="1" a="1"/>
  <c r="S47" i="213" s="1"/>
  <c r="B51" i="214" s="1"/>
  <c r="L20" i="213"/>
  <c r="M20" i="213"/>
  <c r="N20" i="213"/>
  <c r="I21" i="213"/>
  <c r="S51" i="213" s="1" a="1"/>
  <c r="S51" i="213" s="1"/>
  <c r="B55" i="214" s="1"/>
  <c r="J21" i="213"/>
  <c r="K21" i="213"/>
  <c r="S53" i="213" s="1" a="1"/>
  <c r="S53" i="213" s="1"/>
  <c r="B57" i="214" s="1"/>
  <c r="L21" i="213"/>
  <c r="M21" i="213"/>
  <c r="N21" i="213"/>
  <c r="I22" i="213"/>
  <c r="S57" i="213" s="1" a="1"/>
  <c r="S57" i="213" s="1"/>
  <c r="B61" i="214" s="1"/>
  <c r="J22" i="213"/>
  <c r="K22" i="213"/>
  <c r="L22" i="213"/>
  <c r="M22" i="213"/>
  <c r="N22" i="213"/>
  <c r="I23" i="213"/>
  <c r="S63" i="213" s="1" a="1"/>
  <c r="S63" i="213" s="1"/>
  <c r="B67" i="214" s="1"/>
  <c r="J23" i="213"/>
  <c r="K23" i="213"/>
  <c r="S65" i="213" s="1" a="1"/>
  <c r="S65" i="213" s="1"/>
  <c r="B69" i="214" s="1"/>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74" i="213" l="1" a="1"/>
  <c r="S74" i="213" s="1"/>
  <c r="B78" i="214" s="1"/>
  <c r="S68" i="213" a="1"/>
  <c r="S68" i="213" s="1"/>
  <c r="B72" i="214" s="1"/>
  <c r="S56" i="213" a="1"/>
  <c r="S56" i="213" s="1"/>
  <c r="B60" i="214" s="1"/>
  <c r="S50" i="213" a="1"/>
  <c r="S50" i="213" s="1"/>
  <c r="B54" i="214" s="1"/>
  <c r="S159" i="213" a="1"/>
  <c r="S159" i="213" s="1"/>
  <c r="B163" i="214" s="1"/>
  <c r="S153" i="213" a="1"/>
  <c r="S153" i="213" s="1"/>
  <c r="B157" i="214" s="1"/>
  <c r="S23" i="255"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S23" i="213" s="1" a="1"/>
  <c r="S23" i="213" s="1"/>
  <c r="B27" i="214" s="1"/>
  <c r="L16" i="213"/>
  <c r="M16" i="213"/>
  <c r="N16" i="213"/>
  <c r="S26" i="213" s="1" a="1"/>
  <c r="S26" i="213" s="1"/>
  <c r="B30" i="214" s="1"/>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E3" i="199" l="1"/>
  <c r="E6" i="199" s="1"/>
  <c r="B16" i="200" s="1"/>
  <c r="N12" i="193"/>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E6" i="213" s="1"/>
  <c r="B16" i="214" s="1"/>
  <c r="I16" i="213"/>
  <c r="S21" i="213" s="1" a="1"/>
  <c r="S21" i="213" s="1"/>
  <c r="B25" i="214" s="1"/>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B14" i="214" l="1"/>
  <c r="E3" i="255"/>
  <c r="E6" i="255" s="1"/>
  <c r="B190" i="200" s="1"/>
  <c r="E3" i="201"/>
  <c r="E6" i="201" s="1"/>
  <c r="B80" i="200" s="1"/>
  <c r="E3" i="256"/>
  <c r="E6" i="256" s="1"/>
  <c r="B177" i="200" s="1"/>
  <c r="E3" i="203"/>
  <c r="E6" i="203" s="1"/>
  <c r="B144" i="200" s="1"/>
  <c r="E3" i="202"/>
  <c r="E6" i="202" s="1"/>
  <c r="B111" i="200" s="1"/>
  <c r="B14" i="200"/>
  <c r="S77" i="185"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<sst xmlns="http://schemas.openxmlformats.org/spreadsheetml/2006/main" count="7123" uniqueCount="2451">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</sst>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2">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49" fontId="0" fillId="0" borderId="1" xfId="0" applyNumberFormat="1" applyFill="1" applyBorder="1" applyAlignment="1">
      <alignment wrapText="1"/>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6.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7.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1.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2.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5.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microsoft.com/office/2017/10/relationships/threadedComment" Target="../threadedComments/threadedComment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5.vml"/><Relationship Id="rId1" Type="http://schemas.openxmlformats.org/officeDocument/2006/relationships/printerSettings" Target="../printerSettings/printerSettings25.bin"/><Relationship Id="rId4" Type="http://schemas.microsoft.com/office/2017/10/relationships/threadedComment" Target="../threadedComments/threadedComment7.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8.vml"/><Relationship Id="rId1" Type="http://schemas.openxmlformats.org/officeDocument/2006/relationships/printerSettings" Target="../printerSettings/printerSettings28.bin"/><Relationship Id="rId4" Type="http://schemas.microsoft.com/office/2017/10/relationships/threadedComment" Target="../threadedComments/threadedComment8.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9.vml"/><Relationship Id="rId1" Type="http://schemas.openxmlformats.org/officeDocument/2006/relationships/printerSettings" Target="../printerSettings/printerSettings41.bin"/><Relationship Id="rId4" Type="http://schemas.microsoft.com/office/2017/10/relationships/threadedComment" Target="../threadedComments/threadedComment11.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6.vml"/><Relationship Id="rId1" Type="http://schemas.openxmlformats.org/officeDocument/2006/relationships/printerSettings" Target="../printerSettings/printerSettings48.bin"/><Relationship Id="rId4" Type="http://schemas.microsoft.com/office/2017/10/relationships/threadedComment" Target="../threadedComments/threadedComment1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2076</v>
      </c>
      <c r="J7" s="118" t="s">
        <v>2077</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19"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19" t="s">
        <v>1980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19"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19"/>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19"/>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19" t="s">
        <v>1981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1930</v>
      </c>
      <c r="C16" s="11" t="s">
        <v>1931</v>
      </c>
      <c r="D16" s="11" t="s">
        <v>1932</v>
      </c>
      <c r="E16" s="11">
        <v>0</v>
      </c>
      <c r="F16" s="11">
        <v>1</v>
      </c>
      <c r="G16" s="67" t="s">
        <v>1986</v>
      </c>
      <c r="H16" s="119"/>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1933</v>
      </c>
      <c r="C17" s="11" t="s">
        <v>1934</v>
      </c>
      <c r="D17" s="11" t="s">
        <v>1935</v>
      </c>
      <c r="E17" s="11">
        <v>0</v>
      </c>
      <c r="F17" s="11">
        <v>1</v>
      </c>
      <c r="G17" s="67" t="s">
        <v>1383</v>
      </c>
      <c r="H17" s="119"/>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2083</v>
      </c>
      <c r="E18" s="6">
        <v>1</v>
      </c>
      <c r="F18" s="6">
        <v>1</v>
      </c>
      <c r="G18" s="4" t="s">
        <v>1</v>
      </c>
      <c r="H18" s="119"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19"/>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1938</v>
      </c>
      <c r="E20" s="11">
        <v>0</v>
      </c>
      <c r="F20" s="11">
        <v>1</v>
      </c>
      <c r="G20" s="67" t="s">
        <v>44</v>
      </c>
      <c r="H20" s="119"/>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1939</v>
      </c>
      <c r="E21" s="11">
        <v>0</v>
      </c>
      <c r="F21" s="11">
        <v>1</v>
      </c>
      <c r="G21" s="67" t="s">
        <v>44</v>
      </c>
      <c r="H21" s="119"/>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1940</v>
      </c>
      <c r="E22" s="11">
        <v>0</v>
      </c>
      <c r="F22" s="11">
        <v>1</v>
      </c>
      <c r="G22" s="67" t="s">
        <v>44</v>
      </c>
      <c r="H22" s="119"/>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1941</v>
      </c>
      <c r="E23" s="11">
        <v>0</v>
      </c>
      <c r="F23" s="11">
        <v>1</v>
      </c>
      <c r="G23" s="67" t="s">
        <v>44</v>
      </c>
      <c r="H23" s="119"/>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1942</v>
      </c>
      <c r="E24" s="11">
        <v>0</v>
      </c>
      <c r="F24" s="11">
        <v>1</v>
      </c>
      <c r="G24" s="67" t="s">
        <v>44</v>
      </c>
      <c r="H24" s="119"/>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1943</v>
      </c>
      <c r="E25" s="11">
        <v>0</v>
      </c>
      <c r="F25" s="11">
        <v>1</v>
      </c>
      <c r="G25" s="67" t="s">
        <v>44</v>
      </c>
      <c r="H25" s="119"/>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1944</v>
      </c>
      <c r="E26" s="11">
        <v>0</v>
      </c>
      <c r="F26" s="11">
        <v>1</v>
      </c>
      <c r="G26" s="67" t="s">
        <v>44</v>
      </c>
      <c r="H26" s="119"/>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1945</v>
      </c>
      <c r="E27" s="11">
        <v>0</v>
      </c>
      <c r="F27" s="11">
        <v>1</v>
      </c>
      <c r="G27" s="67" t="s">
        <v>44</v>
      </c>
      <c r="H27" s="119"/>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1946</v>
      </c>
      <c r="E28" s="11">
        <v>0</v>
      </c>
      <c r="F28" s="11">
        <v>1</v>
      </c>
      <c r="G28" s="67" t="s">
        <v>44</v>
      </c>
      <c r="H28" s="119"/>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1947</v>
      </c>
      <c r="E29" s="11">
        <v>0</v>
      </c>
      <c r="F29" s="11">
        <v>1</v>
      </c>
      <c r="G29" s="67" t="s">
        <v>44</v>
      </c>
      <c r="H29" s="119"/>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1948</v>
      </c>
      <c r="E30" s="11">
        <v>0</v>
      </c>
      <c r="F30" s="11">
        <v>1</v>
      </c>
      <c r="G30" s="67" t="s">
        <v>44</v>
      </c>
      <c r="H30" s="119"/>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1949</v>
      </c>
      <c r="E31" s="11">
        <v>0</v>
      </c>
      <c r="F31" s="11">
        <v>1</v>
      </c>
      <c r="G31" s="67" t="s">
        <v>44</v>
      </c>
      <c r="H31" s="119"/>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1950</v>
      </c>
      <c r="E32" s="11">
        <v>0</v>
      </c>
      <c r="F32" s="11">
        <v>1</v>
      </c>
      <c r="G32" s="67" t="s">
        <v>44</v>
      </c>
      <c r="H32" s="119"/>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1951</v>
      </c>
      <c r="E33" s="11">
        <v>0</v>
      </c>
      <c r="F33" s="11">
        <v>1</v>
      </c>
      <c r="G33" s="67" t="s">
        <v>44</v>
      </c>
      <c r="H33" s="119"/>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1952</v>
      </c>
      <c r="E34" s="11">
        <v>0</v>
      </c>
      <c r="F34" s="11">
        <v>1</v>
      </c>
      <c r="G34" s="67" t="s">
        <v>44</v>
      </c>
      <c r="H34" s="119"/>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1953</v>
      </c>
      <c r="E35" s="11">
        <v>0</v>
      </c>
      <c r="F35" s="11">
        <v>1</v>
      </c>
      <c r="G35" s="67" t="s">
        <v>44</v>
      </c>
      <c r="H35" s="119"/>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1936</v>
      </c>
      <c r="C36" s="12" t="s">
        <v>1954</v>
      </c>
      <c r="D36" s="67" t="s">
        <v>1955</v>
      </c>
      <c r="E36" s="11">
        <v>0</v>
      </c>
      <c r="F36" s="11">
        <v>1</v>
      </c>
      <c r="G36" s="67" t="s">
        <v>44</v>
      </c>
      <c r="H36" s="119"/>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1937</v>
      </c>
      <c r="C37" s="12" t="s">
        <v>1956</v>
      </c>
      <c r="D37" s="67" t="s">
        <v>1957</v>
      </c>
      <c r="E37" s="11">
        <v>0</v>
      </c>
      <c r="F37" s="11">
        <v>1</v>
      </c>
      <c r="G37" s="67" t="s">
        <v>44</v>
      </c>
      <c r="H37" s="119"/>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1958</v>
      </c>
      <c r="E38" s="11">
        <v>0</v>
      </c>
      <c r="F38" s="11">
        <v>1</v>
      </c>
      <c r="G38" s="67" t="s">
        <v>44</v>
      </c>
      <c r="H38" s="119"/>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19" t="s">
        <v>1982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19" t="s">
        <v>1983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1959</v>
      </c>
      <c r="C41" s="11" t="s">
        <v>1960</v>
      </c>
      <c r="D41" s="12" t="s">
        <v>2082</v>
      </c>
      <c r="E41" s="11">
        <v>1</v>
      </c>
      <c r="F41" s="11">
        <v>1</v>
      </c>
      <c r="G41" s="11" t="s">
        <v>1</v>
      </c>
      <c r="H41" s="119"/>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3" t="s">
        <v>2084</v>
      </c>
      <c r="C42" s="11" t="s">
        <v>1961</v>
      </c>
      <c r="D42" s="11" t="s">
        <v>1961</v>
      </c>
      <c r="E42" s="11">
        <v>1</v>
      </c>
      <c r="F42" s="11">
        <v>1</v>
      </c>
      <c r="G42" s="11" t="s">
        <v>44</v>
      </c>
      <c r="H42" s="119"/>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3" t="s">
        <v>2085</v>
      </c>
      <c r="C43" s="11" t="s">
        <v>1962</v>
      </c>
      <c r="D43" s="11" t="s">
        <v>1962</v>
      </c>
      <c r="E43" s="11">
        <v>1</v>
      </c>
      <c r="F43" s="11">
        <v>1</v>
      </c>
      <c r="G43" s="11" t="s">
        <v>44</v>
      </c>
      <c r="H43" s="119"/>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3" t="s">
        <v>2086</v>
      </c>
      <c r="C44" s="11" t="s">
        <v>1963</v>
      </c>
      <c r="D44" s="11" t="s">
        <v>1963</v>
      </c>
      <c r="E44" s="11">
        <v>1</v>
      </c>
      <c r="F44" s="11">
        <v>1</v>
      </c>
      <c r="G44" s="11" t="s">
        <v>44</v>
      </c>
      <c r="H44" s="119"/>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3" t="s">
        <v>2087</v>
      </c>
      <c r="C45" s="11" t="s">
        <v>1964</v>
      </c>
      <c r="D45" s="11" t="s">
        <v>1964</v>
      </c>
      <c r="E45" s="11">
        <v>1</v>
      </c>
      <c r="F45" s="11">
        <v>1</v>
      </c>
      <c r="G45" s="11" t="s">
        <v>44</v>
      </c>
      <c r="H45" s="119"/>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3" t="s">
        <v>2088</v>
      </c>
      <c r="C46" s="11" t="s">
        <v>1965</v>
      </c>
      <c r="D46" s="11" t="s">
        <v>1965</v>
      </c>
      <c r="E46" s="11">
        <v>1</v>
      </c>
      <c r="F46" s="11">
        <v>1</v>
      </c>
      <c r="G46" s="11" t="s">
        <v>44</v>
      </c>
      <c r="H46" s="119"/>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3" t="s">
        <v>2089</v>
      </c>
      <c r="C47" s="11" t="s">
        <v>1966</v>
      </c>
      <c r="D47" s="11" t="s">
        <v>1979</v>
      </c>
      <c r="E47" s="11">
        <v>1</v>
      </c>
      <c r="F47" s="11">
        <v>1</v>
      </c>
      <c r="G47" s="11" t="s">
        <v>44</v>
      </c>
      <c r="H47" s="119"/>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3" t="s">
        <v>2090</v>
      </c>
      <c r="C48" s="11" t="s">
        <v>1967</v>
      </c>
      <c r="D48" s="11" t="s">
        <v>1967</v>
      </c>
      <c r="E48" s="11">
        <v>1</v>
      </c>
      <c r="F48" s="11">
        <v>1</v>
      </c>
      <c r="G48" s="11" t="s">
        <v>44</v>
      </c>
      <c r="H48" s="119"/>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3" t="s">
        <v>2091</v>
      </c>
      <c r="C49" s="11" t="s">
        <v>1968</v>
      </c>
      <c r="D49" s="11" t="s">
        <v>1968</v>
      </c>
      <c r="E49" s="11">
        <v>1</v>
      </c>
      <c r="F49" s="11">
        <v>1</v>
      </c>
      <c r="G49" s="11" t="s">
        <v>44</v>
      </c>
      <c r="H49" s="119"/>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3" t="s">
        <v>2092</v>
      </c>
      <c r="C50" s="11" t="s">
        <v>1969</v>
      </c>
      <c r="D50" s="11" t="s">
        <v>1969</v>
      </c>
      <c r="E50" s="11">
        <v>1</v>
      </c>
      <c r="F50" s="11">
        <v>1</v>
      </c>
      <c r="G50" s="11" t="s">
        <v>44</v>
      </c>
      <c r="H50" s="119"/>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3" t="s">
        <v>2093</v>
      </c>
      <c r="C51" s="11" t="s">
        <v>1970</v>
      </c>
      <c r="D51" s="11" t="s">
        <v>1970</v>
      </c>
      <c r="E51" s="11">
        <v>1</v>
      </c>
      <c r="F51" s="11">
        <v>1</v>
      </c>
      <c r="G51" s="11" t="s">
        <v>44</v>
      </c>
      <c r="H51" s="119"/>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3" t="s">
        <v>2094</v>
      </c>
      <c r="C52" s="11" t="s">
        <v>1971</v>
      </c>
      <c r="D52" s="11" t="s">
        <v>1971</v>
      </c>
      <c r="E52" s="11">
        <v>1</v>
      </c>
      <c r="F52" s="11">
        <v>1</v>
      </c>
      <c r="G52" s="11" t="s">
        <v>44</v>
      </c>
      <c r="H52" s="119"/>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1972</v>
      </c>
      <c r="C53" s="11" t="s">
        <v>1973</v>
      </c>
      <c r="D53" s="11" t="s">
        <v>2081</v>
      </c>
      <c r="E53" s="11">
        <v>1</v>
      </c>
      <c r="F53" s="11">
        <v>1</v>
      </c>
      <c r="G53" s="11" t="s">
        <v>44</v>
      </c>
      <c r="H53" s="119"/>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1974</v>
      </c>
      <c r="C54" s="11" t="s">
        <v>1975</v>
      </c>
      <c r="D54" s="11" t="s">
        <v>1975</v>
      </c>
      <c r="E54" s="11">
        <v>1</v>
      </c>
      <c r="F54" s="11">
        <v>1</v>
      </c>
      <c r="G54" s="11" t="s">
        <v>1468</v>
      </c>
      <c r="H54" s="119" t="s">
        <v>1984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1976</v>
      </c>
      <c r="C55" s="11" t="s">
        <v>1977</v>
      </c>
      <c r="D55" s="11" t="s">
        <v>1978</v>
      </c>
      <c r="E55" s="11">
        <v>1</v>
      </c>
      <c r="F55" s="11">
        <v>1</v>
      </c>
      <c r="G55" s="11" t="s">
        <v>1987</v>
      </c>
      <c r="H55" s="119"/>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0" t="str">
        <f>Subject!P1</f>
        <v>// -------------------------------------------------------------------------------</v>
      </c>
    </row>
    <row r="116" spans="3:3" x14ac:dyDescent="0.75">
      <c r="C116" s="120" t="str">
        <f>Subject!P2</f>
        <v>// Obligations H&amp;N</v>
      </c>
    </row>
    <row r="117" spans="3:3" x14ac:dyDescent="0.75">
      <c r="C117" s="120"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0" t="str">
        <f>Subject!R1</f>
        <v>// -------------------------------------------------------------------------------</v>
      </c>
    </row>
    <row r="175" spans="3:3" x14ac:dyDescent="0.75">
      <c r="C175" s="120" t="str">
        <f>Subject!R2</f>
        <v>// Obligations Sarcoma</v>
      </c>
    </row>
    <row r="176" spans="3:3" x14ac:dyDescent="0.75">
      <c r="C176" s="120"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0"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2" t="s">
        <v>1554</v>
      </c>
      <c r="F4" s="153"/>
      <c r="G4" s="153"/>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1554</v>
      </c>
      <c r="F7" s="153"/>
      <c r="G7" s="153"/>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5"/>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1537</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1543</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40"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1545</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1985</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A83"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1547</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4" t="s">
        <v>2282</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1988</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4" t="s">
        <v>2281</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1989</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2274</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4" t="s">
        <v>2275</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5"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2276</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4" t="s">
        <v>2277</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5"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2280</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2279</v>
      </c>
      <c r="E102" s="12"/>
      <c r="F102" s="49" t="s">
        <v>1317</v>
      </c>
      <c r="G102" s="134" t="s">
        <v>2278</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5"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7"/>
    </row>
    <row r="125" spans="2:2" x14ac:dyDescent="0.75">
      <c r="B125" s="105" t="str">
        <f>"* group[+].source = ##34#"&amp;'Subject-ConceptMap-2'!E6&amp;"##34#"</f>
        <v>* group[+].source = ##34#http://hl7.eu/fhir/ig/idea4rc/StructureDefinition/Subject##34#</v>
      </c>
    </row>
    <row r="126" spans="2:2" x14ac:dyDescent="0.75">
      <c r="B126" s="108" t="str">
        <f>"* group[=].target = ##34#"&amp;'Subject-ConceptMap-2'!E7&amp;"##34#"</f>
        <v>* group[=].target = ##34#http://hl7.eu/fhir/ig/idea4rc/StructureDefinition/observation-tobaccouse-eu-i4rc##34#</v>
      </c>
    </row>
    <row r="127" spans="2:2" x14ac:dyDescent="0.75">
      <c r="B127" s="109"/>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7"/>
    </row>
    <row r="157" spans="2:3" x14ac:dyDescent="0.75">
      <c r="B157" s="105" t="str">
        <f>"* group[+].source = ##34#"&amp;'Subject-ConceptMap-3'!E6&amp;"##34#"</f>
        <v>* group[+].source = ##34#http://hl7.eu/fhir/ig/idea4rc/StructureDefinition/Subject##34#</v>
      </c>
    </row>
    <row r="158" spans="2:3" x14ac:dyDescent="0.75">
      <c r="B158" s="108" t="str">
        <f>"* group[=].target = ##34#"&amp;'Subject-ConceptMap-3'!E7&amp;"##34#"</f>
        <v>* group[=].target = ##34#http://hl7.eu/fhir/ig/idea4rc/StructureDefinition/observation-alcoholuse-eu-i4rc##34#</v>
      </c>
    </row>
    <row r="159" spans="2:3" x14ac:dyDescent="0.75">
      <c r="B159" s="110"/>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7"/>
    </row>
    <row r="171" spans="2:3" x14ac:dyDescent="0.75">
      <c r="B171" s="108" t="str">
        <f>"* group[+].source = ##34#"&amp;'Subject-ConceptMap-4'!E6&amp;"##34#"</f>
        <v>* group[+].source = ##34#http://hl7.eu/fhir/ig/idea4rc/StructureDefinition/Subject##34#</v>
      </c>
    </row>
    <row r="172" spans="2:3" x14ac:dyDescent="0.75">
      <c r="B172" s="108" t="str">
        <f>"* group[=].target = ##34#"&amp;'Subject-ConceptMap-4'!E7&amp;"##34#"</f>
        <v>* group[=].target = ##34#http://hl7.eu/fhir/ig/idea4rc/StructureDefinition/observation-comorbidity-eu-i4rc##34#</v>
      </c>
    </row>
    <row r="173" spans="2:3" x14ac:dyDescent="0.75">
      <c r="B173" s="109"/>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09"/>
    </row>
    <row r="377" spans="2:2" s="7" customFormat="1" x14ac:dyDescent="0.75">
      <c r="B377" s="111" t="str">
        <f>"* group[+].source = ##34#"&amp;'Subject-ConceptMap-5-x'!E6&amp;"##34#"</f>
        <v>* group[+].source = ##34#http://hl7.eu/fhir/ig/idea4rc/StructureDefinition/Subject##34#</v>
      </c>
    </row>
    <row r="378" spans="2:2" s="7" customFormat="1" x14ac:dyDescent="0.75">
      <c r="B378" s="111" t="str">
        <f>"* group[=].target = ##34#"&amp;'Subject-ConceptMap-5-x'!E7&amp;"##34#"</f>
        <v>* group[=].target = ##34#http://hl7.eu/fhir/ig/idea4rc/StructureDefinition/observation-karnofsky-performance-statuseu-i4rc##34#</v>
      </c>
    </row>
    <row r="379" spans="2:2" s="7" customFormat="1" x14ac:dyDescent="0.75">
      <c r="B379" s="109"/>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7"/>
    </row>
    <row r="391" spans="2:2" x14ac:dyDescent="0.75">
      <c r="B391" s="108" t="str">
        <f>"* group[+].source = ##34#"&amp;'Subject-ConceptMap-5-x'!E24&amp;"##34#"</f>
        <v>* group[+].source = ##34#http://hl7.eu/fhir/ig/idea4rc/StructureDefinition/Subject##34#</v>
      </c>
    </row>
    <row r="392" spans="2:2" x14ac:dyDescent="0.75">
      <c r="B392" s="108" t="str">
        <f>"* group[=].target = ##34#"&amp;'Subject-ConceptMap-5-x'!E25&amp;"##34#"</f>
        <v>* group[=].target = ##34#http://hl7.eu/fhir/ig/idea4rc/StructureDefinition/observation-ecog-performance-status-eu-i4rc##34#</v>
      </c>
    </row>
    <row r="393" spans="2:2" x14ac:dyDescent="0.75">
      <c r="B393" s="109"/>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7"/>
    </row>
    <row r="404" spans="2:2" x14ac:dyDescent="0.75">
      <c r="B404" s="108" t="str">
        <f>"* group[+].source = ##34#"&amp;'Subject-ConceptMap-5-x'!E45&amp;"##34#"</f>
        <v>* group[+].source = ##34#http://hl7.eu/fhir/ig/idea4rc/StructureDefinition/Subject##34#</v>
      </c>
    </row>
    <row r="405" spans="2:2" x14ac:dyDescent="0.75">
      <c r="B405" s="108" t="str">
        <f>"* group[=].target = ##34#"&amp;'Subject-ConceptMap-5-x'!E46&amp;"##34#"</f>
        <v>* group[=].target = ##34#http://hl7.eu/fhir/ig/idea4rc/StructureDefinition/observation-cci-eu-i4rc##34#</v>
      </c>
    </row>
    <row r="406" spans="2:2" x14ac:dyDescent="0.75">
      <c r="B406" s="109"/>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8" t="str">
        <f>B404</f>
        <v>* group[+].source = ##34#http://hl7.eu/fhir/ig/idea4rc/StructureDefinition/Subject##34#</v>
      </c>
    </row>
    <row r="416" spans="2:2" x14ac:dyDescent="0.75">
      <c r="B416" s="108" t="str">
        <f>"* group[=].target = ##34#"&amp;'Subject-ConceptMap-5-x'!E63&amp;"##34#"</f>
        <v>* group[=].target = ##34#http://hl7.org/fhir/StructureDefinition/bmi##34#</v>
      </c>
    </row>
    <row r="417" spans="2:2" x14ac:dyDescent="0.75">
      <c r="B417" s="109"/>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8" t="str">
        <f>B415</f>
        <v>* group[+].source = ##34#http://hl7.eu/fhir/ig/idea4rc/StructureDefinition/Subject##34#</v>
      </c>
    </row>
    <row r="427" spans="2:2" x14ac:dyDescent="0.75">
      <c r="B427" s="108" t="str">
        <f>"* group[=].target = ##34#"&amp;'Subject-ConceptMap-5-x'!E75&amp;"##34#"</f>
        <v>* group[=].target = ##34#http://hl7.eu/fhir/ig/idea4rc/StructureDefinition/observation-yesNo-eu-i4rc##34#</v>
      </c>
    </row>
    <row r="428" spans="2:2" x14ac:dyDescent="0.75">
      <c r="B428" s="109"/>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8" t="str">
        <f>B426</f>
        <v>* group[+].source = ##34#http://hl7.eu/fhir/ig/idea4rc/StructureDefinition/Subject##34#</v>
      </c>
    </row>
    <row r="438" spans="2:2" x14ac:dyDescent="0.75">
      <c r="B438" s="108" t="str">
        <f>"* group[=].target = ##34#"&amp;'Subject-ConceptMap-5-x'!E87&amp;"##34#"</f>
        <v>* group[=].target = ##34#http://hl7.eu/fhir/ig/idea4rc/StructureDefinition/observation-treatment-eu-i4rc##34#</v>
      </c>
    </row>
    <row r="439" spans="2:2" x14ac:dyDescent="0.75">
      <c r="B439" s="109"/>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8" t="str">
        <f>B437</f>
        <v>* group[+].source = ##34#http://hl7.eu/fhir/ig/idea4rc/StructureDefinition/Subject##34#</v>
      </c>
    </row>
    <row r="449" spans="2:2" x14ac:dyDescent="0.75">
      <c r="B449" s="108" t="str">
        <f>"* group[=].target = ##34#"&amp;'Subject-ConceptMap-5-x'!E100&amp;"##34#"</f>
        <v>* group[=].target = ##34#http://hl7.eu/fhir/ig/idea4rc/StructureDefinition/observation-dateLastContact-eu-i4rc##34#</v>
      </c>
    </row>
    <row r="450" spans="2:2" x14ac:dyDescent="0.75">
      <c r="B450" s="109"/>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HospitalPatientRecordsI4rc</v>
      </c>
    </row>
    <row r="5" spans="1:18" ht="15.5" thickBot="1" x14ac:dyDescent="0.9">
      <c r="A5" s="14" t="s">
        <v>16</v>
      </c>
      <c r="B5" s="30" t="s">
        <v>1834</v>
      </c>
      <c r="L5" s="16" t="str">
        <f>CONCATENATE("Id: ",B5)</f>
        <v>Id: HospitalPatientRecords</v>
      </c>
    </row>
    <row r="6" spans="1:18" ht="15.5" thickBot="1" x14ac:dyDescent="0.9">
      <c r="A6" s="14" t="s">
        <v>10</v>
      </c>
      <c r="B6" s="30" t="s">
        <v>1835</v>
      </c>
      <c r="L6" s="17" t="str">
        <f>CONCATENATE("Title: ##34#",B6,"##34#")</f>
        <v>Title: ##34#Hospital Patient Records##34#</v>
      </c>
    </row>
    <row r="7" spans="1:18" x14ac:dyDescent="0.75">
      <c r="A7" s="26" t="s">
        <v>2</v>
      </c>
      <c r="B7" s="95" t="s">
        <v>1835</v>
      </c>
      <c r="C7" s="9" t="s">
        <v>3</v>
      </c>
      <c r="D7" s="1" t="s">
        <v>4</v>
      </c>
      <c r="E7" s="3" t="s">
        <v>5</v>
      </c>
      <c r="F7" s="3" t="s">
        <v>6</v>
      </c>
      <c r="G7" s="3" t="s">
        <v>7</v>
      </c>
      <c r="H7" s="64" t="s">
        <v>1384</v>
      </c>
      <c r="I7" s="118" t="s">
        <v>2076</v>
      </c>
      <c r="J7" s="118" t="s">
        <v>2077</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1825</v>
      </c>
      <c r="C9" s="11" t="s">
        <v>1826</v>
      </c>
      <c r="D9" s="11" t="s">
        <v>1827</v>
      </c>
      <c r="E9" s="11">
        <v>1</v>
      </c>
      <c r="F9" s="11">
        <v>1</v>
      </c>
      <c r="G9" s="73" t="s">
        <v>1</v>
      </c>
      <c r="H9" s="11" t="s">
        <v>1828</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1833</v>
      </c>
      <c r="C10" s="11" t="s">
        <v>1822</v>
      </c>
      <c r="D10" s="11" t="s">
        <v>1823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1829</v>
      </c>
      <c r="C11" s="11" t="s">
        <v>1830</v>
      </c>
      <c r="D11" s="11" t="s">
        <v>1831</v>
      </c>
      <c r="E11" s="11">
        <v>1</v>
      </c>
      <c r="F11" s="11">
        <v>1</v>
      </c>
      <c r="G11" s="11" t="s">
        <v>43</v>
      </c>
      <c r="H11" s="11" t="s">
        <v>1832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#handle)</v>
      </c>
    </row>
    <row r="34" spans="3:3" x14ac:dyDescent="0.75">
      <c r="C34" s="100" t="str">
        <f>IF(HospitalPatientRecords!P9="*  ..  ##34###34# ##334###334#","//--- END",HospitalPatientRecords!P9)</f>
        <v>* hospital insert ObligationActorAndCode($actor-headneck, #handle)</v>
      </c>
    </row>
    <row r="35" spans="3:3" x14ac:dyDescent="0.75">
      <c r="C35" s="100" t="str">
        <f>IF(HospitalPatientRecords!P10="*  ..  ##34###34# ##334###334#","//--- END",HospitalPatientRecords!P10)</f>
        <v>* hospital.name insert ObligationActorAndCode($actor-headneck, #handle)</v>
      </c>
    </row>
    <row r="36" spans="3:3" x14ac:dyDescent="0.75">
      <c r="C36" s="100" t="str">
        <f>IF(HospitalPatientRecords!P11="*  ..  ##34###34# ##334###334#","//--- END",HospitalPatientRecords!P11)</f>
        <v>* firstContactDate insert ObligationActorAndCode($actor-headneck, #handle)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1918</v>
      </c>
      <c r="D3" s="47" t="s">
        <v>1473</v>
      </c>
      <c r="E3" s="71" t="str">
        <f>$C$1&amp;B14</f>
        <v>http://hl7.eu/fhir/ig/idea4rc/StructureDefinition/HospitalPatientRecords</v>
      </c>
    </row>
    <row r="4" spans="1:19" x14ac:dyDescent="0.75">
      <c r="B4" s="47" t="s">
        <v>16</v>
      </c>
      <c r="C4" s="28" t="s">
        <v>1918</v>
      </c>
      <c r="D4" s="47" t="s">
        <v>1474</v>
      </c>
      <c r="E4" s="152" t="s">
        <v>1921</v>
      </c>
      <c r="F4" s="153"/>
      <c r="G4" s="153"/>
    </row>
    <row r="5" spans="1:19" x14ac:dyDescent="0.75">
      <c r="B5" s="47" t="s">
        <v>10</v>
      </c>
      <c r="C5" s="7" t="s">
        <v>1919</v>
      </c>
      <c r="D5" s="47"/>
      <c r="E5" s="7"/>
    </row>
    <row r="6" spans="1:19" x14ac:dyDescent="0.75">
      <c r="B6" s="47" t="s">
        <v>18</v>
      </c>
      <c r="C6" s="41"/>
      <c r="D6" s="47" t="s">
        <v>1475</v>
      </c>
      <c r="E6" s="152" t="str">
        <f>E3</f>
        <v>http://hl7.eu/fhir/ig/idea4rc/StructureDefinition/HospitalPatientRecords</v>
      </c>
      <c r="F6" s="153"/>
      <c r="G6" s="153"/>
    </row>
    <row r="7" spans="1:19" x14ac:dyDescent="0.75">
      <c r="B7" s="47" t="s">
        <v>15</v>
      </c>
      <c r="C7" s="72"/>
      <c r="D7" s="47" t="s">
        <v>1476</v>
      </c>
      <c r="E7" s="152" t="str">
        <f>E4</f>
        <v>http://hl7.eu/fhir/ig/idea4rc/StructureDefinition/episodeOfCare-eu-i4rc</v>
      </c>
      <c r="F7" s="153"/>
      <c r="G7" s="153"/>
    </row>
    <row r="8" spans="1:19" ht="45" thickBot="1" x14ac:dyDescent="0.9">
      <c r="B8" s="47" t="s">
        <v>1477</v>
      </c>
      <c r="C8" t="s">
        <v>1919</v>
      </c>
      <c r="D8" s="47"/>
      <c r="E8" s="7"/>
      <c r="I8" s="12" t="s">
        <v>1289</v>
      </c>
      <c r="J8" s="12" t="s">
        <v>1290</v>
      </c>
      <c r="K8" s="12" t="s">
        <v>1291</v>
      </c>
      <c r="L8" s="12" t="s">
        <v>1292</v>
      </c>
      <c r="M8" s="11" t="s">
        <v>1293</v>
      </c>
      <c r="P8" s="34" t="s">
        <v>1328</v>
      </c>
      <c r="Q8" s="34">
        <v>6</v>
      </c>
    </row>
    <row r="9" spans="1:19" ht="30.25" thickBot="1" x14ac:dyDescent="0.9">
      <c r="B9" s="47" t="s">
        <v>1478</v>
      </c>
      <c r="C9" s="12" t="s">
        <v>1920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1923</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1924</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1925</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PatientFollowUpI4rc</v>
      </c>
    </row>
    <row r="5" spans="1:18" ht="15.5" thickBot="1" x14ac:dyDescent="0.9">
      <c r="A5" s="14" t="s">
        <v>16</v>
      </c>
      <c r="B5" s="30" t="s">
        <v>1853</v>
      </c>
      <c r="L5" s="16" t="str">
        <f>CONCATENATE("Id: ",B5)</f>
        <v>Id: PatientFollowUp</v>
      </c>
    </row>
    <row r="6" spans="1:18" ht="15.5" thickBot="1" x14ac:dyDescent="0.9">
      <c r="A6" s="14" t="s">
        <v>10</v>
      </c>
      <c r="B6" s="30" t="s">
        <v>1854</v>
      </c>
      <c r="L6" s="17" t="str">
        <f>CONCATENATE("Title: ##34#",B6,"##34#")</f>
        <v>Title: ##34#Patient Follow Up##34#</v>
      </c>
    </row>
    <row r="7" spans="1:18" x14ac:dyDescent="0.75">
      <c r="A7" s="26" t="s">
        <v>2</v>
      </c>
      <c r="B7" s="30" t="s">
        <v>1854</v>
      </c>
      <c r="C7" s="9" t="s">
        <v>3</v>
      </c>
      <c r="D7" s="1" t="s">
        <v>4</v>
      </c>
      <c r="E7" s="3" t="s">
        <v>5</v>
      </c>
      <c r="F7" s="3" t="s">
        <v>6</v>
      </c>
      <c r="G7" s="3" t="s">
        <v>7</v>
      </c>
      <c r="H7" s="64" t="s">
        <v>1384</v>
      </c>
      <c r="I7" s="118" t="s">
        <v>2076</v>
      </c>
      <c r="J7" s="118" t="s">
        <v>2077</v>
      </c>
      <c r="L7" s="17" t="str">
        <f>CONCATENATE("Description: "," ##334#",B7,"##334#",)</f>
        <v>Description:  ##334#Patient Follow Up##334#</v>
      </c>
    </row>
    <row r="8" spans="1:18" ht="29.5" x14ac:dyDescent="0.75">
      <c r="A8" s="59">
        <v>0</v>
      </c>
      <c r="B8" s="11" t="s">
        <v>1487</v>
      </c>
      <c r="C8" s="11" t="s">
        <v>14</v>
      </c>
      <c r="D8" s="11" t="s">
        <v>1837</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1838</v>
      </c>
      <c r="C9" s="11" t="s">
        <v>1839</v>
      </c>
      <c r="D9" s="11" t="s">
        <v>1840</v>
      </c>
      <c r="E9" s="11">
        <v>1</v>
      </c>
      <c r="F9" s="11">
        <v>1</v>
      </c>
      <c r="G9" s="73" t="s">
        <v>1468</v>
      </c>
      <c r="H9" s="149" t="s">
        <v>2435</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1841</v>
      </c>
      <c r="C10" s="11" t="s">
        <v>1842</v>
      </c>
      <c r="D10" s="11" t="s">
        <v>1843</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1844</v>
      </c>
      <c r="C11" s="11" t="s">
        <v>1845</v>
      </c>
      <c r="D11" s="11" t="s">
        <v>1846</v>
      </c>
      <c r="E11" s="11">
        <v>1</v>
      </c>
      <c r="F11" s="11">
        <v>1</v>
      </c>
      <c r="G11" s="11" t="s">
        <v>1468</v>
      </c>
      <c r="H11" s="11" t="s">
        <v>2436</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1847</v>
      </c>
      <c r="C12" s="11" t="s">
        <v>1848</v>
      </c>
      <c r="D12" s="11" t="s">
        <v>1849</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1850</v>
      </c>
      <c r="C13" s="11" t="s">
        <v>1851</v>
      </c>
      <c r="D13" s="11" t="s">
        <v>1852</v>
      </c>
      <c r="E13" s="11">
        <v>1</v>
      </c>
      <c r="F13" s="11">
        <v>1</v>
      </c>
      <c r="G13" s="11" t="s">
        <v>1468</v>
      </c>
      <c r="H13" s="12" t="s">
        <v>2303</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1926</v>
      </c>
      <c r="D3" s="47" t="s">
        <v>1473</v>
      </c>
      <c r="E3" s="71" t="str">
        <f>$C$1&amp;B14</f>
        <v>http://hl7.eu/fhir/ig/idea4rc/StructureDefinition/PatientFollowUp</v>
      </c>
    </row>
    <row r="4" spans="1:19" x14ac:dyDescent="0.75">
      <c r="B4" s="47" t="s">
        <v>16</v>
      </c>
      <c r="C4" s="28" t="s">
        <v>1926</v>
      </c>
      <c r="D4" s="47" t="s">
        <v>1474</v>
      </c>
      <c r="E4" s="152" t="str">
        <f>C1&amp;"/"&amp;H4</f>
        <v>http://hl7.eu/fhir/ig/idea4rc/StructureDefinition//Bundle-eu-i4rc</v>
      </c>
      <c r="F4" s="153"/>
      <c r="G4" s="153"/>
      <c r="H4" t="s">
        <v>2439</v>
      </c>
      <c r="I4" s="80"/>
    </row>
    <row r="5" spans="1:19" x14ac:dyDescent="0.75">
      <c r="B5" s="47" t="s">
        <v>10</v>
      </c>
      <c r="C5" s="7" t="s">
        <v>1927</v>
      </c>
      <c r="D5" s="47"/>
      <c r="E5" s="7"/>
    </row>
    <row r="6" spans="1:19" x14ac:dyDescent="0.75">
      <c r="B6" s="47" t="s">
        <v>18</v>
      </c>
      <c r="C6" s="41"/>
      <c r="D6" s="47" t="s">
        <v>1475</v>
      </c>
      <c r="E6" s="152" t="str">
        <f>E3</f>
        <v>http://hl7.eu/fhir/ig/idea4rc/StructureDefinition/PatientFollowUp</v>
      </c>
      <c r="F6" s="153"/>
      <c r="G6" s="153"/>
    </row>
    <row r="7" spans="1:19" x14ac:dyDescent="0.75">
      <c r="B7" s="47" t="s">
        <v>15</v>
      </c>
      <c r="C7" s="72"/>
      <c r="D7" s="47" t="s">
        <v>1476</v>
      </c>
      <c r="E7" s="152" t="str">
        <f>C1&amp;"Encounter-eu-i4rc"</f>
        <v>http://hl7.eu/fhir/ig/idea4rc/StructureDefinition/Encounter-eu-i4rc</v>
      </c>
      <c r="F7" s="153"/>
      <c r="G7" s="153"/>
    </row>
    <row r="8" spans="1:19" ht="45" thickBot="1" x14ac:dyDescent="0.9">
      <c r="B8" s="47" t="s">
        <v>1477</v>
      </c>
      <c r="C8" s="7"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2"/>
      <c r="E9" s="154"/>
      <c r="F9" s="155"/>
      <c r="G9" s="156"/>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1929</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2283</v>
      </c>
      <c r="E16" s="12"/>
      <c r="F16" s="49" t="s">
        <v>1294</v>
      </c>
      <c r="G16" s="77" t="s">
        <v>2438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1925</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2283</v>
      </c>
      <c r="E18" s="12"/>
      <c r="F18" s="49" t="s">
        <v>1294</v>
      </c>
      <c r="G18" s="77" t="s">
        <v>2285</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2283</v>
      </c>
      <c r="E19" s="12"/>
      <c r="F19" s="49" t="s">
        <v>1294</v>
      </c>
      <c r="G19" s="77" t="s">
        <v>2285</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2283</v>
      </c>
      <c r="E20" s="12"/>
      <c r="F20" s="49" t="s">
        <v>1294</v>
      </c>
      <c r="G20" s="77" t="s">
        <v>2285</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1926</v>
      </c>
      <c r="D3" s="47" t="s">
        <v>1473</v>
      </c>
      <c r="E3" s="71" t="str">
        <f>$C$1&amp;B14</f>
        <v>http://hl7.eu/fhir/ig/idea4rc/StructureDefinition/PatientFollowUp</v>
      </c>
    </row>
    <row r="4" spans="1:19" x14ac:dyDescent="0.75">
      <c r="B4" s="47" t="s">
        <v>16</v>
      </c>
      <c r="C4" s="28" t="s">
        <v>1926</v>
      </c>
      <c r="D4" s="47" t="s">
        <v>1474</v>
      </c>
      <c r="E4" s="152" t="str">
        <f>'PatientFollowUp-ConceptMap-1'!E4</f>
        <v>http://hl7.eu/fhir/ig/idea4rc/StructureDefinition//Bundle-eu-i4rc</v>
      </c>
      <c r="F4" s="153"/>
      <c r="G4" s="153"/>
    </row>
    <row r="5" spans="1:19" x14ac:dyDescent="0.75">
      <c r="B5" s="47" t="s">
        <v>10</v>
      </c>
      <c r="C5" s="7" t="s">
        <v>1927</v>
      </c>
      <c r="D5" s="47"/>
      <c r="E5" s="7"/>
    </row>
    <row r="6" spans="1:19" x14ac:dyDescent="0.75">
      <c r="B6" s="47" t="s">
        <v>18</v>
      </c>
      <c r="C6" s="41"/>
      <c r="D6" s="47" t="s">
        <v>1475</v>
      </c>
      <c r="E6" s="152" t="str">
        <f>E3</f>
        <v>http://hl7.eu/fhir/ig/idea4rc/StructureDefinition/PatientFollowUp</v>
      </c>
      <c r="F6" s="153"/>
      <c r="G6" s="153"/>
    </row>
    <row r="7" spans="1:19" x14ac:dyDescent="0.75">
      <c r="B7" s="47" t="s">
        <v>15</v>
      </c>
      <c r="C7" s="72"/>
      <c r="D7" s="47" t="s">
        <v>1476</v>
      </c>
      <c r="E7" s="152" t="str">
        <f>C1&amp;"Condition-primaryCancer-eu-i4rc"</f>
        <v>http://hl7.eu/fhir/ig/idea4rc/StructureDefinition/Condition-primaryCancer-eu-i4rc</v>
      </c>
      <c r="F7" s="153"/>
      <c r="G7" s="153"/>
    </row>
    <row r="8" spans="1:19" ht="45" thickBot="1" x14ac:dyDescent="0.9">
      <c r="B8" s="47" t="s">
        <v>1477</v>
      </c>
      <c r="C8" s="7"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2"/>
      <c r="E9" s="154"/>
      <c r="F9" s="155"/>
      <c r="G9" s="156"/>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2438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2284</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2292</v>
      </c>
      <c r="E19" s="12"/>
      <c r="F19" s="49" t="s">
        <v>1316</v>
      </c>
      <c r="G19" s="77" t="s">
        <v>2293</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2284</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1926</v>
      </c>
      <c r="D3" s="47" t="s">
        <v>1473</v>
      </c>
      <c r="E3" s="71" t="str">
        <f>$C$1&amp;B14</f>
        <v>http://hl7.eu/fhir/ig/idea4rc/StructureDefinition/PatientFollowUp</v>
      </c>
    </row>
    <row r="4" spans="1:19" x14ac:dyDescent="0.75">
      <c r="B4" s="47" t="s">
        <v>16</v>
      </c>
      <c r="C4" s="28" t="s">
        <v>1926</v>
      </c>
      <c r="D4" s="47" t="s">
        <v>1474</v>
      </c>
      <c r="E4" s="152" t="str">
        <f>'PatientFollowUp-ConceptMap-1'!E4</f>
        <v>http://hl7.eu/fhir/ig/idea4rc/StructureDefinition//Bundle-eu-i4rc</v>
      </c>
      <c r="F4" s="153"/>
      <c r="G4" s="153"/>
    </row>
    <row r="5" spans="1:19" x14ac:dyDescent="0.75">
      <c r="B5" s="47" t="s">
        <v>10</v>
      </c>
      <c r="C5" s="7" t="s">
        <v>1927</v>
      </c>
      <c r="D5" s="47"/>
      <c r="E5" s="7"/>
    </row>
    <row r="6" spans="1:19" x14ac:dyDescent="0.75">
      <c r="B6" s="47" t="s">
        <v>18</v>
      </c>
      <c r="C6" s="41"/>
      <c r="D6" s="47" t="s">
        <v>1475</v>
      </c>
      <c r="E6" s="152" t="str">
        <f>E3</f>
        <v>http://hl7.eu/fhir/ig/idea4rc/StructureDefinition/PatientFollowUp</v>
      </c>
      <c r="F6" s="153"/>
      <c r="G6" s="153"/>
    </row>
    <row r="7" spans="1:19" x14ac:dyDescent="0.75">
      <c r="B7" s="47" t="s">
        <v>15</v>
      </c>
      <c r="C7" s="72"/>
      <c r="D7" s="47" t="s">
        <v>1476</v>
      </c>
      <c r="E7" s="152" t="str">
        <f>C1&amp;"observation-lastFollowupStatus-eu-i4rc"</f>
        <v>http://hl7.eu/fhir/ig/idea4rc/StructureDefinition/observation-lastFollowupStatus-eu-i4rc</v>
      </c>
      <c r="F7" s="153"/>
      <c r="G7" s="153"/>
    </row>
    <row r="8" spans="1:19" ht="45" thickBot="1" x14ac:dyDescent="0.9">
      <c r="B8" s="47" t="s">
        <v>1477</v>
      </c>
      <c r="C8" s="7"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2"/>
      <c r="E9" s="154"/>
      <c r="F9" s="155"/>
      <c r="G9" s="156"/>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1856</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8" zoomScaleNormal="100" workbookViewId="0">
      <selection activeCell="B54" sqref="B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2076</v>
      </c>
      <c r="J7" s="118" t="s">
        <v>2077</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1990</v>
      </c>
      <c r="C10" t="s">
        <v>1991</v>
      </c>
      <c r="D10" s="2" t="s">
        <v>1992</v>
      </c>
      <c r="E10" s="11">
        <v>1</v>
      </c>
      <c r="F10" s="11">
        <v>1</v>
      </c>
      <c r="G10" s="12" t="s">
        <v>1468</v>
      </c>
      <c r="H10" s="2" t="s">
        <v>2070</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1993</v>
      </c>
      <c r="C13" t="s">
        <v>1994</v>
      </c>
      <c r="D13" s="2" t="s">
        <v>1995</v>
      </c>
      <c r="E13" s="11">
        <v>1</v>
      </c>
      <c r="F13" s="11">
        <v>1</v>
      </c>
      <c r="G13" s="12" t="s">
        <v>44</v>
      </c>
      <c r="H13" s="2" t="s">
        <v>2071</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2072</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2096</v>
      </c>
      <c r="C15" s="4" t="s">
        <v>2097</v>
      </c>
      <c r="D15" s="4" t="s">
        <v>2097</v>
      </c>
      <c r="E15" s="6">
        <v>1</v>
      </c>
      <c r="F15" s="6">
        <v>1</v>
      </c>
      <c r="G15" s="4" t="s">
        <v>1</v>
      </c>
      <c r="H15" s="4" t="s">
        <v>2073</v>
      </c>
      <c r="I15" s="12" t="b">
        <v>1</v>
      </c>
      <c r="J15" s="12" t="b">
        <v>1</v>
      </c>
      <c r="K15" s="121"/>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2098</v>
      </c>
      <c r="C16" s="12" t="s">
        <v>1354</v>
      </c>
      <c r="D16" s="12" t="s">
        <v>1355</v>
      </c>
      <c r="E16" s="11">
        <v>1</v>
      </c>
      <c r="F16" s="11">
        <v>1</v>
      </c>
      <c r="G16" s="12" t="s">
        <v>1468</v>
      </c>
      <c r="H16" s="2" t="s">
        <v>2051</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2099</v>
      </c>
      <c r="C17" s="12" t="s">
        <v>1356</v>
      </c>
      <c r="D17" s="12" t="s">
        <v>1357</v>
      </c>
      <c r="E17" s="11">
        <v>1</v>
      </c>
      <c r="F17" s="11">
        <v>1</v>
      </c>
      <c r="G17" s="12" t="s">
        <v>1468</v>
      </c>
      <c r="H17" s="2" t="s">
        <v>2052</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2100</v>
      </c>
      <c r="C18" s="12" t="s">
        <v>1358</v>
      </c>
      <c r="D18" s="12" t="s">
        <v>1359</v>
      </c>
      <c r="E18" s="11">
        <v>1</v>
      </c>
      <c r="F18" s="11">
        <v>1</v>
      </c>
      <c r="G18" s="12" t="s">
        <v>1468</v>
      </c>
      <c r="H18" s="2" t="s">
        <v>2053</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2101</v>
      </c>
      <c r="C19" s="12" t="s">
        <v>1360</v>
      </c>
      <c r="D19" s="12" t="s">
        <v>1361</v>
      </c>
      <c r="E19" s="11">
        <v>1</v>
      </c>
      <c r="F19" s="11">
        <v>1</v>
      </c>
      <c r="G19" s="12" t="s">
        <v>1468</v>
      </c>
      <c r="H19" s="2" t="s">
        <v>2054</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2102</v>
      </c>
      <c r="C20" s="116" t="s">
        <v>1362</v>
      </c>
      <c r="D20" s="116" t="s">
        <v>1363</v>
      </c>
      <c r="E20" s="3">
        <v>1</v>
      </c>
      <c r="F20" s="3">
        <v>1</v>
      </c>
      <c r="G20" s="116" t="s">
        <v>1468</v>
      </c>
      <c r="H20" s="2" t="s">
        <v>2055</v>
      </c>
      <c r="I20" s="12" t="b">
        <v>1</v>
      </c>
      <c r="J20" s="12" t="b">
        <v>1</v>
      </c>
      <c r="K20" s="25"/>
      <c r="L20" s="116" t="str">
        <f t="shared" si="1"/>
        <v>* hnClassification.histologySNUC 1..1 CodeableConcept ##34#Histology Sinonasal undifferentiated carcinoma##34# ##334#Specifies the histological subgroup for sinonasl undifferentiated carcinomas##334#</v>
      </c>
      <c r="M20"/>
      <c r="N20" s="116"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2103</v>
      </c>
      <c r="C21" s="11" t="s">
        <v>1996</v>
      </c>
      <c r="D21" s="12" t="s">
        <v>1997</v>
      </c>
      <c r="E21" s="11">
        <v>1</v>
      </c>
      <c r="F21" s="11">
        <v>1</v>
      </c>
      <c r="G21" s="12" t="s">
        <v>1468</v>
      </c>
      <c r="H21" s="12" t="s">
        <v>2056</v>
      </c>
      <c r="I21" s="12" t="b">
        <v>0</v>
      </c>
      <c r="J21" s="12" t="b">
        <v>1</v>
      </c>
      <c r="K21" s="113"/>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2104</v>
      </c>
      <c r="C22" s="11" t="s">
        <v>1998</v>
      </c>
      <c r="D22" s="73" t="s">
        <v>1998</v>
      </c>
      <c r="E22" s="11">
        <v>1</v>
      </c>
      <c r="F22" s="11">
        <v>1</v>
      </c>
      <c r="G22" s="12" t="s">
        <v>1468</v>
      </c>
      <c r="H22" s="12" t="s">
        <v>2057</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2105</v>
      </c>
      <c r="C23" s="11" t="s">
        <v>1999</v>
      </c>
      <c r="D23" s="11" t="s">
        <v>1999</v>
      </c>
      <c r="E23" s="11">
        <v>1</v>
      </c>
      <c r="F23" s="11">
        <v>1</v>
      </c>
      <c r="G23" s="12" t="s">
        <v>1468</v>
      </c>
      <c r="H23" s="12" t="s">
        <v>2058</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7" t="s">
        <v>2286</v>
      </c>
      <c r="B24" s="6" t="s">
        <v>2095</v>
      </c>
      <c r="C24" s="6" t="s">
        <v>2106</v>
      </c>
      <c r="D24" s="6" t="s">
        <v>2106</v>
      </c>
      <c r="E24" s="6">
        <v>1</v>
      </c>
      <c r="F24" s="6">
        <v>1</v>
      </c>
      <c r="G24" s="12" t="s">
        <v>1</v>
      </c>
      <c r="H24" s="61"/>
      <c r="I24" s="12" t="b">
        <v>0</v>
      </c>
      <c r="J24" s="12" t="b">
        <v>1</v>
      </c>
      <c r="K24" s="122"/>
      <c r="L24" s="115" t="str">
        <f t="shared" si="1"/>
        <v>* sarcomaClassification 1..1 BackboneElement ##34#Sarcoma classification##34# ##334#Sarcoma classification##334#</v>
      </c>
      <c r="M24"/>
      <c r="N24" s="115" t="str">
        <f t="shared" si="2"/>
        <v/>
      </c>
      <c r="P24" s="12" t="str">
        <f t="shared" si="3"/>
        <v/>
      </c>
      <c r="Q24"/>
      <c r="R24" s="12" t="str">
        <f t="shared" si="4"/>
        <v>* sarcomaClassification insert ObligationActorAndCode($actor-sarcoma-i4rc, #handle)</v>
      </c>
    </row>
    <row r="25" spans="1:18" s="2" customFormat="1" ht="324.5" x14ac:dyDescent="0.75">
      <c r="A25" s="11">
        <v>16</v>
      </c>
      <c r="B25" s="11" t="s">
        <v>2107</v>
      </c>
      <c r="C25" s="11" t="s">
        <v>2000</v>
      </c>
      <c r="D25" s="11" t="s">
        <v>2000</v>
      </c>
      <c r="E25" s="11">
        <v>1</v>
      </c>
      <c r="F25" s="11">
        <v>1</v>
      </c>
      <c r="G25" s="12" t="s">
        <v>1468</v>
      </c>
      <c r="H25" s="2" t="s">
        <v>2059</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2108</v>
      </c>
      <c r="C26" s="11" t="s">
        <v>2001</v>
      </c>
      <c r="D26" s="11" t="s">
        <v>2001</v>
      </c>
      <c r="E26" s="11">
        <v>1</v>
      </c>
      <c r="F26" s="11">
        <v>1</v>
      </c>
      <c r="G26" s="12" t="s">
        <v>1468</v>
      </c>
      <c r="H26" s="2" t="s">
        <v>2060</v>
      </c>
      <c r="I26" s="12" t="b">
        <v>0</v>
      </c>
      <c r="J26" s="12" t="b">
        <v>1</v>
      </c>
      <c r="K26" s="114"/>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2109</v>
      </c>
      <c r="C27" s="11" t="s">
        <v>2002</v>
      </c>
      <c r="D27" s="11" t="s">
        <v>2002</v>
      </c>
      <c r="E27" s="11">
        <v>1</v>
      </c>
      <c r="F27" s="11">
        <v>1</v>
      </c>
      <c r="G27" s="12" t="s">
        <v>1468</v>
      </c>
      <c r="H27" s="2" t="s">
        <v>2061</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2110</v>
      </c>
      <c r="C28" s="11" t="s">
        <v>2003</v>
      </c>
      <c r="D28" s="11" t="s">
        <v>2003</v>
      </c>
      <c r="E28" s="11">
        <v>1</v>
      </c>
      <c r="F28" s="11">
        <v>1</v>
      </c>
      <c r="G28" s="12" t="s">
        <v>1468</v>
      </c>
      <c r="H28" s="12" t="s">
        <v>2062</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2111</v>
      </c>
      <c r="C29" s="11" t="s">
        <v>2004</v>
      </c>
      <c r="D29" s="11" t="s">
        <v>2004</v>
      </c>
      <c r="E29" s="11">
        <v>1</v>
      </c>
      <c r="F29" s="11">
        <v>1</v>
      </c>
      <c r="G29" s="12" t="s">
        <v>1468</v>
      </c>
      <c r="H29" s="12" t="s">
        <v>2063</v>
      </c>
      <c r="I29" s="12" t="b">
        <v>0</v>
      </c>
      <c r="J29" s="12" t="b">
        <v>1</v>
      </c>
      <c r="K29" s="113"/>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2112</v>
      </c>
      <c r="C30" s="11" t="s">
        <v>2005</v>
      </c>
      <c r="D30" s="11" t="s">
        <v>2005</v>
      </c>
      <c r="E30" s="11">
        <v>1</v>
      </c>
      <c r="F30" s="11">
        <v>1</v>
      </c>
      <c r="G30" s="12" t="s">
        <v>1468</v>
      </c>
      <c r="H30" s="12" t="s">
        <v>2064</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2113</v>
      </c>
      <c r="C31" s="11" t="s">
        <v>2006</v>
      </c>
      <c r="D31" s="11" t="s">
        <v>2006</v>
      </c>
      <c r="E31" s="11">
        <v>1</v>
      </c>
      <c r="F31" s="11">
        <v>1</v>
      </c>
      <c r="G31" s="12" t="s">
        <v>1468</v>
      </c>
      <c r="H31" s="12" t="s">
        <v>2065</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2114</v>
      </c>
      <c r="C32" s="11" t="s">
        <v>2007</v>
      </c>
      <c r="D32" s="11" t="s">
        <v>2007</v>
      </c>
      <c r="E32" s="11">
        <v>1</v>
      </c>
      <c r="F32" s="11">
        <v>1</v>
      </c>
      <c r="G32" s="12" t="s">
        <v>1468</v>
      </c>
      <c r="H32" s="12" t="s">
        <v>2066</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2115</v>
      </c>
      <c r="C33" s="11" t="s">
        <v>2008</v>
      </c>
      <c r="D33" s="11" t="s">
        <v>2008</v>
      </c>
      <c r="E33" s="11">
        <v>1</v>
      </c>
      <c r="F33" s="11">
        <v>1</v>
      </c>
      <c r="G33" s="12" t="s">
        <v>1468</v>
      </c>
      <c r="H33" s="12" t="s">
        <v>2067</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2116</v>
      </c>
      <c r="C34" s="11" t="s">
        <v>2009</v>
      </c>
      <c r="D34" s="11" t="s">
        <v>2009</v>
      </c>
      <c r="E34" s="11">
        <v>1</v>
      </c>
      <c r="F34" s="11">
        <v>1</v>
      </c>
      <c r="G34" s="12" t="s">
        <v>1468</v>
      </c>
      <c r="H34" s="12" t="s">
        <v>2068</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2117</v>
      </c>
      <c r="C35" s="11" t="s">
        <v>2010</v>
      </c>
      <c r="D35" s="11" t="s">
        <v>2010</v>
      </c>
      <c r="E35" s="11">
        <v>1</v>
      </c>
      <c r="F35" s="11">
        <v>1</v>
      </c>
      <c r="G35" s="12" t="s">
        <v>1468</v>
      </c>
      <c r="H35" s="12" t="s">
        <v>2069</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2029</v>
      </c>
      <c r="C36" s="11" t="s">
        <v>2029</v>
      </c>
      <c r="D36" s="11" t="s">
        <v>2029</v>
      </c>
      <c r="E36" s="11">
        <v>1</v>
      </c>
      <c r="F36" s="112">
        <v>1</v>
      </c>
      <c r="G36" s="12" t="s">
        <v>1</v>
      </c>
      <c r="H36" s="12"/>
      <c r="I36" s="12" t="b">
        <v>1</v>
      </c>
      <c r="J36" s="12" t="b">
        <v>0</v>
      </c>
      <c r="K36" s="122"/>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2119</v>
      </c>
      <c r="C37" s="12" t="s">
        <v>1364</v>
      </c>
      <c r="D37" s="12" t="s">
        <v>1365</v>
      </c>
      <c r="E37" s="11">
        <v>1</v>
      </c>
      <c r="F37" s="11">
        <v>1</v>
      </c>
      <c r="G37" s="12" t="s">
        <v>1468</v>
      </c>
      <c r="H37" s="12" t="s">
        <v>2035</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2120</v>
      </c>
      <c r="C38" s="12" t="s">
        <v>1366</v>
      </c>
      <c r="D38" s="12" t="s">
        <v>1367</v>
      </c>
      <c r="E38" s="11">
        <v>1</v>
      </c>
      <c r="F38" s="11">
        <v>1</v>
      </c>
      <c r="G38" s="12" t="s">
        <v>1468</v>
      </c>
      <c r="H38" s="12" t="s">
        <v>2036</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2121</v>
      </c>
      <c r="C39" s="115" t="s">
        <v>1368</v>
      </c>
      <c r="D39" s="115" t="s">
        <v>1369</v>
      </c>
      <c r="E39" s="46">
        <v>1</v>
      </c>
      <c r="F39" s="46">
        <v>1</v>
      </c>
      <c r="G39" s="115" t="s">
        <v>1468</v>
      </c>
      <c r="H39" s="115" t="s">
        <v>2037</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2122</v>
      </c>
      <c r="C40" s="12" t="s">
        <v>1370</v>
      </c>
      <c r="D40" s="12" t="s">
        <v>1371</v>
      </c>
      <c r="E40" s="11">
        <v>1</v>
      </c>
      <c r="F40" s="11">
        <v>1</v>
      </c>
      <c r="G40" s="12" t="s">
        <v>1468</v>
      </c>
      <c r="H40" s="12" t="s">
        <v>2038</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2123</v>
      </c>
      <c r="C41" s="12" t="s">
        <v>1372</v>
      </c>
      <c r="D41" s="12" t="s">
        <v>1373</v>
      </c>
      <c r="E41" s="11">
        <v>1</v>
      </c>
      <c r="F41" s="11">
        <v>1</v>
      </c>
      <c r="G41" s="12" t="s">
        <v>1468</v>
      </c>
      <c r="H41" s="12" t="s">
        <v>2039</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2124</v>
      </c>
      <c r="C42" s="12" t="s">
        <v>1374</v>
      </c>
      <c r="D42" s="12" t="s">
        <v>1375</v>
      </c>
      <c r="E42" s="11">
        <v>1</v>
      </c>
      <c r="F42" s="11">
        <v>1</v>
      </c>
      <c r="G42" s="12" t="s">
        <v>1468</v>
      </c>
      <c r="H42" s="12" t="s">
        <v>2040</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2125</v>
      </c>
      <c r="C43" s="12" t="s">
        <v>1376</v>
      </c>
      <c r="D43" s="12" t="s">
        <v>1377</v>
      </c>
      <c r="E43" s="11">
        <v>1</v>
      </c>
      <c r="F43" s="11">
        <v>1</v>
      </c>
      <c r="G43" s="12" t="s">
        <v>1468</v>
      </c>
      <c r="H43" s="12" t="s">
        <v>2041</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2126</v>
      </c>
      <c r="C44" s="11" t="s">
        <v>2011</v>
      </c>
      <c r="D44" s="12" t="s">
        <v>2012</v>
      </c>
      <c r="E44" s="11">
        <v>1</v>
      </c>
      <c r="F44" s="11">
        <v>1</v>
      </c>
      <c r="G44" s="12" t="s">
        <v>1468</v>
      </c>
      <c r="H44" s="12" t="s">
        <v>2042</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2030</v>
      </c>
      <c r="C45" s="11" t="s">
        <v>2013</v>
      </c>
      <c r="D45" s="12" t="s">
        <v>2012</v>
      </c>
      <c r="E45" s="11">
        <v>1</v>
      </c>
      <c r="F45" s="11">
        <v>1</v>
      </c>
      <c r="G45" s="12" t="s">
        <v>1468</v>
      </c>
      <c r="H45" s="12" t="s">
        <v>2043</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2031</v>
      </c>
      <c r="C46" s="11" t="s">
        <v>2014</v>
      </c>
      <c r="D46" s="12" t="s">
        <v>2012</v>
      </c>
      <c r="E46" s="11">
        <v>1</v>
      </c>
      <c r="F46" s="11">
        <v>1</v>
      </c>
      <c r="G46" s="12" t="s">
        <v>1468</v>
      </c>
      <c r="H46" s="12" t="s">
        <v>2044</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2032</v>
      </c>
      <c r="C47" s="11" t="s">
        <v>2015</v>
      </c>
      <c r="D47" s="12" t="s">
        <v>2012</v>
      </c>
      <c r="E47" s="11">
        <v>1</v>
      </c>
      <c r="F47" s="11">
        <v>1</v>
      </c>
      <c r="G47" s="12" t="s">
        <v>1468</v>
      </c>
      <c r="H47" s="12" t="s">
        <v>2045</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2033</v>
      </c>
      <c r="C48" s="11" t="s">
        <v>2016</v>
      </c>
      <c r="D48" s="12" t="s">
        <v>2012</v>
      </c>
      <c r="E48" s="11">
        <v>1</v>
      </c>
      <c r="F48" s="11">
        <v>1</v>
      </c>
      <c r="G48" s="12" t="s">
        <v>1468</v>
      </c>
      <c r="H48" s="12" t="s">
        <v>2433</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2034</v>
      </c>
      <c r="C49" s="11" t="s">
        <v>2017</v>
      </c>
      <c r="D49" s="12" t="s">
        <v>2012</v>
      </c>
      <c r="E49" s="11">
        <v>1</v>
      </c>
      <c r="F49" s="11">
        <v>1</v>
      </c>
      <c r="G49" s="12" t="s">
        <v>1468</v>
      </c>
      <c r="H49" s="12" t="s">
        <v>2046</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2287</v>
      </c>
      <c r="C50" s="11" t="s">
        <v>2018</v>
      </c>
      <c r="D50" s="12" t="s">
        <v>2012</v>
      </c>
      <c r="E50" s="11">
        <v>1</v>
      </c>
      <c r="F50" s="11">
        <v>1</v>
      </c>
      <c r="G50" s="12" t="s">
        <v>1468</v>
      </c>
      <c r="H50" s="12" t="s">
        <v>2047</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2118</v>
      </c>
      <c r="C51" s="11" t="s">
        <v>2019</v>
      </c>
      <c r="D51" s="12" t="s">
        <v>2012</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2020</v>
      </c>
      <c r="C52" s="11" t="s">
        <v>2021</v>
      </c>
      <c r="D52" s="12" t="s">
        <v>2022</v>
      </c>
      <c r="E52" s="11">
        <v>1</v>
      </c>
      <c r="F52" s="11">
        <v>1</v>
      </c>
      <c r="G52" s="12" t="s">
        <v>1986</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2023</v>
      </c>
      <c r="C53" s="11" t="s">
        <v>2024</v>
      </c>
      <c r="D53" s="12" t="s">
        <v>2025</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2026</v>
      </c>
      <c r="C54" s="11" t="s">
        <v>2027</v>
      </c>
      <c r="D54" s="12" t="s">
        <v>2028</v>
      </c>
      <c r="E54" s="11">
        <v>1</v>
      </c>
      <c r="F54" s="11">
        <v>1</v>
      </c>
      <c r="G54" s="12" t="s">
        <v>1986</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2048</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2049</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1802</v>
      </c>
      <c r="D57" s="12" t="s">
        <v>1382</v>
      </c>
      <c r="E57" s="11">
        <v>0</v>
      </c>
      <c r="F57" s="11">
        <v>1</v>
      </c>
      <c r="G57" s="12" t="s">
        <v>1468</v>
      </c>
      <c r="H57" s="12" t="s">
        <v>2050</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2" t="s">
        <v>1486</v>
      </c>
      <c r="F4" s="153"/>
      <c r="G4" s="153"/>
    </row>
    <row r="5" spans="1:19" x14ac:dyDescent="0.75">
      <c r="B5" s="47" t="s">
        <v>10</v>
      </c>
      <c r="C5" s="7" t="s">
        <v>1483</v>
      </c>
      <c r="D5" s="47"/>
      <c r="E5" s="7"/>
    </row>
    <row r="6" spans="1:19" x14ac:dyDescent="0.75">
      <c r="B6" s="47" t="s">
        <v>18</v>
      </c>
      <c r="C6" s="41"/>
      <c r="D6" s="47" t="s">
        <v>1475</v>
      </c>
      <c r="E6" s="152" t="str">
        <f>E3</f>
        <v>http://hl7.eu/fhir/ig/idea4rc/StructureDefinition/CancerEpisode</v>
      </c>
      <c r="F6" s="153"/>
      <c r="G6" s="153"/>
    </row>
    <row r="7" spans="1:19" x14ac:dyDescent="0.75">
      <c r="B7" s="47" t="s">
        <v>15</v>
      </c>
      <c r="C7" s="72"/>
      <c r="D7" s="47" t="s">
        <v>1476</v>
      </c>
      <c r="E7" s="152" t="s">
        <v>1486</v>
      </c>
      <c r="F7" s="153"/>
      <c r="G7" s="153"/>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2291</v>
      </c>
      <c r="E16" s="11"/>
      <c r="F16" s="49" t="s">
        <v>1294</v>
      </c>
      <c r="G16" s="74" t="s">
        <v>2402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2398</v>
      </c>
      <c r="E17" s="11"/>
      <c r="F17" s="49" t="s">
        <v>1294</v>
      </c>
      <c r="G17" s="74" t="s">
        <v>2290</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2398</v>
      </c>
      <c r="E18" s="11"/>
      <c r="F18" s="49" t="s">
        <v>1294</v>
      </c>
      <c r="G18" s="74" t="s">
        <v>2290</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2398</v>
      </c>
      <c r="E19" s="11"/>
      <c r="F19" s="49" t="s">
        <v>1294</v>
      </c>
      <c r="G19" s="74" t="s">
        <v>2290</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2399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2289</v>
      </c>
      <c r="E21" s="11"/>
      <c r="F21" s="49" t="s">
        <v>1316</v>
      </c>
      <c r="G21" s="143" t="s">
        <v>2400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2401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2401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7"/>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7"/>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2403</v>
      </c>
      <c r="E60" s="12"/>
      <c r="F60" s="49" t="s">
        <v>1316</v>
      </c>
      <c r="G60" s="144" t="s">
        <v>2405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2288</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 xml:space="preserve">Biopsy Mitotic count </v>
      </c>
      <c r="D62" s="12" t="s">
        <v>2406</v>
      </c>
      <c r="E62" s="12"/>
      <c r="F62" s="49" t="s">
        <v>1294</v>
      </c>
      <c r="G62" s="77" t="s">
        <v>2447</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2404</v>
      </c>
      <c r="E63" s="12"/>
      <c r="F63" s="49" t="s">
        <v>1294</v>
      </c>
      <c r="G63" s="77" t="s">
        <v>2446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2404</v>
      </c>
      <c r="E64" s="12"/>
      <c r="F64" s="49" t="s">
        <v>1294</v>
      </c>
      <c r="G64" s="77" t="s">
        <v>2449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2404</v>
      </c>
      <c r="E65" s="12"/>
      <c r="F65" s="49" t="s">
        <v>1294</v>
      </c>
      <c r="G65" s="77" t="s">
        <v>2448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2" t="str">
        <f>E3</f>
        <v>http://hl7.eu/fhir/ig/idea4rc/StructureDefinition/CancerEpisode</v>
      </c>
      <c r="F6" s="153"/>
      <c r="G6" s="153"/>
    </row>
    <row r="7" spans="1:19" x14ac:dyDescent="0.75">
      <c r="B7" s="47" t="s">
        <v>15</v>
      </c>
      <c r="C7" s="72"/>
      <c r="D7" s="47" t="s">
        <v>1476</v>
      </c>
      <c r="E7" s="152" t="s">
        <v>1551</v>
      </c>
      <c r="F7" s="153"/>
      <c r="G7" s="153"/>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2294</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x14ac:dyDescent="0.75">
      <c r="A4" s="5" t="s">
        <v>11</v>
      </c>
      <c r="B4" s="30" t="s">
        <v>1914</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2076</v>
      </c>
      <c r="J7" s="118" t="s">
        <v>2077</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2074</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2075</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2411</v>
      </c>
      <c r="D19" s="148" t="s">
        <v>2428</v>
      </c>
      <c r="I19" s="12"/>
      <c r="J19" s="12"/>
      <c r="P19" s="12"/>
      <c r="R19" s="12"/>
    </row>
    <row r="20" spans="2:18" x14ac:dyDescent="0.75">
      <c r="B20" s="146" t="s">
        <v>2407</v>
      </c>
      <c r="C20" s="147" t="s">
        <v>2412</v>
      </c>
      <c r="D20" s="147" t="s">
        <v>2434</v>
      </c>
      <c r="I20" s="12"/>
      <c r="J20" s="12"/>
      <c r="P20" s="12"/>
      <c r="R20" s="12"/>
    </row>
    <row r="21" spans="2:18" x14ac:dyDescent="0.75">
      <c r="B21" s="146" t="s">
        <v>2408</v>
      </c>
      <c r="C21" s="147" t="s">
        <v>2432</v>
      </c>
      <c r="D21" s="147" t="s">
        <v>2431</v>
      </c>
      <c r="I21" s="12"/>
      <c r="J21" s="12"/>
      <c r="P21" s="12"/>
      <c r="R21" s="12"/>
    </row>
    <row r="22" spans="2:18" x14ac:dyDescent="0.75">
      <c r="B22" s="146" t="s">
        <v>2409</v>
      </c>
      <c r="C22" s="147" t="s">
        <v>2432</v>
      </c>
      <c r="D22" s="147" t="s">
        <v>2430</v>
      </c>
      <c r="I22" s="12"/>
      <c r="J22" s="12"/>
      <c r="P22" s="12"/>
      <c r="R22" s="12"/>
    </row>
    <row r="23" spans="2:18" x14ac:dyDescent="0.75">
      <c r="B23" s="146" t="s">
        <v>2410</v>
      </c>
      <c r="C23" s="147" t="s">
        <v>2429</v>
      </c>
      <c r="D23" s="147" t="s">
        <v>2421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2413</v>
      </c>
      <c r="C28" s="2" t="s">
        <v>2414</v>
      </c>
      <c r="F28" s="2"/>
      <c r="G28" s="12"/>
      <c r="H28" s="12"/>
      <c r="I28"/>
      <c r="L28"/>
      <c r="M28" s="2"/>
      <c r="N28" s="12"/>
      <c r="O28"/>
      <c r="P28" s="12"/>
    </row>
    <row r="29" spans="2:18" ht="44.25" x14ac:dyDescent="0.75">
      <c r="B29" t="s">
        <v>2415</v>
      </c>
      <c r="C29" s="2" t="s">
        <v>2416</v>
      </c>
      <c r="F29" s="2"/>
      <c r="G29" s="12"/>
      <c r="H29" s="12"/>
      <c r="I29"/>
      <c r="L29"/>
      <c r="M29" s="2"/>
      <c r="N29" s="12"/>
      <c r="O29"/>
      <c r="P29" s="12"/>
    </row>
    <row r="30" spans="2:18" ht="59" x14ac:dyDescent="0.75">
      <c r="B30" t="s">
        <v>2417</v>
      </c>
      <c r="C30" s="2" t="s">
        <v>2418</v>
      </c>
      <c r="F30" s="2"/>
      <c r="G30" s="12"/>
      <c r="H30" s="12"/>
      <c r="I30"/>
      <c r="L30"/>
      <c r="M30" s="2"/>
      <c r="N30" s="12"/>
      <c r="O30"/>
      <c r="P30" s="12"/>
    </row>
    <row r="31" spans="2:18" ht="88.5" x14ac:dyDescent="0.75">
      <c r="B31" t="s">
        <v>2419</v>
      </c>
      <c r="C31" s="2" t="s">
        <v>2420</v>
      </c>
      <c r="F31" s="2"/>
      <c r="G31" s="12"/>
      <c r="H31" s="12"/>
      <c r="I31"/>
      <c r="L31"/>
      <c r="M31" s="2"/>
      <c r="N31" s="12"/>
      <c r="O31"/>
      <c r="P31" s="12"/>
    </row>
    <row r="32" spans="2:18" ht="44.25" x14ac:dyDescent="0.75">
      <c r="B32" t="s">
        <v>2422</v>
      </c>
      <c r="C32" s="2" t="s">
        <v>2423</v>
      </c>
      <c r="F32" s="2"/>
      <c r="G32" s="12"/>
      <c r="H32" s="12"/>
      <c r="I32"/>
      <c r="L32"/>
      <c r="M32" s="2"/>
      <c r="N32" s="12"/>
      <c r="O32"/>
      <c r="P32" s="12"/>
    </row>
    <row r="33" spans="2:18" ht="44.25" x14ac:dyDescent="0.75">
      <c r="B33" t="s">
        <v>2424</v>
      </c>
      <c r="C33" s="2" t="s">
        <v>2425</v>
      </c>
      <c r="F33" s="2"/>
      <c r="G33" s="12"/>
      <c r="H33" s="12"/>
      <c r="I33"/>
      <c r="L33"/>
      <c r="M33" s="2"/>
      <c r="N33" s="12"/>
      <c r="O33"/>
      <c r="P33" s="12"/>
    </row>
    <row r="34" spans="2:18" ht="44.25" x14ac:dyDescent="0.75">
      <c r="B34" t="s">
        <v>2426</v>
      </c>
      <c r="C34" s="2" t="s">
        <v>2427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2" t="s">
        <v>1486</v>
      </c>
      <c r="F4" s="153"/>
      <c r="G4" s="153"/>
    </row>
    <row r="5" spans="1:19" x14ac:dyDescent="0.75">
      <c r="B5" s="47" t="s">
        <v>10</v>
      </c>
      <c r="C5" s="7" t="s">
        <v>1615</v>
      </c>
      <c r="D5" s="47"/>
      <c r="E5" s="7"/>
    </row>
    <row r="6" spans="1:19" x14ac:dyDescent="0.75">
      <c r="B6" s="47" t="s">
        <v>18</v>
      </c>
      <c r="C6" s="41"/>
      <c r="D6" s="47" t="s">
        <v>1475</v>
      </c>
      <c r="E6" s="152" t="str">
        <f>E3</f>
        <v>http://hl7.eu/fhir/ig/idea4rc/StructureDefinition/EpisodeEvent</v>
      </c>
      <c r="F6" s="153"/>
      <c r="G6" s="153"/>
    </row>
    <row r="7" spans="1:19" x14ac:dyDescent="0.75">
      <c r="B7" s="47" t="s">
        <v>15</v>
      </c>
      <c r="C7" s="72"/>
      <c r="D7" s="47" t="s">
        <v>1476</v>
      </c>
      <c r="E7" s="152" t="s">
        <v>1486</v>
      </c>
      <c r="F7" s="153"/>
      <c r="G7" s="153"/>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2437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2355</v>
      </c>
      <c r="E18" s="12"/>
      <c r="F18" s="49" t="s">
        <v>1294</v>
      </c>
      <c r="G18" s="76" t="s">
        <v>2356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2295</v>
      </c>
      <c r="E19" s="12"/>
      <c r="F19" s="49" t="s">
        <v>1317</v>
      </c>
      <c r="G19" s="76" t="s">
        <v>2296</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1911</v>
      </c>
      <c r="L4" s="16" t="str">
        <f>CONCATENATE("Logical: ",B4)</f>
        <v>Logical: GeneticTestExpressionI4rc</v>
      </c>
    </row>
    <row r="5" spans="1:18" ht="15.5" thickBot="1" x14ac:dyDescent="0.9">
      <c r="A5" s="14" t="s">
        <v>16</v>
      </c>
      <c r="B5" s="30" t="s">
        <v>1881</v>
      </c>
      <c r="L5" s="16" t="str">
        <f>CONCATENATE("Id: ",B5)</f>
        <v>Id: GeneticTestExpression</v>
      </c>
    </row>
    <row r="6" spans="1:18" ht="15.5" thickBot="1" x14ac:dyDescent="0.9">
      <c r="A6" s="14" t="s">
        <v>10</v>
      </c>
      <c r="B6" s="30" t="s">
        <v>1882</v>
      </c>
      <c r="L6" s="17" t="str">
        <f>CONCATENATE("Title: ##34#",B6,"##34#")</f>
        <v>Title: ##34#Genetic Test Expression##34#</v>
      </c>
    </row>
    <row r="7" spans="1:18" x14ac:dyDescent="0.75">
      <c r="A7" s="26" t="s">
        <v>2</v>
      </c>
      <c r="B7" s="95" t="s">
        <v>1882</v>
      </c>
      <c r="C7" s="9" t="s">
        <v>3</v>
      </c>
      <c r="D7" s="1" t="s">
        <v>4</v>
      </c>
      <c r="E7" s="3" t="s">
        <v>5</v>
      </c>
      <c r="F7" s="3" t="s">
        <v>6</v>
      </c>
      <c r="G7" s="3" t="s">
        <v>7</v>
      </c>
      <c r="H7" s="64" t="s">
        <v>1384</v>
      </c>
      <c r="I7" s="118" t="s">
        <v>2076</v>
      </c>
      <c r="J7" s="118" t="s">
        <v>2077</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1883</v>
      </c>
      <c r="C9" s="142" t="s">
        <v>2380</v>
      </c>
      <c r="D9" t="s">
        <v>1884</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1885</v>
      </c>
      <c r="C10" s="142" t="s">
        <v>1886</v>
      </c>
      <c r="D10" t="s">
        <v>1886</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1887</v>
      </c>
      <c r="C11" s="142" t="s">
        <v>2381</v>
      </c>
      <c r="D11" t="s">
        <v>1888</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1889</v>
      </c>
      <c r="C12" s="142" t="s">
        <v>1890</v>
      </c>
      <c r="D12" t="s">
        <v>1890</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1891</v>
      </c>
      <c r="C13" s="142" t="s">
        <v>2382</v>
      </c>
      <c r="D13" t="s">
        <v>1892</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1893</v>
      </c>
      <c r="C14" s="142" t="s">
        <v>1894</v>
      </c>
      <c r="D14" t="s">
        <v>1894</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2127</v>
      </c>
      <c r="C15" s="142" t="s">
        <v>2383</v>
      </c>
      <c r="D15" t="s">
        <v>1895</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1896</v>
      </c>
      <c r="C16" s="142" t="s">
        <v>1897</v>
      </c>
      <c r="D16" t="s">
        <v>1897</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2128</v>
      </c>
      <c r="C17" s="142" t="s">
        <v>2384</v>
      </c>
      <c r="D17" t="s">
        <v>1898</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1899</v>
      </c>
      <c r="C18" s="142" t="s">
        <v>1900</v>
      </c>
      <c r="D18" t="s">
        <v>1900</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1901</v>
      </c>
      <c r="C19" s="142" t="s">
        <v>2385</v>
      </c>
      <c r="D19" t="s">
        <v>1902</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1903</v>
      </c>
      <c r="C20" s="142" t="s">
        <v>1904</v>
      </c>
      <c r="D20" t="s">
        <v>1904</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2129</v>
      </c>
      <c r="C21" s="142" t="s">
        <v>2386</v>
      </c>
      <c r="D21" t="s">
        <v>1905</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1906</v>
      </c>
      <c r="C22" s="142" t="s">
        <v>1907</v>
      </c>
      <c r="D22" t="s">
        <v>1907</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2377</v>
      </c>
      <c r="D3" s="47" t="s">
        <v>1473</v>
      </c>
      <c r="E3" s="71" t="str">
        <f>$C$1&amp;B14</f>
        <v>http://hl7.eu/fhir/ig/idea4rc/StructureDefinition/GeneticTestExpressionI4rc</v>
      </c>
    </row>
    <row r="4" spans="1:19" x14ac:dyDescent="0.75">
      <c r="B4" s="47" t="s">
        <v>16</v>
      </c>
      <c r="C4" s="28" t="s">
        <v>2376</v>
      </c>
      <c r="D4" s="47" t="s">
        <v>1474</v>
      </c>
      <c r="E4" s="152" t="s">
        <v>1486</v>
      </c>
      <c r="F4" s="153"/>
      <c r="G4" s="153"/>
    </row>
    <row r="5" spans="1:19" x14ac:dyDescent="0.75">
      <c r="B5" s="47" t="s">
        <v>10</v>
      </c>
      <c r="C5" s="7" t="s">
        <v>2378</v>
      </c>
      <c r="D5" s="47"/>
      <c r="E5" s="7"/>
    </row>
    <row r="6" spans="1:19" x14ac:dyDescent="0.75">
      <c r="B6" s="47" t="s">
        <v>18</v>
      </c>
      <c r="C6" s="41"/>
      <c r="D6" s="47" t="s">
        <v>1475</v>
      </c>
      <c r="E6" s="152" t="str">
        <f>E3</f>
        <v>http://hl7.eu/fhir/ig/idea4rc/StructureDefinition/GeneticTestExpressionI4rc</v>
      </c>
      <c r="F6" s="153"/>
      <c r="G6" s="153"/>
    </row>
    <row r="7" spans="1:19" x14ac:dyDescent="0.75">
      <c r="B7" s="47" t="s">
        <v>15</v>
      </c>
      <c r="C7" s="72"/>
      <c r="D7" s="47" t="s">
        <v>1476</v>
      </c>
      <c r="E7" s="152" t="s">
        <v>1486</v>
      </c>
      <c r="F7" s="153"/>
      <c r="G7" s="153"/>
    </row>
    <row r="8" spans="1:19" ht="45" thickBot="1" x14ac:dyDescent="0.9">
      <c r="B8" s="47" t="s">
        <v>1477</v>
      </c>
      <c r="C8" s="7" t="s">
        <v>2378</v>
      </c>
      <c r="D8" s="47"/>
      <c r="E8" s="7"/>
      <c r="I8" s="12" t="s">
        <v>1289</v>
      </c>
      <c r="J8" s="12" t="s">
        <v>1290</v>
      </c>
      <c r="K8" s="12" t="s">
        <v>1291</v>
      </c>
      <c r="L8" s="12" t="s">
        <v>1292</v>
      </c>
      <c r="M8" s="11" t="s">
        <v>1293</v>
      </c>
      <c r="P8" s="34" t="s">
        <v>1328</v>
      </c>
      <c r="Q8" s="34">
        <v>6</v>
      </c>
    </row>
    <row r="9" spans="1:19" ht="15.5" thickBot="1" x14ac:dyDescent="0.9">
      <c r="B9" s="47" t="s">
        <v>1478</v>
      </c>
      <c r="C9" s="12" t="s">
        <v>2379</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2387</v>
      </c>
      <c r="E16" s="12"/>
      <c r="F16" s="49" t="s">
        <v>1316</v>
      </c>
      <c r="G16" s="77" t="s">
        <v>2389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2388</v>
      </c>
      <c r="E17" s="12"/>
      <c r="F17" s="49" t="s">
        <v>1316</v>
      </c>
      <c r="G17" s="77" t="s">
        <v>2390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2387</v>
      </c>
      <c r="E18" s="12"/>
      <c r="F18" s="49" t="s">
        <v>1316</v>
      </c>
      <c r="G18" s="77" t="s">
        <v>2391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2388</v>
      </c>
      <c r="E19" s="12"/>
      <c r="F19" s="49" t="s">
        <v>1316</v>
      </c>
      <c r="G19" s="77" t="s">
        <v>2391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2387</v>
      </c>
      <c r="E20" s="12"/>
      <c r="F20" s="49" t="s">
        <v>1316</v>
      </c>
      <c r="G20" s="77" t="s">
        <v>2392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2388</v>
      </c>
      <c r="E21" s="12"/>
      <c r="F21" s="49" t="s">
        <v>1316</v>
      </c>
      <c r="G21" s="77" t="s">
        <v>2392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2387</v>
      </c>
      <c r="E22" s="12"/>
      <c r="F22" s="49" t="s">
        <v>1316</v>
      </c>
      <c r="G22" s="77" t="s">
        <v>2393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2388</v>
      </c>
      <c r="E23" s="12"/>
      <c r="F23" s="49" t="s">
        <v>1316</v>
      </c>
      <c r="G23" s="77" t="s">
        <v>2393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2387</v>
      </c>
      <c r="E24" s="12"/>
      <c r="F24" s="49" t="s">
        <v>1316</v>
      </c>
      <c r="G24" s="77" t="s">
        <v>2394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2388</v>
      </c>
      <c r="E25" s="12"/>
      <c r="F25" s="49" t="s">
        <v>1316</v>
      </c>
      <c r="G25" s="77" t="s">
        <v>2394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2387</v>
      </c>
      <c r="E26" s="12"/>
      <c r="F26" s="49" t="s">
        <v>1316</v>
      </c>
      <c r="G26" s="77" t="s">
        <v>2395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2388</v>
      </c>
      <c r="E27" s="12"/>
      <c r="F27" s="49" t="s">
        <v>1316</v>
      </c>
      <c r="G27" s="77" t="s">
        <v>2395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2387</v>
      </c>
      <c r="E28" s="12"/>
      <c r="F28" s="49" t="s">
        <v>1316</v>
      </c>
      <c r="G28" s="77" t="s">
        <v>2396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2388</v>
      </c>
      <c r="E29" s="12"/>
      <c r="F29" s="49" t="s">
        <v>1316</v>
      </c>
      <c r="G29" s="77" t="s">
        <v>2396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2397</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2078</v>
      </c>
      <c r="R2" s="24" t="s">
        <v>2079</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2172</v>
      </c>
      <c r="L4" s="16" t="str">
        <f>CONCATENATE("Logical: ",B4)</f>
        <v>Logical: StageI4rc</v>
      </c>
    </row>
    <row r="5" spans="1:18" ht="19.899999999999999" customHeight="1" x14ac:dyDescent="0.75">
      <c r="A5" s="14" t="s">
        <v>16</v>
      </c>
      <c r="B5" s="31" t="s">
        <v>2173</v>
      </c>
      <c r="L5" s="16" t="str">
        <f>CONCATENATE("Id: ",B5)</f>
        <v>Id: Stage</v>
      </c>
    </row>
    <row r="6" spans="1:18" ht="19.899999999999999" customHeight="1" x14ac:dyDescent="0.75">
      <c r="A6" s="14" t="s">
        <v>10</v>
      </c>
      <c r="B6" s="32" t="s">
        <v>2173</v>
      </c>
      <c r="L6" s="17" t="str">
        <f>CONCATENATE("Title: ##34#",B6,"##34#")</f>
        <v>Title: ##34#Stage##34#</v>
      </c>
    </row>
    <row r="7" spans="1:18" ht="19.899999999999999" customHeight="1" x14ac:dyDescent="0.75">
      <c r="A7" s="26" t="s">
        <v>2</v>
      </c>
      <c r="B7" s="63" t="s">
        <v>2173</v>
      </c>
      <c r="C7" s="9" t="s">
        <v>3</v>
      </c>
      <c r="D7" s="1" t="s">
        <v>4</v>
      </c>
      <c r="E7" s="3" t="s">
        <v>5</v>
      </c>
      <c r="F7" s="3" t="s">
        <v>6</v>
      </c>
      <c r="G7" s="3" t="s">
        <v>7</v>
      </c>
      <c r="H7" s="64" t="s">
        <v>1384</v>
      </c>
      <c r="I7" s="118" t="s">
        <v>2076</v>
      </c>
      <c r="J7" s="118" t="s">
        <v>2077</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4">
        <v>1</v>
      </c>
      <c r="B9" s="11" t="s">
        <v>1876</v>
      </c>
      <c r="C9" s="11" t="s">
        <v>2139</v>
      </c>
      <c r="D9" s="11" t="s">
        <v>2139</v>
      </c>
      <c r="E9" s="11">
        <v>1</v>
      </c>
      <c r="F9" s="11">
        <v>1</v>
      </c>
      <c r="G9" t="s">
        <v>1468</v>
      </c>
      <c r="H9" s="12" t="s">
        <v>2149</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4">
        <v>2</v>
      </c>
      <c r="B10" s="11" t="s">
        <v>2130</v>
      </c>
      <c r="C10" s="11" t="s">
        <v>292</v>
      </c>
      <c r="D10" s="11" t="s">
        <v>1388</v>
      </c>
      <c r="E10" s="11">
        <v>1</v>
      </c>
      <c r="F10" s="11">
        <v>1</v>
      </c>
      <c r="G10" t="s">
        <v>1468</v>
      </c>
      <c r="H10" s="12" t="s">
        <v>2150</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5">
        <v>3</v>
      </c>
      <c r="B11" s="11" t="s">
        <v>2131</v>
      </c>
      <c r="C11" s="11" t="s">
        <v>299</v>
      </c>
      <c r="D11" s="11" t="s">
        <v>1389</v>
      </c>
      <c r="E11" s="11">
        <v>1</v>
      </c>
      <c r="F11" s="11">
        <v>1</v>
      </c>
      <c r="G11" t="s">
        <v>1468</v>
      </c>
      <c r="H11" s="12" t="s">
        <v>2151</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4">
        <v>4</v>
      </c>
      <c r="B12" s="11" t="s">
        <v>2132</v>
      </c>
      <c r="C12" s="11" t="s">
        <v>306</v>
      </c>
      <c r="D12" s="11" t="s">
        <v>1390</v>
      </c>
      <c r="E12" s="11">
        <v>1</v>
      </c>
      <c r="F12" s="11">
        <v>1</v>
      </c>
      <c r="G12" t="s">
        <v>1468</v>
      </c>
      <c r="H12" s="12" t="s">
        <v>2152</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4">
        <v>5</v>
      </c>
      <c r="B13" s="11" t="s">
        <v>2133</v>
      </c>
      <c r="C13" s="11" t="s">
        <v>1558</v>
      </c>
      <c r="D13" s="11" t="s">
        <v>1559</v>
      </c>
      <c r="E13" s="11">
        <v>1</v>
      </c>
      <c r="F13" s="11">
        <v>1</v>
      </c>
      <c r="G13" t="s">
        <v>1468</v>
      </c>
      <c r="H13" s="12" t="s">
        <v>2153</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4">
        <v>6</v>
      </c>
      <c r="B14" s="6" t="s">
        <v>2134</v>
      </c>
      <c r="C14" s="11" t="s">
        <v>2140</v>
      </c>
      <c r="D14" s="11" t="s">
        <v>2141</v>
      </c>
      <c r="E14" s="11">
        <v>1</v>
      </c>
      <c r="F14" s="11">
        <v>1</v>
      </c>
      <c r="G14" t="s">
        <v>1468</v>
      </c>
      <c r="H14" s="4" t="s">
        <v>2156</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6">
        <v>7</v>
      </c>
      <c r="B15" s="11" t="s">
        <v>2135</v>
      </c>
      <c r="C15" s="11" t="s">
        <v>2142</v>
      </c>
      <c r="D15" s="11" t="s">
        <v>2143</v>
      </c>
      <c r="E15" s="11">
        <v>1</v>
      </c>
      <c r="F15" s="11">
        <v>1</v>
      </c>
      <c r="G15" t="s">
        <v>1468</v>
      </c>
      <c r="H15" s="12" t="s">
        <v>2157</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6">
        <v>8</v>
      </c>
      <c r="B16" s="6" t="s">
        <v>2136</v>
      </c>
      <c r="C16" s="11" t="s">
        <v>2144</v>
      </c>
      <c r="D16" s="11" t="s">
        <v>2145</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6">
        <v>9</v>
      </c>
      <c r="B17" s="11" t="s">
        <v>1417</v>
      </c>
      <c r="C17" s="11" t="s">
        <v>1392</v>
      </c>
      <c r="D17" s="11" t="s">
        <v>1393</v>
      </c>
      <c r="E17" s="11">
        <v>1</v>
      </c>
      <c r="F17" s="11">
        <v>1</v>
      </c>
      <c r="G17" t="s">
        <v>1468</v>
      </c>
      <c r="H17" s="12" t="s">
        <v>2154</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6">
        <v>10</v>
      </c>
      <c r="B18" s="6" t="s">
        <v>2137</v>
      </c>
      <c r="C18" s="11" t="s">
        <v>2146</v>
      </c>
      <c r="D18" s="11" t="s">
        <v>2147</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6"/>
      <c r="B19" s="6" t="s">
        <v>2158</v>
      </c>
      <c r="C19" s="6" t="s">
        <v>2158</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6">
        <v>11</v>
      </c>
      <c r="B20" s="11" t="s">
        <v>2159</v>
      </c>
      <c r="C20" s="11" t="s">
        <v>1394</v>
      </c>
      <c r="D20" s="11" t="s">
        <v>2302</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6">
        <v>12</v>
      </c>
      <c r="B21" s="11" t="s">
        <v>2160</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6">
        <v>13</v>
      </c>
      <c r="B22" s="11" t="s">
        <v>2161</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6">
        <v>14</v>
      </c>
      <c r="B23" s="11" t="s">
        <v>2162</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6">
        <v>15</v>
      </c>
      <c r="B24" s="11" t="s">
        <v>2163</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6">
        <v>16</v>
      </c>
      <c r="B25" s="11" t="s">
        <v>2164</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7">
        <v>17</v>
      </c>
      <c r="B26" s="11" t="s">
        <v>2165</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4">
        <v>18</v>
      </c>
      <c r="B27" s="11" t="s">
        <v>2166</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7">
        <v>19</v>
      </c>
      <c r="B28" s="11" t="s">
        <v>2167</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4">
        <v>20</v>
      </c>
      <c r="B29" s="11" t="s">
        <v>2168</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7">
        <v>21</v>
      </c>
      <c r="B30" s="11" t="s">
        <v>2138</v>
      </c>
      <c r="C30" s="11" t="s">
        <v>2148</v>
      </c>
      <c r="D30" s="11" t="s">
        <v>1391</v>
      </c>
      <c r="E30" s="11">
        <v>1</v>
      </c>
      <c r="F30" s="11">
        <v>1</v>
      </c>
      <c r="G30" t="s">
        <v>1468</v>
      </c>
      <c r="H30" s="12" t="s">
        <v>2155</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2311</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J74"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2307</v>
      </c>
      <c r="D3" s="47" t="s">
        <v>1473</v>
      </c>
      <c r="E3" s="71" t="str">
        <f>$C$1&amp;B14</f>
        <v>http://hl7.eu/fhir/ig/idea4rc/StructureDefinition/Stage</v>
      </c>
    </row>
    <row r="4" spans="1:19" x14ac:dyDescent="0.75">
      <c r="B4" s="47" t="s">
        <v>16</v>
      </c>
      <c r="C4" s="28" t="s">
        <v>2308</v>
      </c>
      <c r="D4" s="47" t="s">
        <v>1474</v>
      </c>
      <c r="E4" s="150" t="str">
        <f>C1&amp;G4</f>
        <v>http://hl7.eu/fhir/ig/idea4rc/StructureDefinition/Bundle-eu-i4rc</v>
      </c>
      <c r="G4" s="151" t="s">
        <v>2439</v>
      </c>
    </row>
    <row r="5" spans="1:19" x14ac:dyDescent="0.75">
      <c r="B5" s="47" t="s">
        <v>10</v>
      </c>
      <c r="C5" s="7" t="s">
        <v>2309</v>
      </c>
      <c r="D5" s="47"/>
      <c r="E5" s="7"/>
    </row>
    <row r="6" spans="1:19" x14ac:dyDescent="0.75">
      <c r="B6" s="47" t="s">
        <v>18</v>
      </c>
      <c r="C6" s="41"/>
      <c r="D6" s="47" t="s">
        <v>1475</v>
      </c>
      <c r="E6" s="152" t="str">
        <f>E3</f>
        <v>http://hl7.eu/fhir/ig/idea4rc/StructureDefinition/Stage</v>
      </c>
      <c r="F6" s="153"/>
      <c r="G6" s="153"/>
    </row>
    <row r="7" spans="1:19" x14ac:dyDescent="0.75">
      <c r="B7" s="47" t="s">
        <v>15</v>
      </c>
      <c r="C7" s="72"/>
      <c r="D7" s="47" t="s">
        <v>1476</v>
      </c>
      <c r="E7" s="152" t="s">
        <v>1625</v>
      </c>
      <c r="F7" s="153"/>
      <c r="G7" s="153"/>
    </row>
    <row r="8" spans="1:19" ht="44.25" x14ac:dyDescent="0.75">
      <c r="B8" s="47" t="s">
        <v>1477</v>
      </c>
      <c r="C8" s="73" t="s">
        <v>2309</v>
      </c>
      <c r="D8" s="47"/>
      <c r="E8" s="7"/>
      <c r="I8" s="12" t="s">
        <v>1289</v>
      </c>
      <c r="J8" s="12" t="s">
        <v>1290</v>
      </c>
      <c r="K8" s="12" t="s">
        <v>1291</v>
      </c>
      <c r="L8" s="12" t="s">
        <v>1292</v>
      </c>
      <c r="M8" s="11" t="s">
        <v>1293</v>
      </c>
      <c r="P8" s="34" t="s">
        <v>1328</v>
      </c>
      <c r="Q8" s="34">
        <v>6</v>
      </c>
    </row>
    <row r="9" spans="1:19" x14ac:dyDescent="0.75">
      <c r="B9" s="47" t="s">
        <v>1478</v>
      </c>
      <c r="C9" s="12" t="s">
        <v>2310</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2300</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2297</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2298</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2299</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2440</v>
      </c>
      <c r="E20" s="12"/>
      <c r="F20" s="49" t="s">
        <v>1294</v>
      </c>
      <c r="G20" s="76" t="s">
        <v>2441</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2305</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H3"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2" t="str">
        <f>'Stage-ConceptMap-1'!E3</f>
        <v>http://hl7.eu/fhir/ig/idea4rc/StructureDefinition/Stage</v>
      </c>
      <c r="F3" s="153"/>
      <c r="G3" s="153"/>
    </row>
    <row r="4" spans="1:19" ht="15.5" thickBot="1" x14ac:dyDescent="0.9">
      <c r="B4" s="47" t="s">
        <v>16</v>
      </c>
      <c r="C4" s="28" t="str">
        <f>'Stage-ConceptMap-1'!C4</f>
        <v>stage2FHIR</v>
      </c>
      <c r="D4" s="47" t="s">
        <v>1474</v>
      </c>
      <c r="E4" s="152" t="str">
        <f>'Stage-ConceptMap-1'!E4</f>
        <v>http://hl7.eu/fhir/ig/idea4rc/StructureDefinition/Bundle-eu-i4rc</v>
      </c>
      <c r="F4" s="153"/>
      <c r="G4" s="153"/>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2" t="str">
        <f>E3</f>
        <v>http://hl7.eu/fhir/ig/idea4rc/StructureDefinition/Stage</v>
      </c>
      <c r="F6" s="153"/>
      <c r="G6" s="153"/>
    </row>
    <row r="7" spans="1:19" ht="15.5" thickBot="1" x14ac:dyDescent="0.9">
      <c r="B7" s="47" t="s">
        <v>15</v>
      </c>
      <c r="C7" s="28">
        <f>'Stage-ConceptMap-1'!C7</f>
        <v>0</v>
      </c>
      <c r="D7" s="47" t="s">
        <v>1476</v>
      </c>
      <c r="E7" s="152" t="s">
        <v>1636</v>
      </c>
      <c r="F7" s="153"/>
      <c r="G7" s="153"/>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4" t="s">
        <v>1316</v>
      </c>
      <c r="G16" s="13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4"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2" t="str">
        <f>'Stage-ConceptMap-1'!E3</f>
        <v>http://hl7.eu/fhir/ig/idea4rc/StructureDefinition/Stage</v>
      </c>
      <c r="F3" s="153"/>
      <c r="G3" s="153"/>
    </row>
    <row r="4" spans="1:19" ht="15.5" thickBot="1" x14ac:dyDescent="0.9">
      <c r="B4" s="47" t="s">
        <v>16</v>
      </c>
      <c r="C4" s="28" t="str">
        <f>'Stage-ConceptMap-1'!C4</f>
        <v>stage2FHIR</v>
      </c>
      <c r="D4" s="47" t="s">
        <v>1474</v>
      </c>
      <c r="E4" s="152" t="str">
        <f>'Stage-ConceptMap-1'!E4</f>
        <v>http://hl7.eu/fhir/ig/idea4rc/StructureDefinition/Bundle-eu-i4rc</v>
      </c>
      <c r="F4" s="153"/>
      <c r="G4" s="153"/>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2" t="str">
        <f>E3</f>
        <v>http://hl7.eu/fhir/ig/idea4rc/StructureDefinition/Stage</v>
      </c>
      <c r="F6" s="153"/>
      <c r="G6" s="153"/>
    </row>
    <row r="7" spans="1:19" ht="15.5" thickBot="1" x14ac:dyDescent="0.9">
      <c r="B7" s="47" t="s">
        <v>15</v>
      </c>
      <c r="C7" s="28">
        <f>'Stage-ConceptMap-1'!C7</f>
        <v>0</v>
      </c>
      <c r="D7" s="47" t="s">
        <v>1476</v>
      </c>
      <c r="E7" s="152" t="s">
        <v>1637</v>
      </c>
      <c r="F7" s="153"/>
      <c r="G7" s="153"/>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4"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2" t="str">
        <f>'Stage-ConceptMap-1'!E3</f>
        <v>http://hl7.eu/fhir/ig/idea4rc/StructureDefinition/Stage</v>
      </c>
      <c r="F3" s="153"/>
      <c r="G3" s="153"/>
    </row>
    <row r="4" spans="1:19" x14ac:dyDescent="0.75">
      <c r="B4" s="47" t="s">
        <v>16</v>
      </c>
      <c r="C4" s="28" t="s">
        <v>1620</v>
      </c>
      <c r="D4" s="47" t="s">
        <v>1474</v>
      </c>
      <c r="E4" s="152" t="str">
        <f>'Stage-ConceptMap-1'!E4</f>
        <v>http://hl7.eu/fhir/ig/idea4rc/StructureDefinition/Bundle-eu-i4rc</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v>
      </c>
      <c r="F6" s="153"/>
      <c r="G6" s="153"/>
    </row>
    <row r="7" spans="1:19" x14ac:dyDescent="0.75">
      <c r="B7" s="47" t="s">
        <v>15</v>
      </c>
      <c r="C7" s="72"/>
      <c r="D7" s="47" t="s">
        <v>1476</v>
      </c>
      <c r="E7" s="152" t="s">
        <v>1638</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4" t="s">
        <v>1311</v>
      </c>
      <c r="G17" s="13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4" t="s">
        <v>1316</v>
      </c>
      <c r="G18" s="137"/>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2" t="str">
        <f>'Stage-ConceptMap-1'!E3</f>
        <v>http://hl7.eu/fhir/ig/idea4rc/StructureDefinition/Stage</v>
      </c>
      <c r="F3" s="153"/>
      <c r="G3" s="153"/>
    </row>
    <row r="4" spans="1:19" x14ac:dyDescent="0.75">
      <c r="B4" s="47" t="s">
        <v>16</v>
      </c>
      <c r="C4" s="28" t="s">
        <v>1620</v>
      </c>
      <c r="D4" s="47" t="s">
        <v>1474</v>
      </c>
      <c r="E4" s="152" t="str">
        <f>'Stage-ConceptMap-1'!E4</f>
        <v>http://hl7.eu/fhir/ig/idea4rc/StructureDefinition/Bundle-eu-i4rc</v>
      </c>
      <c r="F4" s="153"/>
      <c r="G4" s="153"/>
    </row>
    <row r="5" spans="1:19" x14ac:dyDescent="0.75">
      <c r="B5" s="47" t="s">
        <v>10</v>
      </c>
      <c r="C5" s="7" t="s">
        <v>1621</v>
      </c>
      <c r="D5" s="47"/>
      <c r="E5" s="7"/>
    </row>
    <row r="6" spans="1:19" x14ac:dyDescent="0.75">
      <c r="B6" s="47" t="s">
        <v>18</v>
      </c>
      <c r="C6" s="41"/>
      <c r="D6" s="47" t="s">
        <v>1475</v>
      </c>
      <c r="E6" s="153" t="str">
        <f>E3</f>
        <v>http://hl7.eu/fhir/ig/idea4rc/StructureDefinition/Stage</v>
      </c>
      <c r="F6" s="153"/>
      <c r="G6" s="153"/>
    </row>
    <row r="7" spans="1:19" x14ac:dyDescent="0.75">
      <c r="B7" s="47" t="s">
        <v>15</v>
      </c>
      <c r="C7" s="72"/>
      <c r="D7" s="47" t="s">
        <v>1476</v>
      </c>
      <c r="E7" s="153" t="s">
        <v>2313</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4" t="s">
        <v>1316</v>
      </c>
      <c r="G15" s="76" t="s">
        <v>2304</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2" t="str">
        <f>'Stage-ConceptMap-1'!E3</f>
        <v>http://hl7.eu/fhir/ig/idea4rc/StructureDefinition/Stage</v>
      </c>
      <c r="F3" s="153"/>
      <c r="G3" s="153"/>
    </row>
    <row r="4" spans="1:19" x14ac:dyDescent="0.75">
      <c r="B4" s="47" t="s">
        <v>16</v>
      </c>
      <c r="C4" s="73" t="str">
        <f>'Stage-ConceptMap-1'!C4</f>
        <v>stage2FHIR</v>
      </c>
      <c r="D4" s="47" t="s">
        <v>1474</v>
      </c>
      <c r="E4" s="152" t="str">
        <f>'Stage-ConceptMap-1'!E4</f>
        <v>http://hl7.eu/fhir/ig/idea4rc/StructureDefinition/Bundle-eu-i4rc</v>
      </c>
      <c r="F4" s="153"/>
      <c r="G4" s="153"/>
    </row>
    <row r="5" spans="1:19" x14ac:dyDescent="0.75">
      <c r="B5" s="47" t="s">
        <v>10</v>
      </c>
      <c r="C5" s="73" t="str">
        <f>'Stage-ConceptMap-1'!C5</f>
        <v>Stage Model to this guide Map</v>
      </c>
      <c r="D5" s="47"/>
      <c r="E5" s="7"/>
    </row>
    <row r="6" spans="1:19" x14ac:dyDescent="0.75">
      <c r="B6" s="47" t="s">
        <v>18</v>
      </c>
      <c r="C6" s="73">
        <f>'Stage-ConceptMap-1'!C6</f>
        <v>0</v>
      </c>
      <c r="D6" s="47" t="s">
        <v>1475</v>
      </c>
      <c r="E6" s="152" t="str">
        <f>E3</f>
        <v>http://hl7.eu/fhir/ig/idea4rc/StructureDefinition/Stage</v>
      </c>
      <c r="F6" s="153"/>
      <c r="G6" s="153"/>
    </row>
    <row r="7" spans="1:19" x14ac:dyDescent="0.75">
      <c r="B7" s="47" t="s">
        <v>15</v>
      </c>
      <c r="C7" s="73">
        <f>'Stage-ConceptMap-1'!C7</f>
        <v>0</v>
      </c>
      <c r="D7" s="47" t="s">
        <v>1476</v>
      </c>
      <c r="E7" s="152" t="s">
        <v>2301</v>
      </c>
      <c r="F7" s="153"/>
      <c r="G7" s="153"/>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2312</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2361</v>
      </c>
      <c r="E16" s="12"/>
      <c r="F16" s="49" t="s">
        <v>1294</v>
      </c>
      <c r="G16" s="76" t="s">
        <v>2363</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2361</v>
      </c>
      <c r="E17" s="12"/>
      <c r="F17" s="49" t="s">
        <v>1294</v>
      </c>
      <c r="G17" s="76" t="s">
        <v>2362</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2364</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2365</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2366</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2367</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2368</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2369</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2370</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2371</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2372</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2373</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2374</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2375</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2306</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2169</v>
      </c>
      <c r="L4" s="16" t="str">
        <f>CONCATENATE("Logical: ",B4)</f>
        <v>Logical: PathologicalReportInfoI4rc</v>
      </c>
    </row>
    <row r="5" spans="1:18" ht="15.5" thickBot="1" x14ac:dyDescent="0.9">
      <c r="A5" s="14" t="s">
        <v>16</v>
      </c>
      <c r="B5" s="30" t="s">
        <v>2170</v>
      </c>
      <c r="L5" s="16" t="str">
        <f>CONCATENATE("Id: ",B5)</f>
        <v>Id: PathologicalReportInfo</v>
      </c>
    </row>
    <row r="6" spans="1:18" ht="15.5" thickBot="1" x14ac:dyDescent="0.9">
      <c r="A6" s="14" t="s">
        <v>10</v>
      </c>
      <c r="B6" s="30" t="s">
        <v>2171</v>
      </c>
      <c r="L6" s="17" t="str">
        <f>CONCATENATE("Title: ##34#",B6,"##34#")</f>
        <v>Title: ##34#Pathological Report Info##34#</v>
      </c>
    </row>
    <row r="7" spans="1:18" x14ac:dyDescent="0.75">
      <c r="A7" s="26" t="s">
        <v>2</v>
      </c>
      <c r="B7" s="95" t="s">
        <v>2171</v>
      </c>
      <c r="C7" s="9" t="s">
        <v>3</v>
      </c>
      <c r="D7" s="1" t="s">
        <v>4</v>
      </c>
      <c r="E7" s="3" t="s">
        <v>5</v>
      </c>
      <c r="F7" s="3" t="s">
        <v>6</v>
      </c>
      <c r="G7" s="116" t="s">
        <v>7</v>
      </c>
      <c r="H7" s="64" t="s">
        <v>1384</v>
      </c>
      <c r="I7" s="118" t="s">
        <v>2076</v>
      </c>
      <c r="J7" s="118" t="s">
        <v>2077</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2242</v>
      </c>
      <c r="C9" s="11" t="s">
        <v>2250</v>
      </c>
      <c r="D9" s="11" t="s">
        <v>2251</v>
      </c>
      <c r="E9" s="11">
        <v>0</v>
      </c>
      <c r="F9" s="11">
        <v>1</v>
      </c>
      <c r="G9" s="12" t="s">
        <v>1468</v>
      </c>
      <c r="H9" s="12" t="s">
        <v>2252</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2243</v>
      </c>
      <c r="C10" s="11" t="s">
        <v>2253</v>
      </c>
      <c r="D10" s="11" t="s">
        <v>2253</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2244</v>
      </c>
      <c r="C11" s="11" t="s">
        <v>2254</v>
      </c>
      <c r="D11" s="11" t="s">
        <v>2254</v>
      </c>
      <c r="E11" s="11">
        <v>0</v>
      </c>
      <c r="F11" s="11">
        <v>1</v>
      </c>
      <c r="G11" s="12" t="s">
        <v>1986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2245</v>
      </c>
      <c r="C12" s="11" t="s">
        <v>2255</v>
      </c>
      <c r="D12" s="11" t="s">
        <v>2255</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2246</v>
      </c>
      <c r="C13" s="11" t="s">
        <v>2256</v>
      </c>
      <c r="D13" s="11" t="s">
        <v>2256</v>
      </c>
      <c r="E13" s="11">
        <v>0</v>
      </c>
      <c r="F13" s="11">
        <v>1</v>
      </c>
      <c r="G13" s="12" t="s">
        <v>1468</v>
      </c>
      <c r="H13" s="12" t="s">
        <v>2257</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2247</v>
      </c>
      <c r="C14" s="11" t="s">
        <v>2258</v>
      </c>
      <c r="D14" s="11" t="s">
        <v>2258</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2248</v>
      </c>
      <c r="C15" s="11" t="s">
        <v>2259</v>
      </c>
      <c r="D15" s="11" t="s">
        <v>2259</v>
      </c>
      <c r="E15" s="11">
        <v>0</v>
      </c>
      <c r="F15" s="11">
        <v>1</v>
      </c>
      <c r="G15" s="12" t="s">
        <v>44</v>
      </c>
      <c r="H15" s="12" t="s">
        <v>2260</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2249</v>
      </c>
      <c r="C16" s="11" t="s">
        <v>2261</v>
      </c>
      <c r="D16" s="11" t="s">
        <v>2261</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2262</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#handle)</v>
      </c>
    </row>
    <row r="62" spans="3:3" x14ac:dyDescent="0.75">
      <c r="C62" s="100" t="str">
        <f>IF(PathologicalReportInfo!R9="*  ..  ##34###34# ##334###334#","//--- END",PathologicalReportInfo!R9)</f>
        <v>* degreeOfCytologicAtypia insert ObligationActorAndCode($actor-sarcoma-i4rc, #handle)</v>
      </c>
    </row>
    <row r="63" spans="3:3" x14ac:dyDescent="0.75">
      <c r="C63" s="100" t="str">
        <f>IF(PathologicalReportInfo!R10="*  ..  ##34###34# ##334###334#","//--- END",PathologicalReportInfo!R10)</f>
        <v>* patternOfGrowth insert ObligationActorAndCode($actor-sarcoma-i4rc, #handle)</v>
      </c>
    </row>
    <row r="64" spans="3:3" x14ac:dyDescent="0.75">
      <c r="C64" s="100" t="str">
        <f>IF(PathologicalReportInfo!R11="*  ..  ##34###34# ##334###334#","//--- END",PathologicalReportInfo!R11)</f>
        <v>* mitoticActivity insert ObligationActorAndCode($actor-sarcoma-i4rc, #handle)</v>
      </c>
    </row>
    <row r="65" spans="3:3" x14ac:dyDescent="0.75">
      <c r="C65" s="100" t="str">
        <f>IF(PathologicalReportInfo!R12="*  ..  ##34###34# ##334###334#","//--- END",PathologicalReportInfo!R12)</f>
        <v>* infiltrationOfSurroundingMyometrium insert ObligationActorAndCode($actor-sarcoma-i4rc, #handle)</v>
      </c>
    </row>
    <row r="66" spans="3:3" x14ac:dyDescent="0.75">
      <c r="C66" s="100" t="str">
        <f>IF(PathologicalReportInfo!R13="*  ..  ##34###34# ##334###334#","//--- END",PathologicalReportInfo!R13)</f>
        <v>* typeOfNecrosis insert ObligationActorAndCode($actor-sarcoma-i4rc, #handle)</v>
      </c>
    </row>
    <row r="67" spans="3:3" x14ac:dyDescent="0.75">
      <c r="C67" s="100" t="str">
        <f>IF(PathologicalReportInfo!R14="*  ..  ##34###34# ##334###334#","//--- END",PathologicalReportInfo!R14)</f>
        <v>* expressionOfErPr insert ObligationActorAndCode($actor-sarcoma-i4rc, #handle)</v>
      </c>
    </row>
    <row r="68" spans="3:3" x14ac:dyDescent="0.75">
      <c r="C68" s="100" t="str">
        <f>IF(PathologicalReportInfo!R15="*  ..  ##34###34# ##334###334#","//--- END",PathologicalReportInfo!R15)</f>
        <v>* vascularIntrusionOrInvasion insert ObligationActorAndCode($actor-sarcoma-i4rc, #handle)</v>
      </c>
    </row>
    <row r="69" spans="3:3" x14ac:dyDescent="0.75">
      <c r="C69" s="100" t="str">
        <f>IF(PathologicalReportInfo!R16="*  ..  ##34###34# ##334###334#","//--- END",PathologicalReportInfo!R16)</f>
        <v>* p16AndP53Expression insert ObligationActorAndCode($actor-sarcoma-i4rc, #handle)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1918</v>
      </c>
      <c r="D3" s="47" t="s">
        <v>1473</v>
      </c>
      <c r="E3" s="71" t="str">
        <f>$C$1&amp;B14</f>
        <v>http://hl7.eu/fhir/ig/idea4rc/StructureDefinition/PathologicalReportInfo</v>
      </c>
    </row>
    <row r="4" spans="1:19" x14ac:dyDescent="0.75">
      <c r="B4" s="47" t="s">
        <v>16</v>
      </c>
      <c r="C4" s="28" t="s">
        <v>1918</v>
      </c>
      <c r="D4" s="47" t="s">
        <v>1474</v>
      </c>
      <c r="E4" s="152" t="s">
        <v>1921</v>
      </c>
      <c r="F4" s="153"/>
      <c r="G4" s="153"/>
    </row>
    <row r="5" spans="1:19" x14ac:dyDescent="0.75">
      <c r="B5" s="47" t="s">
        <v>10</v>
      </c>
      <c r="C5" s="7" t="s">
        <v>1919</v>
      </c>
      <c r="D5" s="47"/>
      <c r="E5" s="7"/>
    </row>
    <row r="6" spans="1:19" x14ac:dyDescent="0.75">
      <c r="B6" s="47" t="s">
        <v>18</v>
      </c>
      <c r="C6" s="41"/>
      <c r="D6" s="47" t="s">
        <v>1475</v>
      </c>
      <c r="E6" s="152" t="str">
        <f>E3</f>
        <v>http://hl7.eu/fhir/ig/idea4rc/StructureDefinition/PathologicalReportInfo</v>
      </c>
      <c r="F6" s="153"/>
      <c r="G6" s="153"/>
    </row>
    <row r="7" spans="1:19" x14ac:dyDescent="0.75">
      <c r="B7" s="47" t="s">
        <v>15</v>
      </c>
      <c r="C7" s="72"/>
      <c r="D7" s="47" t="s">
        <v>1476</v>
      </c>
      <c r="E7" s="152" t="str">
        <f>E4</f>
        <v>http://hl7.eu/fhir/ig/idea4rc/StructureDefinition/episodeOfCare-eu-i4rc</v>
      </c>
      <c r="F7" s="153"/>
      <c r="G7" s="153"/>
    </row>
    <row r="8" spans="1:19" ht="45" thickBot="1" x14ac:dyDescent="0.9">
      <c r="B8" s="47" t="s">
        <v>1477</v>
      </c>
      <c r="C8" t="s">
        <v>1919</v>
      </c>
      <c r="D8" s="47"/>
      <c r="E8" s="7"/>
      <c r="I8" s="12" t="s">
        <v>1289</v>
      </c>
      <c r="J8" s="12" t="s">
        <v>1290</v>
      </c>
      <c r="K8" s="12" t="s">
        <v>1291</v>
      </c>
      <c r="L8" s="12" t="s">
        <v>1292</v>
      </c>
      <c r="M8" s="11" t="s">
        <v>1293</v>
      </c>
      <c r="P8" s="34" t="s">
        <v>1328</v>
      </c>
      <c r="Q8" s="34">
        <v>6</v>
      </c>
    </row>
    <row r="9" spans="1:19" ht="30.25" thickBot="1" x14ac:dyDescent="0.9">
      <c r="B9" s="47" t="s">
        <v>1478</v>
      </c>
      <c r="C9" s="12" t="s">
        <v>1920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1923</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1924</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1925</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2076</v>
      </c>
      <c r="J7" s="118" t="s">
        <v>2077</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8">
        <v>1</v>
      </c>
      <c r="B9" s="11" t="s">
        <v>1876</v>
      </c>
      <c r="C9" s="11" t="s">
        <v>2178</v>
      </c>
      <c r="D9" s="11" t="s">
        <v>2179</v>
      </c>
      <c r="E9" s="11">
        <v>1</v>
      </c>
      <c r="F9" s="11">
        <v>1</v>
      </c>
      <c r="G9" s="11" t="s">
        <v>1468</v>
      </c>
      <c r="H9" s="12" t="s">
        <v>2186</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8">
        <v>2</v>
      </c>
      <c r="B10" s="6" t="s">
        <v>2174</v>
      </c>
      <c r="C10" s="11" t="s">
        <v>2180</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8">
        <v>4</v>
      </c>
      <c r="B12" s="11" t="s">
        <v>2193</v>
      </c>
      <c r="C12" s="11" t="s">
        <v>1662</v>
      </c>
      <c r="D12" s="12" t="s">
        <v>1663</v>
      </c>
      <c r="E12" s="11">
        <v>1</v>
      </c>
      <c r="F12" s="11">
        <v>1</v>
      </c>
      <c r="G12" s="11" t="s">
        <v>1468</v>
      </c>
      <c r="H12" s="12" t="s">
        <v>2187</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8">
        <v>5</v>
      </c>
      <c r="B13" s="11" t="s">
        <v>2194</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8">
        <v>6</v>
      </c>
      <c r="B14" s="11" t="s">
        <v>1667</v>
      </c>
      <c r="C14" s="11" t="s">
        <v>1668</v>
      </c>
      <c r="D14" s="11" t="s">
        <v>1669</v>
      </c>
      <c r="E14" s="11">
        <v>0</v>
      </c>
      <c r="F14" s="11">
        <v>1</v>
      </c>
      <c r="G14" s="11" t="s">
        <v>1468</v>
      </c>
      <c r="H14" s="12" t="s">
        <v>2188</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8">
        <v>7</v>
      </c>
      <c r="B15" s="11" t="s">
        <v>2175</v>
      </c>
      <c r="C15" s="11" t="s">
        <v>2181</v>
      </c>
      <c r="D15" s="11" t="s">
        <v>2182</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8">
        <v>8</v>
      </c>
      <c r="B16" s="6" t="s">
        <v>2195</v>
      </c>
      <c r="C16" s="11" t="s">
        <v>2183</v>
      </c>
      <c r="D16" s="11" t="s">
        <v>2183</v>
      </c>
      <c r="E16" s="11">
        <v>1</v>
      </c>
      <c r="F16" s="11">
        <v>1</v>
      </c>
      <c r="G16" s="11" t="s">
        <v>1986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8">
        <v>9</v>
      </c>
      <c r="B17" s="6" t="s">
        <v>2196</v>
      </c>
      <c r="C17" s="11" t="s">
        <v>2184</v>
      </c>
      <c r="D17" s="11" t="s">
        <v>2184</v>
      </c>
      <c r="E17" s="11">
        <v>1</v>
      </c>
      <c r="F17" s="11">
        <v>1</v>
      </c>
      <c r="G17" s="11" t="s">
        <v>1468</v>
      </c>
      <c r="H17" s="12" t="s">
        <v>2189</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8">
        <v>10</v>
      </c>
      <c r="B18" s="6" t="s">
        <v>2176</v>
      </c>
      <c r="C18" s="11" t="s">
        <v>2185</v>
      </c>
      <c r="D18" s="11" t="s">
        <v>2185</v>
      </c>
      <c r="E18" s="11">
        <v>1</v>
      </c>
      <c r="F18" s="11">
        <v>1</v>
      </c>
      <c r="G18" s="11" t="s">
        <v>1468</v>
      </c>
      <c r="H18" s="12" t="s">
        <v>2190</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8">
        <v>14</v>
      </c>
      <c r="B22" s="11" t="s">
        <v>1681</v>
      </c>
      <c r="C22" s="11" t="s">
        <v>1682</v>
      </c>
      <c r="D22" s="11" t="s">
        <v>1683</v>
      </c>
      <c r="E22" s="11">
        <v>0</v>
      </c>
      <c r="F22" s="11">
        <v>1</v>
      </c>
      <c r="G22" s="11" t="s">
        <v>1468</v>
      </c>
      <c r="H22" s="12" t="s">
        <v>2191</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8">
        <v>17</v>
      </c>
      <c r="B25" s="11" t="s">
        <v>2197</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8">
        <v>17</v>
      </c>
      <c r="B26" s="11" t="s">
        <v>2198</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8">
        <v>18</v>
      </c>
      <c r="B27" s="11" t="s">
        <v>2199</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8">
        <v>19</v>
      </c>
      <c r="B28" s="11" t="s">
        <v>2200</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8">
        <v>20</v>
      </c>
      <c r="B29" s="11" t="s">
        <v>2201</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8">
        <v>21</v>
      </c>
      <c r="B30" s="11" t="s">
        <v>2202</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8">
        <v>22</v>
      </c>
      <c r="B31" s="11" t="s">
        <v>2203</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8">
        <v>23</v>
      </c>
      <c r="B32" s="11" t="s">
        <v>2204</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8">
        <v>24</v>
      </c>
      <c r="B33" s="11" t="s">
        <v>2205</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8">
        <v>25</v>
      </c>
      <c r="B34" s="11" t="s">
        <v>2206</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8">
        <v>26</v>
      </c>
      <c r="B35" s="11" t="s">
        <v>2207</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8">
        <v>27</v>
      </c>
      <c r="B36" s="11" t="s">
        <v>2177</v>
      </c>
      <c r="C36" s="11" t="s">
        <v>1710</v>
      </c>
      <c r="D36" s="11" t="s">
        <v>1711</v>
      </c>
      <c r="E36">
        <v>1</v>
      </c>
      <c r="F36">
        <v>1</v>
      </c>
      <c r="G36" s="11" t="s">
        <v>1468</v>
      </c>
      <c r="H36" s="12" t="s">
        <v>2192</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zoomScale="130" zoomScaleNormal="130" workbookViewId="0">
      <selection activeCell="C25" sqref="C2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v>
      </c>
    </row>
    <row r="4" spans="1:19" x14ac:dyDescent="0.75">
      <c r="B4" s="47" t="s">
        <v>16</v>
      </c>
      <c r="C4" s="28" t="s">
        <v>1787</v>
      </c>
      <c r="D4" s="47" t="s">
        <v>1474</v>
      </c>
      <c r="E4" s="152" t="s">
        <v>1790</v>
      </c>
      <c r="F4" s="153"/>
      <c r="G4" s="153"/>
    </row>
    <row r="5" spans="1:19" x14ac:dyDescent="0.75">
      <c r="B5" s="47" t="s">
        <v>10</v>
      </c>
      <c r="C5" s="7" t="s">
        <v>1788</v>
      </c>
      <c r="D5" s="47"/>
      <c r="E5" s="7"/>
    </row>
    <row r="6" spans="1:19" x14ac:dyDescent="0.75">
      <c r="B6" s="47" t="s">
        <v>18</v>
      </c>
      <c r="C6" s="41"/>
      <c r="D6" s="47" t="s">
        <v>1475</v>
      </c>
      <c r="E6" s="152" t="str">
        <f>E3</f>
        <v>http://hl7.eu/fhir/ig/idea4rc/StructureDefinition/Surgery</v>
      </c>
      <c r="F6" s="153"/>
      <c r="G6" s="153"/>
    </row>
    <row r="7" spans="1:19" x14ac:dyDescent="0.75">
      <c r="B7" s="47" t="s">
        <v>15</v>
      </c>
      <c r="C7" s="72"/>
      <c r="D7" s="47" t="s">
        <v>1476</v>
      </c>
      <c r="E7" s="152" t="str">
        <f>E4</f>
        <v>http://hl7.eu/fhir/ig/idea4rc/StructureDefinition/Procedure-surgery-eu-i4rc</v>
      </c>
      <c r="F7" s="153"/>
      <c r="G7" s="153"/>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2442</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2357</v>
      </c>
      <c r="H17" s="43"/>
      <c r="I17" s="12" t="str">
        <f t="shared" ref="I17:I24" si="15">"* group[=].element[+].code = #"&amp;$B$14&amp;"."&amp;B17</f>
        <v>* group[=].element[+].code = #Surgery.surgeryHospital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2358</v>
      </c>
      <c r="E18" s="12"/>
      <c r="F18" s="49" t="s">
        <v>1294</v>
      </c>
      <c r="G18" s="76" t="s">
        <v>2356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2314</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2443</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21"/>
        <v>0</v>
      </c>
      <c r="R20" s="11">
        <f t="shared" si="22"/>
        <v>6</v>
      </c>
      <c r="S20" s="12" t="str" cm="1">
        <f t="array" ref="S20">INDEX('Surgery-ConceptMap-1'!$I$15:$N$125,Q20+1,R20)</f>
        <v/>
      </c>
    </row>
    <row r="21" spans="1:19" ht="73.75" x14ac:dyDescent="0.75">
      <c r="A21" s="44"/>
      <c r="B21" s="11" t="str">
        <f>Surgery!B13</f>
        <v>typeOfApproach</v>
      </c>
      <c r="C21" s="11" t="str">
        <f>Surgery!C13</f>
        <v>Type of surgical approach on Tumour</v>
      </c>
      <c r="D21" s="12" t="s">
        <v>1793</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21"/>
        <v>1</v>
      </c>
      <c r="R21" s="11">
        <f t="shared" si="22"/>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1794</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21"/>
        <v>1</v>
      </c>
      <c r="R22" s="11">
        <f t="shared" si="22"/>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2444</v>
      </c>
      <c r="E23" s="12"/>
      <c r="F23" s="49" t="s">
        <v>1294</v>
      </c>
      <c r="G23" s="76" t="s">
        <v>2445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#Procedure.extension:ProcedureCategoryR5/type</v>
      </c>
    </row>
    <row r="24" spans="1:19" ht="132.75" x14ac:dyDescent="0.75">
      <c r="A24" s="44"/>
      <c r="B24" s="11" t="str">
        <f>Surgery!B16</f>
        <v>SpecimenMitoticCount</v>
      </c>
      <c r="C24" s="11" t="str">
        <f>Surgery!C16</f>
        <v>Surgical specimen Mitotic count</v>
      </c>
      <c r="D24" s="12" t="s">
        <v>2444</v>
      </c>
      <c r="E24" s="11"/>
      <c r="F24" s="49" t="s">
        <v>1294</v>
      </c>
      <c r="G24" s="164" t="s">
        <v>2450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1795</v>
      </c>
      <c r="E25" s="11"/>
      <c r="F25" s="49" t="s">
        <v>1294</v>
      </c>
      <c r="G25" s="76" t="s">
        <v>2303</v>
      </c>
      <c r="H25" s="43"/>
      <c r="I25" s="12" t="str">
        <f t="shared" ref="I25:I39" si="25">"* group[=].element[+].code = #"&amp;$B$14&amp;"."&amp;B25</f>
        <v>* group[=].element[+].code = #Surgery.SpecimenGradingOnlyInUntreatedTumours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2303</v>
      </c>
      <c r="H26" s="43"/>
      <c r="I26" s="12" t="str">
        <f t="shared" si="25"/>
        <v>* group[=].element[+].code = #Surgery.isolatedLimbPerfusion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c>
    </row>
    <row r="27" spans="1:19" ht="44.25" x14ac:dyDescent="0.75">
      <c r="A27" s="44"/>
      <c r="B27" s="11" t="str">
        <f>Surgery!B19</f>
        <v>reconstruction</v>
      </c>
      <c r="C27" s="11" t="str">
        <f>Surgery!C19</f>
        <v>Reconstruction</v>
      </c>
      <c r="D27" s="12"/>
      <c r="E27" s="12"/>
      <c r="F27" s="49" t="s">
        <v>1294</v>
      </c>
      <c r="G27" s="76" t="s">
        <v>2303</v>
      </c>
      <c r="H27" s="43"/>
      <c r="I27" s="12" t="str">
        <f t="shared" si="25"/>
        <v>* group[=].element[+].code = #Surgery.reconstruction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12"/>
      <c r="E28" s="12"/>
      <c r="F28" s="49" t="s">
        <v>1294</v>
      </c>
      <c r="G28" s="76" t="s">
        <v>2315</v>
      </c>
      <c r="H28" s="43"/>
      <c r="I28" s="12" t="str">
        <f t="shared" si="25"/>
        <v>* group[=].element[+].code = #Surgery.neckSurgery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2314</v>
      </c>
      <c r="E29" s="12"/>
      <c r="F29" s="49" t="s">
        <v>1316</v>
      </c>
      <c r="G29" s="76" t="s">
        <v>2316</v>
      </c>
      <c r="H29" s="43"/>
      <c r="I29" s="12" t="str">
        <f t="shared" si="25"/>
        <v>* group[=].element[+].code = #Surgery.dateOfNeckSurgey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2318</v>
      </c>
      <c r="E30" s="12"/>
      <c r="F30" s="49" t="s">
        <v>1316</v>
      </c>
      <c r="G30" s="76" t="s">
        <v>2317</v>
      </c>
      <c r="H30" s="43"/>
      <c r="I30" s="12" t="str">
        <f t="shared" si="25"/>
        <v>* group[=].element[+].code = #Surgery.lateralityOfTheDissection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1796</v>
      </c>
      <c r="H31" s="43"/>
      <c r="I31" s="12" t="str">
        <f t="shared" si="25"/>
        <v>* group[=].element[+].code = #Surgery.surgeryOnM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2314</v>
      </c>
      <c r="E32" s="12"/>
      <c r="F32" s="49" t="s">
        <v>1316</v>
      </c>
      <c r="G32" s="76" t="s">
        <v>2319</v>
      </c>
      <c r="H32" s="43"/>
      <c r="I32" s="12" t="str">
        <f t="shared" si="25"/>
        <v>* group[=].element[+].code = #Surgery.dateOfSurgeryOnM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2319</v>
      </c>
      <c r="H33" s="43"/>
      <c r="I33" s="12" t="str">
        <f t="shared" si="25"/>
        <v>* group[=].element[+].code = #Surgery.siteOnMetastasis.softTissue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2319</v>
      </c>
      <c r="H34" s="43"/>
      <c r="I34" s="12" t="str">
        <f t="shared" si="25"/>
        <v>* group[=].element[+].code = #Surgery.siteOnMetastasis.distantLymphNodes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2319</v>
      </c>
      <c r="H35" s="43"/>
      <c r="I35" s="12" t="str">
        <f t="shared" si="25"/>
        <v>* group[=].element[+].code = #Surgery.siteOnMetastasis.lung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2319</v>
      </c>
      <c r="H36" s="43"/>
      <c r="I36" s="12" t="str">
        <f t="shared" si="25"/>
        <v>* group[=].element[+].code = #Surgery.siteOnMetastasis.bone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2319</v>
      </c>
      <c r="H37" s="43"/>
      <c r="I37" s="12" t="str">
        <f t="shared" si="25"/>
        <v>* group[=].element[+].code = #Surgery.siteOnMetastasis.liver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2319</v>
      </c>
      <c r="H38" s="43"/>
      <c r="I38" s="12" t="str">
        <f t="shared" si="25"/>
        <v>* group[=].element[+].code = #Surgery.siteOnMetastasis.pleura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2319</v>
      </c>
      <c r="H39" s="43"/>
      <c r="I39" s="12" t="str">
        <f t="shared" si="25"/>
        <v>* group[=].element[+].code = #Surgery.siteOnMetastasis.peritoneum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ht="29.5" x14ac:dyDescent="0.75">
      <c r="B47" s="11"/>
      <c r="C47" s="11"/>
      <c r="P47" s="11">
        <v>33</v>
      </c>
      <c r="Q47" s="11">
        <f t="shared" si="23"/>
        <v>5</v>
      </c>
      <c r="R47" s="11">
        <f t="shared" si="24"/>
        <v>3</v>
      </c>
      <c r="S47" s="12" t="str" cm="1">
        <f t="array" ref="S47">INDEX('Surgery-ConceptMap-1'!$I$15:$N$125,Q47+1,R47)</f>
        <v>* group[=].element[=].target.code = #Procedure.extension:ProcedureCategoryR5/intent</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x14ac:dyDescent="0.75">
      <c r="P50" s="11">
        <v>36</v>
      </c>
      <c r="Q50" s="11">
        <f t="shared" si="23"/>
        <v>5</v>
      </c>
      <c r="R50" s="11">
        <f t="shared" si="24"/>
        <v>6</v>
      </c>
      <c r="S50" s="12" t="str" cm="1">
        <f t="array" ref="S50">INDEX('Surgery-ConceptMap-1'!$I$15:$N$125,Q50+1,R50)</f>
        <v/>
      </c>
    </row>
    <row r="51" spans="16:19" x14ac:dyDescent="0.75">
      <c r="P51" s="11">
        <v>37</v>
      </c>
      <c r="Q51" s="11">
        <f t="shared" si="23"/>
        <v>6</v>
      </c>
      <c r="R51" s="11">
        <f t="shared" si="24"/>
        <v>1</v>
      </c>
      <c r="S51" s="12" t="str" cm="1">
        <f t="array" ref="S51">INDEX('Surgery-ConceptMap-1'!$I$15:$N$125,Q51+1,R51)</f>
        <v>* group[=].element[+].code = #Surgery.typeOfApproach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x14ac:dyDescent="0.75">
      <c r="P56" s="11">
        <v>42</v>
      </c>
      <c r="Q56" s="11">
        <f t="shared" si="23"/>
        <v>6</v>
      </c>
      <c r="R56" s="11">
        <f t="shared" si="24"/>
        <v>6</v>
      </c>
      <c r="S56" s="12" t="str" cm="1">
        <f t="array" ref="S56">INDEX('Surgery-ConceptMap-1'!$I$15:$N$125,Q56+1,R56)</f>
        <v/>
      </c>
    </row>
    <row r="57" spans="16:19" x14ac:dyDescent="0.75">
      <c r="P57" s="11">
        <v>43</v>
      </c>
      <c r="Q57" s="11">
        <f t="shared" si="23"/>
        <v>7</v>
      </c>
      <c r="R57" s="11">
        <f t="shared" si="24"/>
        <v>1</v>
      </c>
      <c r="S57" s="12" t="str" cm="1">
        <f t="array" ref="S57">INDEX('Surgery-ConceptMap-1'!$I$15:$N$125,Q57+1,R57)</f>
        <v>* group[=].element[+].code = #Surgery.marginsAfterSurgery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c>
    </row>
    <row r="63" spans="16:19" x14ac:dyDescent="0.75">
      <c r="P63" s="11">
        <v>49</v>
      </c>
      <c r="Q63" s="11">
        <f t="shared" si="23"/>
        <v>8</v>
      </c>
      <c r="R63" s="11">
        <f t="shared" si="24"/>
        <v>1</v>
      </c>
      <c r="S63" s="12" t="str" cm="1">
        <f t="array" ref="S63">INDEX('Surgery-ConceptMap-1'!$I$15:$N$125,Q63+1,R63)</f>
        <v>* group[=].element[+].code = #Surgery.tumorRupture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#Procedure.extension:supportingInfoR5.valueCodeableConcept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59" x14ac:dyDescent="0.75">
      <c r="P68" s="11">
        <v>54</v>
      </c>
      <c r="Q68" s="11">
        <f t="shared" si="23"/>
        <v>8</v>
      </c>
      <c r="R68" s="11">
        <f t="shared" si="2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#Procedure.extension:supportingInfoR5.valueCodeableConcept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23"/>
        <v>10</v>
      </c>
      <c r="R75" s="11">
        <f t="shared" si="24"/>
        <v>1</v>
      </c>
      <c r="S75" s="12" t="str" cm="1">
        <f t="array" ref="S75">INDEX('Surgery-ConceptMap-1'!$I$15:$N$125,Q75+1,R75)</f>
        <v>* group[=].element[+].code = #Surgery.SpecimenGradingOnlyInUntreatedTumours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tabSelected="1"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1797</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ht="15.5" thickBot="1" x14ac:dyDescent="0.9">
      <c r="A4" s="5" t="s">
        <v>11</v>
      </c>
      <c r="B4" s="30" t="s">
        <v>2271</v>
      </c>
      <c r="L4" s="16" t="str">
        <f>CONCATENATE("Logical: ",B4)</f>
        <v>Logical: OtherTreatmentI4rc</v>
      </c>
    </row>
    <row r="5" spans="1:18" ht="15.5" thickBot="1" x14ac:dyDescent="0.9">
      <c r="A5" s="14" t="s">
        <v>16</v>
      </c>
      <c r="B5" s="30" t="s">
        <v>2272</v>
      </c>
      <c r="L5" s="16" t="str">
        <f>CONCATENATE("Id: ",B5)</f>
        <v>Id: OtherTreatment</v>
      </c>
    </row>
    <row r="6" spans="1:18" ht="15.5" thickBot="1" x14ac:dyDescent="0.9">
      <c r="A6" s="14" t="s">
        <v>10</v>
      </c>
      <c r="B6" s="30" t="s">
        <v>2337</v>
      </c>
      <c r="L6" s="17" t="str">
        <f>CONCATENATE("Title: ##34#",B6,"##34#")</f>
        <v>Title: ##34#Other Treatment##34#</v>
      </c>
    </row>
    <row r="7" spans="1:18" x14ac:dyDescent="0.75">
      <c r="A7" s="26" t="s">
        <v>2</v>
      </c>
      <c r="B7" s="30" t="s">
        <v>2337</v>
      </c>
      <c r="C7" s="9" t="s">
        <v>3</v>
      </c>
      <c r="D7" s="1" t="s">
        <v>4</v>
      </c>
      <c r="E7" s="3" t="s">
        <v>5</v>
      </c>
      <c r="F7" s="3" t="s">
        <v>6</v>
      </c>
      <c r="G7" s="3" t="s">
        <v>7</v>
      </c>
      <c r="H7" s="64" t="s">
        <v>1384</v>
      </c>
      <c r="I7" s="118" t="s">
        <v>2076</v>
      </c>
      <c r="J7" s="118" t="s">
        <v>2077</v>
      </c>
      <c r="L7" s="17" t="str">
        <f>CONCATENATE("Description: "," ##334#",B7,"##334#",)</f>
        <v>Description:  ##334#Other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2338</v>
      </c>
      <c r="C9" s="12" t="s">
        <v>2339</v>
      </c>
      <c r="D9" s="12" t="s">
        <v>2340</v>
      </c>
      <c r="E9" s="11">
        <v>1</v>
      </c>
      <c r="F9" s="11">
        <v>1</v>
      </c>
      <c r="G9" s="86" t="s">
        <v>1468</v>
      </c>
      <c r="H9" s="12" t="s">
        <v>1645</v>
      </c>
      <c r="I9" s="12" t="b">
        <v>1</v>
      </c>
      <c r="J9" s="12" t="b">
        <v>1</v>
      </c>
      <c r="K9" s="25" t="s">
        <v>2338</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2341</v>
      </c>
      <c r="E10" s="11">
        <v>1</v>
      </c>
      <c r="F10" s="11">
        <v>1</v>
      </c>
      <c r="G10" s="100"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0" t="s">
        <v>1468</v>
      </c>
      <c r="H11" s="12" t="s">
        <v>2342</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2208</v>
      </c>
      <c r="C12" s="11" t="s">
        <v>2214</v>
      </c>
      <c r="D12" s="11" t="s">
        <v>2215</v>
      </c>
      <c r="E12" s="11">
        <v>0</v>
      </c>
      <c r="F12" s="11">
        <v>1</v>
      </c>
      <c r="G12" t="s">
        <v>1468</v>
      </c>
      <c r="H12" s="2" t="s">
        <v>2216</v>
      </c>
      <c r="I12" s="12" t="b">
        <v>0</v>
      </c>
      <c r="J12" s="12" t="b">
        <v>1</v>
      </c>
      <c r="K12" s="25" t="s">
        <v>2208</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2343</v>
      </c>
      <c r="C13" s="12" t="s">
        <v>2344</v>
      </c>
      <c r="D13" s="12" t="s">
        <v>2345</v>
      </c>
      <c r="E13" s="11">
        <v>1</v>
      </c>
      <c r="F13" s="11">
        <v>1</v>
      </c>
      <c r="G13" s="86" t="s">
        <v>43</v>
      </c>
      <c r="H13" s="12"/>
      <c r="I13" s="12" t="b">
        <v>1</v>
      </c>
      <c r="J13" s="12" t="b">
        <v>1</v>
      </c>
      <c r="K13" s="25" t="s">
        <v>2343</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2346</v>
      </c>
      <c r="C14" s="12" t="s">
        <v>2347</v>
      </c>
      <c r="D14" s="12" t="s">
        <v>2348</v>
      </c>
      <c r="E14" s="11">
        <v>1</v>
      </c>
      <c r="F14" s="11">
        <v>1</v>
      </c>
      <c r="G14" s="86" t="s">
        <v>43</v>
      </c>
      <c r="H14" s="12"/>
      <c r="I14" s="12" t="b">
        <v>1</v>
      </c>
      <c r="J14" s="12" t="b">
        <v>1</v>
      </c>
      <c r="K14" s="25" t="s">
        <v>2346</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0"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2209</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2210</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2211</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2349</v>
      </c>
      <c r="E20" s="11">
        <v>1</v>
      </c>
      <c r="F20" s="11">
        <v>1</v>
      </c>
      <c r="G20" s="86" t="s">
        <v>43</v>
      </c>
      <c r="H20" s="12"/>
      <c r="I20" s="12" t="b">
        <v>1</v>
      </c>
      <c r="J20" s="12" t="b">
        <v>0</v>
      </c>
      <c r="K20" t="s">
        <v>2212</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2350</v>
      </c>
      <c r="E21" s="11">
        <v>1</v>
      </c>
      <c r="F21" s="11">
        <v>1</v>
      </c>
      <c r="G21" s="86" t="s">
        <v>43</v>
      </c>
      <c r="H21" s="12"/>
      <c r="I21" s="12" t="b">
        <v>1</v>
      </c>
      <c r="J21" s="12" t="b">
        <v>0</v>
      </c>
      <c r="K21" t="s">
        <v>2213</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1859</v>
      </c>
      <c r="C23" s="11" t="s">
        <v>1653</v>
      </c>
      <c r="D23" s="11" t="s">
        <v>1654</v>
      </c>
      <c r="E23" s="11">
        <v>1</v>
      </c>
      <c r="F23" s="11">
        <v>1</v>
      </c>
      <c r="G23" t="s">
        <v>1468</v>
      </c>
      <c r="H23" s="12" t="s">
        <v>1655</v>
      </c>
      <c r="I23" s="12" t="b">
        <v>1</v>
      </c>
      <c r="J23" s="12" t="b">
        <v>1</v>
      </c>
      <c r="K23" t="s">
        <v>1859</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2351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2352</v>
      </c>
      <c r="D3" s="47" t="s">
        <v>1473</v>
      </c>
      <c r="E3" s="71" t="str">
        <f>$C$1&amp;B14</f>
        <v>http://hl7.eu/fhir/ig/idea4rc/StructureDefinition/OtherTreatment</v>
      </c>
    </row>
    <row r="4" spans="1:19" x14ac:dyDescent="0.75">
      <c r="B4" s="47" t="s">
        <v>16</v>
      </c>
      <c r="C4" s="28" t="s">
        <v>2352</v>
      </c>
      <c r="D4" s="47" t="s">
        <v>1474</v>
      </c>
      <c r="E4" s="152" t="s">
        <v>1819</v>
      </c>
      <c r="F4" s="160"/>
      <c r="G4" s="160"/>
    </row>
    <row r="5" spans="1:19" x14ac:dyDescent="0.75">
      <c r="B5" s="47" t="s">
        <v>10</v>
      </c>
      <c r="C5" s="7" t="s">
        <v>2353</v>
      </c>
      <c r="D5" s="47"/>
      <c r="E5" s="7"/>
    </row>
    <row r="6" spans="1:19" x14ac:dyDescent="0.75">
      <c r="B6" s="47" t="s">
        <v>18</v>
      </c>
      <c r="C6" s="41"/>
      <c r="D6" s="47" t="s">
        <v>1475</v>
      </c>
      <c r="E6" s="152" t="str">
        <f>E3</f>
        <v>http://hl7.eu/fhir/ig/idea4rc/StructureDefinition/OtherTreatment</v>
      </c>
      <c r="F6" s="153"/>
      <c r="G6" s="153"/>
    </row>
    <row r="7" spans="1:19" x14ac:dyDescent="0.75">
      <c r="B7" s="47" t="s">
        <v>15</v>
      </c>
      <c r="C7" s="72"/>
      <c r="D7" s="47" t="s">
        <v>1476</v>
      </c>
      <c r="E7" s="152" t="str">
        <f>E4</f>
        <v>http://hl7.eu/fhir/ig/idea4rc/StructureDefinition/MedicationAdministration-eu-i4rc</v>
      </c>
      <c r="F7" s="153"/>
      <c r="G7" s="153"/>
    </row>
    <row r="8" spans="1:19" ht="45" thickBot="1" x14ac:dyDescent="0.9">
      <c r="B8" s="47" t="s">
        <v>1477</v>
      </c>
      <c r="C8" s="7" t="s">
        <v>2353</v>
      </c>
      <c r="D8" s="47"/>
      <c r="E8" s="7"/>
      <c r="I8" s="12" t="s">
        <v>1289</v>
      </c>
      <c r="J8" s="12" t="s">
        <v>1290</v>
      </c>
      <c r="K8" s="12" t="s">
        <v>1291</v>
      </c>
      <c r="L8" s="12" t="s">
        <v>1292</v>
      </c>
      <c r="M8" s="11" t="s">
        <v>1293</v>
      </c>
      <c r="P8" s="34" t="s">
        <v>1328</v>
      </c>
      <c r="Q8" s="34">
        <v>6</v>
      </c>
    </row>
    <row r="9" spans="1:19" ht="30.25" thickBot="1" x14ac:dyDescent="0.9">
      <c r="B9" s="47" t="s">
        <v>1478</v>
      </c>
      <c r="C9" s="12" t="s">
        <v>2354</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1813</v>
      </c>
      <c r="E16" s="12"/>
      <c r="F16" s="49" t="s">
        <v>1316</v>
      </c>
      <c r="G16" s="77" t="s">
        <v>2320</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1813</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1813</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1814</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2303</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1815</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1815</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1815</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1816</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1817</v>
      </c>
      <c r="E29" s="12"/>
      <c r="F29" s="49" t="s">
        <v>1294</v>
      </c>
      <c r="G29" s="76" t="s">
        <v>1818</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1820</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1917</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2076</v>
      </c>
      <c r="J7" s="118" t="s">
        <v>2077</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2360</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6">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2217</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0">
        <v>8</v>
      </c>
      <c r="B16" s="11" t="s">
        <v>1730</v>
      </c>
      <c r="C16" s="11" t="s">
        <v>1731</v>
      </c>
      <c r="D16" s="12" t="s">
        <v>1732</v>
      </c>
      <c r="E16" s="11">
        <v>1</v>
      </c>
      <c r="F16" s="11">
        <v>1</v>
      </c>
      <c r="G16" s="42" t="s">
        <v>1785</v>
      </c>
      <c r="H16" s="12"/>
      <c r="I16" s="12" t="b">
        <v>1</v>
      </c>
      <c r="J16" s="12" t="b">
        <v>0</v>
      </c>
      <c r="K16" s="25" t="s">
        <v>2218</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2219</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2220</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2221</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2222</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2223</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2224</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2225</v>
      </c>
      <c r="C35" s="11" t="s">
        <v>2229</v>
      </c>
      <c r="D35" s="12" t="s">
        <v>2229</v>
      </c>
      <c r="E35" s="11">
        <v>1</v>
      </c>
      <c r="F35" s="11">
        <v>1</v>
      </c>
      <c r="G35" s="97" t="s">
        <v>1</v>
      </c>
      <c r="H35" s="6"/>
      <c r="I35" s="12" t="b">
        <v>0</v>
      </c>
      <c r="J35" s="12" t="b">
        <v>1</v>
      </c>
      <c r="K35" t="s">
        <v>2225</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2235</v>
      </c>
      <c r="C36" s="11" t="s">
        <v>2229</v>
      </c>
      <c r="D36" s="12" t="s">
        <v>2230</v>
      </c>
      <c r="E36" s="11">
        <v>0</v>
      </c>
      <c r="F36" s="11">
        <v>1</v>
      </c>
      <c r="G36" s="97" t="s">
        <v>43</v>
      </c>
      <c r="H36" s="11"/>
      <c r="I36" s="12" t="b">
        <v>0</v>
      </c>
      <c r="J36" s="12" t="b">
        <v>1</v>
      </c>
      <c r="K36" t="s">
        <v>2226</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2236</v>
      </c>
      <c r="C37" s="11" t="s">
        <v>2229</v>
      </c>
      <c r="D37" s="12" t="s">
        <v>2231</v>
      </c>
      <c r="E37" s="11">
        <v>0</v>
      </c>
      <c r="F37" s="11">
        <v>1</v>
      </c>
      <c r="G37" s="97" t="s">
        <v>43</v>
      </c>
      <c r="H37" s="11"/>
      <c r="I37" s="12" t="b">
        <v>0</v>
      </c>
      <c r="J37" s="12" t="b">
        <v>1</v>
      </c>
      <c r="K37" t="s">
        <v>2227</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2228</v>
      </c>
      <c r="C38" s="11" t="s">
        <v>2232</v>
      </c>
      <c r="D38" s="12" t="s">
        <v>2233</v>
      </c>
      <c r="E38" s="11">
        <v>0</v>
      </c>
      <c r="F38" s="11">
        <v>1</v>
      </c>
      <c r="G38" s="11" t="s">
        <v>1468</v>
      </c>
      <c r="H38" s="12" t="s">
        <v>2234</v>
      </c>
      <c r="I38" s="12" t="b">
        <v>0</v>
      </c>
      <c r="J38" s="12" t="b">
        <v>1</v>
      </c>
      <c r="K38" t="s">
        <v>2228</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1798</v>
      </c>
      <c r="D3" s="47" t="s">
        <v>1473</v>
      </c>
      <c r="E3" s="71" t="str">
        <f>$C$1&amp;B14</f>
        <v>http://hl7.eu/fhir/ig/idea4rc/StructureDefinition/RadiotherapyI4rc</v>
      </c>
    </row>
    <row r="4" spans="1:19" x14ac:dyDescent="0.75">
      <c r="B4" s="47" t="s">
        <v>16</v>
      </c>
      <c r="C4" s="28" t="s">
        <v>1798</v>
      </c>
      <c r="D4" s="47" t="s">
        <v>1474</v>
      </c>
      <c r="E4" s="152" t="s">
        <v>1821</v>
      </c>
      <c r="F4" s="153"/>
      <c r="G4" s="153"/>
    </row>
    <row r="5" spans="1:19" x14ac:dyDescent="0.75">
      <c r="B5" s="47" t="s">
        <v>10</v>
      </c>
      <c r="C5" s="7" t="s">
        <v>1799</v>
      </c>
      <c r="D5" s="47"/>
      <c r="E5" s="7"/>
    </row>
    <row r="6" spans="1:19" x14ac:dyDescent="0.75">
      <c r="B6" s="47" t="s">
        <v>18</v>
      </c>
      <c r="C6" s="41"/>
      <c r="D6" s="47" t="s">
        <v>1475</v>
      </c>
      <c r="E6" s="152" t="str">
        <f>E3</f>
        <v>http://hl7.eu/fhir/ig/idea4rc/StructureDefinition/RadiotherapyI4rc</v>
      </c>
      <c r="F6" s="153"/>
      <c r="G6" s="153"/>
    </row>
    <row r="7" spans="1:19" x14ac:dyDescent="0.75">
      <c r="B7" s="47" t="s">
        <v>15</v>
      </c>
      <c r="C7" s="72"/>
      <c r="D7" s="47" t="s">
        <v>1476</v>
      </c>
      <c r="E7" s="152" t="str">
        <f>E4</f>
        <v>http://hl7.eu/fhir/ig/idea4rc/StructureDefinition/Procedure-radiotheraphy-eu-i4rc</v>
      </c>
      <c r="F7" s="153"/>
      <c r="G7" s="153"/>
    </row>
    <row r="8" spans="1:19" ht="15.5" thickBot="1" x14ac:dyDescent="0.9">
      <c r="B8" s="47" t="s">
        <v>1477</v>
      </c>
      <c r="C8" s="7" t="s">
        <v>1799</v>
      </c>
      <c r="D8" s="47"/>
      <c r="E8" s="7"/>
      <c r="I8" s="12"/>
      <c r="J8" s="12"/>
      <c r="K8" s="12"/>
      <c r="L8" s="12"/>
      <c r="M8" s="11"/>
      <c r="P8" s="34" t="s">
        <v>1328</v>
      </c>
      <c r="Q8" s="34">
        <v>6</v>
      </c>
    </row>
    <row r="9" spans="1:19" ht="30.25" thickBot="1" x14ac:dyDescent="0.9">
      <c r="B9" s="47" t="s">
        <v>1478</v>
      </c>
      <c r="C9" s="12" t="s">
        <v>1800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2359</v>
      </c>
      <c r="E16" s="12"/>
      <c r="F16" s="49" t="s">
        <v>1294</v>
      </c>
      <c r="G16" s="76" t="s">
        <v>2356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2321</v>
      </c>
      <c r="E17" s="12"/>
      <c r="F17" s="49" t="s">
        <v>1294</v>
      </c>
      <c r="G17" s="76" t="s">
        <v>2322</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1811</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1807</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1808</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1803</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1804</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2323</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1805</v>
      </c>
      <c r="E24" s="11"/>
      <c r="F24" s="49" t="s">
        <v>1294</v>
      </c>
      <c r="G24" s="76" t="s">
        <v>1806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1803</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1809</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1810</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2324</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2324</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2324</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2324</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2324</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2326</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2324</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2324</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2324</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2324</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2324</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1805</v>
      </c>
      <c r="E40" s="11"/>
      <c r="F40" s="49" t="s">
        <v>1294</v>
      </c>
      <c r="G40" s="76" t="s">
        <v>2325</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1812</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ht="15.5" thickBot="1" x14ac:dyDescent="0.9">
      <c r="A4" s="5" t="s">
        <v>11</v>
      </c>
      <c r="B4" s="30" t="s">
        <v>2271</v>
      </c>
      <c r="L4" s="16" t="str">
        <f>CONCATENATE("Logical: ",B4)</f>
        <v>Logical: OtherTreatmentI4rc</v>
      </c>
    </row>
    <row r="5" spans="1:18" ht="15.5" thickBot="1" x14ac:dyDescent="0.9">
      <c r="A5" s="14" t="s">
        <v>16</v>
      </c>
      <c r="B5" s="30" t="s">
        <v>2272</v>
      </c>
      <c r="L5" s="16" t="str">
        <f>CONCATENATE("Id: ",B5)</f>
        <v>Id: OtherTreatment</v>
      </c>
    </row>
    <row r="6" spans="1:18" ht="15.5" thickBot="1" x14ac:dyDescent="0.9">
      <c r="A6" s="14" t="s">
        <v>10</v>
      </c>
      <c r="B6" s="30" t="s">
        <v>2273</v>
      </c>
      <c r="L6" s="17" t="str">
        <f>CONCATENATE("Title: ##34#",B6,"##34#")</f>
        <v>Title: ##34#Other Local Treatment##34#</v>
      </c>
    </row>
    <row r="7" spans="1:18" x14ac:dyDescent="0.75">
      <c r="A7" s="26" t="s">
        <v>2</v>
      </c>
      <c r="B7" s="30" t="s">
        <v>2273</v>
      </c>
      <c r="C7" s="9" t="s">
        <v>3</v>
      </c>
      <c r="D7" s="1" t="s">
        <v>4</v>
      </c>
      <c r="E7" s="3" t="s">
        <v>5</v>
      </c>
      <c r="F7" s="3" t="s">
        <v>6</v>
      </c>
      <c r="G7" s="3" t="s">
        <v>7</v>
      </c>
      <c r="H7" s="64" t="s">
        <v>1384</v>
      </c>
      <c r="I7" s="118" t="s">
        <v>2076</v>
      </c>
      <c r="J7" s="118" t="s">
        <v>2077</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1876</v>
      </c>
      <c r="C9" s="12" t="s">
        <v>2263</v>
      </c>
      <c r="D9" s="12" t="s">
        <v>2264</v>
      </c>
      <c r="E9" s="12">
        <v>1</v>
      </c>
      <c r="F9" s="12">
        <v>1</v>
      </c>
      <c r="G9" s="12" t="s">
        <v>1468</v>
      </c>
      <c r="H9" s="12" t="s">
        <v>2265</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2266</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2267</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1859</v>
      </c>
      <c r="C12" s="12" t="s">
        <v>2268</v>
      </c>
      <c r="D12" s="12" t="s">
        <v>1654</v>
      </c>
      <c r="E12" s="12">
        <v>0</v>
      </c>
      <c r="F12" s="12">
        <v>1</v>
      </c>
      <c r="G12" s="12" t="s">
        <v>1468</v>
      </c>
      <c r="H12" s="12" t="s">
        <v>2269</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3"/>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2336</v>
      </c>
      <c r="D3" s="47" t="s">
        <v>1473</v>
      </c>
      <c r="E3" s="71" t="str">
        <f>$C$1&amp;B14</f>
        <v>http://hl7.eu/fhir/ig/idea4rc/StructureDefinition/OtherTreatment</v>
      </c>
    </row>
    <row r="4" spans="1:19" x14ac:dyDescent="0.75">
      <c r="B4" s="47" t="s">
        <v>16</v>
      </c>
      <c r="C4" s="28" t="s">
        <v>2336</v>
      </c>
      <c r="D4" s="47" t="s">
        <v>1474</v>
      </c>
      <c r="E4" s="161" t="s">
        <v>2334</v>
      </c>
      <c r="F4" s="153"/>
      <c r="G4" s="153"/>
    </row>
    <row r="5" spans="1:19" x14ac:dyDescent="0.75">
      <c r="B5" s="47" t="s">
        <v>10</v>
      </c>
      <c r="C5" s="7" t="s">
        <v>2353</v>
      </c>
      <c r="D5" s="47"/>
      <c r="E5" s="7"/>
    </row>
    <row r="6" spans="1:19" x14ac:dyDescent="0.75">
      <c r="B6" s="47" t="s">
        <v>18</v>
      </c>
      <c r="C6" s="41"/>
      <c r="D6" s="47" t="s">
        <v>1475</v>
      </c>
      <c r="E6" s="152" t="str">
        <f>E3</f>
        <v>http://hl7.eu/fhir/ig/idea4rc/StructureDefinition/OtherTreatment</v>
      </c>
      <c r="F6" s="153"/>
      <c r="G6" s="153"/>
    </row>
    <row r="7" spans="1:19" x14ac:dyDescent="0.75">
      <c r="B7" s="47" t="s">
        <v>15</v>
      </c>
      <c r="C7" s="72"/>
      <c r="D7" s="47" t="s">
        <v>1476</v>
      </c>
      <c r="E7" s="152" t="str">
        <f>E4</f>
        <v>http://hl7.eu/fhir/ig/idea4rc/StructureDefinition/Procedure-otherTreatment-eu-i4rc</v>
      </c>
      <c r="F7" s="153"/>
      <c r="G7" s="153"/>
    </row>
    <row r="8" spans="1:19" ht="45" thickBot="1" x14ac:dyDescent="0.9">
      <c r="B8" s="47" t="s">
        <v>1477</v>
      </c>
      <c r="C8" s="7" t="s">
        <v>2353</v>
      </c>
      <c r="D8" s="47"/>
      <c r="E8" s="7"/>
      <c r="I8" s="12" t="s">
        <v>1289</v>
      </c>
      <c r="J8" s="12" t="s">
        <v>1290</v>
      </c>
      <c r="K8" s="12" t="s">
        <v>1291</v>
      </c>
      <c r="L8" s="12" t="s">
        <v>1292</v>
      </c>
      <c r="M8" s="11" t="s">
        <v>1293</v>
      </c>
      <c r="P8" s="34" t="s">
        <v>1328</v>
      </c>
      <c r="Q8" s="34">
        <v>6</v>
      </c>
    </row>
    <row r="9" spans="1:19" ht="30.25" thickBot="1" x14ac:dyDescent="0.9">
      <c r="B9" s="47" t="s">
        <v>1478</v>
      </c>
      <c r="C9" s="12" t="s">
        <v>2354</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2327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1809</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1810</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1794</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2335</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141" t="s">
        <v>1912</v>
      </c>
      <c r="L4" s="16" t="str">
        <f>CONCATENATE("Logical: ",B4)</f>
        <v>Logical: TreatmentResponseI4rc</v>
      </c>
    </row>
    <row r="5" spans="1:18" ht="15.5" thickBot="1" x14ac:dyDescent="0.9">
      <c r="A5" s="14" t="s">
        <v>16</v>
      </c>
      <c r="B5" s="30" t="s">
        <v>1858</v>
      </c>
      <c r="L5" s="16" t="str">
        <f>CONCATENATE("Id: ",B5)</f>
        <v>Id: TreatmentResponse</v>
      </c>
    </row>
    <row r="6" spans="1:18" ht="15.5" thickBot="1" x14ac:dyDescent="0.9">
      <c r="A6" s="14" t="s">
        <v>10</v>
      </c>
      <c r="B6" s="30" t="s">
        <v>1860</v>
      </c>
      <c r="L6" s="17" t="str">
        <f>CONCATENATE("Title: ##34#",B6,"##34#")</f>
        <v>Title: ##34#Treatment Response##34#</v>
      </c>
    </row>
    <row r="7" spans="1:18" x14ac:dyDescent="0.75">
      <c r="A7" s="26" t="s">
        <v>2</v>
      </c>
      <c r="B7" s="30" t="s">
        <v>1860</v>
      </c>
      <c r="C7" s="9" t="s">
        <v>3</v>
      </c>
      <c r="D7" s="1" t="s">
        <v>4</v>
      </c>
      <c r="E7" s="3" t="s">
        <v>5</v>
      </c>
      <c r="F7" s="3" t="s">
        <v>6</v>
      </c>
      <c r="G7" s="3" t="s">
        <v>7</v>
      </c>
      <c r="H7" s="64" t="s">
        <v>1384</v>
      </c>
      <c r="I7" s="118" t="s">
        <v>2076</v>
      </c>
      <c r="J7" s="118" t="s">
        <v>2077</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1859</v>
      </c>
      <c r="C9" s="11" t="s">
        <v>1653</v>
      </c>
      <c r="D9" s="11" t="s">
        <v>1861</v>
      </c>
      <c r="E9" s="11">
        <v>1</v>
      </c>
      <c r="F9" s="11">
        <v>1</v>
      </c>
      <c r="G9" s="11" t="s">
        <v>1468</v>
      </c>
      <c r="H9" s="12" t="s">
        <v>2238</v>
      </c>
      <c r="I9" s="12" t="b">
        <v>1</v>
      </c>
      <c r="J9" s="12" t="b">
        <v>1</v>
      </c>
      <c r="K9" s="25" t="s">
        <v>1859</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2237</v>
      </c>
      <c r="C10" s="11" t="s">
        <v>1862</v>
      </c>
      <c r="D10" s="11" t="s">
        <v>1863</v>
      </c>
      <c r="E10" s="11">
        <v>1</v>
      </c>
      <c r="F10" s="11">
        <v>1</v>
      </c>
      <c r="G10" s="11" t="s">
        <v>1468</v>
      </c>
      <c r="H10" s="11" t="s">
        <v>1864</v>
      </c>
      <c r="I10" s="12" t="b">
        <v>1</v>
      </c>
      <c r="J10" s="12" t="b">
        <v>1</v>
      </c>
      <c r="K10" s="25" t="s">
        <v>2237</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1866</v>
      </c>
      <c r="D3" s="47" t="s">
        <v>1473</v>
      </c>
      <c r="E3" s="71" t="str">
        <f>$C$1&amp;B14</f>
        <v>http://hl7.eu/fhir/ig/idea4rc/StructureDefinition/TreatmentResponseI4rc</v>
      </c>
    </row>
    <row r="4" spans="1:19" x14ac:dyDescent="0.75">
      <c r="B4" s="47" t="s">
        <v>16</v>
      </c>
      <c r="C4" s="28" t="s">
        <v>1866</v>
      </c>
      <c r="D4" s="47" t="s">
        <v>1474</v>
      </c>
      <c r="E4" s="152" t="s">
        <v>1821</v>
      </c>
      <c r="F4" s="153"/>
      <c r="G4" s="153"/>
    </row>
    <row r="5" spans="1:19" x14ac:dyDescent="0.75">
      <c r="B5" s="47" t="s">
        <v>10</v>
      </c>
      <c r="C5" s="7" t="s">
        <v>1799</v>
      </c>
      <c r="D5" s="47"/>
      <c r="E5" s="7"/>
    </row>
    <row r="6" spans="1:19" x14ac:dyDescent="0.75">
      <c r="B6" s="47" t="s">
        <v>18</v>
      </c>
      <c r="C6" s="41"/>
      <c r="D6" s="47" t="s">
        <v>1475</v>
      </c>
      <c r="E6" s="152" t="str">
        <f>E3</f>
        <v>http://hl7.eu/fhir/ig/idea4rc/StructureDefinition/TreatmentResponseI4rc</v>
      </c>
      <c r="F6" s="153"/>
      <c r="G6" s="153"/>
    </row>
    <row r="7" spans="1:19" x14ac:dyDescent="0.75">
      <c r="B7" s="47" t="s">
        <v>15</v>
      </c>
      <c r="C7" s="72"/>
      <c r="D7" s="47" t="s">
        <v>1476</v>
      </c>
      <c r="E7" s="152" t="str">
        <f>E4</f>
        <v>http://hl7.eu/fhir/ig/idea4rc/StructureDefinition/Procedure-radiotheraphy-eu-i4rc</v>
      </c>
      <c r="F7" s="153"/>
      <c r="G7" s="153"/>
    </row>
    <row r="8" spans="1:19" ht="45" thickBot="1" x14ac:dyDescent="0.9">
      <c r="B8" s="47" t="s">
        <v>1477</v>
      </c>
      <c r="C8" s="7" t="s">
        <v>1799</v>
      </c>
      <c r="D8" s="47"/>
      <c r="E8" s="7"/>
      <c r="I8" s="12" t="s">
        <v>1289</v>
      </c>
      <c r="J8" s="12" t="s">
        <v>1290</v>
      </c>
      <c r="K8" s="12" t="s">
        <v>1291</v>
      </c>
      <c r="L8" s="12" t="s">
        <v>1292</v>
      </c>
      <c r="M8" s="11" t="s">
        <v>1293</v>
      </c>
      <c r="P8" s="34" t="s">
        <v>1328</v>
      </c>
      <c r="Q8" s="34">
        <v>6</v>
      </c>
    </row>
    <row r="9" spans="1:19" ht="30.25" thickBot="1" x14ac:dyDescent="0.9">
      <c r="B9" s="47" t="s">
        <v>1478</v>
      </c>
      <c r="C9" s="12" t="s">
        <v>1800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1867</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1910</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1875</v>
      </c>
      <c r="L6" s="17" t="str">
        <f>CONCATENATE("Title: ##34#",B6,"##34#")</f>
        <v>Title: ##34#Adverse Event##34#</v>
      </c>
    </row>
    <row r="7" spans="1:18" x14ac:dyDescent="0.75">
      <c r="A7" s="26" t="s">
        <v>2</v>
      </c>
      <c r="B7" s="30" t="s">
        <v>1875</v>
      </c>
      <c r="C7" s="9" t="s">
        <v>3</v>
      </c>
      <c r="D7" s="1" t="s">
        <v>4</v>
      </c>
      <c r="E7" s="3" t="s">
        <v>5</v>
      </c>
      <c r="F7" s="3" t="s">
        <v>6</v>
      </c>
      <c r="G7" s="3" t="s">
        <v>7</v>
      </c>
      <c r="H7" s="64" t="s">
        <v>1384</v>
      </c>
      <c r="I7" s="118" t="s">
        <v>2076</v>
      </c>
      <c r="J7" s="118" t="s">
        <v>2077</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1876</v>
      </c>
      <c r="C9" s="11" t="s">
        <v>1868</v>
      </c>
      <c r="D9" s="11" t="s">
        <v>1869</v>
      </c>
      <c r="E9" s="11">
        <v>1</v>
      </c>
      <c r="F9" s="11">
        <v>1</v>
      </c>
      <c r="G9" s="11" t="s">
        <v>1468</v>
      </c>
      <c r="H9" s="11"/>
      <c r="I9" s="12" t="b">
        <v>1</v>
      </c>
      <c r="J9" s="12" t="b">
        <v>0</v>
      </c>
      <c r="K9" s="25" t="s">
        <v>2239</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1877</v>
      </c>
      <c r="C10" s="11" t="s">
        <v>1870</v>
      </c>
      <c r="D10" s="11" t="s">
        <v>1871</v>
      </c>
      <c r="E10" s="11">
        <v>1</v>
      </c>
      <c r="F10" s="11">
        <v>1</v>
      </c>
      <c r="G10" s="11" t="s">
        <v>43</v>
      </c>
      <c r="H10" s="11"/>
      <c r="I10" s="12" t="b">
        <v>1</v>
      </c>
      <c r="J10" s="12" t="b">
        <v>0</v>
      </c>
      <c r="K10" s="25" t="s">
        <v>2240</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1878</v>
      </c>
      <c r="C11" s="11" t="s">
        <v>1872</v>
      </c>
      <c r="D11" s="11" t="s">
        <v>1873</v>
      </c>
      <c r="E11" s="11">
        <v>1</v>
      </c>
      <c r="F11" s="11">
        <v>1</v>
      </c>
      <c r="G11" s="11" t="s">
        <v>1468</v>
      </c>
      <c r="H11" s="62" t="s">
        <v>1874</v>
      </c>
      <c r="I11" s="12" t="b">
        <v>1</v>
      </c>
      <c r="J11" s="12" t="b">
        <v>0</v>
      </c>
      <c r="K11" s="25" t="s">
        <v>2241</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1866</v>
      </c>
      <c r="D3" s="47" t="s">
        <v>1473</v>
      </c>
      <c r="E3" s="71" t="str">
        <f>$C$1&amp;B14</f>
        <v>http://hl7.eu/fhir/ig/idea4rc/StructureDefinition/AdverseEventI4rc</v>
      </c>
    </row>
    <row r="4" spans="1:19" x14ac:dyDescent="0.75">
      <c r="B4" s="47" t="s">
        <v>16</v>
      </c>
      <c r="C4" s="28" t="s">
        <v>1866</v>
      </c>
      <c r="D4" s="47" t="s">
        <v>1474</v>
      </c>
      <c r="E4" s="162" t="s">
        <v>2328</v>
      </c>
      <c r="F4" s="163"/>
      <c r="G4" s="163"/>
    </row>
    <row r="5" spans="1:19" x14ac:dyDescent="0.75">
      <c r="B5" s="47" t="s">
        <v>10</v>
      </c>
      <c r="C5" s="7" t="s">
        <v>1799</v>
      </c>
      <c r="D5" s="47"/>
      <c r="E5" s="7"/>
    </row>
    <row r="6" spans="1:19" x14ac:dyDescent="0.75">
      <c r="B6" s="47" t="s">
        <v>18</v>
      </c>
      <c r="C6" s="41"/>
      <c r="D6" s="47" t="s">
        <v>1475</v>
      </c>
      <c r="E6" s="152" t="str">
        <f>E3</f>
        <v>http://hl7.eu/fhir/ig/idea4rc/StructureDefinition/AdverseEventI4rc</v>
      </c>
      <c r="F6" s="153"/>
      <c r="G6" s="153"/>
    </row>
    <row r="7" spans="1:19" x14ac:dyDescent="0.75">
      <c r="B7" s="47" t="s">
        <v>15</v>
      </c>
      <c r="C7" s="72"/>
      <c r="D7" s="47" t="s">
        <v>1476</v>
      </c>
      <c r="E7" s="152" t="str">
        <f>E4</f>
        <v>http://hl7.eu/fhir/ig/idea4rc/StructureDefinition/AdverseEvent-eu-i4rc</v>
      </c>
      <c r="F7" s="153"/>
      <c r="G7" s="153"/>
    </row>
    <row r="8" spans="1:19" ht="45" thickBot="1" x14ac:dyDescent="0.9">
      <c r="B8" s="47" t="s">
        <v>1477</v>
      </c>
      <c r="C8" s="7" t="s">
        <v>1799</v>
      </c>
      <c r="D8" s="47"/>
      <c r="E8" s="7"/>
      <c r="I8" s="12" t="s">
        <v>1289</v>
      </c>
      <c r="J8" s="12" t="s">
        <v>1290</v>
      </c>
      <c r="K8" s="12" t="s">
        <v>1291</v>
      </c>
      <c r="L8" s="12" t="s">
        <v>1292</v>
      </c>
      <c r="M8" s="11" t="s">
        <v>1293</v>
      </c>
      <c r="P8" s="34" t="s">
        <v>1328</v>
      </c>
      <c r="Q8" s="34">
        <v>6</v>
      </c>
    </row>
    <row r="9" spans="1:19" ht="30.25" thickBot="1" x14ac:dyDescent="0.9">
      <c r="B9" s="47" t="s">
        <v>1478</v>
      </c>
      <c r="C9" s="12" t="s">
        <v>1800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2329</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2330</v>
      </c>
      <c r="E16" s="12"/>
      <c r="F16" s="49" t="s">
        <v>1294</v>
      </c>
      <c r="G16" s="76" t="s">
        <v>2331</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2332</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2333</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1880</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1915</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2" t="s">
        <v>1625</v>
      </c>
      <c r="F4" s="153"/>
      <c r="G4" s="153"/>
    </row>
    <row r="5" spans="1:19" x14ac:dyDescent="0.75">
      <c r="B5" s="47" t="s">
        <v>10</v>
      </c>
      <c r="C5" s="7" t="s">
        <v>1640</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1625</v>
      </c>
      <c r="F7" s="153"/>
      <c r="G7" s="153"/>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2" t="s">
        <v>1636</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1636</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2" t="s">
        <v>1637</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1637</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2" t="s">
        <v>1638</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1638</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2024-03-04T18:43:34Z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