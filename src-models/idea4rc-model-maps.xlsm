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A29F5EDB-2209-4FB1-A50F-D0F430B62223}" xr6:coauthVersionLast="47" xr6:coauthVersionMax="47" xr10:uidLastSave="{00000000-0000-0000-0000-000000000000}"/>
  <bookViews>
    <workbookView xWindow="-90" yWindow="-21710" windowWidth="38620" windowHeight="21100" tabRatio="819" activeTab="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2" i="232" l="1"/>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104" i="232"/>
  <c r="B105" i="232"/>
  <c r="B106" i="232"/>
  <c r="B107" i="232"/>
  <c r="B108" i="232"/>
  <c r="B109" i="232"/>
  <c r="B52" i="232"/>
  <c r="B53" i="232"/>
  <c r="B54" i="232"/>
  <c r="B55" i="232"/>
  <c r="B56" i="232"/>
  <c r="B57" i="232"/>
  <c r="B58" i="232"/>
  <c r="B59" i="232"/>
  <c r="B60" i="232"/>
  <c r="B61" i="232"/>
  <c r="B62" i="232"/>
  <c r="B63" i="232"/>
  <c r="B64" i="232"/>
  <c r="B65" i="232"/>
  <c r="B6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Q16" i="245"/>
  <c r="S16" i="245" s="1" a="1"/>
  <c r="S16" i="245" s="1"/>
  <c r="R16" i="245"/>
  <c r="Q17" i="245"/>
  <c r="R17" i="245"/>
  <c r="S17" i="245" a="1"/>
  <c r="S17" i="245"/>
  <c r="Q18" i="245"/>
  <c r="S18" i="245" s="1" a="1"/>
  <c r="S18" i="245" s="1"/>
  <c r="R18" i="245"/>
  <c r="Q19" i="245"/>
  <c r="R19" i="245"/>
  <c r="S19" i="245" a="1"/>
  <c r="S19" i="245"/>
  <c r="Q20" i="245"/>
  <c r="S20" i="245" s="1" a="1"/>
  <c r="S20" i="245" s="1"/>
  <c r="R20" i="245"/>
  <c r="Q21" i="245"/>
  <c r="R21" i="245"/>
  <c r="S21" i="245" a="1"/>
  <c r="S21" i="245"/>
  <c r="Q22" i="245"/>
  <c r="S22" i="245" s="1" a="1"/>
  <c r="S22" i="245" s="1"/>
  <c r="R22" i="245"/>
  <c r="Q23" i="245"/>
  <c r="R23" i="245"/>
  <c r="S23" i="245" a="1"/>
  <c r="S23" i="245"/>
  <c r="Q24" i="245"/>
  <c r="S24" i="245" s="1" a="1"/>
  <c r="S24" i="245" s="1"/>
  <c r="R24" i="245"/>
  <c r="Q25" i="245"/>
  <c r="R25" i="245"/>
  <c r="S25" i="245" a="1"/>
  <c r="S25" i="245"/>
  <c r="Q26" i="245"/>
  <c r="S26" i="245" s="1" a="1"/>
  <c r="S26" i="245" s="1"/>
  <c r="R26" i="245"/>
  <c r="Q27" i="245"/>
  <c r="R27" i="245"/>
  <c r="S27" i="245" a="1"/>
  <c r="S27" i="245"/>
  <c r="Q28" i="245"/>
  <c r="S28" i="245" s="1" a="1"/>
  <c r="S28" i="245" s="1"/>
  <c r="R28" i="245"/>
  <c r="Q29" i="245"/>
  <c r="R29" i="245"/>
  <c r="S29" i="245" a="1"/>
  <c r="S29" i="245"/>
  <c r="Q30" i="245"/>
  <c r="S30" i="245" s="1" a="1"/>
  <c r="S30" i="245" s="1"/>
  <c r="R30" i="245"/>
  <c r="Q31" i="245"/>
  <c r="R31" i="245"/>
  <c r="S31" i="245" a="1"/>
  <c r="S31" i="245"/>
  <c r="Q32" i="245"/>
  <c r="S32" i="245" s="1" a="1"/>
  <c r="S32" i="245" s="1"/>
  <c r="R32" i="245"/>
  <c r="Q33" i="245"/>
  <c r="R33" i="245"/>
  <c r="S33" i="245" a="1"/>
  <c r="S33" i="245"/>
  <c r="Q34" i="245"/>
  <c r="S34" i="245" s="1" a="1"/>
  <c r="S34" i="245" s="1"/>
  <c r="R34" i="245"/>
  <c r="Q35" i="245"/>
  <c r="R35" i="245"/>
  <c r="S35" i="245" a="1"/>
  <c r="S35" i="245"/>
  <c r="Q36" i="245"/>
  <c r="S36" i="245" s="1" a="1"/>
  <c r="S36" i="245" s="1"/>
  <c r="R36" i="245"/>
  <c r="Q37" i="245"/>
  <c r="R37" i="245"/>
  <c r="S37" i="245" a="1"/>
  <c r="S37" i="245"/>
  <c r="Q38" i="245"/>
  <c r="S38" i="245" s="1" a="1"/>
  <c r="S38" i="245" s="1"/>
  <c r="R38" i="245"/>
  <c r="Q39" i="245"/>
  <c r="R39" i="245"/>
  <c r="S39" i="245" a="1"/>
  <c r="S39" i="245"/>
  <c r="Q40" i="245"/>
  <c r="S40" i="245" s="1" a="1"/>
  <c r="S40" i="245" s="1"/>
  <c r="R40" i="245"/>
  <c r="Q41" i="245"/>
  <c r="R41" i="245"/>
  <c r="S41" i="245" a="1"/>
  <c r="S41" i="245"/>
  <c r="Q42" i="245"/>
  <c r="S42" i="245" s="1" a="1"/>
  <c r="S42" i="245" s="1"/>
  <c r="R42" i="245"/>
  <c r="Q43" i="245"/>
  <c r="R43" i="245"/>
  <c r="S43" i="245" a="1"/>
  <c r="S43" i="245"/>
  <c r="Q44" i="245"/>
  <c r="S44" i="245" s="1" a="1"/>
  <c r="S44" i="245" s="1"/>
  <c r="R44" i="245"/>
  <c r="Q45" i="245"/>
  <c r="R45" i="245"/>
  <c r="S45" i="245" a="1"/>
  <c r="S45" i="245"/>
  <c r="Q46" i="245"/>
  <c r="S46" i="245" s="1" a="1"/>
  <c r="S46" i="245" s="1"/>
  <c r="R46" i="245"/>
  <c r="Q47" i="245"/>
  <c r="R47" i="245"/>
  <c r="S47" i="245" a="1"/>
  <c r="S47" i="245"/>
  <c r="Q48" i="245"/>
  <c r="S48" i="245" s="1" a="1"/>
  <c r="S48" i="245" s="1"/>
  <c r="R48" i="245"/>
  <c r="Q49" i="245"/>
  <c r="R49" i="245"/>
  <c r="S49" i="245" a="1"/>
  <c r="S49" i="245"/>
  <c r="Q50" i="245"/>
  <c r="S50" i="245" s="1" a="1"/>
  <c r="S50" i="245" s="1"/>
  <c r="R50" i="245"/>
  <c r="Q51" i="245"/>
  <c r="R51" i="245"/>
  <c r="S51" i="245" a="1"/>
  <c r="S51" i="245"/>
  <c r="Q52" i="245"/>
  <c r="S52" i="245" s="1" a="1"/>
  <c r="S52" i="245" s="1"/>
  <c r="R52" i="245"/>
  <c r="Q53" i="245"/>
  <c r="R53" i="245"/>
  <c r="S53" i="245" a="1"/>
  <c r="S53" i="245"/>
  <c r="Q54" i="245"/>
  <c r="S54" i="245" s="1" a="1"/>
  <c r="S54" i="245" s="1"/>
  <c r="R5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56" i="231"/>
  <c r="R56" i="231"/>
  <c r="S56" i="231" a="1"/>
  <c r="S56" i="231" s="1"/>
  <c r="Q57" i="231"/>
  <c r="S57" i="231" s="1" a="1"/>
  <c r="S57" i="231" s="1"/>
  <c r="R57" i="231"/>
  <c r="Q58" i="231"/>
  <c r="R58" i="231"/>
  <c r="S58" i="231" a="1"/>
  <c r="S58" i="231" s="1"/>
  <c r="Q59" i="231"/>
  <c r="R59" i="231"/>
  <c r="S59" i="231" a="1"/>
  <c r="S59" i="231" s="1"/>
  <c r="Q60" i="231"/>
  <c r="R60" i="231"/>
  <c r="S60" i="231" a="1"/>
  <c r="S60" i="231" s="1"/>
  <c r="Q61" i="231"/>
  <c r="R61" i="231"/>
  <c r="S61" i="231" a="1"/>
  <c r="S61" i="231"/>
  <c r="Q62" i="231"/>
  <c r="R62" i="231"/>
  <c r="S62" i="231" a="1"/>
  <c r="S62" i="231" s="1"/>
  <c r="Q63" i="231"/>
  <c r="R63" i="231"/>
  <c r="S63" i="231" a="1"/>
  <c r="S63" i="231"/>
  <c r="Q64" i="231"/>
  <c r="R64" i="231"/>
  <c r="S64" i="231" a="1"/>
  <c r="S64" i="231" s="1"/>
  <c r="Q65" i="231"/>
  <c r="R65" i="231"/>
  <c r="S65" i="231" a="1"/>
  <c r="S65" i="231" s="1"/>
  <c r="Q18" i="231"/>
  <c r="S18" i="231" s="1" a="1"/>
  <c r="S18" i="231" s="1"/>
  <c r="R18" i="231"/>
  <c r="Q19" i="231"/>
  <c r="R19" i="231"/>
  <c r="S19" i="231" a="1"/>
  <c r="S19" i="231" s="1"/>
  <c r="Q20" i="231"/>
  <c r="S20" i="231" s="1" a="1"/>
  <c r="S20" i="231" s="1"/>
  <c r="R20" i="231"/>
  <c r="Q21" i="231"/>
  <c r="R21" i="231"/>
  <c r="S21" i="231" a="1"/>
  <c r="S21" i="231" s="1"/>
  <c r="Q22" i="231"/>
  <c r="S22" i="231" s="1" a="1"/>
  <c r="S22" i="231" s="1"/>
  <c r="R22" i="231"/>
  <c r="Q23" i="231"/>
  <c r="R23" i="231"/>
  <c r="S23" i="231" a="1"/>
  <c r="S23" i="231" s="1"/>
  <c r="Q24" i="231"/>
  <c r="S24" i="231" s="1" a="1"/>
  <c r="S24" i="231" s="1"/>
  <c r="R24" i="231"/>
  <c r="Q25" i="231"/>
  <c r="R25" i="231"/>
  <c r="S25" i="231" a="1"/>
  <c r="S25" i="231" s="1"/>
  <c r="Q26" i="231"/>
  <c r="S26" i="231" s="1" a="1"/>
  <c r="S26" i="231" s="1"/>
  <c r="R26" i="231"/>
  <c r="Q27" i="231"/>
  <c r="R27" i="231"/>
  <c r="S27" i="231" a="1"/>
  <c r="S27" i="231" s="1"/>
  <c r="Q28" i="231"/>
  <c r="S28" i="231" s="1" a="1"/>
  <c r="S28" i="231" s="1"/>
  <c r="R28" i="231"/>
  <c r="Q29" i="231"/>
  <c r="R29" i="231"/>
  <c r="S29" i="231" a="1"/>
  <c r="S29" i="231" s="1"/>
  <c r="Q30" i="231"/>
  <c r="S30" i="231" s="1" a="1"/>
  <c r="S30" i="231" s="1"/>
  <c r="R30" i="231"/>
  <c r="Q31" i="231"/>
  <c r="R31" i="231"/>
  <c r="S31" i="231" a="1"/>
  <c r="S31" i="231" s="1"/>
  <c r="Q32" i="231"/>
  <c r="R32" i="231"/>
  <c r="Q33" i="231"/>
  <c r="R33" i="231"/>
  <c r="S33" i="231" a="1"/>
  <c r="S33" i="231" s="1"/>
  <c r="Q34" i="231"/>
  <c r="S34" i="231" s="1" a="1"/>
  <c r="S34" i="231" s="1"/>
  <c r="R34" i="231"/>
  <c r="Q35" i="231"/>
  <c r="R35" i="231"/>
  <c r="S35" i="231" a="1"/>
  <c r="S35" i="231" s="1"/>
  <c r="Q36" i="231"/>
  <c r="S36" i="231" s="1" a="1"/>
  <c r="S36" i="231" s="1"/>
  <c r="R36" i="231"/>
  <c r="Q37" i="231"/>
  <c r="R37" i="231"/>
  <c r="S37" i="231" a="1"/>
  <c r="S37" i="231" s="1"/>
  <c r="Q38" i="231"/>
  <c r="S38" i="231" s="1" a="1"/>
  <c r="S38" i="231" s="1"/>
  <c r="R38" i="231"/>
  <c r="Q39" i="231"/>
  <c r="R39" i="231"/>
  <c r="S39" i="231" a="1"/>
  <c r="S39" i="231" s="1"/>
  <c r="Q40" i="231"/>
  <c r="S40" i="231" s="1" a="1"/>
  <c r="S40" i="231" s="1"/>
  <c r="R40" i="231"/>
  <c r="Q41" i="231"/>
  <c r="R41" i="231"/>
  <c r="S41" i="231" a="1"/>
  <c r="S41" i="231" s="1"/>
  <c r="Q42" i="231"/>
  <c r="S42" i="231" s="1" a="1"/>
  <c r="S42" i="231" s="1"/>
  <c r="R42" i="231"/>
  <c r="Q43" i="231"/>
  <c r="R43" i="231"/>
  <c r="S43" i="231" a="1"/>
  <c r="S43" i="231" s="1"/>
  <c r="Q44" i="231"/>
  <c r="S44" i="231" s="1" a="1"/>
  <c r="S44" i="231" s="1"/>
  <c r="R44" i="231"/>
  <c r="Q45" i="231"/>
  <c r="R45" i="231"/>
  <c r="S45" i="231" a="1"/>
  <c r="S45" i="231" s="1"/>
  <c r="Q46" i="231"/>
  <c r="S46" i="231" s="1" a="1"/>
  <c r="S46" i="231" s="1"/>
  <c r="R46" i="231"/>
  <c r="Q47" i="231"/>
  <c r="R47" i="231"/>
  <c r="S47" i="231" a="1"/>
  <c r="S47" i="231" s="1"/>
  <c r="Q48" i="231"/>
  <c r="S48" i="231" s="1" a="1"/>
  <c r="S48" i="231" s="1"/>
  <c r="R48" i="231"/>
  <c r="Q49" i="231"/>
  <c r="R49" i="231"/>
  <c r="S49" i="231" a="1"/>
  <c r="S49" i="231" s="1"/>
  <c r="Q50" i="231"/>
  <c r="S50" i="231" s="1" a="1"/>
  <c r="S50" i="231" s="1"/>
  <c r="R50" i="231"/>
  <c r="Q51" i="231"/>
  <c r="R51" i="231"/>
  <c r="S51" i="231" a="1"/>
  <c r="S51" i="231" s="1"/>
  <c r="Q52" i="231"/>
  <c r="S52" i="231" s="1" a="1"/>
  <c r="S52" i="231" s="1"/>
  <c r="R52" i="231"/>
  <c r="Q53" i="231"/>
  <c r="R53" i="231"/>
  <c r="S53" i="231" a="1"/>
  <c r="S53" i="231" s="1"/>
  <c r="Q54" i="231"/>
  <c r="S54" i="231" s="1" a="1"/>
  <c r="S54" i="231" s="1"/>
  <c r="R54" i="231"/>
  <c r="Q55" i="231"/>
  <c r="R55" i="231"/>
  <c r="S55" i="231" a="1"/>
  <c r="S55" i="231" s="1"/>
  <c r="Q16" i="231"/>
  <c r="S16" i="231" s="1" a="1"/>
  <c r="S16" i="231" s="1"/>
  <c r="R16" i="231"/>
  <c r="Q17" i="231"/>
  <c r="R17" i="231"/>
  <c r="S17" i="231" a="1"/>
  <c r="S17"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I21" i="231"/>
  <c r="J21" i="231"/>
  <c r="K21" i="231"/>
  <c r="L21" i="231"/>
  <c r="M21" i="231"/>
  <c r="N21" i="231"/>
  <c r="B16" i="231"/>
  <c r="C16" i="231"/>
  <c r="E7" i="231"/>
  <c r="B14" i="231"/>
  <c r="B14" i="245"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32" i="231" l="1" a="1"/>
  <c r="S32" i="231"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7" i="231"/>
  <c r="C18" i="231"/>
  <c r="C19" i="231"/>
  <c r="C20" i="231"/>
  <c r="C21" i="231"/>
  <c r="B20" i="231"/>
  <c r="B21" i="231"/>
  <c r="B17" i="231"/>
  <c r="B18" i="231"/>
  <c r="B19"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N12" i="193" l="1"/>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<sst xmlns="http://schemas.openxmlformats.org/spreadsheetml/2006/main" count="7109" uniqueCount="2458">
  <si>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</si>
  <si>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</si>
  <si>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</si>
  <si>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</si>
  <si>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</si>
  <si>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</si>
  <si>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</si>
  <si>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</si>
  <si>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</si>
  <si>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</si>
  <si>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</si>
  <si>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</si>
  <si>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</si>
  <si>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</si>
  <si>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</si>
  <si>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</si>
  <si>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</si>
  <si>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</si>
  <si>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</si>
  <si>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</si>
  <si>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</si>
  <si>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</si>
  <si>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</si>
  <si>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</si>
  <si>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</si>
  <si>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</si>
  <si>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</si>
  <si>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</si>
  <si>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</si>
  <si>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</si>
  <si>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</si>
  <si>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</si>
  <si>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</si>
  <si>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</si>
  <si>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</si>
  <si>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</si>
  <si>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</si>
  <si>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</si>
  <si>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</si>
  <si>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</si>
  <si>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</si>
  <si>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</si>
  <si>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</si>
  <si>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</si>
  <si>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</si>
  <si>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</si>
  <si>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</si>
  <si>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</si>
  <si>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</si>
  <si>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</si>
  <si>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</si>
  <si>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</si>
  <si>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</si>
  <si>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</si>
  <si>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</si>
  <si>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</si>
  <si>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</si>
  <si>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</si>
  <si>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</si>
  <si>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</si>
  <si>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</si>
  <si>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</si>
  <si>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</si>
  <si>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</si>
  <si>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</si>
  <si>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</si>
  <si>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</si>
  <si>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</si>
  <si>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</si>
  <si>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</si>
  <si>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</si>
  <si>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</si>
  <si>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</si>
  <si>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</si>
  <si>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</si>
  <si>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</si>
  <si>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</si>
  <si>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</si>
  <si>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</si>
  <si>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</si>
  <si>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</si>
  <si>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</si>
  <si>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</si>
  <si>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</si>
  <si>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</si>
  <si>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</si>
  <si>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</si>
  <si>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</si>
  <si>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</si>
  <si>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</si>
  <si>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</si>
  <si>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</si>
  <si>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</si>
  <si>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</si>
  <si>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</si>
  <si>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</si>
  <si>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</si>
  <si>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</si>
  <si>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</si>
  <si>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</si>
  <si>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</si>
  <si>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</si>
  <si>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</si>
  <si>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</si>
  <si>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</si>
  <si>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</si>
  <si>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</si>
  <si>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</si>
  <si>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</si>
  <si>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</si>
  <si>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</si>
  <si>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</si>
  <si>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</si>
  <si>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</si>
  <si>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</si>
  <si>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</si>
  <si>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</si>
  <si>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</si>
  <si>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</si>
  <si>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</si>
  <si>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</si>
  <si>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</si>
  <si>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</si>
  <si>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</si>
  <si>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</si>
  <si>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</si>
  <si>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</si>
  <si>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</si>
  <si>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</si>
  <si>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</si>
  <si>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</si>
  <si>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</si>
  <si>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</si>
  <si>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</si>
  <si>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</si>
  <si>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</si>
  <si>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</si>
  <si>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</si>
  <si>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</si>
  <si>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</si>
  <si>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</si>
  <si>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</si>
  <si>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</si>
  <si>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</si>
  <si>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</si>
  <si>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</si>
  <si>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</si>
  <si>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</si>
  <si>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</si>
  <si>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</si>
  <si>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</si>
  <si>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</si>
  <si>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</si>
  <si>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</si>
  <si>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</si>
  <si>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</si>
  <si>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</si>
  <si>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</si>
  <si>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</si>
  <si>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</si>
  <si>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</si>
  <si>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</si>
  <si>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</si>
  <si>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</si>
  <si>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</si>
  <si>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</si>
  <si>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</si>
  <si>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</si>
  <si>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</si>
  <si>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</si>
  <si>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</si>
  <si>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</si>
  <si>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</si>
  <si>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</si>
  <si>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</si>
  <si>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</si>
  <si>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</si>
  <si>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</si>
  <si>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</si>
  <si>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</si>
  <si>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</si>
  <si>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</si>
  <si>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</si>
  <si>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</si>
  <si>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</si>
  <si>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</si>
  <si>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</si>
  <si>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</si>
  <si>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</si>
  <si>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</si>
  <si>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</si>
  <si>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</si>
  <si>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</si>
  <si>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</si>
  <si>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</si>
  <si>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</si>
  <si>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</si>
  <si>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</si>
  <si>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</si>
  <si>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</si>
  <si>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</si>
  <si>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</si>
  <si>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</si>
  <si>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</si>
  <si>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</si>
  <si>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</si>
  <si>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</si>
  <si>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</si>
  <si>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</si>
  <si>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</si>
  <si>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</si>
  <si>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</si>
  <si>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</si>
  <si>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</si>
  <si>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</si>
  <si>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</si>
  <si>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</si>
  <si>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</si>
  <si>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</si>
  <si>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</si>
  <si>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</si>
  <si>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</si>
  <si>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</si>
  <si>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</si>
  <si>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</si>
  <si>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</si>
  <si>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</si>
  <si>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</si>
  <si>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</si>
  <si>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</si>
  <si>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</si>
  <si>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</si>
  <si>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</si>
  <si>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</si>
  <si>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</si>
  <si>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</si>
  <si>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</si>
  <si>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</si>
  <si>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</si>
  <si>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</si>
  <si>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</si>
  <si>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</si>
  <si>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</si>
  <si>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</si>
  <si>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</si>
  <si>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</si>
  <si>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</si>
  <si>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</si>
  <si>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</si>
  <si>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</si>
  <si>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</si>
  <si>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</si>
  <si>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</si>
  <si>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</si>
  <si>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</si>
  <si>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</si>
  <si>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</si>
  <si>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</si>
  <si>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</si>
  <si>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</si>
  <si>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</si>
  <si>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</si>
  <si>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</si>
  <si>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</si>
  <si>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</si>
  <si>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</si>
  <si>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</si>
  <si>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</si>
  <si>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</si>
  <si>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</si>
  <si>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</si>
  <si>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</si>
  <si>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</si>
  <si>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</si>
  <si>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</si>
  <si>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</si>
  <si>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</si>
  <si>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</si>
  <si>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</si>
  <si>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</si>
  <si>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</si>
  <si>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</si>
  <si>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</si>
  <si>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</si>
  <si>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</si>
  <si>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</si>
  <si>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</si>
  <si>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</si>
  <si>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</si>
  <si>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</si>
  <si>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</si>
  <si>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</si>
  <si>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</si>
  <si>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</si>
  <si>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</si>
  <si>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</si>
  <si>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</si>
  <si>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</si>
  <si>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</si>
  <si>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</si>
  <si>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</si>
  <si>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</si>
  <si>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</si>
  <si>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</si>
  <si>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</si>
  <si>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</si>
  <si>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</si>
  <si>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</si>
  <si>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</si>
  <si>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</si>
  <si>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</si>
  <si>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</si>
  <si>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</si>
  <si>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</si>
  <si>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</si>
  <si>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</si>
  <si>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</si>
  <si>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</si>
  <si>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</si>
  <si>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</si>
  <si>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</si>
  <si>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</si>
  <si>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</si>
  <si>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</si>
  <si>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</si>
  <si>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</si>
  <si>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</si>
  <si>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</si>
  <si>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</si>
  <si>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</si>
  <si>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</si>
  <si>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</si>
  <si>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</si>
  <si>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</si>
  <si>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</si>
  <si>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</si>
  <si>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</si>
  <si>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</si>
  <si>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</si>
  <si>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</si>
  <si>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</si>
  <si>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</si>
  <si>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</si>
  <si>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</si>
  <si>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</si>
  <si>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</si>
  <si>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</si>
  <si>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</si>
  <si>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</si>
  <si>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</si>
  <si>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</si>
  <si>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</si>
  <si>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</si>
  <si>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</si>
  <si>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</si>
  <si>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</si>
  <si>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</si>
  <si>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</si>
  <si>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</si>
  <si>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</si>
  <si>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</si>
  <si>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</si>
  <si>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</si>
  <si>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</si>
  <si>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</si>
  <si>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</si>
  <si>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</si>
  <si>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</si>
  <si>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</si>
  <si>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</si>
  <si>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</si>
  <si>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</si>
  <si>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</si>
  <si>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</si>
  <si>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</si>
  <si>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</si>
  <si>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</si>
  <si>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</si>
  <si>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</si>
  <si>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</si>
  <si>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</si>
  <si>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</si>
  <si>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</si>
  <si>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</si>
  <si>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</si>
  <si>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</si>
  <si>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</si>
  <si>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</si>
  <si>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</si>
  <si>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</si>
  <si>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</si>
  <si>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</si>
  <si>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</si>
  <si>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</si>
  <si>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</si>
  <si>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</si>
  <si>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</si>
  <si>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</si>
  <si>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</si>
  <si>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</si>
  <si>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</si>
  <si>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</si>
  <si>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</si>
  <si>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</si>
  <si>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</si>
  <si>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</si>
  <si>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</si>
  <si>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</si>
  <si>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</si>
  <si>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</si>
  <si>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</si>
  <si>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</si>
  <si>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</si>
  <si>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</si>
  <si>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</si>
  <si>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</si>
  <si>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</si>
  <si>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</si>
  <si>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</si>
  <si>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</si>
  <si>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</si>
  <si>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</si>
  <si>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</si>
  <si>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</si>
  <si>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</si>
  <si>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</si>
  <si>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</si>
  <si>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</si>
  <si>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</si>
  <si>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</si>
  <si>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</si>
  <si>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</si>
  <si>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</si>
  <si>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</si>
  <si>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</si>
  <si>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</si>
  <si>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</si>
  <si>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</si>
  <si>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</si>
  <si>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</si>
  <si>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</si>
  <si>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</si>
  <si>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</si>
  <si>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</si>
  <si>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</si>
  <si>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</si>
  <si>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</si>
  <si>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</si>
  <si>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</si>
  <si>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</si>
  <si>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</si>
  <si>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</si>
  <si>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</si>
  <si>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</si>
  <si>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</si>
  <si>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</si>
  <si>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</si>
  <si>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</si>
  <si>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</si>
  <si>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</si>
  <si>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</si>
  <si>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</si>
  <si>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</si>
  <si>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</si>
  <si>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</si>
  <si>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</si>
  <si>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</si>
  <si>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</si>
  <si>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</si>
  <si>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</si>
  <si>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</si>
  <si>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</si>
  <si>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</si>
  <si>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</si>
  <si>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</si>
  <si>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</si>
  <si>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</si>
  <si>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</si>
  <si>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</si>
  <si>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</si>
  <si>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</si>
  <si>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</si>
  <si>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</si>
  <si>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</si>
  <si>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</si>
  <si>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</si>
  <si>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</si>
  <si>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</si>
  <si>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</si>
  <si>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</si>
  <si>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</si>
  <si>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</si>
  <si>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</si>
  <si>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</si>
  <si>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</si>
  <si>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</si>
  <si>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</si>
  <si>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</si>
  <si>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</si>
  <si>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</si>
  <si>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</si>
  <si>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</si>
  <si>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</si>
  <si>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</si>
  <si>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</si>
  <si>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</si>
  <si>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</si>
  <si>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</si>
  <si>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</si>
  <si>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</si>
  <si>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</si>
  <si>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</si>
  <si>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</si>
  <si>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</si>
  <si>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</si>
  <si>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</si>
  <si>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</si>
  <si>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</si>
  <si>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</si>
  <si>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</si>
  <si>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</si>
  <si>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</si>
  <si>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</si>
  <si>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</si>
  <si>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</si>
  <si>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</si>
  <si>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</si>
  <si>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</si>
  <si>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</si>
  <si>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</si>
  <si>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</si>
  <si>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</si>
  <si>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</si>
  <si>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</si>
  <si>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</si>
  <si>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</si>
  <si>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</si>
  <si>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</si>
  <si>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</si>
  <si>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</si>
  <si>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</si>
  <si>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</si>
  <si>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</si>
  <si>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</si>
  <si>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</si>
  <si>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</si>
  <si>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</si>
  <si>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</si>
  <si>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</si>
  <si>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</si>
  <si>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</si>
  <si>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</si>
  <si>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</si>
  <si>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</si>
  <si>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</si>
  <si>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</si>
  <si>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</si>
  <si>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</si>
  <si>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</si>
  <si>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</si>
  <si>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</si>
  <si>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</si>
  <si>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</si>
  <si>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</si>
  <si>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</si>
  <si>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</si>
  <si>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</si>
  <si>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</si>
  <si>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</si>
  <si>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</si>
  <si>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</si>
  <si>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</si>
  <si>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</si>
  <si>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</si>
  <si>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</si>
  <si>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</si>
  <si>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</si>
  <si>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</si>
  <si>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</si>
  <si>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</si>
  <si>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</si>
  <si>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</si>
  <si>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</si>
  <si>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</si>
  <si>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</si>
  <si>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</si>
  <si>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</si>
  <si>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</si>
  <si>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</si>
  <si>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</si>
  <si>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</si>
  <si>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</si>
  <si>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</si>
  <si>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</si>
  <si>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</si>
  <si>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</si>
  <si>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</si>
  <si>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</si>
  <si>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</si>
  <si>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</si>
  <si>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</si>
  <si>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</si>
  <si>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</si>
  <si>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</si>
  <si>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</si>
  <si>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</si>
  <si>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</si>
  <si>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</si>
  <si>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</si>
  <si>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</si>
  <si>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</si>
  <si>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</si>
  <si>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</si>
  <si>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</si>
  <si>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</si>
  <si>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</si>
  <si>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</si>
  <si>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</si>
  <si>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</si>
  <si>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</si>
  <si>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</si>
  <si>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</si>
  <si>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</si>
  <si>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</si>
  <si>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</si>
  <si>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</si>
  <si>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</si>
  <si>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</si>
  <si>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</si>
  <si>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</si>
  <si>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</si>
  <si>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</si>
  <si>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</si>
  <si>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</si>
  <si>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</si>
  <si>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</si>
  <si>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</si>
  <si>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</si>
  <si>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</si>
  <si>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</si>
  <si>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</si>
  <si>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</si>
  <si>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</si>
  <si>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</si>
  <si>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</si>
  <si>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</si>
  <si>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</si>
  <si>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</si>
  <si>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</si>
  <si>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</si>
  <si>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</si>
  <si>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</si>
  <si>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</si>
  <si>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</si>
  <si>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</si>
  <si>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</si>
  <si>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</si>
  <si>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</si>
  <si>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</si>
  <si>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</si>
  <si>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</si>
  <si>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</si>
  <si>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</si>
  <si>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</si>
  <si>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</si>
  <si>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</si>
  <si>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</si>
  <si>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</si>
  <si>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</si>
  <si>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</si>
  <si>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</si>
  <si>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</si>
  <si>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</si>
  <si>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</si>
  <si>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</si>
  <si>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</si>
  <si>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</si>
  <si>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</si>
  <si>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</si>
  <si>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</si>
  <si>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</si>
  <si>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</si>
  <si>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</si>
  <si>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</si>
  <si>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</si>
  <si>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</si>
  <si>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</si>
  <si>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</si>
  <si>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</si>
  <si>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</si>
  <si>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</si>
  <si>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</si>
  <si>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</si>
  <si>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</si>
  <si>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</si>
  <si>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</si>
  <si>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</si>
  <si>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</si>
  <si>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</si>
  <si>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</si>
  <si>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</si>
  <si>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</si>
  <si>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</si>
  <si>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</si>
  <si>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</si>
  <si>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</si>
  <si>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</si>
  <si>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</si>
  <si>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</si>
  <si>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</si>
  <si>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</si>
  <si>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</si>
  <si>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</si>
  <si>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</si>
  <si>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</si>
  <si>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</si>
  <si>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</si>
  <si>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</si>
  <si>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</si>
  <si>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</si>
  <si>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</si>
  <si>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</si>
  <si>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</si>
  <si>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</si>
  <si>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</si>
  <si>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</si>
  <si>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</si>
  <si>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</si>
  <si>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</si>
  <si>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</si>
  <si>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</si>
  <si>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</si>
  <si>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</si>
  <si>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</si>
  <si>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</si>
  <si>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</si>
  <si>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</si>
  <si>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</si>
  <si>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</si>
  <si>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</si>
  <si>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</si>
  <si>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</si>
  <si>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</si>
  <si>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</si>
  <si>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</si>
  <si>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</si>
  <si>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</si>
  <si>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</si>
  <si>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</si>
  <si>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</si>
  <si>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</si>
  <si>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</si>
  <si>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</si>
  <si>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</si>
  <si>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</si>
  <si>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</si>
  <si>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</si>
  <si>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</si>
  <si>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</si>
  <si>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</si>
  <si>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</si>
  <si>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</si>
  <si>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</si>
  <si>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</si>
  <si>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</si>
  <si>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</si>
  <si>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</si>
  <si>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</si>
  <si>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</si>
  <si>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</si>
  <si>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</si>
  <si>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</si>
  <si>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</si>
  <si>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</si>
  <si>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</si>
  <si>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</si>
  <si>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</si>
  <si>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</si>
  <si>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</si>
  <si>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</si>
  <si>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</si>
  <si>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</si>
  <si>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</si>
  <si>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</si>
  <si>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</si>
  <si>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</si>
  <si>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</si>
  <si>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</si>
  <si>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</si>
  <si>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</si>
  <si>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</si>
  <si>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</si>
  <si>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</si>
  <si>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</si>
  <si>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</si>
  <si>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</si>
  <si>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</si>
  <si>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</si>
  <si>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</si>
  <si>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</si>
  <si>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</si>
  <si>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</si>
  <si>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</si>
  <si>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</si>
  <si>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</si>
  <si>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</si>
  <si>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</si>
  <si>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</si>
  <si>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</si>
  <si>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</si>
  <si>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</si>
  <si>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</si>
  <si>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</si>
  <si>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</si>
  <si>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</si>
  <si>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</si>
  <si>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</si>
  <si>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</si>
  <si>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</si>
  <si>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</si>
  <si>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</si>
  <si>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</si>
  <si>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</si>
  <si>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</si>
  <si>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</si>
  <si>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</si>
  <si>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</si>
  <si>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</si>
  <si>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</si>
  <si>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</si>
  <si>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</si>
  <si>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</si>
  <si>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</si>
  <si>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</si>
  <si>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</si>
  <si>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</si>
  <si>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</si>
  <si>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</si>
  <si>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</si>
  <si>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</si>
  <si>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</si>
  <si>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</si>
  <si>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</si>
  <si>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</si>
  <si>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</si>
  <si>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</si>
  <si>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</si>
  <si>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</si>
  <si>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</si>
  <si>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</si>
  <si>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</si>
  <si>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</si>
  <si>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</si>
  <si>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</si>
  <si>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</si>
  <si>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</si>
  <si>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</si>
  <si>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</si>
  <si>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</si>
  <si>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</si>
  <si>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</si>
  <si>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</si>
  <si>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</si>
  <si>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</si>
  <si>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</si>
  <si>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</si>
  <si>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</si>
  <si>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</si>
  <si>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</si>
  <si>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</si>
  <si>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</si>
  <si>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</si>
  <si>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</si>
  <si>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</si>
  <si>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</si>
  <si>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</si>
  <si>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</si>
  <si>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</si>
  <si>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</si>
  <si>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</si>
  <si>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</si>
  <si>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</si>
  <si>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</si>
  <si>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</si>
  <si>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</si>
  <si>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</si>
  <si>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</si>
  <si>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</si>
  <si>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</si>
  <si>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</si>
  <si>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</si>
  <si>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</si>
  <si>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</si>
  <si>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</si>
  <si>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</si>
  <si>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</si>
  <si>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</si>
  <si>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</si>
  <si>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</si>
  <si>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</si>
  <si>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</si>
  <si>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</si>
  <si>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</si>
  <si>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</si>
  <si>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</si>
  <si>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</si>
  <si>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</si>
  <si>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</si>
  <si>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</si>
  <si>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</si>
  <si>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</si>
  <si>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</si>
  <si>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</si>
  <si>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</si>
  <si>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</si>
  <si>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</si>
  <si>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</si>
  <si>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</si>
  <si>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</si>
  <si>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</si>
  <si>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</si>
  <si>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</si>
  <si>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</si>
  <si>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</si>
  <si>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</si>
  <si>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</si>
  <si>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</si>
  <si>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</si>
  <si>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</si>
  <si>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</si>
  <si>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</si>
  <si>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</si>
  <si>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</si>
  <si>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</si>
  <si>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</si>
  <si>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</si>
  <si>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</si>
  <si>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</si>
  <si>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</si>
  <si>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</si>
  <si>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</si>
  <si>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</si>
  <si>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</si>
  <si>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</si>
  <si>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</si>
  <si>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</si>
  <si>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</si>
  <si>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</si>
  <si>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</si>
  <si>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</si>
  <si>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</si>
  <si>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</si>
  <si>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</si>
  <si>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</si>
  <si>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</si>
  <si>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</si>
  <si>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</si>
  <si>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</si>
  <si>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</si>
  <si>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</si>
  <si>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</si>
  <si>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</si>
  <si>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</si>
  <si>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</si>
  <si>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</si>
  <si>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</si>
  <si>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</si>
  <si>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</si>
  <si>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</si>
  <si>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</si>
  <si>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</si>
  <si>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</si>
  <si>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</si>
  <si>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</si>
  <si>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</si>
  <si>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</si>
  <si>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</si>
  <si>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</si>
  <si>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</si>
  <si>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</si>
  <si>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</si>
  <si>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</si>
  <si>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</si>
  <si>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</si>
  <si>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</si>
  <si>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</si>
  <si>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</si>
  <si>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</si>
  <si>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</si>
  <si>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</si>
  <si>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</si>
  <si>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</si>
  <si>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</si>
  <si>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</si>
  <si>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</si>
  <si>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</si>
  <si>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</si>
  <si>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</si>
  <si>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</si>
  <si>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</si>
  <si>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</si>
  <si>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</si>
  <si>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</si>
  <si>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</si>
  <si>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</si>
  <si>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</si>
  <si>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</si>
  <si>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</si>
  <si>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</si>
  <si>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</si>
  <si>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</si>
  <si>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</si>
  <si>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</si>
  <si>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</si>
  <si>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</si>
  <si>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</si>
  <si>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</si>
  <si>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</si>
  <si>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</si>
  <si>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</si>
  <si>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</si>
  <si>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</si>
  <si>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</si>
  <si>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</si>
  <si>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</si>
  <si>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</si>
  <si>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</si>
  <si>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</si>
  <si>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</si>
  <si>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</si>
  <si>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</si>
  <si>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</si>
  <si>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</si>
  <si>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</si>
  <si>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</si>
  <si>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</si>
  <si>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</si>
  <si>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</si>
  <si>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</si>
  <si>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</si>
  <si>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</si>
  <si>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</si>
  <si>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</si>
  <si>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</si>
  <si>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</si>
  <si>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</si>
  <si>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</si>
  <si>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</si>
  <si>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</si>
  <si>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</si>
  <si>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</si>
  <si>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</si>
  <si>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</si>
  <si>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</si>
  <si>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</si>
  <si>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</si>
  <si>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</si>
  <si>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</si>
  <si>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</si>
  <si>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</si>
  <si>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</si>
  <si>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</si>
  <si>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</si>
  <si>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</si>
  <si>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</si>
  <si>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</si>
  <si>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</si>
  <si>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</si>
  <si>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</si>
  <si>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</si>
  <si>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</si>
  <si>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</si>
  <si>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</si>
  <si>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</si>
  <si>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</si>
  <si>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</si>
  <si>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</si>
  <si>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</si>
  <si>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</si>
  <si>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</si>
  <si>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</si>
  <si>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</si>
  <si>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</si>
  <si>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</si>
  <si>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</si>
  <si>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</si>
  <si>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</si>
  <si>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</si>
  <si>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</si>
  <si>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</si>
  <si>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</si>
  <si>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</si>
  <si>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</si>
  <si>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</si>
  <si>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</si>
  <si>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</si>
  <si>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</si>
  <si>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</si>
  <si>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</si>
  <si>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</si>
  <si>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</si>
  <si>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</si>
  <si>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</si>
  <si>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</si>
  <si>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</si>
  <si>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</si>
  <si>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</si>
  <si>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</si>
  <si>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</si>
  <si>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</si>
  <si>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</si>
  <si>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</si>
  <si>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</si>
  <si>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</si>
  <si>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</si>
  <si>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</si>
  <si>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</si>
  <si>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</si>
  <si>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</si>
  <si>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</si>
  <si>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</si>
  <si>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</si>
  <si>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</si>
  <si>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</si>
  <si>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</si>
  <si>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</si>
  <si>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</si>
  <si>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</si>
  <si>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</si>
  <si>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</si>
  <si>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</si>
  <si>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</si>
  <si>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</si>
  <si>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</si>
  <si>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</si>
  <si>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</si>
  <si>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</si>
  <si>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</si>
  <si>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</si>
  <si>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</si>
  <si>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</si>
  <si>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</si>
  <si>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</si>
  <si>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</si>
  <si>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</si>
  <si>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</si>
  <si>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</si>
  <si>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</si>
  <si>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</si>
  <si>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</si>
  <si>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</si>
  <si>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</si>
  <si>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</si>
  <si>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</si>
  <si>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</si>
  <si>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</si>
  <si>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</si>
  <si>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</si>
  <si>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</si>
  <si>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</si>
  <si>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</si>
  <si>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</si>
  <si>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</si>
  <si>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</si>
  <si>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</si>
  <si>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</si>
  <si>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</si>
  <si>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</si>
  <si>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</si>
  <si>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</si>
  <si>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</si>
  <si>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</si>
  <si>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</si>
  <si>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</si>
  <si>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</si>
  <si>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</si>
  <si>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</si>
  <si>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</si>
  <si>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</si>
  <si>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</si>
  <si>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</si>
  <si>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</si>
  <si>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</si>
  <si>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</si>
  <si>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</si>
  <si>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</si>
  <si>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</si>
  <si>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</si>
  <si>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</si>
  <si>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</si>
  <si>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</si>
  <si>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</si>
  <si>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</si>
  <si>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</si>
  <si>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</si>
  <si>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</si>
  <si>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</si>
  <si>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</si>
  <si>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</si>
  <si>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</si>
  <si>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</si>
  <si>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</si>
  <si>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</si>
  <si>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</si>
  <si>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</si>
  <si>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</si>
  <si>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</si>
  <si>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</si>
  <si>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</si>
  <si>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</si>
  <si>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</si>
  <si>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</si>
  <si>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</si>
  <si>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</si>
  <si>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</si>
  <si>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</si>
  <si>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</si>
  <si>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</si>
  <si>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</si>
  <si>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</si>
  <si>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</si>
  <si>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</si>
  <si>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</si>
  <si>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</si>
  <si>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</si>
  <si>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</si>
  <si>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</si>
  <si>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</si>
  <si>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</si>
  <si>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</si>
  <si>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</si>
  <si>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</si>
  <si>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</si>
  <si>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</si>
  <si>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</si>
  <si>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</si>
  <si>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</si>
  <si>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</si>
  <si>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</si>
  <si>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</si>
  <si>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</si>
  <si>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</si>
  <si>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</si>
  <si>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</si>
  <si>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</si>
  <si>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</si>
  <si>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</si>
  <si>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</si>
  <si>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</si>
  <si>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</si>
  <si>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</si>
  <si>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</si>
  <si>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</si>
  <si>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</si>
  <si>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</si>
  <si>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</si>
  <si>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</si>
  <si>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</si>
  <si>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</si>
  <si>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</si>
  <si>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</si>
  <si>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</si>
  <si>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</si>
  <si>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</si>
  <si>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</si>
  <si>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</si>
  <si>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</si>
  <si>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</si>
  <si>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</si>
  <si>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</si>
  <si>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</si>
  <si>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</si>
  <si>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</si>
  <si>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</si>
  <si>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</si>
  <si>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</si>
  <si>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</si>
  <si>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</si>
  <si>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</si>
  <si>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</si>
  <si>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</si>
  <si>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</si>
  <si>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</si>
  <si>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</si>
  <si>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</si>
  <si>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</si>
  <si>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</si>
  <si>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</si>
  <si>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</si>
  <si>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</si>
  <si>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</si>
  <si>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</si>
  <si>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</si>
  <si>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</si>
  <si>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</si>
  <si>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</si>
  <si>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</si>
  <si>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</si>
  <si>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</si>
  <si>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</si>
  <si>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</si>
  <si>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</si>
  <si>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</si>
  <si>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</si>
  <si>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</si>
  <si>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</si>
  <si>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</si>
  <si>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</si>
  <si>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</si>
  <si>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</si>
  <si>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</si>
  <si>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</si>
  <si>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</si>
  <si>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</si>
  <si>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</si>
  <si>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</si>
  <si>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</si>
  <si>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</si>
  <si>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</si>
  <si>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</si>
  <si>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</si>
  <si>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</si>
  <si>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</si>
  <si>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</si>
  <si>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</si>
  <si>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</si>
  <si>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</si>
  <si>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</si>
  <si>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</si>
  <si>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</si>
  <si>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</si>
  <si>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</si>
  <si>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</si>
  <si>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</si>
  <si>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</si>
  <si>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</si>
  <si>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</si>
  <si>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</si>
  <si>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</si>
  <si>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</si>
  <si>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</si>
  <si>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</si>
  <si>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</si>
  <si>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</si>
  <si>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</si>
  <si>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</si>
  <si>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</si>
  <si>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</si>
  <si>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</si>
  <si>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</si>
  <si>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</si>
  <si>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</si>
  <si>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</si>
  <si>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</si>
  <si>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</si>
  <si>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</si>
  <si>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</si>
  <si>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</si>
  <si>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</si>
  <si>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</si>
  <si>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</si>
  <si>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</si>
  <si>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</si>
  <si>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</si>
  <si>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</si>
  <si>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</si>
  <si>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</si>
  <si>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</si>
  <si>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</si>
  <si>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</si>
  <si>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</si>
  <si>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</si>
  <si>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</si>
  <si>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</si>
  <si>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</si>
  <si>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</si>
  <si>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</si>
  <si>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</si>
  <si>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</si>
  <si>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</si>
  <si>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</si>
  <si>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</si>
  <si>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</si>
  <si>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</si>
  <si>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</si>
  <si>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</si>
  <si>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</si>
  <si>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</si>
  <si>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</si>
  <si>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</si>
  <si>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</si>
  <si>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</si>
  <si>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</si>
  <si>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</si>
  <si>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</si>
  <si>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</si>
  <si>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</si>
  <si>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</si>
  <si>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</si>
  <si>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</si>
  <si>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</si>
  <si>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</si>
  <si>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</si>
  <si>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</si>
  <si>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</si>
  <si>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</si>
  <si>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</si>
  <si>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</si>
  <si>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</si>
  <si>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</si>
  <si>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</si>
  <si>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</si>
  <si>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</si>
  <si>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</si>
  <si>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</si>
  <si>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</si>
  <si>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</si>
  <si>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</si>
  <si>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</si>
  <si>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</si>
  <si>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</si>
  <si>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</si>
  <si>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</si>
  <si>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</si>
  <si>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</si>
  <si>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</si>
  <si>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</si>
  <si>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</si>
  <si>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</si>
  <si>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</si>
  <si>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</si>
  <si>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</si>
  <si>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</si>
  <si>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</si>
  <si>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</si>
  <si>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</si>
  <si>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</si>
  <si>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</si>
  <si>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</si>
  <si>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</si>
  <si>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</si>
  <si>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</si>
  <si>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</si>
  <si>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</si>
  <si>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</si>
  <si>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</si>
  <si>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</si>
  <si>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</si>
  <si>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</si>
  <si>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</si>
  <si>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</si>
  <si>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</si>
  <si>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</si>
  <si>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</si>
  <si>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</si>
  <si>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</si>
  <si>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</si>
  <si>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</si>
  <si>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</si>
  <si>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</si>
  <si>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</si>
  <si>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</si>
  <si>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</si>
  <si>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</si>
  <si>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</si>
  <si>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</si>
  <si>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</si>
  <si>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</si>
  <si>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</si>
  <si>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</si>
  <si>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</si>
  <si>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</si>
  <si>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</si>
  <si>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</si>
  <si>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</si>
  <si>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</si>
  <si>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</si>
  <si>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</si>
  <si>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</si>
  <si>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</si>
  <si>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</si>
  <si>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</si>
  <si>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</si>
  <si>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</si>
  <si>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</si>
  <si>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</si>
  <si>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</si>
  <si>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</si>
  <si>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</si>
  <si>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</si>
  <si>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</si>
  <si>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</si>
  <si>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</si>
  <si>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</si>
  <si>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</si>
  <si>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</si>
  <si>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</si>
  <si>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</si>
  <si>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</si>
  <si>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</si>
  <si>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</si>
  <si>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</si>
  <si>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</si>
  <si>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</si>
  <si>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</si>
  <si>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</si>
  <si>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</si>
  <si>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</si>
  <si>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</si>
  <si>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</si>
  <si>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</si>
  <si>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</si>
  <si>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</si>
  <si>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</si>
  <si>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</si>
  <si>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</si>
  <si>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</si>
  <si>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</si>
  <si>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</si>
  <si>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</si>
  <si>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</si>
  <si>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</si>
  <si>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</si>
  <si>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</si>
  <si>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</si>
  <si>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</si>
  <si>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</si>
  <si>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</si>
  <si>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</si>
  <si>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</si>
  <si>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</si>
  <si>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</si>
  <si>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</si>
  <si>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</si>
  <si>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</si>
  <si>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</si>
  <si>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</si>
  <si>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</si>
  <si>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</si>
  <si>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</si>
  <si>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</si>
  <si>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</si>
  <si>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</si>
  <si>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</si>
  <si>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</si>
  <si>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</si>
  <si>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</si>
  <si>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</si>
  <si>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</si>
  <si>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</si>
  <si>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</si>
  <si>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</si>
  <si>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</si>
  <si>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</si>
  <si>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</si>
  <si>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</si>
  <si>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</si>
  <si>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</si>
  <si>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</si>
  <si>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</si>
  <si>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</si>
  <si>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</si>
  <si>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</si>
  <si>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</si>
  <si>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</si>
  <si>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</si>
  <si>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</si>
  <si>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</si>
  <si>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</si>
  <si>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</si>
  <si>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</si>
  <si>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</si>
  <si>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</si>
  <si>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</si>
  <si>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</si>
  <si>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</si>
  <si>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</si>
  <si>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</si>
  <si>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</si>
  <si>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</si>
  <si>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</si>
  <si>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</si>
  <si>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</si>
  <si>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</si>
  <si>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</si>
  <si>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</si>
  <si>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</si>
  <si>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</si>
  <si>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</si>
  <si>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</si>
  <si>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</si>
  <si>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</si>
  <si>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</si>
  <si>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</si>
  <si>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</si>
  <si>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</si>
  <si>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</si>
  <si>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</si>
  <si>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</si>
  <si>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</si>
  <si>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</si>
  <si>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</si>
  <si>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</si>
  <si>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</si>
  <si>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</si>
  <si>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</si>
  <si>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</si>
  <si>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</si>
  <si>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</si>
  <si>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</si>
  <si>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</si>
  <si>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</si>
  <si>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</si>
  <si>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</si>
  <si>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</si>
  <si>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</si>
  <si>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</si>
  <si>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</si>
  <si>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</si>
  <si>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</si>
  <si>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</si>
  <si>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</si>
  <si>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</si>
  <si>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</si>
  <si>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</si>
  <si>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</si>
  <si>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</si>
  <si>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</si>
  <si>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</si>
  <si>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</si>
  <si>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</si>
  <si>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</si>
  <si>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</si>
  <si>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</si>
  <si>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</si>
  <si>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</si>
  <si>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</si>
  <si>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</si>
  <si>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</si>
  <si>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</si>
  <si>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</si>
  <si>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</si>
  <si>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</si>
  <si>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</si>
  <si>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</si>
  <si>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</si>
  <si>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</si>
  <si>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</si>
  <si>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</si>
  <si>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</si>
  <si>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</si>
  <si>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</si>
  <si>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</si>
  <si>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</si>
  <si>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</si>
  <si>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</si>
  <si>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</si>
  <si>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</si>
  <si>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</si>
  <si>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</si>
  <si>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</si>
  <si>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</si>
  <si>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</si>
  <si>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</si>
  <si>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</si>
  <si>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</si>
  <si>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</si>
  <si>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</si>
  <si>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</si>
  <si>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</si>
  <si>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</si>
  <si>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</si>
  <si>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</si>
  <si>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</si>
  <si>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</si>
  <si>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</si>
  <si>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</si>
  <si>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</si>
  <si>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</si>
  <si>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</si>
  <si>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</si>
  <si>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</si>
  <si>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</si>
  <si>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</si>
  <si>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</si>
  <si>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</si>
  <si>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</si>
  <si>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</si>
  <si>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</si>
  <si>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</si>
  <si>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</si>
  <si>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</si>
  <si>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</si>
  <si>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</si>
  <si>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</si>
  <si>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</si>
  <si>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</si>
  <si>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</si>
  <si>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</si>
  <si>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</si>
  <si>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</si>
  <si>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</si>
  <si>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</si>
  <si>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</si>
  <si>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</si>
  <si>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</si>
  <si>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</si>
  <si>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</si>
  <si>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</si>
  <si>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</si>
  <si>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</si>
  <si>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</si>
  <si>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</si>
  <si>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</si>
  <si>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</si>
  <si>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</si>
  <si>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</si>
  <si>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</si>
  <si>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</si>
  <si>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</si>
  <si>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</si>
  <si>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</si>
  <si>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</si>
  <si>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</si>
  <si>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</si>
  <si>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</si>
  <si>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</si>
  <si>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</si>
  <si>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</si>
  <si>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</si>
  <si>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</si>
  <si>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</si>
  <si>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</si>
  <si>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</si>
  <si>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</si>
  <si>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</si>
  <si>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</si>
  <si>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</si>
  <si>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</si>
  <si>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</si>
  <si>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</si>
  <si>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</si>
  <si>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</si>
  <si>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</si>
  <si>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</si>
  <si>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</si>
  <si>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</si>
  <si>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</si>
  <si>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</si>
  <si>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</si>
  <si>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</si>
  <si>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</si>
  <si>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</si>
  <si>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</si>
  <si>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</si>
  <si>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</si>
  <si>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</si>
  <si>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</si>
  <si>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</si>
  <si>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</si>
  <si>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</si>
  <si>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</si>
  <si>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</si>
  <si>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</si>
  <si>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</si>
  <si>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</si>
  <si>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</si>
  <si>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</si>
  <si>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</si>
  <si>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</si>
  <si>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</si>
  <si>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</si>
  <si>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</si>
  <si>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</si>
  <si>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</si>
  <si>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</si>
  <si>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</si>
  <si>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</si>
  <si>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</si>
  <si>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</si>
  <si>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</si>
  <si>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</si>
  <si>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</si>
  <si>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</si>
  <si>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</si>
  <si>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</si>
  <si>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</si>
  <si>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</si>
  <si>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</si>
  <si>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</si>
  <si>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</si>
  <si>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</si>
  <si>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</si>
  <si>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</si>
  <si>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</si>
  <si>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</si>
  <si>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</si>
  <si>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</si>
  <si>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</si>
  <si>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</si>
  <si>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</si>
  <si>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</si>
  <si>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</si>
  <si>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</si>
  <si>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</si>
  <si>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</si>
  <si>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</si>
  <si>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</si>
  <si>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</si>
  <si>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</si>
  <si>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</si>
  <si>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</si>
  <si>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</si>
  <si>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</si>
  <si>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</si>
  <si>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</si>
  <si>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</si>
  <si>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</si>
  <si>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</si>
  <si>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</si>
  <si>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</si>
  <si>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</si>
  <si>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</si>
  <si>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</si>
  <si>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</si>
  <si>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</si>
  <si>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</si>
  <si>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</si>
  <si>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</si>
  <si>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</si>
  <si>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</si>
  <si>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</si>
  <si>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</si>
  <si>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</si>
  <si>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</si>
  <si>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</si>
  <si>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</si>
  <si>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</si>
  <si>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</si>
  <si>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</si>
  <si>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</si>
  <si>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</si>
  <si>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</si>
  <si>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</si>
  <si>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</si>
  <si>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</si>
  <si>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</si>
  <si>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</si>
  <si>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</si>
  <si>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</si>
  <si>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</si>
  <si>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</si>
  <si>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</si>
  <si>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</si>
  <si>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</si>
  <si>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</si>
  <si>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</si>
  <si>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</si>
  <si>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</si>
  <si>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</si>
  <si>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</si>
  <si>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</si>
  <si>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</si>
  <si>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</si>
  <si>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</si>
  <si>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</si>
  <si>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</si>
  <si>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</si>
  <si>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</si>
  <si>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</si>
  <si>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</si>
  <si>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</si>
  <si>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</si>
  <si>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</si>
  <si>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</si>
  <si>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</si>
  <si>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</si>
  <si>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</si>
  <si>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</si>
  <si>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</si>
  <si>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</si>
  <si>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</si>
  <si>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</si>
  <si>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</si>
  <si>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</si>
  <si>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</si>
  <si>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</si>
  <si>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</si>
  <si>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</si>
  <si>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</si>
  <si>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</si>
  <si>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</si>
  <si>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</si>
  <si>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</si>
  <si>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</si>
  <si>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</si>
  <si>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</si>
  <si>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</si>
  <si>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</si>
  <si>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</si>
  <si>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</si>
  <si>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</si>
  <si>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</si>
  <si>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</si>
  <si>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</si>
  <si>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</si>
  <si>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</si>
  <si>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</si>
  <si>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</si>
  <si>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</si>
  <si>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</si>
  <si>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</si>
  <si>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</si>
  <si>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</si>
  <si>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</si>
  <si>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</si>
  <si>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</si>
  <si>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</si>
  <si>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</si>
  <si>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</si>
  <si>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</si>
  <si>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</si>
  <si>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</si>
  <si>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</si>
  <si>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</si>
  <si>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</si>
  <si>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</si>
  <si>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</si>
  <si>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</si>
  <si>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</si>
  <si>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</si>
  <si>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</si>
  <si>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</si>
  <si>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</si>
  <si>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</si>
  <si>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</si>
  <si>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</si>
  <si>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</si>
  <si>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</si>
  <si>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</si>
  <si>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</si>
  <si>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</si>
  <si>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</si>
  <si>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</si>
  <si>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</si>
  <si>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</si>
  <si>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</si>
  <si>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</si>
  <si>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</si>
  <si>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</si>
  <si>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</si>
  <si>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</si>
  <si>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</si>
  <si>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</si>
  <si>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</si>
  <si>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</si>
  <si>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</si>
  <si>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</si>
  <si>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</si>
  <si>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</si>
  <si>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</si>
  <si>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</si>
  <si>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</si>
  <si>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</si>
  <si>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</si>
  <si>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</si>
  <si>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</si>
  <si>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</si>
  <si>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</si>
  <si>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</si>
  <si>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</si>
  <si>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</si>
  <si>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</si>
  <si>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</si>
  <si>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</si>
  <si>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</si>
  <si>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</si>
  <si>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</si>
  <si>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</si>
  <si>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</si>
  <si>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</si>
  <si>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</si>
  <si>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</si>
  <si>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</si>
  <si>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</si>
  <si>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</si>
  <si>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</si>
  <si>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</si>
  <si>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</si>
  <si>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</si>
  <si>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</si>
  <si>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</si>
  <si>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</si>
  <si>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</si>
  <si>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</si>
  <si>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</si>
  <si>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</si>
  <si>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</si>
  <si>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</si>
  <si>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</si>
  <si>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</si>
  <si>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</si>
  <si>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</si>
  <si>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</si>
  <si>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</si>
  <si>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</si>
  <si>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</si>
  <si>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</si>
  <si>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</si>
  <si>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</si>
  <si>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</si>
  <si>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</si>
  <si>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</si>
  <si>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</si>
  <si>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</si>
  <si>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</si>
  <si>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</si>
  <si>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</si>
  <si>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</si>
  <si>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</si>
  <si>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</si>
  <si>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</si>
  <si>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</si>
  <si>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</si>
  <si>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</si>
  <si>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</si>
  <si>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</si>
  <si>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</si>
  <si>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</si>
  <si>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</si>
  <si>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</si>
  <si>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</si>
  <si>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</si>
  <si>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</si>
  <si>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</si>
  <si>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</si>
  <si>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</si>
  <si>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</si>
  <si>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</si>
  <si>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</si>
  <si>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</si>
  <si>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</si>
  <si>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</si>
  <si>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</si>
  <si>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</si>
  <si>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</si>
  <si>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</si>
  <si>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</si>
  <si>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</si>
  <si>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</si>
  <si>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</si>
  <si>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</si>
  <si>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</si>
  <si>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</si>
  <si>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</si>
  <si>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</si>
  <si>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</si>
  <si>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</si>
  <si>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</si>
  <si>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</si>
  <si>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</si>
  <si>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</si>
  <si>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</si>
  <si>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</si>
  <si>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</si>
  <si>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</si>
  <si>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</si>
  <si>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</si>
  <si>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</si>
  <si>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</si>
  <si>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</si>
  <si>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</si>
  <si>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</si>
  <si>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</si>
  <si>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</si>
  <si>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</si>
  <si>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</si>
  <si>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</si>
  <si>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</si>
  <si>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</si>
  <si>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</si>
  <si>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</si>
  <si>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</si>
  <si>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</si>
  <si>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</si>
  <si>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</si>
  <si>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</si>
  <si>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</si>
  <si>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</si>
  <si>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</si>
  <si>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</si>
  <si>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</si>
  <si>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</si>
  <si>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</si>
  <si>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</si>
  <si>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</si>
  <si>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</si>
  <si>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</si>
  <si>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</si>
  <si>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</si>
  <si>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</si>
  <si>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</si>
  <si>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</si>
  <si>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</si>
  <si>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</si>
  <si>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</si>
  <si>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</si>
  <si>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</si>
  <si>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</si>
  <si>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</si>
  <si>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</si>
  <si>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</si>
  <si>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</si>
  <si>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</si>
  <si>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</si>
  <si>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</si>
  <si>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</si>
  <si>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</si>
  <si>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</si>
  <si>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</si>
  <si>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</si>
  <si>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</si>
  <si>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</si>
  <si>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</si>
  <si>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</si>
  <si>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</si>
  <si>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</si>
  <si>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</si>
  <si>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</si>
  <si>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</si>
  <si>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</si>
  <si>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</si>
  <si>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</si>
  <si>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</si>
  <si>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</si>
  <si>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</si>
  <si>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</si>
  <si>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</si>
  <si>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</si>
  <si>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</si>
  <si>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</si>
  <si>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</si>
  <si>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</si>
  <si>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</si>
  <si>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</si>
  <si>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</si>
  <si>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</si>
  <si>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</si>
  <si>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</si>
  <si>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</si>
  <si>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</si>
  <si>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</si>
  <si>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</si>
  <si>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</si>
  <si>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</si>
  <si>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</si>
  <si>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</si>
  <si>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</si>
  <si>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</si>
  <si>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</si>
  <si>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</si>
  <si>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</si>
  <si>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</si>
  <si>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</si>
  <si>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</si>
  <si>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</si>
  <si>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</si>
  <si>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</si>
  <si>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</si>
  <si>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</si>
  <si>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</si>
  <si>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</si>
  <si>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</si>
  <si>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</si>
  <si>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</si>
  <si>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</si>
  <si>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</si>
  <si>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</si>
  <si>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</si>
  <si>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</si>
  <si>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</si>
  <si>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</si>
  <si>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</si>
  <si>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</si>
  <si>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</si>
  <si>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</si>
  <si>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</si>
  <si>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</si>
  <si>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</si>
  <si>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</si>
  <si>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</si>
  <si>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</si>
  <si>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</si>
  <si>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</si>
  <si>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</si>
  <si>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</si>
  <si>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</si>
  <si>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</si>
  <si>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</si>
  <si>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</si>
  <si>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</si>
  <si>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</si>
  <si>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</si>
  <si>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</si>
  <si>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</si>
  <si>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</si>
  <si>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</si>
  <si>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</si>
  <si>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</si>
  <si>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</si>
  <si>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</si>
  <si>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</si>
  <si>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</si>
  <si>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</si>
  <si>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</si>
  <si>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</si>
  <si>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</si>
  <si>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</si>
  <si>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</si>
  <si>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</si>
  <si>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</si>
  <si>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</si>
  <si>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</si>
  <si>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</si>
  <si>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</si>
  <si>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</si>
  <si>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</si>
  <si>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</si>
  <si>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</si>
  <si>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</si>
  <si>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</si>
  <si>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</si>
  <si>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</si>
  <si>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</si>
  <si>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</si>
  <si>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</si>
  <si>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</si>
  <si>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</si>
  <si>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</si>
  <si>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</si>
  <si>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</si>
  <si>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</si>
  <si>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</si>
  <si>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</si>
  <si>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</si>
  <si>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</si>
  <si>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</si>
  <si>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</si>
  <si>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</si>
  <si>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</si>
  <si>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</si>
  <si>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</si>
  <si>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</si>
  <si>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</si>
  <si>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</si>
  <si>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</si>
  <si>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</si>
  <si>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</si>
  <si>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</si>
  <si>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</si>
  <si>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</si>
  <si>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</si>
  <si>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</si>
  <si>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</si>
  <si>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</si>
  <si>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</si>
  <si>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</si>
  <si>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</si>
  <si>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</si>
  <si>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</si>
  <si>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</si>
  <si>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</si>
  <si>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</si>
  <si>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</si>
  <si>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</si>
  <si>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</si>
  <si>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</si>
  <si>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</si>
  <si>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</si>
  <si>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</si>
  <si>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</si>
  <si>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</si>
  <si>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</si>
  <si>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</si>
  <si>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</si>
  <si>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</si>
  <si>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</si>
  <si>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</si>
  <si>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</si>
  <si>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</si>
  <si>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</si>
  <si>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</si>
  <si>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</si>
  <si>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</si>
  <si>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</si>
  <si>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</si>
  <si>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</si>
  <si>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</si>
  <si>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</si>
  <si>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</si>
  <si>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</si>
  <si>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</si>
  <si>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</si>
  <si>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</si>
  <si>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</si>
  <si>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</si>
  <si>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</si>
  <si>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</si>
  <si>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</si>
  <si>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</si>
  <si>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</si>
  <si>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</si>
  <si>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</si>
  <si>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</si>
  <si>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</si>
  <si>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</si>
  <si>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</si>
  <si>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</si>
  <si>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</si>
  <si>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</si>
  <si>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</si>
  <si>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</si>
  <si>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</si>
  <si>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</si>
  <si>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</si>
  <si>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</si>
  <si>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</si>
  <si>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</si>
  <si>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</si>
  <si>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</si>
  <si>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</si>
  <si>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</si>
  <si>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</si>
  <si>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</si>
  <si>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</si>
  <si>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</si>
  <si>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</si>
  <si>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</si>
  <si>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</si>
  <si>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</si>
  <si>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</si>
  <si>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</si>
  <si>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</si>
  <si>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</si>
  <si>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</si>
  <si>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</si>
  <si>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</si>
  <si>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</si>
  <si>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</si>
  <si>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</si>
  <si>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</si>
  <si>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</si>
  <si>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</si>
  <si>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</si>
  <si>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</si>
  <si>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</si>
  <si>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</si>
  <si>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</si>
  <si>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</si>
  <si>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</si>
  <si>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</si>
  <si>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</si>
  <si>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</si>
  <si>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</si>
  <si>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</si>
  <si>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</si>
  <si>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</si>
  <si>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</si>
  <si>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</si>
  <si>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</si>
  <si>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</si>
  <si>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</si>
  <si>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</si>
  <si>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</si>
  <si>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</si>
  <si>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</si>
  <si>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</si>
  <si>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</si>
  <si>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</si>
  <si>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</si>
  <si>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</si>
  <si>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</si>
  <si>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</si>
  <si>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</si>
  <si>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</si>
  <si>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</si>
  <si>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</si>
  <si>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</si>
  <si>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</si>
  <si>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</si>
  <si>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</si>
  <si>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</si>
  <si>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</si>
  <si>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</si>
  <si>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</si>
  <si>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</si>
  <si>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</si>
  <si>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</si>
  <si>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</si>
  <si>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</si>
  <si>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</si>
  <si>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</si>
  <si>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</si>
  <si>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</si>
  <si>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</si>
  <si>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</si>
  <si>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</si>
  <si>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</si>
  <si>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</si>
  <si>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</si>
  <si>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</si>
  <si>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</si>
  <si>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</si>
  <si>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</si>
  <si>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</si>
  <si>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</si>
  <si>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</si>
  <si>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</si>
  <si>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</si>
  <si>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</si>
  <si>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</si>
  <si>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</si>
  <si>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</si>
  <si>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</si>
  <si>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</si>
  <si>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</si>
  <si>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</si>
  <si>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</si>
  <si>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</si>
  <si>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</si>
  <si>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</si>
  <si>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</si>
  <si>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</si>
  <si>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</si>
  <si>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</si>
  <si>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</si>
  <si>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</si>
  <si>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</si>
  <si>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</si>
  <si>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</si>
  <si>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</si>
  <si>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</si>
  <si>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</si>
  <si>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</si>
  <si>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</si>
  <si>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</si>
  <si>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</si>
  <si>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</si>
  <si>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</si>
  <si>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</si>
  <si>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</si>
  <si>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</si>
  <si>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</si>
  <si>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http://hl7.org/fhir/StructureDefinition/DomainResource</t>
  </si>
  <si>
    <t>Intended as the diagnosis at the last follow up. 
use = $diagnosis-role#AD (AdmissionDiagnosis)
Details in the referred Condition</t>
  </si>
  <si>
    <t>TO BE MAPPED</t>
  </si>
  <si>
    <t>Intended as the diagnosis at the last follow up. 
Parent Encounter.diagnosis with use = $diagnosis-role#AD (AdmissionDiagnosis)
Details in the referred Condition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</si>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</sst>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2080</v>
      </c>
      <c r="J7" s="119" t="s">
        <v>2081</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1984</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1985</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1934</v>
      </c>
      <c r="C16" s="11" t="s">
        <v>1935</v>
      </c>
      <c r="D16" s="11" t="s">
        <v>1936</v>
      </c>
      <c r="E16" s="11">
        <v>0</v>
      </c>
      <c r="F16" s="11">
        <v>1</v>
      </c>
      <c r="G16" s="67" t="s">
        <v>1990</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1937</v>
      </c>
      <c r="C17" s="11" t="s">
        <v>1938</v>
      </c>
      <c r="D17" s="11" t="s">
        <v>1939</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2087</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1942</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1943</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1944</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1945</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1946</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1947</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1948</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1949</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1950</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1951</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1952</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1953</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1954</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1955</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1956</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1957</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1940</v>
      </c>
      <c r="C36" s="12" t="s">
        <v>1958</v>
      </c>
      <c r="D36" s="67" t="s">
        <v>1959</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1941</v>
      </c>
      <c r="C37" s="12" t="s">
        <v>1960</v>
      </c>
      <c r="D37" s="67" t="s">
        <v>1961</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1962</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1986</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1987</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1963</v>
      </c>
      <c r="C41" s="11" t="s">
        <v>1964</v>
      </c>
      <c r="D41" s="12" t="s">
        <v>2086</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2088</v>
      </c>
      <c r="C42" s="11" t="s">
        <v>1965</v>
      </c>
      <c r="D42" s="11" t="s">
        <v>1965</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2089</v>
      </c>
      <c r="C43" s="11" t="s">
        <v>1966</v>
      </c>
      <c r="D43" s="11" t="s">
        <v>1966</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2090</v>
      </c>
      <c r="C44" s="11" t="s">
        <v>1967</v>
      </c>
      <c r="D44" s="11" t="s">
        <v>1967</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2091</v>
      </c>
      <c r="C45" s="11" t="s">
        <v>1968</v>
      </c>
      <c r="D45" s="11" t="s">
        <v>1968</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2092</v>
      </c>
      <c r="C46" s="11" t="s">
        <v>1969</v>
      </c>
      <c r="D46" s="11" t="s">
        <v>1969</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2093</v>
      </c>
      <c r="C47" s="11" t="s">
        <v>1970</v>
      </c>
      <c r="D47" s="11" t="s">
        <v>1983</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2094</v>
      </c>
      <c r="C48" s="11" t="s">
        <v>1971</v>
      </c>
      <c r="D48" s="11" t="s">
        <v>1971</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2095</v>
      </c>
      <c r="C49" s="11" t="s">
        <v>1972</v>
      </c>
      <c r="D49" s="11" t="s">
        <v>1972</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2096</v>
      </c>
      <c r="C50" s="11" t="s">
        <v>1973</v>
      </c>
      <c r="D50" s="11" t="s">
        <v>1973</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2097</v>
      </c>
      <c r="C51" s="11" t="s">
        <v>1974</v>
      </c>
      <c r="D51" s="11" t="s">
        <v>1974</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2098</v>
      </c>
      <c r="C52" s="11" t="s">
        <v>1975</v>
      </c>
      <c r="D52" s="11" t="s">
        <v>1975</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1976</v>
      </c>
      <c r="C53" s="11" t="s">
        <v>1977</v>
      </c>
      <c r="D53" s="11" t="s">
        <v>2085</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1978</v>
      </c>
      <c r="C54" s="11" t="s">
        <v>1979</v>
      </c>
      <c r="D54" s="11" t="s">
        <v>1979</v>
      </c>
      <c r="E54" s="11">
        <v>1</v>
      </c>
      <c r="F54" s="11">
        <v>1</v>
      </c>
      <c r="G54" s="11" t="s">
        <v>1468</v>
      </c>
      <c r="H54" s="120" t="s">
        <v>1988</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1980</v>
      </c>
      <c r="C55" s="11" t="s">
        <v>1981</v>
      </c>
      <c r="D55" s="11" t="s">
        <v>1982</v>
      </c>
      <c r="E55" s="11">
        <v>1</v>
      </c>
      <c r="F55" s="11">
        <v>1</v>
      </c>
      <c r="G55" s="11" t="s">
        <v>1991</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1" t="s">
        <v>1554</v>
      </c>
      <c r="F4" s="152"/>
      <c r="G4" s="152"/>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1554</v>
      </c>
      <c r="F7" s="152"/>
      <c r="G7" s="152"/>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1537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1543</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1545</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1989</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1992</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1993</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2278</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2280</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2284</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2283</v>
      </c>
      <c r="E102" s="12"/>
      <c r="F102" s="49" t="s">
        <v>1317</v>
      </c>
      <c r="G102" s="135" t="s">
        <v>2282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abSelected="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2080</v>
      </c>
      <c r="J7" s="119" t="s">
        <v>2081</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http://hl7.eu/fhir/ig/idea4rc/StructureDefinition/HospitalPatientRecords</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2080</v>
      </c>
      <c r="J7" s="119" t="s">
        <v>2081</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1841</v>
      </c>
      <c r="C9" s="11" t="s">
        <v>1842</v>
      </c>
      <c r="D9" s="11" t="s">
        <v>1843</v>
      </c>
      <c r="E9" s="11">
        <v>1</v>
      </c>
      <c r="F9" s="11">
        <v>1</v>
      </c>
      <c r="G9" s="73" t="s">
        <v>1468</v>
      </c>
      <c r="H9" s="150" t="s">
        <v>2451</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t="s">
        <v>2452</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t="s">
        <v>2311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5"/>
  <sheetViews>
    <sheetView topLeftCell="A8" workbookViewId="0">
      <selection activeCell="G17" sqref="G1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1929</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C1&amp;"Encounter-eu-i4rc"</f>
        <v>http://hl7.eu/fhir/ig/idea4rc/StructureDefinition/Encounter-eu-i4rc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INDEX('PatientFollowUp-ConceptMap-1'!$I$15:$N$55,Q15+1,R15)</f>
        <v>* group[=].element[+].code = #PatientFollowUp.patient</v>
      </c>
    </row>
    <row r="16" spans="1:19" ht="44.25" x14ac:dyDescent="0.75">
      <c r="A16" s="44"/>
      <c r="B16" s="11" t="str">
        <f>PatientFollowUp!B9</f>
        <v>statusAtLastFollowUp</v>
      </c>
      <c r="C16" s="11" t="str">
        <f>PatientFollowUp!C9</f>
        <v>Status at last follow-up</v>
      </c>
      <c r="D16" s="12"/>
      <c r="E16" s="12"/>
      <c r="F16" s="49" t="s">
        <v>1294</v>
      </c>
      <c r="G16" s="76" t="s">
        <v>2455</v>
      </c>
      <c r="I16" s="12" t="str">
        <f t="shared" ref="I16:I21" si="7">"* group[=].element[+].code = #"&amp;$B$14&amp;"."&amp;B16</f>
        <v>* group[=].element[+].code = #PatientFollowUp.statusAtLastFollowUp</v>
      </c>
      <c r="J16" s="12" t="str">
        <f t="shared" ref="J16:J21" si="8">"* group[=].element[=].display = ##34#"&amp;C16&amp;"##34#"</f>
        <v>* group[=].element[=].display = ##34#Status at last follow-up##34#</v>
      </c>
      <c r="K16" s="12" t="str">
        <f t="shared" ref="K16:K21" si="9">IF(F16="unmatched","//-- unmatched","* group[=].element[=].target.code = #"&amp;$D$14&amp;"."&amp;D16)</f>
        <v>* group[=].element[=].target.code = #Encounter.</v>
      </c>
      <c r="L16" s="12" t="str">
        <f t="shared" ref="L16:L21" si="10">IF(F16="unmatched","//-- unmatched","* group[=].element[=].target.display = ##34#"&amp;E16&amp;"##34#")</f>
        <v>* group[=].element[=].target.display = ##34###34#</v>
      </c>
      <c r="M16" s="12" t="str">
        <f t="shared" ref="M16:M21" si="11">"* group[=].element[=].target.equivalence = #"&amp;F16</f>
        <v>* group[=].element[=].target.equivalence = #relatedto</v>
      </c>
      <c r="N16" s="12" t="str">
        <f t="shared" ref="N16:N21" si="12">IF(G16&lt;&gt;"",CONCATENATE("* group[=].element[=].target.comment = ","##34#",G16,"##34#"),"")</f>
        <v>* group[=].element[=].target.comment = ##34#TO BE MAPPED##34#</v>
      </c>
      <c r="P16" s="11">
        <v>2</v>
      </c>
      <c r="Q16" s="11">
        <f t="shared" ref="Q16:Q17" si="13">IF(MOD(P16,$Q$8)=0,P16/$Q$8-1,INT(P16/$Q$8))</f>
        <v>0</v>
      </c>
      <c r="R16" s="11">
        <f t="shared" ref="R16:R17" si="14">IF(MOD(P16,$Q$8)=0,$Q$8,MOD(P16,$Q$8))</f>
        <v>2</v>
      </c>
      <c r="S16" s="12" t="str" cm="1">
        <f t="array" ref="S16">INDEX('PatientFollowUp-ConceptMap-1'!$I$15:$N$55,Q16+1,R16)</f>
        <v>* group[=].element[=].display = ##34#Patient##34#</v>
      </c>
    </row>
    <row r="17" spans="1:19" ht="118" x14ac:dyDescent="0.75">
      <c r="A17" s="44"/>
      <c r="B17" s="11" t="str">
        <f>PatientFollowUp!B9</f>
        <v>statusAtLastFollowUp</v>
      </c>
      <c r="C17" s="11" t="str">
        <f>PatientFollowUp!C9</f>
        <v>Status at last follow-up</v>
      </c>
      <c r="D17" s="12" t="s">
        <v>2287</v>
      </c>
      <c r="E17" s="12"/>
      <c r="F17" s="49" t="s">
        <v>1294</v>
      </c>
      <c r="G17" s="77" t="s">
        <v>2454</v>
      </c>
      <c r="I17" s="12" t="str">
        <f t="shared" si="7"/>
        <v>* group[=].element[+].code = #PatientFollowUp.statusAtLastFollowUp</v>
      </c>
      <c r="J17" s="12" t="str">
        <f t="shared" si="8"/>
        <v>* group[=].element[=].display = ##34#Status at last follow-up##34#</v>
      </c>
      <c r="K17" s="12" t="str">
        <f t="shared" si="9"/>
        <v>* group[=].element[=].target.code = #Encounter.diagnosis.condition</v>
      </c>
      <c r="L17" s="12" t="str">
        <f t="shared" si="10"/>
        <v>* group[=].element[=].target.display = ##34###34#</v>
      </c>
      <c r="M17" s="12" t="str">
        <f t="shared" si="11"/>
        <v>* group[=].element[=].target.equivalence = #relatedto</v>
      </c>
      <c r="N17" s="12" t="str">
        <f t="shared" si="12"/>
        <v>* group[=].element[=].target.comment = ##34#Intended as the diagnosis at the last follow up. 
use = $diagnosis-role#AD (AdmissionDiagnosis)
Details in the referred Condition##34#</v>
      </c>
      <c r="P17" s="11">
        <v>3</v>
      </c>
      <c r="Q17" s="11">
        <f t="shared" si="13"/>
        <v>0</v>
      </c>
      <c r="R17" s="11">
        <f t="shared" si="14"/>
        <v>3</v>
      </c>
      <c r="S17" s="12" t="str" cm="1">
        <f t="array" ref="S17">INDEX('PatientFollowUp-ConceptMap-1'!$I$15:$N$55,Q17+1,R17)</f>
        <v>* group[=].element[=].target.code = #Encounter.subject</v>
      </c>
    </row>
    <row r="18" spans="1:19" ht="59" customHeight="1" x14ac:dyDescent="0.75">
      <c r="A18" s="44"/>
      <c r="B18" s="11" t="str">
        <f>PatientFollowUp!B10</f>
        <v>patientFollowUpDate</v>
      </c>
      <c r="C18" s="11" t="str">
        <f>PatientFollowUp!C10</f>
        <v>Patient Follow Up date</v>
      </c>
      <c r="D18" s="12" t="s">
        <v>1928</v>
      </c>
      <c r="E18" s="12"/>
      <c r="F18" s="49" t="s">
        <v>1294</v>
      </c>
      <c r="G18" s="49"/>
      <c r="H18" s="43"/>
      <c r="I18" s="12" t="str">
        <f t="shared" si="7"/>
        <v>* group[=].element[+].code = #PatientFollowUp.patientFollowUpDate</v>
      </c>
      <c r="J18" s="12" t="str">
        <f t="shared" si="8"/>
        <v>* group[=].element[=].display = ##34#Patient Follow Up date##34#</v>
      </c>
      <c r="K18" s="12" t="str">
        <f t="shared" si="9"/>
        <v>* group[=].element[=].target.code = #Encounter.period.start</v>
      </c>
      <c r="L18" s="12" t="str">
        <f t="shared" si="10"/>
        <v>* group[=].element[=].target.display = ##34###34#</v>
      </c>
      <c r="M18" s="12" t="str">
        <f t="shared" si="11"/>
        <v>* group[=].element[=].target.equivalence = #relatedto</v>
      </c>
      <c r="N18" s="12" t="str">
        <f t="shared" si="12"/>
        <v/>
      </c>
      <c r="P18" s="11">
        <v>4</v>
      </c>
      <c r="Q18" s="11">
        <f t="shared" ref="Q18:Q56" si="15">IF(MOD(P18,$Q$8)=0,P18/$Q$8-1,INT(P18/$Q$8))</f>
        <v>0</v>
      </c>
      <c r="R18" s="11">
        <f t="shared" ref="R18:R56" si="16">IF(MOD(P18,$Q$8)=0,$Q$8,MOD(P18,$Q$8))</f>
        <v>4</v>
      </c>
      <c r="S18" s="12" t="str" cm="1">
        <f t="array" ref="S18">INDEX('PatientFollowUp-ConceptMap-1'!$I$15:$N$55,Q18+1,R18)</f>
        <v>* group[=].element[=].target.display = ##34###34#</v>
      </c>
    </row>
    <row r="19" spans="1:19" ht="103.25" x14ac:dyDescent="0.75">
      <c r="A19" s="44"/>
      <c r="B19" s="11" t="str">
        <f>PatientFollowUp!B11</f>
        <v>newCancerDiagnosis</v>
      </c>
      <c r="C19" s="11" t="str">
        <f>PatientFollowUp!C11</f>
        <v>New cancer diagnosis</v>
      </c>
      <c r="D19" s="12" t="s">
        <v>2287</v>
      </c>
      <c r="E19" s="12"/>
      <c r="F19" s="49" t="s">
        <v>1294</v>
      </c>
      <c r="G19" s="77" t="s">
        <v>2289</v>
      </c>
      <c r="H19" s="43"/>
      <c r="I19" s="12" t="str">
        <f t="shared" si="7"/>
        <v>* group[=].element[+].code = #PatientFollowUp.newCancerDiagnosis</v>
      </c>
      <c r="J19" s="12" t="str">
        <f t="shared" si="8"/>
        <v>* group[=].element[=].display = ##34#New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5"/>
        <v>0</v>
      </c>
      <c r="R19" s="11">
        <f t="shared" si="16"/>
        <v>5</v>
      </c>
      <c r="S19" s="12" t="str" cm="1">
        <f t="array" ref="S19">INDEX('PatientFollowUp-ConceptMap-1'!$I$15:$N$55,Q19+1,R19)</f>
        <v>* group[=].element[=].target.equivalence = #equivalent</v>
      </c>
    </row>
    <row r="20" spans="1:19" ht="103.25" x14ac:dyDescent="0.75">
      <c r="A20" s="44"/>
      <c r="B20" s="11" t="str">
        <f>PatientFollowUp!B12</f>
        <v>dateOfNewCancerDiagnosis</v>
      </c>
      <c r="C20" s="11" t="str">
        <f>PatientFollowUp!C12</f>
        <v>Date of new cancer diagnosis</v>
      </c>
      <c r="D20" s="12" t="s">
        <v>2287</v>
      </c>
      <c r="E20" s="12"/>
      <c r="F20" s="49" t="s">
        <v>1294</v>
      </c>
      <c r="G20" s="77" t="s">
        <v>2289</v>
      </c>
      <c r="H20" s="43"/>
      <c r="I20" s="12" t="str">
        <f t="shared" si="7"/>
        <v>* group[=].element[+].code = #PatientFollowUp.dateOfNewCancerDiagnosis</v>
      </c>
      <c r="J20" s="12" t="str">
        <f t="shared" si="8"/>
        <v>* group[=].element[=].display = ##34#Date of new cancer diagnosis##34#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5"/>
        <v>0</v>
      </c>
      <c r="R20" s="11">
        <f t="shared" si="16"/>
        <v>6</v>
      </c>
      <c r="S20" s="12" t="str" cm="1">
        <f t="array" ref="S20">INDEX('PatientFollowUp-ConceptMap-1'!$I$15:$N$55,Q20+1,R20)</f>
        <v/>
      </c>
    </row>
    <row r="21" spans="1:19" ht="103.25" x14ac:dyDescent="0.75">
      <c r="A21" s="44"/>
      <c r="B21" s="11" t="str">
        <f>PatientFollowUp!B13</f>
        <v>newCancerTopography</v>
      </c>
      <c r="C21" s="11" t="str">
        <f>PatientFollowUp!C13</f>
        <v>New cancer topography</v>
      </c>
      <c r="D21" s="12" t="s">
        <v>2287</v>
      </c>
      <c r="E21" s="12"/>
      <c r="F21" s="49" t="s">
        <v>1294</v>
      </c>
      <c r="G21" s="77" t="s">
        <v>2289</v>
      </c>
      <c r="H21" s="43"/>
      <c r="I21" s="12" t="str">
        <f t="shared" si="7"/>
        <v>* group[=].element[+].code = #PatientFollowUp.newCancerTopography</v>
      </c>
      <c r="J21" s="12" t="str">
        <f t="shared" si="8"/>
        <v>* group[=].element[=].display = ##34#New cancer topography##34#</v>
      </c>
      <c r="K21" s="12" t="str">
        <f t="shared" si="9"/>
        <v>* group[=].element[=].target.code = #Encounter.diagnosis.condition</v>
      </c>
      <c r="L21" s="12" t="str">
        <f t="shared" si="10"/>
        <v>* group[=].element[=].target.display = ##34###34#</v>
      </c>
      <c r="M21" s="12" t="str">
        <f t="shared" si="11"/>
        <v>* group[=].element[=].target.equivalence = #relatedto</v>
      </c>
      <c r="N21" s="12" t="str">
        <f t="shared" si="12"/>
        <v>* group[=].element[=].target.comment = ##34#Where use = $diagnosis-role#DD (Discharge Diagnosis)
Details in the referred Condition##34#</v>
      </c>
      <c r="P21" s="11">
        <v>7</v>
      </c>
      <c r="Q21" s="11">
        <f t="shared" si="15"/>
        <v>1</v>
      </c>
      <c r="R21" s="11">
        <f t="shared" si="16"/>
        <v>1</v>
      </c>
      <c r="S21" s="12" t="str" cm="1">
        <f t="array" ref="S21">INDEX('PatientFollowUp-ConceptMap-1'!$I$15:$N$55,Q21+1,R21)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INDEX('PatientFollowUp-ConceptMap-1'!$I$15:$N$55,Q22+1,R22)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INDEX('PatientFollowUp-ConceptMap-1'!$I$15:$N$55,Q23+1,R23)</f>
        <v>* group[=].element[=].target.code = #Encounter.</v>
      </c>
    </row>
    <row r="24" spans="1:19"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INDEX('PatientFollowUp-ConceptMap-1'!$I$15:$N$55,Q24+1,R24)</f>
        <v>* group[=].element[=].target.display = ##34###34#</v>
      </c>
    </row>
    <row r="25" spans="1:19" ht="29.5" customHeight="1"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INDEX('PatientFollowUp-ConceptMap-1'!$I$15:$N$55,Q25+1,R25)</f>
        <v>* group[=].element[=].target.equivalence = #relatedto</v>
      </c>
    </row>
    <row r="26" spans="1:19"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INDEX('PatientFollowUp-ConceptMap-1'!$I$15:$N$55,Q26+1,R26)</f>
        <v>* group[=].element[=].target.comment = ##34#TO BE MAPPED##34#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INDEX('PatientFollowUp-ConceptMap-1'!$I$15:$N$55,Q27+1,R27)</f>
        <v>* group[=].element[+].code = #PatientFollowUp.statusAtLastFollowUp</v>
      </c>
    </row>
    <row r="28" spans="1:19" x14ac:dyDescent="0.75">
      <c r="A28" s="44"/>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INDEX('PatientFollowUp-ConceptMap-1'!$I$15:$N$55,Q28+1,R28)</f>
        <v>* group[=].element[=].display = ##34#Status at last follow-up##34#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INDEX('PatientFollowUp-ConceptMap-1'!$I$15:$N$55,Q29+1,R29)</f>
        <v>* group[=].element[=].target.code = #Encounter.diagnosis.condition</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INDEX('PatientFollowUp-ConceptMap-1'!$I$15:$N$55,Q30+1,R30)</f>
        <v>* group[=].element[=].target.display = ##34###34#</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INDEX('PatientFollowUp-ConceptMap-1'!$I$15:$N$55,Q31+1,R31)</f>
        <v>* group[=].element[=].target.equivalence = #relatedto</v>
      </c>
    </row>
    <row r="32" spans="1:19" ht="5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INDEX('PatientFollowUp-ConceptMap-1'!$I$15:$N$55,Q32+1,R32)</f>
        <v>* group[=].element[=].target.comment = ##34#Intended as the diagnosis at the last follow up. 
use = $diagnosis-role#AD (AdmissionDiagnosis)
Details in the referred Condition##34#</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INDEX('PatientFollowUp-ConceptMap-1'!$I$15:$N$55,Q33+1,R33)</f>
        <v>* group[=].element[+].code = #PatientFollowUp.patientFollowUpDate</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INDEX('PatientFollowUp-ConceptMap-1'!$I$15:$N$55,Q34+1,R34)</f>
        <v>* group[=].element[=].display = ##34#Patient Follow Up date##34#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INDEX('PatientFollowUp-ConceptMap-1'!$I$15:$N$55,Q35+1,R35)</f>
        <v>* group[=].element[=].target.code = #Encounter.period.start</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INDEX('PatientFollowUp-ConceptMap-1'!$I$15:$N$55,Q36+1,R36)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INDEX('PatientFollowUp-ConceptMap-1'!$I$15:$N$55,Q37+1,R37)</f>
        <v>* group[=].element[=].target.equivalence = #relatedto</v>
      </c>
    </row>
    <row r="38" spans="1:19"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INDEX('PatientFollowUp-ConceptMap-1'!$I$15:$N$55,Q38+1,R38)</f>
        <v/>
      </c>
    </row>
    <row r="39" spans="1:19" ht="14.75" customHeight="1"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INDEX('PatientFollowUp-ConceptMap-1'!$I$15:$N$55,Q39+1,R39)</f>
        <v>* group[=].element[+].code = #PatientFollowUp.newCancerDiagnosis</v>
      </c>
    </row>
    <row r="40" spans="1:19" x14ac:dyDescent="0.75">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INDEX('PatientFollowUp-ConceptMap-1'!$I$15:$N$55,Q40+1,R40)</f>
        <v>* group[=].element[=].display = ##34#New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INDEX('PatientFollowUp-ConceptMap-1'!$I$15:$N$55,Q41+1,R41)</f>
        <v>* group[=].element[=].target.code = #Encounter.diagnosis.condition</v>
      </c>
    </row>
    <row r="42" spans="1:19" s="2" customFormat="1" x14ac:dyDescent="0.75">
      <c r="A42"/>
      <c r="B42" s="11"/>
      <c r="C42" s="11"/>
      <c r="D42" s="12"/>
      <c r="E42" s="12"/>
      <c r="F42" s="49"/>
      <c r="G42" s="77"/>
      <c r="H42" s="43"/>
      <c r="I42" s="12"/>
      <c r="J42" s="12"/>
      <c r="K42" s="12"/>
      <c r="L42" s="12"/>
      <c r="M42" s="12"/>
      <c r="N42" s="12"/>
      <c r="P42" s="11">
        <v>28</v>
      </c>
      <c r="Q42" s="11">
        <f t="shared" si="15"/>
        <v>4</v>
      </c>
      <c r="R42" s="11">
        <f t="shared" si="16"/>
        <v>4</v>
      </c>
      <c r="S42" s="12" t="str" cm="1">
        <f t="array" ref="S42">INDEX('PatientFollowUp-ConceptMap-1'!$I$15:$N$55,Q42+1,R42)</f>
        <v>* group[=].element[=].target.display = ##34###34#</v>
      </c>
    </row>
    <row r="43" spans="1:19" s="2" customFormat="1" x14ac:dyDescent="0.75">
      <c r="A43"/>
      <c r="B43" s="11"/>
      <c r="C43" s="11"/>
      <c r="D43" s="12"/>
      <c r="E43" s="12"/>
      <c r="F43" s="49"/>
      <c r="G43" s="77"/>
      <c r="H43" s="43"/>
      <c r="J43"/>
      <c r="K43" s="43"/>
      <c r="L43" s="43"/>
      <c r="M43" s="51"/>
      <c r="N43" s="51"/>
      <c r="P43" s="11">
        <v>29</v>
      </c>
      <c r="Q43" s="11">
        <f t="shared" si="15"/>
        <v>4</v>
      </c>
      <c r="R43" s="11">
        <f t="shared" si="16"/>
        <v>5</v>
      </c>
      <c r="S43" s="12" t="str" cm="1">
        <f t="array" ref="S43">INDEX('PatientFollowUp-ConceptMap-1'!$I$15:$N$55,Q43+1,R43)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INDEX('PatientFollowUp-ConceptMap-1'!$I$15:$N$55,Q44+1,R44)</f>
        <v>* group[=].element[=].target.comment = ##34#Where use = $diagnosis-role#DD (Discharge Diagnosis)
Details in the referred Condition##34#</v>
      </c>
    </row>
    <row r="45" spans="1:19" s="2" customFormat="1" x14ac:dyDescent="0.75">
      <c r="A45"/>
      <c r="B45" s="11"/>
      <c r="C45" s="11"/>
      <c r="D45" s="12"/>
      <c r="E45" s="12"/>
      <c r="F45" s="49"/>
      <c r="G45" s="77"/>
      <c r="H45" s="43"/>
      <c r="J45" s="43"/>
      <c r="K45" s="43"/>
      <c r="L45" s="43"/>
      <c r="M45" s="51"/>
      <c r="N45" s="51"/>
      <c r="P45" s="11">
        <v>31</v>
      </c>
      <c r="Q45" s="11">
        <f t="shared" si="15"/>
        <v>5</v>
      </c>
      <c r="R45" s="11">
        <f t="shared" si="16"/>
        <v>1</v>
      </c>
      <c r="S45" s="12" t="str" cm="1">
        <f t="array" ref="S45">INDEX('PatientFollowUp-ConceptMap-1'!$I$15:$N$55,Q45+1,R45)</f>
        <v>* group[=].element[+].code = #PatientFollowUp.dateOfNewCancerDiagnosis</v>
      </c>
    </row>
    <row r="46" spans="1:19" x14ac:dyDescent="0.75">
      <c r="B46" s="11"/>
      <c r="C46" s="11"/>
      <c r="D46" s="12"/>
      <c r="E46" s="12"/>
      <c r="F46" s="49"/>
      <c r="G46" s="77"/>
      <c r="P46" s="11">
        <v>32</v>
      </c>
      <c r="Q46" s="11">
        <f t="shared" si="15"/>
        <v>5</v>
      </c>
      <c r="R46" s="11">
        <f t="shared" si="16"/>
        <v>2</v>
      </c>
      <c r="S46" s="12" t="str" cm="1">
        <f t="array" ref="S46">INDEX('PatientFollowUp-ConceptMap-1'!$I$15:$N$55,Q46+1,R46)</f>
        <v>* group[=].element[=].display = ##34#Date of new cancer diagnosis##34#</v>
      </c>
    </row>
    <row r="47" spans="1:19" x14ac:dyDescent="0.75">
      <c r="B47" s="11"/>
      <c r="C47" s="11"/>
      <c r="D47" s="12"/>
      <c r="E47" s="12"/>
      <c r="F47" s="49"/>
      <c r="G47" s="77"/>
      <c r="P47" s="11">
        <v>33</v>
      </c>
      <c r="Q47" s="11">
        <f t="shared" si="15"/>
        <v>5</v>
      </c>
      <c r="R47" s="11">
        <f t="shared" si="16"/>
        <v>3</v>
      </c>
      <c r="S47" s="12" t="str" cm="1">
        <f t="array" ref="S47">INDEX('PatientFollowUp-ConceptMap-1'!$I$15:$N$55,Q47+1,R47)</f>
        <v>* group[=].element[=].target.code = #Encounter.diagnosis.condition</v>
      </c>
    </row>
    <row r="48" spans="1:19" x14ac:dyDescent="0.75">
      <c r="B48" s="11"/>
      <c r="C48" s="11"/>
      <c r="D48" s="12"/>
      <c r="E48" s="12"/>
      <c r="F48" s="49"/>
      <c r="G48" s="77"/>
      <c r="P48" s="11">
        <v>34</v>
      </c>
      <c r="Q48" s="11">
        <f t="shared" si="15"/>
        <v>5</v>
      </c>
      <c r="R48" s="11">
        <f t="shared" si="16"/>
        <v>4</v>
      </c>
      <c r="S48" s="12" t="str" cm="1">
        <f t="array" ref="S48">INDEX('PatientFollowUp-ConceptMap-1'!$I$15:$N$55,Q48+1,R48)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INDEX('PatientFollowUp-ConceptMap-1'!$I$15:$N$55,Q49+1,R49)</f>
        <v>* group[=].element[=].target.equivalence = #relatedto</v>
      </c>
    </row>
    <row r="50" spans="2:19" ht="44.25" x14ac:dyDescent="0.75">
      <c r="B50" s="11"/>
      <c r="C50" s="11"/>
      <c r="D50" s="12"/>
      <c r="E50" s="12"/>
      <c r="F50" s="49"/>
      <c r="G50" s="77"/>
      <c r="P50" s="11">
        <v>36</v>
      </c>
      <c r="Q50" s="11">
        <f t="shared" si="15"/>
        <v>5</v>
      </c>
      <c r="R50" s="11">
        <f t="shared" si="16"/>
        <v>6</v>
      </c>
      <c r="S50" s="12" t="str" cm="1">
        <f t="array" ref="S50">INDEX('PatientFollowUp-ConceptMap-1'!$I$15:$N$55,Q50+1,R50)</f>
        <v>* group[=].element[=].target.comment = ##34#Where use = $diagnosis-role#DD (Discharge Diagnosis)
Details in the referred Condition##34#</v>
      </c>
    </row>
    <row r="51" spans="2:19" x14ac:dyDescent="0.75">
      <c r="B51" s="11"/>
      <c r="C51" s="11"/>
      <c r="D51" s="12"/>
      <c r="E51" s="12"/>
      <c r="F51" s="49"/>
      <c r="G51" s="77"/>
      <c r="P51" s="11">
        <v>37</v>
      </c>
      <c r="Q51" s="11">
        <f t="shared" si="15"/>
        <v>6</v>
      </c>
      <c r="R51" s="11">
        <f t="shared" si="16"/>
        <v>1</v>
      </c>
      <c r="S51" s="12" t="str" cm="1">
        <f t="array" ref="S51">INDEX('PatientFollowUp-ConceptMap-1'!$I$15:$N$55,Q51+1,R51)</f>
        <v>* group[=].element[+].code = #PatientFollowUp.newCancerTopography</v>
      </c>
    </row>
    <row r="52" spans="2:19" x14ac:dyDescent="0.75">
      <c r="B52" s="11"/>
      <c r="C52" s="11"/>
      <c r="D52" s="12"/>
      <c r="E52" s="12"/>
      <c r="F52" s="49"/>
      <c r="G52" s="77"/>
      <c r="P52" s="11">
        <v>38</v>
      </c>
      <c r="Q52" s="11">
        <f t="shared" si="15"/>
        <v>6</v>
      </c>
      <c r="R52" s="11">
        <f t="shared" si="16"/>
        <v>2</v>
      </c>
      <c r="S52" s="12" t="str" cm="1">
        <f t="array" ref="S52">INDEX('PatientFollowUp-ConceptMap-1'!$I$15:$N$55,Q52+1,R52)</f>
        <v>* group[=].element[=].display = ##34#New cancer topography##34#</v>
      </c>
    </row>
    <row r="53" spans="2:19" x14ac:dyDescent="0.75">
      <c r="B53" s="11"/>
      <c r="C53" s="11"/>
      <c r="D53" s="12"/>
      <c r="E53" s="12"/>
      <c r="F53" s="49"/>
      <c r="G53" s="77"/>
      <c r="P53" s="11">
        <v>39</v>
      </c>
      <c r="Q53" s="11">
        <f t="shared" si="15"/>
        <v>6</v>
      </c>
      <c r="R53" s="11">
        <f t="shared" si="16"/>
        <v>3</v>
      </c>
      <c r="S53" s="12" t="str" cm="1">
        <f t="array" ref="S53">INDEX('PatientFollowUp-ConceptMap-1'!$I$15:$N$55,Q53+1,R53)</f>
        <v>* group[=].element[=].target.code = #Encounter.diagnosis.condition</v>
      </c>
    </row>
    <row r="54" spans="2:19" x14ac:dyDescent="0.75">
      <c r="B54" s="11"/>
      <c r="C54" s="11"/>
      <c r="D54" s="12"/>
      <c r="E54" s="12"/>
      <c r="F54" s="49"/>
      <c r="G54" s="77"/>
      <c r="P54" s="11">
        <v>40</v>
      </c>
      <c r="Q54" s="11">
        <f t="shared" si="15"/>
        <v>6</v>
      </c>
      <c r="R54" s="11">
        <f t="shared" si="16"/>
        <v>4</v>
      </c>
      <c r="S54" s="12" t="str" cm="1">
        <f t="array" ref="S54">INDEX('PatientFollowUp-ConceptMap-1'!$I$15:$N$55,Q54+1,R54)</f>
        <v>* group[=].element[=].target.display = ##34###34#</v>
      </c>
    </row>
    <row r="55" spans="2:19" x14ac:dyDescent="0.75">
      <c r="B55" s="11"/>
      <c r="C55" s="11"/>
      <c r="D55" s="12"/>
      <c r="E55" s="12"/>
      <c r="F55" s="49"/>
      <c r="G55" s="77"/>
      <c r="P55" s="11">
        <v>41</v>
      </c>
      <c r="Q55" s="11">
        <f t="shared" si="15"/>
        <v>6</v>
      </c>
      <c r="R55" s="11">
        <f t="shared" si="16"/>
        <v>5</v>
      </c>
      <c r="S55" s="12" t="str" cm="1">
        <f t="array" ref="S55">INDEX('PatientFollowUp-ConceptMap-1'!$I$15:$N$55,Q55+1,R55)</f>
        <v>* group[=].element[=].target.equivalence = #relatedto</v>
      </c>
    </row>
    <row r="56" spans="2:19" ht="44.25" x14ac:dyDescent="0.75">
      <c r="P56" s="11">
        <v>42</v>
      </c>
      <c r="Q56" s="11">
        <f t="shared" si="15"/>
        <v>6</v>
      </c>
      <c r="R56" s="11">
        <f t="shared" si="16"/>
        <v>6</v>
      </c>
      <c r="S56" s="12" t="str" cm="1">
        <f t="array" ref="S56">INDEX('PatientFollowUp-ConceptMap-1'!$I$15:$N$55,Q56+1,R56)</f>
        <v>* group[=].element[=].target.comment = ##34#Where use = $diagnosis-role#DD (Discharge Diagnosis)
Details in the referred Condition##34#</v>
      </c>
    </row>
    <row r="57" spans="2:19" x14ac:dyDescent="0.75">
      <c r="P57" s="11">
        <v>43</v>
      </c>
      <c r="Q57" s="11">
        <f t="shared" ref="Q57:Q65" si="17">IF(MOD(P57,$Q$8)=0,P57/$Q$8-1,INT(P57/$Q$8))</f>
        <v>7</v>
      </c>
      <c r="R57" s="11">
        <f t="shared" ref="R57:R65" si="18">IF(MOD(P57,$Q$8)=0,$Q$8,MOD(P57,$Q$8))</f>
        <v>1</v>
      </c>
      <c r="S57" s="12" cm="1">
        <f t="array" ref="S57">INDEX('PatientFollowUp-ConceptMap-1'!$I$15:$N$55,Q57+1,R57)</f>
        <v>0</v>
      </c>
    </row>
    <row r="58" spans="2:19" x14ac:dyDescent="0.75">
      <c r="P58" s="11">
        <v>44</v>
      </c>
      <c r="Q58" s="11">
        <f t="shared" si="17"/>
        <v>7</v>
      </c>
      <c r="R58" s="11">
        <f t="shared" si="18"/>
        <v>2</v>
      </c>
      <c r="S58" s="12" cm="1">
        <f t="array" ref="S58">INDEX('PatientFollowUp-ConceptMap-1'!$I$15:$N$55,Q58+1,R58)</f>
        <v>0</v>
      </c>
    </row>
    <row r="59" spans="2:19" x14ac:dyDescent="0.75">
      <c r="P59" s="11">
        <v>45</v>
      </c>
      <c r="Q59" s="11">
        <f t="shared" si="17"/>
        <v>7</v>
      </c>
      <c r="R59" s="11">
        <f t="shared" si="18"/>
        <v>3</v>
      </c>
      <c r="S59" s="12" cm="1">
        <f t="array" ref="S59">INDEX('PatientFollowUp-ConceptMap-1'!$I$15:$N$55,Q59+1,R59)</f>
        <v>0</v>
      </c>
    </row>
    <row r="60" spans="2:19" x14ac:dyDescent="0.75">
      <c r="P60" s="11">
        <v>46</v>
      </c>
      <c r="Q60" s="11">
        <f t="shared" si="17"/>
        <v>7</v>
      </c>
      <c r="R60" s="11">
        <f t="shared" si="18"/>
        <v>4</v>
      </c>
      <c r="S60" s="12" cm="1">
        <f t="array" ref="S60">INDEX('PatientFollowUp-ConceptMap-1'!$I$15:$N$55,Q60+1,R60)</f>
        <v>0</v>
      </c>
    </row>
    <row r="61" spans="2:19" x14ac:dyDescent="0.75">
      <c r="P61" s="11">
        <v>47</v>
      </c>
      <c r="Q61" s="11">
        <f t="shared" si="17"/>
        <v>7</v>
      </c>
      <c r="R61" s="11">
        <f t="shared" si="18"/>
        <v>5</v>
      </c>
      <c r="S61" s="12" cm="1">
        <f t="array" ref="S61">INDEX('PatientFollowUp-ConceptMap-1'!$I$15:$N$55,Q61+1,R61)</f>
        <v>0</v>
      </c>
    </row>
    <row r="62" spans="2:19" x14ac:dyDescent="0.75">
      <c r="P62" s="11">
        <v>48</v>
      </c>
      <c r="Q62" s="11">
        <f t="shared" si="17"/>
        <v>7</v>
      </c>
      <c r="R62" s="11">
        <f t="shared" si="18"/>
        <v>6</v>
      </c>
      <c r="S62" s="12" cm="1">
        <f t="array" ref="S62">INDEX('PatientFollowUp-ConceptMap-1'!$I$15:$N$55,Q62+1,R62)</f>
        <v>0</v>
      </c>
    </row>
    <row r="63" spans="2:19" x14ac:dyDescent="0.75">
      <c r="P63" s="11">
        <v>49</v>
      </c>
      <c r="Q63" s="11">
        <f t="shared" si="17"/>
        <v>8</v>
      </c>
      <c r="R63" s="11">
        <f t="shared" si="18"/>
        <v>1</v>
      </c>
      <c r="S63" s="12" cm="1">
        <f t="array" ref="S63">INDEX('PatientFollowUp-ConceptMap-1'!$I$15:$N$55,Q63+1,R63)</f>
        <v>0</v>
      </c>
    </row>
    <row r="64" spans="2:19" x14ac:dyDescent="0.75">
      <c r="P64" s="11">
        <v>50</v>
      </c>
      <c r="Q64" s="11">
        <f t="shared" si="17"/>
        <v>8</v>
      </c>
      <c r="R64" s="11">
        <f t="shared" si="18"/>
        <v>2</v>
      </c>
      <c r="S64" s="12" cm="1">
        <f t="array" ref="S64">INDEX('PatientFollowUp-ConceptMap-1'!$I$15:$N$55,Q64+1,R64)</f>
        <v>0</v>
      </c>
    </row>
    <row r="65" spans="16:19" x14ac:dyDescent="0.75">
      <c r="P65" s="11">
        <v>51</v>
      </c>
      <c r="Q65" s="11">
        <f t="shared" si="17"/>
        <v>8</v>
      </c>
      <c r="R65" s="11">
        <f t="shared" si="18"/>
        <v>3</v>
      </c>
      <c r="S65" s="12" cm="1">
        <f t="array" ref="S65">INDEX('PatientFollowUp-ConceptMap-1'!$I$15:$N$55,Q65+1,R65)</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J24" workbookViewId="0">
      <selection activeCell="P15" sqref="P15:S5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2453</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C1&amp;"Condition-primaryCancer-eu-i4rc"</f>
        <v>http://hl7.eu/fhir/ig/idea4rc/StructureDefinition/Condition-primaryCancer-eu-i4rc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2456</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##34#Intended as the diagnosis at the last follow up. 
Parent Encounter.diagnosis with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2288</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2300</v>
      </c>
      <c r="E19" s="12"/>
      <c r="F19" s="49" t="s">
        <v>1316</v>
      </c>
      <c r="G19" s="77" t="s">
        <v>2301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2288</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##34#Intended as the diagnosis at the last follow up. 
Parent Encounter.diagnosis with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71" sqref="B71:B10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##34#TO BE MAPPED##34#</v>
      </c>
    </row>
    <row r="31" spans="2:7" x14ac:dyDescent="0.75">
      <c r="B31" s="12" t="str">
        <f>IF('PatientFollowUp-ConceptMap-1'!S27=0,"//---END",'PatientFollowUp-ConceptMap-1'!S27)</f>
        <v>* group[=].element[+].code = #PatientFollowUp.statusAtLastFollowUp</v>
      </c>
    </row>
    <row r="32" spans="2:7" x14ac:dyDescent="0.75">
      <c r="B32" s="12" t="str">
        <f>IF('PatientFollowUp-ConceptMap-1'!S28=0,"//---END",'PatientFollowUp-ConceptMap-1'!S28)</f>
        <v>* group[=].element[=].display = ##34#Status at last follow-up##34#</v>
      </c>
    </row>
    <row r="33" spans="2:2" x14ac:dyDescent="0.75">
      <c r="B33" s="12" t="str">
        <f>IF('PatientFollowUp-ConceptMap-1'!S29=0,"//---END",'PatientFollowUp-ConceptMap-1'!S29)</f>
        <v>* group[=].element[=].target.code = #Encounter.diagnosis.condition</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ht="44.25" x14ac:dyDescent="0.75">
      <c r="B36" s="12" t="str">
        <f>IF('PatientFollowUp-ConceptMap-1'!S32=0,"//---END",'PatientFollowUp-ConceptMap-1'!S32)</f>
        <v>* group[=].element[=].target.comment = ##34#Intended as the diagnosis at the last follow up. 
use = $diagnosis-role#AD (AdmissionDiagnosis)
Details in the referred Condition##34#</v>
      </c>
    </row>
    <row r="37" spans="2:2" x14ac:dyDescent="0.75">
      <c r="B37" s="12" t="str">
        <f>IF('PatientFollowUp-ConceptMap-1'!S33=0,"//---END",'PatientFollowUp-ConceptMap-1'!S33)</f>
        <v>* group[=].element[+].code = #PatientFollowUp.patientFollowUpDate</v>
      </c>
    </row>
    <row r="38" spans="2:2" x14ac:dyDescent="0.75">
      <c r="B38" s="12" t="str">
        <f>IF('PatientFollowUp-ConceptMap-1'!S34=0,"//---END",'PatientFollowUp-ConceptMap-1'!S34)</f>
        <v>* group[=].element[=].display = ##34#Patient Follow Up date##34#</v>
      </c>
    </row>
    <row r="39" spans="2:2" x14ac:dyDescent="0.75">
      <c r="B39" s="12" t="str">
        <f>IF('PatientFollowUp-ConceptMap-1'!S35=0,"//---END",'PatientFollowUp-ConceptMap-1'!S35)</f>
        <v>* group[=].element[=].target.code = #Encounter.period.start</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#PatientFollowUp.newCancerDiagnosis</v>
      </c>
    </row>
    <row r="44" spans="2:2" x14ac:dyDescent="0.75">
      <c r="B44" s="12" t="str">
        <f>IF('PatientFollowUp-ConceptMap-1'!S40=0,"//---END",'PatientFollowUp-ConceptMap-1'!S40)</f>
        <v>* group[=].element[=].display = ##34#New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#PatientFollowUp.dateOfNewCancerDiagnosis</v>
      </c>
    </row>
    <row r="50" spans="2:2" x14ac:dyDescent="0.75">
      <c r="B50" s="12" t="str">
        <f>IF('PatientFollowUp-ConceptMap-1'!S46=0,"//---END",'PatientFollowUp-ConceptMap-1'!S46)</f>
        <v>* group[=].element[=].display = ##34#Date of new cancer diagnosis##34#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 group[=].element[+].code = #PatientFollowUp.newCancerTopography</v>
      </c>
    </row>
    <row r="56" spans="2:2" x14ac:dyDescent="0.75">
      <c r="B56" s="12" t="str">
        <f>IF('PatientFollowUp-ConceptMap-1'!S52=0,"//---END",'PatientFollowUp-ConceptMap-1'!S52)</f>
        <v>* group[=].element[=].display = ##34#New cancer topography##34#</v>
      </c>
    </row>
    <row r="57" spans="2:2" x14ac:dyDescent="0.75">
      <c r="B57" s="12" t="str">
        <f>IF('PatientFollowUp-ConceptMap-1'!S53=0,"//---END",'PatientFollowUp-ConceptMap-1'!S53)</f>
        <v>* group[=].element[=].target.code = #Encounter.diagnosis.condition</v>
      </c>
    </row>
    <row r="58" spans="2:2" x14ac:dyDescent="0.75">
      <c r="B58" s="12" t="str">
        <f>IF('PatientFollowUp-ConceptMap-1'!S54=0,"//---END",'PatientFollowUp-ConceptMap-1'!S54)</f>
        <v>* group[=].element[=].target.display = ##34###34#</v>
      </c>
    </row>
    <row r="59" spans="2:2" x14ac:dyDescent="0.75">
      <c r="B59" s="12" t="str">
        <f>IF('PatientFollowUp-ConceptMap-1'!S55=0,"//---END",'PatientFollowUp-ConceptMap-1'!S55)</f>
        <v>* group[=].element[=].target.equivalence = #relatedto</v>
      </c>
    </row>
    <row r="60" spans="2:2" ht="29.5" x14ac:dyDescent="0.75">
      <c r="B60" s="12" t="str">
        <f>IF('PatientFollowUp-ConceptMap-1'!S56=0,"//---END",'PatientFollowUp-ConceptMap-1'!S56)</f>
        <v>* group[=].element[=].target.comment = ##34#Where use = $diagnosis-role#DD (Discharge Diagnosis)
Details in the referred Condition##34#</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44.25" x14ac:dyDescent="0.75">
      <c r="B82" s="12" t="str">
        <f>IF('PatientFollowUp-ConceptMap-2'!S26=0,"//---END",'PatientFollowUp-ConceptMap-2'!S26)</f>
        <v>* group[=].element[=].target.comment = ##34#Intended as the diagnosis at the last follow up. 
Parent Encounter.diagnosis with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8" zoomScale="130" zoomScaleNormal="13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2080</v>
      </c>
      <c r="J7" s="119" t="s">
        <v>2081</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1994</v>
      </c>
      <c r="C10" t="s">
        <v>1995</v>
      </c>
      <c r="D10" s="2" t="s">
        <v>1996</v>
      </c>
      <c r="E10" s="11">
        <v>1</v>
      </c>
      <c r="F10" s="11">
        <v>1</v>
      </c>
      <c r="G10" s="12" t="s">
        <v>1468</v>
      </c>
      <c r="H10" s="2" t="s">
        <v>2074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1997</v>
      </c>
      <c r="C13" t="s">
        <v>1998</v>
      </c>
      <c r="D13" s="2" t="s">
        <v>1999</v>
      </c>
      <c r="E13" s="11">
        <v>1</v>
      </c>
      <c r="F13" s="11">
        <v>1</v>
      </c>
      <c r="G13" s="12" t="s">
        <v>44</v>
      </c>
      <c r="H13" s="2" t="s">
        <v>2075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2100</v>
      </c>
      <c r="C15" s="4" t="s">
        <v>2101</v>
      </c>
      <c r="D15" s="4" t="s">
        <v>2101</v>
      </c>
      <c r="E15" s="6">
        <v>1</v>
      </c>
      <c r="F15" s="6">
        <v>1</v>
      </c>
      <c r="G15" s="4" t="s">
        <v>1</v>
      </c>
      <c r="H15" s="4" t="s">
        <v>2077</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2102</v>
      </c>
      <c r="C16" s="12" t="s">
        <v>1354</v>
      </c>
      <c r="D16" s="12" t="s">
        <v>1355</v>
      </c>
      <c r="E16" s="11">
        <v>1</v>
      </c>
      <c r="F16" s="11">
        <v>1</v>
      </c>
      <c r="G16" s="12" t="s">
        <v>1468</v>
      </c>
      <c r="H16" s="2" t="s">
        <v>2055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2103</v>
      </c>
      <c r="C17" s="12" t="s">
        <v>1356</v>
      </c>
      <c r="D17" s="12" t="s">
        <v>1357</v>
      </c>
      <c r="E17" s="11">
        <v>1</v>
      </c>
      <c r="F17" s="11">
        <v>1</v>
      </c>
      <c r="G17" s="12" t="s">
        <v>1468</v>
      </c>
      <c r="H17" s="2" t="s">
        <v>2056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2104</v>
      </c>
      <c r="C18" s="12" t="s">
        <v>1358</v>
      </c>
      <c r="D18" s="12" t="s">
        <v>1359</v>
      </c>
      <c r="E18" s="11">
        <v>1</v>
      </c>
      <c r="F18" s="11">
        <v>1</v>
      </c>
      <c r="G18" s="12" t="s">
        <v>1468</v>
      </c>
      <c r="H18" s="2" t="s">
        <v>2057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2105</v>
      </c>
      <c r="C19" s="12" t="s">
        <v>1360</v>
      </c>
      <c r="D19" s="12" t="s">
        <v>1361</v>
      </c>
      <c r="E19" s="11">
        <v>1</v>
      </c>
      <c r="F19" s="11">
        <v>1</v>
      </c>
      <c r="G19" s="12" t="s">
        <v>1468</v>
      </c>
      <c r="H19" s="2" t="s">
        <v>2058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2106</v>
      </c>
      <c r="C20" s="117" t="s">
        <v>1362</v>
      </c>
      <c r="D20" s="117" t="s">
        <v>1363</v>
      </c>
      <c r="E20" s="3">
        <v>1</v>
      </c>
      <c r="F20" s="3">
        <v>1</v>
      </c>
      <c r="G20" s="117" t="s">
        <v>1468</v>
      </c>
      <c r="H20" s="2" t="s">
        <v>2059</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2107</v>
      </c>
      <c r="C21" s="11" t="s">
        <v>2000</v>
      </c>
      <c r="D21" s="12" t="s">
        <v>2001</v>
      </c>
      <c r="E21" s="11">
        <v>1</v>
      </c>
      <c r="F21" s="11">
        <v>1</v>
      </c>
      <c r="G21" s="12" t="s">
        <v>1468</v>
      </c>
      <c r="H21" s="12" t="s">
        <v>2060</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2108</v>
      </c>
      <c r="C22" s="11" t="s">
        <v>2002</v>
      </c>
      <c r="D22" s="73" t="s">
        <v>2002</v>
      </c>
      <c r="E22" s="11">
        <v>1</v>
      </c>
      <c r="F22" s="11">
        <v>1</v>
      </c>
      <c r="G22" s="12" t="s">
        <v>1468</v>
      </c>
      <c r="H22" s="12" t="s">
        <v>2061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2109</v>
      </c>
      <c r="C23" s="11" t="s">
        <v>2003</v>
      </c>
      <c r="D23" s="11" t="s">
        <v>2003</v>
      </c>
      <c r="E23" s="11">
        <v>1</v>
      </c>
      <c r="F23" s="11">
        <v>1</v>
      </c>
      <c r="G23" s="12" t="s">
        <v>1468</v>
      </c>
      <c r="H23" s="12" t="s">
        <v>2062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2290</v>
      </c>
      <c r="B24" s="6" t="s">
        <v>2099</v>
      </c>
      <c r="C24" s="6" t="s">
        <v>2110</v>
      </c>
      <c r="D24" s="6" t="s">
        <v>2110</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2111</v>
      </c>
      <c r="C25" s="11" t="s">
        <v>2004</v>
      </c>
      <c r="D25" s="11" t="s">
        <v>2004</v>
      </c>
      <c r="E25" s="11">
        <v>1</v>
      </c>
      <c r="F25" s="11">
        <v>1</v>
      </c>
      <c r="G25" s="12" t="s">
        <v>1468</v>
      </c>
      <c r="H25" s="2" t="s">
        <v>2063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2112</v>
      </c>
      <c r="C26" s="11" t="s">
        <v>2005</v>
      </c>
      <c r="D26" s="11" t="s">
        <v>2005</v>
      </c>
      <c r="E26" s="11">
        <v>1</v>
      </c>
      <c r="F26" s="11">
        <v>1</v>
      </c>
      <c r="G26" s="12" t="s">
        <v>1468</v>
      </c>
      <c r="H26" s="2" t="s">
        <v>2064</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2113</v>
      </c>
      <c r="C27" s="11" t="s">
        <v>2006</v>
      </c>
      <c r="D27" s="11" t="s">
        <v>2006</v>
      </c>
      <c r="E27" s="11">
        <v>1</v>
      </c>
      <c r="F27" s="11">
        <v>1</v>
      </c>
      <c r="G27" s="12" t="s">
        <v>1468</v>
      </c>
      <c r="H27" s="2" t="s">
        <v>2065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2114</v>
      </c>
      <c r="C28" s="11" t="s">
        <v>2007</v>
      </c>
      <c r="D28" s="11" t="s">
        <v>2007</v>
      </c>
      <c r="E28" s="11">
        <v>1</v>
      </c>
      <c r="F28" s="11">
        <v>1</v>
      </c>
      <c r="G28" s="12" t="s">
        <v>1468</v>
      </c>
      <c r="H28" s="12" t="s">
        <v>2066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2115</v>
      </c>
      <c r="C29" s="11" t="s">
        <v>2008</v>
      </c>
      <c r="D29" s="11" t="s">
        <v>2008</v>
      </c>
      <c r="E29" s="11">
        <v>1</v>
      </c>
      <c r="F29" s="11">
        <v>1</v>
      </c>
      <c r="G29" s="12" t="s">
        <v>1468</v>
      </c>
      <c r="H29" s="12" t="s">
        <v>2067</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2116</v>
      </c>
      <c r="C30" s="11" t="s">
        <v>2009</v>
      </c>
      <c r="D30" s="11" t="s">
        <v>2009</v>
      </c>
      <c r="E30" s="11">
        <v>1</v>
      </c>
      <c r="F30" s="11">
        <v>1</v>
      </c>
      <c r="G30" s="12" t="s">
        <v>1468</v>
      </c>
      <c r="H30" s="12" t="s">
        <v>2068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2117</v>
      </c>
      <c r="C31" s="11" t="s">
        <v>2010</v>
      </c>
      <c r="D31" s="11" t="s">
        <v>2010</v>
      </c>
      <c r="E31" s="11">
        <v>1</v>
      </c>
      <c r="F31" s="11">
        <v>1</v>
      </c>
      <c r="G31" s="12" t="s">
        <v>1468</v>
      </c>
      <c r="H31" s="12" t="s">
        <v>2069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2118</v>
      </c>
      <c r="C32" s="11" t="s">
        <v>2011</v>
      </c>
      <c r="D32" s="11" t="s">
        <v>2011</v>
      </c>
      <c r="E32" s="11">
        <v>1</v>
      </c>
      <c r="F32" s="11">
        <v>1</v>
      </c>
      <c r="G32" s="12" t="s">
        <v>1468</v>
      </c>
      <c r="H32" s="12" t="s">
        <v>2070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2119</v>
      </c>
      <c r="C33" s="11" t="s">
        <v>2012</v>
      </c>
      <c r="D33" s="11" t="s">
        <v>2012</v>
      </c>
      <c r="E33" s="11">
        <v>1</v>
      </c>
      <c r="F33" s="11">
        <v>1</v>
      </c>
      <c r="G33" s="12" t="s">
        <v>1468</v>
      </c>
      <c r="H33" s="12" t="s">
        <v>2071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2120</v>
      </c>
      <c r="C34" s="11" t="s">
        <v>2013</v>
      </c>
      <c r="D34" s="11" t="s">
        <v>2013</v>
      </c>
      <c r="E34" s="11">
        <v>1</v>
      </c>
      <c r="F34" s="11">
        <v>1</v>
      </c>
      <c r="G34" s="12" t="s">
        <v>1468</v>
      </c>
      <c r="H34" s="12" t="s">
        <v>2072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2121</v>
      </c>
      <c r="C35" s="11" t="s">
        <v>2014</v>
      </c>
      <c r="D35" s="11" t="s">
        <v>2014</v>
      </c>
      <c r="E35" s="11">
        <v>1</v>
      </c>
      <c r="F35" s="11">
        <v>1</v>
      </c>
      <c r="G35" s="12" t="s">
        <v>1468</v>
      </c>
      <c r="H35" s="12" t="s">
        <v>2073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2033</v>
      </c>
      <c r="C36" s="11" t="s">
        <v>2033</v>
      </c>
      <c r="D36" s="11" t="s">
        <v>2033</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2123</v>
      </c>
      <c r="C37" s="12" t="s">
        <v>1364</v>
      </c>
      <c r="D37" s="12" t="s">
        <v>1365</v>
      </c>
      <c r="E37" s="11">
        <v>1</v>
      </c>
      <c r="F37" s="11">
        <v>1</v>
      </c>
      <c r="G37" s="12" t="s">
        <v>1468</v>
      </c>
      <c r="H37" s="12" t="s">
        <v>2039</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2124</v>
      </c>
      <c r="C38" s="12" t="s">
        <v>1366</v>
      </c>
      <c r="D38" s="12" t="s">
        <v>1367</v>
      </c>
      <c r="E38" s="11">
        <v>1</v>
      </c>
      <c r="F38" s="11">
        <v>1</v>
      </c>
      <c r="G38" s="12" t="s">
        <v>1468</v>
      </c>
      <c r="H38" s="12" t="s">
        <v>2040</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2125</v>
      </c>
      <c r="C39" s="116" t="s">
        <v>1368</v>
      </c>
      <c r="D39" s="116" t="s">
        <v>1369</v>
      </c>
      <c r="E39" s="46">
        <v>1</v>
      </c>
      <c r="F39" s="46">
        <v>1</v>
      </c>
      <c r="G39" s="116" t="s">
        <v>1468</v>
      </c>
      <c r="H39" s="116" t="s">
        <v>2041</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2126</v>
      </c>
      <c r="C40" s="12" t="s">
        <v>1370</v>
      </c>
      <c r="D40" s="12" t="s">
        <v>1371</v>
      </c>
      <c r="E40" s="11">
        <v>1</v>
      </c>
      <c r="F40" s="11">
        <v>1</v>
      </c>
      <c r="G40" s="12" t="s">
        <v>1468</v>
      </c>
      <c r="H40" s="12" t="s">
        <v>2042</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2127</v>
      </c>
      <c r="C41" s="12" t="s">
        <v>1372</v>
      </c>
      <c r="D41" s="12" t="s">
        <v>1373</v>
      </c>
      <c r="E41" s="11">
        <v>1</v>
      </c>
      <c r="F41" s="11">
        <v>1</v>
      </c>
      <c r="G41" s="12" t="s">
        <v>1468</v>
      </c>
      <c r="H41" s="12" t="s">
        <v>2043</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2128</v>
      </c>
      <c r="C42" s="12" t="s">
        <v>1374</v>
      </c>
      <c r="D42" s="12" t="s">
        <v>1375</v>
      </c>
      <c r="E42" s="11">
        <v>1</v>
      </c>
      <c r="F42" s="11">
        <v>1</v>
      </c>
      <c r="G42" s="12" t="s">
        <v>1468</v>
      </c>
      <c r="H42" s="12" t="s">
        <v>2044</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2129</v>
      </c>
      <c r="C43" s="12" t="s">
        <v>1376</v>
      </c>
      <c r="D43" s="12" t="s">
        <v>1377</v>
      </c>
      <c r="E43" s="11">
        <v>1</v>
      </c>
      <c r="F43" s="11">
        <v>1</v>
      </c>
      <c r="G43" s="12" t="s">
        <v>1468</v>
      </c>
      <c r="H43" s="12" t="s">
        <v>2045</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2130</v>
      </c>
      <c r="C44" s="11" t="s">
        <v>2015</v>
      </c>
      <c r="D44" s="12" t="s">
        <v>2016</v>
      </c>
      <c r="E44" s="11">
        <v>1</v>
      </c>
      <c r="F44" s="11">
        <v>1</v>
      </c>
      <c r="G44" s="12" t="s">
        <v>1468</v>
      </c>
      <c r="H44" s="12" t="s">
        <v>2046</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2034</v>
      </c>
      <c r="C45" s="11" t="s">
        <v>2017</v>
      </c>
      <c r="D45" s="12" t="s">
        <v>2016</v>
      </c>
      <c r="E45" s="11">
        <v>1</v>
      </c>
      <c r="F45" s="11">
        <v>1</v>
      </c>
      <c r="G45" s="12" t="s">
        <v>1468</v>
      </c>
      <c r="H45" s="12" t="s">
        <v>2047</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2035</v>
      </c>
      <c r="C46" s="11" t="s">
        <v>2018</v>
      </c>
      <c r="D46" s="12" t="s">
        <v>2016</v>
      </c>
      <c r="E46" s="11">
        <v>1</v>
      </c>
      <c r="F46" s="11">
        <v>1</v>
      </c>
      <c r="G46" s="12" t="s">
        <v>1468</v>
      </c>
      <c r="H46" s="12" t="s">
        <v>2048</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2036</v>
      </c>
      <c r="C47" s="11" t="s">
        <v>2019</v>
      </c>
      <c r="D47" s="12" t="s">
        <v>2016</v>
      </c>
      <c r="E47" s="11">
        <v>1</v>
      </c>
      <c r="F47" s="11">
        <v>1</v>
      </c>
      <c r="G47" s="12" t="s">
        <v>1468</v>
      </c>
      <c r="H47" s="12" t="s">
        <v>2049</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2037</v>
      </c>
      <c r="C48" s="11" t="s">
        <v>2020</v>
      </c>
      <c r="D48" s="12" t="s">
        <v>2016</v>
      </c>
      <c r="E48" s="11">
        <v>1</v>
      </c>
      <c r="F48" s="11">
        <v>1</v>
      </c>
      <c r="G48" s="12" t="s">
        <v>1468</v>
      </c>
      <c r="H48" s="12" t="s">
        <v>2449</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2038</v>
      </c>
      <c r="C49" s="11" t="s">
        <v>2021</v>
      </c>
      <c r="D49" s="12" t="s">
        <v>2016</v>
      </c>
      <c r="E49" s="11">
        <v>1</v>
      </c>
      <c r="F49" s="11">
        <v>1</v>
      </c>
      <c r="G49" s="12" t="s">
        <v>1468</v>
      </c>
      <c r="H49" s="12" t="s">
        <v>2050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2291</v>
      </c>
      <c r="C50" s="11" t="s">
        <v>2022</v>
      </c>
      <c r="D50" s="12" t="s">
        <v>2016</v>
      </c>
      <c r="E50" s="11">
        <v>1</v>
      </c>
      <c r="F50" s="11">
        <v>1</v>
      </c>
      <c r="G50" s="12" t="s">
        <v>1468</v>
      </c>
      <c r="H50" s="12" t="s">
        <v>2051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2122</v>
      </c>
      <c r="C51" s="11" t="s">
        <v>2023</v>
      </c>
      <c r="D51" s="12" t="s">
        <v>2016</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2024</v>
      </c>
      <c r="C52" s="11" t="s">
        <v>2025</v>
      </c>
      <c r="D52" s="12" t="s">
        <v>2026</v>
      </c>
      <c r="E52" s="11">
        <v>1</v>
      </c>
      <c r="F52" s="11">
        <v>1</v>
      </c>
      <c r="G52" s="12" t="s">
        <v>1990</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2027</v>
      </c>
      <c r="C53" s="11" t="s">
        <v>2028</v>
      </c>
      <c r="D53" s="12" t="s">
        <v>2029</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2030</v>
      </c>
      <c r="C54" s="11" t="s">
        <v>2031</v>
      </c>
      <c r="D54" s="12" t="s">
        <v>2032</v>
      </c>
      <c r="E54" s="11">
        <v>1</v>
      </c>
      <c r="F54" s="11">
        <v>1</v>
      </c>
      <c r="G54" s="12" t="s">
        <v>1990</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1" t="s">
        <v>1486</v>
      </c>
      <c r="F4" s="152"/>
      <c r="G4" s="152"/>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1486</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2299</v>
      </c>
      <c r="E16" s="11"/>
      <c r="F16" s="49" t="s">
        <v>1294</v>
      </c>
      <c r="G16" s="74" t="s">
        <v>2418</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2414</v>
      </c>
      <c r="E17" s="11"/>
      <c r="F17" s="49" t="s">
        <v>1294</v>
      </c>
      <c r="G17" s="74" t="s">
        <v>2298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2414</v>
      </c>
      <c r="E18" s="11"/>
      <c r="F18" s="49" t="s">
        <v>1294</v>
      </c>
      <c r="G18" s="74" t="s">
        <v>2298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2414</v>
      </c>
      <c r="E19" s="11"/>
      <c r="F19" s="49" t="s">
        <v>1294</v>
      </c>
      <c r="G19" s="74" t="s">
        <v>2298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2415</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2297</v>
      </c>
      <c r="E21" s="11"/>
      <c r="F21" s="49" t="s">
        <v>1316</v>
      </c>
      <c r="G21" s="144" t="s">
        <v>2416</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2417</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2417</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2419</v>
      </c>
      <c r="E60" s="12"/>
      <c r="F60" s="49" t="s">
        <v>1316</v>
      </c>
      <c r="G60" s="145" t="s">
        <v>2421</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2296</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2422</v>
      </c>
      <c r="E62" s="12"/>
      <c r="F62" s="49" t="s">
        <v>1294</v>
      </c>
      <c r="G62" s="91" t="s">
        <v>2293</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2420</v>
      </c>
      <c r="E63" s="12"/>
      <c r="F63" s="49" t="s">
        <v>1294</v>
      </c>
      <c r="G63" s="91" t="s">
        <v>2292</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2420</v>
      </c>
      <c r="E64" s="12"/>
      <c r="F64" s="49" t="s">
        <v>1294</v>
      </c>
      <c r="G64" s="91" t="s">
        <v>2294</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2420</v>
      </c>
      <c r="E65" s="12"/>
      <c r="F65" s="49" t="s">
        <v>1294</v>
      </c>
      <c r="G65" s="91" t="s">
        <v>2295</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1551</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D21" sqref="D2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2080</v>
      </c>
      <c r="J7" s="119" t="s">
        <v>2081</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2427</v>
      </c>
      <c r="D19" s="149" t="s">
        <v>2444</v>
      </c>
      <c r="I19" s="12"/>
      <c r="J19" s="12"/>
      <c r="P19" s="12"/>
      <c r="R19" s="12"/>
    </row>
    <row r="20" spans="2:18" x14ac:dyDescent="0.75">
      <c r="B20" s="147" t="s">
        <v>2423</v>
      </c>
      <c r="C20" s="148" t="s">
        <v>2428</v>
      </c>
      <c r="D20" s="148" t="s">
        <v>2450</v>
      </c>
      <c r="I20" s="12"/>
      <c r="J20" s="12"/>
      <c r="P20" s="12"/>
      <c r="R20" s="12"/>
    </row>
    <row r="21" spans="2:18" x14ac:dyDescent="0.75">
      <c r="B21" s="147" t="s">
        <v>2424</v>
      </c>
      <c r="C21" s="148" t="s">
        <v>2448</v>
      </c>
      <c r="D21" s="148" t="s">
        <v>2447</v>
      </c>
      <c r="I21" s="12"/>
      <c r="J21" s="12"/>
      <c r="P21" s="12"/>
      <c r="R21" s="12"/>
    </row>
    <row r="22" spans="2:18" x14ac:dyDescent="0.75">
      <c r="B22" s="147" t="s">
        <v>2425</v>
      </c>
      <c r="C22" s="148" t="s">
        <v>2448</v>
      </c>
      <c r="D22" s="148" t="s">
        <v>2446</v>
      </c>
      <c r="I22" s="12"/>
      <c r="J22" s="12"/>
      <c r="P22" s="12"/>
      <c r="R22" s="12"/>
    </row>
    <row r="23" spans="2:18" x14ac:dyDescent="0.75">
      <c r="B23" s="147" t="s">
        <v>2426</v>
      </c>
      <c r="C23" s="148" t="s">
        <v>2445</v>
      </c>
      <c r="D23" s="148" t="s">
        <v>2437</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2429</v>
      </c>
      <c r="C28" s="2" t="s">
        <v>2430</v>
      </c>
      <c r="F28" s="2"/>
      <c r="G28" s="12"/>
      <c r="H28" s="12"/>
      <c r="I28"/>
      <c r="L28"/>
      <c r="M28" s="2"/>
      <c r="N28" s="12"/>
      <c r="O28"/>
      <c r="P28" s="12"/>
    </row>
    <row r="29" spans="2:18" ht="44.25" x14ac:dyDescent="0.75">
      <c r="B29" t="s">
        <v>2431</v>
      </c>
      <c r="C29" s="2" t="s">
        <v>2432</v>
      </c>
      <c r="F29" s="2"/>
      <c r="G29" s="12"/>
      <c r="H29" s="12"/>
      <c r="I29"/>
      <c r="L29"/>
      <c r="M29" s="2"/>
      <c r="N29" s="12"/>
      <c r="O29"/>
      <c r="P29" s="12"/>
    </row>
    <row r="30" spans="2:18" ht="59" x14ac:dyDescent="0.75">
      <c r="B30" t="s">
        <v>2433</v>
      </c>
      <c r="C30" s="2" t="s">
        <v>2434</v>
      </c>
      <c r="F30" s="2"/>
      <c r="G30" s="12"/>
      <c r="H30" s="12"/>
      <c r="I30"/>
      <c r="L30"/>
      <c r="M30" s="2"/>
      <c r="N30" s="12"/>
      <c r="O30"/>
      <c r="P30" s="12"/>
    </row>
    <row r="31" spans="2:18" ht="88.5" x14ac:dyDescent="0.75">
      <c r="B31" t="s">
        <v>2435</v>
      </c>
      <c r="C31" s="2" t="s">
        <v>2436</v>
      </c>
      <c r="F31" s="2"/>
      <c r="G31" s="12"/>
      <c r="H31" s="12"/>
      <c r="I31"/>
      <c r="L31"/>
      <c r="M31" s="2"/>
      <c r="N31" s="12"/>
      <c r="O31"/>
      <c r="P31" s="12"/>
    </row>
    <row r="32" spans="2:18" ht="44.25" x14ac:dyDescent="0.75">
      <c r="B32" t="s">
        <v>2438</v>
      </c>
      <c r="C32" s="2" t="s">
        <v>2439</v>
      </c>
      <c r="F32" s="2"/>
      <c r="G32" s="12"/>
      <c r="H32" s="12"/>
      <c r="I32"/>
      <c r="L32"/>
      <c r="M32" s="2"/>
      <c r="N32" s="12"/>
      <c r="O32"/>
      <c r="P32" s="12"/>
    </row>
    <row r="33" spans="2:18" ht="44.25" x14ac:dyDescent="0.75">
      <c r="B33" t="s">
        <v>2440</v>
      </c>
      <c r="C33" s="2" t="s">
        <v>2441</v>
      </c>
      <c r="F33" s="2"/>
      <c r="G33" s="12"/>
      <c r="H33" s="12"/>
      <c r="I33"/>
      <c r="L33"/>
      <c r="M33" s="2"/>
      <c r="N33" s="12"/>
      <c r="O33"/>
      <c r="P33" s="12"/>
    </row>
    <row r="34" spans="2:18" ht="44.25" x14ac:dyDescent="0.75">
      <c r="B34" t="s">
        <v>2442</v>
      </c>
      <c r="C34" s="2" t="s">
        <v>2443</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1" t="s">
        <v>1486</v>
      </c>
      <c r="F4" s="152"/>
      <c r="G4" s="152"/>
    </row>
    <row r="5" spans="1:19" x14ac:dyDescent="0.75">
      <c r="B5" s="47" t="s">
        <v>10</v>
      </c>
      <c r="C5" s="7" t="s">
        <v>1615</v>
      </c>
      <c r="D5" s="47"/>
      <c r="E5" s="7"/>
    </row>
    <row r="6" spans="1:19" x14ac:dyDescent="0.75">
      <c r="B6" s="47" t="s">
        <v>18</v>
      </c>
      <c r="C6" s="41"/>
      <c r="D6" s="47" t="s">
        <v>1475</v>
      </c>
      <c r="E6" s="151" t="str">
        <f>E3</f>
        <v>http://hl7.eu/fhir/ig/idea4rc/StructureDefinition/EpisodeEvent</v>
      </c>
      <c r="F6" s="152"/>
      <c r="G6" s="152"/>
    </row>
    <row r="7" spans="1:19" x14ac:dyDescent="0.75">
      <c r="B7" s="47" t="s">
        <v>15</v>
      </c>
      <c r="C7" s="72"/>
      <c r="D7" s="47" t="s">
        <v>1476</v>
      </c>
      <c r="E7" s="151" t="s">
        <v>1486</v>
      </c>
      <c r="F7" s="152"/>
      <c r="G7" s="152"/>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2457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2369</v>
      </c>
      <c r="E18" s="12"/>
      <c r="F18" s="49" t="s">
        <v>1294</v>
      </c>
      <c r="G18" s="76" t="s">
        <v>2370</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2303</v>
      </c>
      <c r="E19" s="12"/>
      <c r="F19" s="49" t="s">
        <v>1317</v>
      </c>
      <c r="G19" s="76" t="s">
        <v>2304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2080</v>
      </c>
      <c r="J7" s="119" t="s">
        <v>2081</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2396</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2397</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2398</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2131</v>
      </c>
      <c r="C15" s="143" t="s">
        <v>2399</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2132</v>
      </c>
      <c r="C17" s="143" t="s">
        <v>2400</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2401</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2133</v>
      </c>
      <c r="C21" s="143" t="s">
        <v>2402</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2393</v>
      </c>
      <c r="D3" s="47" t="s">
        <v>1473</v>
      </c>
      <c r="E3" s="71" t="str">
        <f>$C$1&amp;B14</f>
        <v>http://hl7.eu/fhir/ig/idea4rc/StructureDefinition/GeneticTestExpressionI4rc</v>
      </c>
    </row>
    <row r="4" spans="1:19" x14ac:dyDescent="0.75">
      <c r="B4" s="47" t="s">
        <v>16</v>
      </c>
      <c r="C4" s="28" t="s">
        <v>2392</v>
      </c>
      <c r="D4" s="47" t="s">
        <v>1474</v>
      </c>
      <c r="E4" s="151" t="s">
        <v>1486</v>
      </c>
      <c r="F4" s="152"/>
      <c r="G4" s="152"/>
    </row>
    <row r="5" spans="1:19" x14ac:dyDescent="0.75">
      <c r="B5" s="47" t="s">
        <v>10</v>
      </c>
      <c r="C5" s="7" t="s">
        <v>2394</v>
      </c>
      <c r="D5" s="47"/>
      <c r="E5" s="7"/>
    </row>
    <row r="6" spans="1:19" x14ac:dyDescent="0.75">
      <c r="B6" s="47" t="s">
        <v>18</v>
      </c>
      <c r="C6" s="41"/>
      <c r="D6" s="47" t="s">
        <v>1475</v>
      </c>
      <c r="E6" s="151" t="str">
        <f>E3</f>
        <v>http://hl7.eu/fhir/ig/idea4rc/StructureDefinition/GeneticTestExpressionI4rc</v>
      </c>
      <c r="F6" s="152"/>
      <c r="G6" s="152"/>
    </row>
    <row r="7" spans="1:19" x14ac:dyDescent="0.75">
      <c r="B7" s="47" t="s">
        <v>15</v>
      </c>
      <c r="C7" s="72"/>
      <c r="D7" s="47" t="s">
        <v>1476</v>
      </c>
      <c r="E7" s="151" t="s">
        <v>1486</v>
      </c>
      <c r="F7" s="152"/>
      <c r="G7" s="152"/>
    </row>
    <row r="8" spans="1:19" ht="45" thickBot="1" x14ac:dyDescent="0.9">
      <c r="B8" s="47" t="s">
        <v>1477</v>
      </c>
      <c r="C8" s="7" t="s">
        <v>2394</v>
      </c>
      <c r="D8" s="47"/>
      <c r="E8" s="7"/>
      <c r="I8" s="12" t="s">
        <v>1289</v>
      </c>
      <c r="J8" s="12" t="s">
        <v>1290</v>
      </c>
      <c r="K8" s="12" t="s">
        <v>1291</v>
      </c>
      <c r="L8" s="12" t="s">
        <v>1292</v>
      </c>
      <c r="M8" s="11" t="s">
        <v>1293</v>
      </c>
      <c r="P8" s="34" t="s">
        <v>1328</v>
      </c>
      <c r="Q8" s="34">
        <v>6</v>
      </c>
    </row>
    <row r="9" spans="1:19" ht="15.5" thickBot="1" x14ac:dyDescent="0.9">
      <c r="B9" s="47" t="s">
        <v>1478</v>
      </c>
      <c r="C9" s="12" t="s">
        <v>2395</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2403</v>
      </c>
      <c r="E16" s="12"/>
      <c r="F16" s="49" t="s">
        <v>1316</v>
      </c>
      <c r="G16" s="77" t="s">
        <v>2405</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2404</v>
      </c>
      <c r="E17" s="12"/>
      <c r="F17" s="49" t="s">
        <v>1316</v>
      </c>
      <c r="G17" s="77" t="s">
        <v>2406</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2403</v>
      </c>
      <c r="E18" s="12"/>
      <c r="F18" s="49" t="s">
        <v>1316</v>
      </c>
      <c r="G18" s="77" t="s">
        <v>2407</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2404</v>
      </c>
      <c r="E19" s="12"/>
      <c r="F19" s="49" t="s">
        <v>1316</v>
      </c>
      <c r="G19" s="77" t="s">
        <v>2407</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2403</v>
      </c>
      <c r="E20" s="12"/>
      <c r="F20" s="49" t="s">
        <v>1316</v>
      </c>
      <c r="G20" s="77" t="s">
        <v>2408</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2404</v>
      </c>
      <c r="E21" s="12"/>
      <c r="F21" s="49" t="s">
        <v>1316</v>
      </c>
      <c r="G21" s="77" t="s">
        <v>2408</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2403</v>
      </c>
      <c r="E22" s="12"/>
      <c r="F22" s="49" t="s">
        <v>1316</v>
      </c>
      <c r="G22" s="77" t="s">
        <v>2409</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2404</v>
      </c>
      <c r="E23" s="12"/>
      <c r="F23" s="49" t="s">
        <v>1316</v>
      </c>
      <c r="G23" s="77" t="s">
        <v>2409</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2403</v>
      </c>
      <c r="E24" s="12"/>
      <c r="F24" s="49" t="s">
        <v>1316</v>
      </c>
      <c r="G24" s="77" t="s">
        <v>2410</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2404</v>
      </c>
      <c r="E25" s="12"/>
      <c r="F25" s="49" t="s">
        <v>1316</v>
      </c>
      <c r="G25" s="77" t="s">
        <v>2410</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2403</v>
      </c>
      <c r="E26" s="12"/>
      <c r="F26" s="49" t="s">
        <v>1316</v>
      </c>
      <c r="G26" s="77" t="s">
        <v>2411</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2404</v>
      </c>
      <c r="E27" s="12"/>
      <c r="F27" s="49" t="s">
        <v>1316</v>
      </c>
      <c r="G27" s="77" t="s">
        <v>2411</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2403</v>
      </c>
      <c r="E28" s="12"/>
      <c r="F28" s="49" t="s">
        <v>1316</v>
      </c>
      <c r="G28" s="77" t="s">
        <v>2412</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2404</v>
      </c>
      <c r="E29" s="12"/>
      <c r="F29" s="49" t="s">
        <v>1316</v>
      </c>
      <c r="G29" s="77" t="s">
        <v>2412</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2413</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2082</v>
      </c>
      <c r="R2" s="24" t="s">
        <v>2083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2176</v>
      </c>
      <c r="L4" s="16" t="str">
        <f>CONCATENATE("Logical: ",B4)</f>
        <v>Logical: StageI4rc</v>
      </c>
    </row>
    <row r="5" spans="1:18" ht="19.899999999999999" customHeight="1" x14ac:dyDescent="0.75">
      <c r="A5" s="14" t="s">
        <v>16</v>
      </c>
      <c r="B5" s="31" t="s">
        <v>2177</v>
      </c>
      <c r="L5" s="16" t="str">
        <f>CONCATENATE("Id: ",B5)</f>
        <v>Id: Stage</v>
      </c>
    </row>
    <row r="6" spans="1:18" ht="19.899999999999999" customHeight="1" x14ac:dyDescent="0.75">
      <c r="A6" s="14" t="s">
        <v>10</v>
      </c>
      <c r="B6" s="32" t="s">
        <v>2177</v>
      </c>
      <c r="L6" s="17" t="str">
        <f>CONCATENATE("Title: ##34#",B6,"##34#")</f>
        <v>Title: ##34#Stage##34#</v>
      </c>
    </row>
    <row r="7" spans="1:18" ht="19.899999999999999" customHeight="1" x14ac:dyDescent="0.75">
      <c r="A7" s="26" t="s">
        <v>2</v>
      </c>
      <c r="B7" s="63" t="s">
        <v>2177</v>
      </c>
      <c r="C7" s="9" t="s">
        <v>3</v>
      </c>
      <c r="D7" s="1" t="s">
        <v>4</v>
      </c>
      <c r="E7" s="3" t="s">
        <v>5</v>
      </c>
      <c r="F7" s="3" t="s">
        <v>6</v>
      </c>
      <c r="G7" s="3" t="s">
        <v>7</v>
      </c>
      <c r="H7" s="64" t="s">
        <v>1384</v>
      </c>
      <c r="I7" s="119" t="s">
        <v>2080</v>
      </c>
      <c r="J7" s="119" t="s">
        <v>2081</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2143</v>
      </c>
      <c r="D9" s="11" t="s">
        <v>2143</v>
      </c>
      <c r="E9" s="11">
        <v>1</v>
      </c>
      <c r="F9" s="11">
        <v>1</v>
      </c>
      <c r="G9" t="s">
        <v>1468</v>
      </c>
      <c r="H9" s="12" t="s">
        <v>2153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2134</v>
      </c>
      <c r="C10" s="11" t="s">
        <v>292</v>
      </c>
      <c r="D10" s="11" t="s">
        <v>1388</v>
      </c>
      <c r="E10" s="11">
        <v>1</v>
      </c>
      <c r="F10" s="11">
        <v>1</v>
      </c>
      <c r="G10" t="s">
        <v>1468</v>
      </c>
      <c r="H10" s="12" t="s">
        <v>2154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2135</v>
      </c>
      <c r="C11" s="11" t="s">
        <v>299</v>
      </c>
      <c r="D11" s="11" t="s">
        <v>1389</v>
      </c>
      <c r="E11" s="11">
        <v>1</v>
      </c>
      <c r="F11" s="11">
        <v>1</v>
      </c>
      <c r="G11" t="s">
        <v>1468</v>
      </c>
      <c r="H11" s="12" t="s">
        <v>2155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2136</v>
      </c>
      <c r="C12" s="11" t="s">
        <v>306</v>
      </c>
      <c r="D12" s="11" t="s">
        <v>1390</v>
      </c>
      <c r="E12" s="11">
        <v>1</v>
      </c>
      <c r="F12" s="11">
        <v>1</v>
      </c>
      <c r="G12" t="s">
        <v>1468</v>
      </c>
      <c r="H12" s="12" t="s">
        <v>2156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2137</v>
      </c>
      <c r="C13" s="11" t="s">
        <v>1558</v>
      </c>
      <c r="D13" s="11" t="s">
        <v>1559</v>
      </c>
      <c r="E13" s="11">
        <v>1</v>
      </c>
      <c r="F13" s="11">
        <v>1</v>
      </c>
      <c r="G13" t="s">
        <v>1468</v>
      </c>
      <c r="H13" s="12" t="s">
        <v>2157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2138</v>
      </c>
      <c r="C14" s="11" t="s">
        <v>2144</v>
      </c>
      <c r="D14" s="11" t="s">
        <v>2145</v>
      </c>
      <c r="E14" s="11">
        <v>1</v>
      </c>
      <c r="F14" s="11">
        <v>1</v>
      </c>
      <c r="G14" t="s">
        <v>1468</v>
      </c>
      <c r="H14" s="4" t="s">
        <v>2160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2139</v>
      </c>
      <c r="C15" s="11" t="s">
        <v>2146</v>
      </c>
      <c r="D15" s="11" t="s">
        <v>2147</v>
      </c>
      <c r="E15" s="11">
        <v>1</v>
      </c>
      <c r="F15" s="11">
        <v>1</v>
      </c>
      <c r="G15" t="s">
        <v>1468</v>
      </c>
      <c r="H15" s="12" t="s">
        <v>2161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2140</v>
      </c>
      <c r="C16" s="11" t="s">
        <v>2148</v>
      </c>
      <c r="D16" s="11" t="s">
        <v>2149</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2141</v>
      </c>
      <c r="C18" s="11" t="s">
        <v>2150</v>
      </c>
      <c r="D18" s="11" t="s">
        <v>2151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2162</v>
      </c>
      <c r="C19" s="6" t="s">
        <v>2162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2163</v>
      </c>
      <c r="C20" s="11" t="s">
        <v>1394</v>
      </c>
      <c r="D20" s="11" t="s">
        <v>2310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2142</v>
      </c>
      <c r="C30" s="11" t="s">
        <v>2152</v>
      </c>
      <c r="D30" s="11" t="s">
        <v>1391</v>
      </c>
      <c r="E30" s="11">
        <v>1</v>
      </c>
      <c r="F30" s="11">
        <v>1</v>
      </c>
      <c r="G30" t="s">
        <v>1468</v>
      </c>
      <c r="H30" s="12" t="s">
        <v>2159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2320</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2316</v>
      </c>
      <c r="D3" s="47" t="s">
        <v>1473</v>
      </c>
      <c r="E3" s="71" t="str">
        <f>$C$1&amp;Stage!B4</f>
        <v>http://hl7.eu/fhir/ig/idea4rc/StructureDefinition/StageI4rc</v>
      </c>
    </row>
    <row r="4" spans="1:19" x14ac:dyDescent="0.75">
      <c r="B4" s="47" t="s">
        <v>16</v>
      </c>
      <c r="C4" s="28" t="s">
        <v>2317</v>
      </c>
      <c r="D4" s="47" t="s">
        <v>1474</v>
      </c>
      <c r="E4" s="151" t="s">
        <v>1625</v>
      </c>
      <c r="F4" s="152"/>
      <c r="G4" s="152"/>
    </row>
    <row r="5" spans="1:19" x14ac:dyDescent="0.75">
      <c r="B5" s="47" t="s">
        <v>10</v>
      </c>
      <c r="C5" s="7" t="s">
        <v>2318</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2318</v>
      </c>
      <c r="D8" s="47"/>
      <c r="E8" s="7"/>
      <c r="I8" s="12" t="s">
        <v>1289</v>
      </c>
      <c r="J8" s="12" t="s">
        <v>1290</v>
      </c>
      <c r="K8" s="12" t="s">
        <v>1291</v>
      </c>
      <c r="L8" s="12" t="s">
        <v>1292</v>
      </c>
      <c r="M8" s="11" t="s">
        <v>1293</v>
      </c>
      <c r="P8" s="34" t="s">
        <v>1328</v>
      </c>
      <c r="Q8" s="34">
        <v>6</v>
      </c>
    </row>
    <row r="9" spans="1:19" x14ac:dyDescent="0.75">
      <c r="B9" s="47" t="s">
        <v>1478</v>
      </c>
      <c r="C9" s="12" t="s">
        <v>2319</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2308</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2305</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2306</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2307</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2312</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2311</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2311</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2307</v>
      </c>
      <c r="E23" s="11"/>
      <c r="F23" s="49" t="s">
        <v>1294</v>
      </c>
      <c r="G23" s="76" t="s">
        <v>2375</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2313</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2306</v>
      </c>
      <c r="E25" s="11"/>
      <c r="F25" s="49" t="s">
        <v>1294</v>
      </c>
      <c r="G25" s="76" t="s">
        <v>2376</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2314</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1636</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1636</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1637</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1637</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2" t="str">
        <f>E3</f>
        <v>http://hl7.eu/fhir/ig/idea4rc/StructureDefinition/StageI4rc</v>
      </c>
      <c r="F6" s="152"/>
      <c r="G6" s="152"/>
    </row>
    <row r="7" spans="1:19" x14ac:dyDescent="0.75">
      <c r="B7" s="47" t="s">
        <v>15</v>
      </c>
      <c r="C7" s="72"/>
      <c r="D7" s="47" t="s">
        <v>1476</v>
      </c>
      <c r="E7" s="152" t="s">
        <v>2322</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51" t="s">
        <v>1625</v>
      </c>
      <c r="F4" s="152"/>
      <c r="G4" s="152"/>
    </row>
    <row r="5" spans="1:19" x14ac:dyDescent="0.75">
      <c r="B5" s="47" t="s">
        <v>10</v>
      </c>
      <c r="C5" s="73" t="str">
        <f>'Stage-ConceptMap-1'!C5</f>
        <v>Stage Model to this guide Map</v>
      </c>
      <c r="D5" s="47"/>
      <c r="E5" s="7"/>
    </row>
    <row r="6" spans="1:19" x14ac:dyDescent="0.75">
      <c r="B6" s="47" t="s">
        <v>18</v>
      </c>
      <c r="C6" s="73">
        <f>'Stage-ConceptMap-1'!C6</f>
        <v>0</v>
      </c>
      <c r="D6" s="47" t="s">
        <v>1475</v>
      </c>
      <c r="E6" s="151" t="str">
        <f>E3</f>
        <v>http://hl7.eu/fhir/ig/idea4rc/StructureDefinition/StageI4rc</v>
      </c>
      <c r="F6" s="152"/>
      <c r="G6" s="152"/>
    </row>
    <row r="7" spans="1:19" x14ac:dyDescent="0.75">
      <c r="B7" s="47" t="s">
        <v>15</v>
      </c>
      <c r="C7" s="73">
        <f>'Stage-ConceptMap-1'!C7</f>
        <v>0</v>
      </c>
      <c r="D7" s="47" t="s">
        <v>1476</v>
      </c>
      <c r="E7" s="151" t="s">
        <v>2309</v>
      </c>
      <c r="F7" s="152"/>
      <c r="G7" s="152"/>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2321</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2377</v>
      </c>
      <c r="E16" s="12"/>
      <c r="F16" s="49" t="s">
        <v>1294</v>
      </c>
      <c r="G16" s="76" t="s">
        <v>2379</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2377</v>
      </c>
      <c r="E17" s="12"/>
      <c r="F17" s="49" t="s">
        <v>1294</v>
      </c>
      <c r="G17" s="76" t="s">
        <v>2378</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2380</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2381</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2382</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2383</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2384</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2385</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2386</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2387</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2388</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2389</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2390</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2391</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2315</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2173</v>
      </c>
      <c r="L4" s="16" t="str">
        <f>CONCATENATE("Logical: ",B4)</f>
        <v>Logical: PathologicalReportInfoI4rc</v>
      </c>
    </row>
    <row r="5" spans="1:18" ht="15.5" thickBot="1" x14ac:dyDescent="0.9">
      <c r="A5" s="14" t="s">
        <v>16</v>
      </c>
      <c r="B5" s="30" t="s">
        <v>2174</v>
      </c>
      <c r="L5" s="16" t="str">
        <f>CONCATENATE("Id: ",B5)</f>
        <v>Id: PathologicalReportInfo</v>
      </c>
    </row>
    <row r="6" spans="1:18" ht="15.5" thickBot="1" x14ac:dyDescent="0.9">
      <c r="A6" s="14" t="s">
        <v>10</v>
      </c>
      <c r="B6" s="30" t="s">
        <v>2175</v>
      </c>
      <c r="L6" s="17" t="str">
        <f>CONCATENATE("Title: ##34#",B6,"##34#")</f>
        <v>Title: ##34#Pathological Report Info##34#</v>
      </c>
    </row>
    <row r="7" spans="1:18" x14ac:dyDescent="0.75">
      <c r="A7" s="26" t="s">
        <v>2</v>
      </c>
      <c r="B7" s="96" t="s">
        <v>2175</v>
      </c>
      <c r="C7" s="9" t="s">
        <v>3</v>
      </c>
      <c r="D7" s="1" t="s">
        <v>4</v>
      </c>
      <c r="E7" s="3" t="s">
        <v>5</v>
      </c>
      <c r="F7" s="3" t="s">
        <v>6</v>
      </c>
      <c r="G7" s="117" t="s">
        <v>7</v>
      </c>
      <c r="H7" s="64" t="s">
        <v>1384</v>
      </c>
      <c r="I7" s="119" t="s">
        <v>2080</v>
      </c>
      <c r="J7" s="119" t="s">
        <v>2081</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2246</v>
      </c>
      <c r="C9" s="11" t="s">
        <v>2254</v>
      </c>
      <c r="D9" s="11" t="s">
        <v>2255</v>
      </c>
      <c r="E9" s="11">
        <v>0</v>
      </c>
      <c r="F9" s="11">
        <v>1</v>
      </c>
      <c r="G9" s="12" t="s">
        <v>1468</v>
      </c>
      <c r="H9" s="12" t="s">
        <v>2256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2247</v>
      </c>
      <c r="C10" s="11" t="s">
        <v>2257</v>
      </c>
      <c r="D10" s="11" t="s">
        <v>2257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2248</v>
      </c>
      <c r="C11" s="11" t="s">
        <v>2258</v>
      </c>
      <c r="D11" s="11" t="s">
        <v>2258</v>
      </c>
      <c r="E11" s="11">
        <v>0</v>
      </c>
      <c r="F11" s="11">
        <v>1</v>
      </c>
      <c r="G11" s="12" t="s">
        <v>1990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2249</v>
      </c>
      <c r="C12" s="11" t="s">
        <v>2259</v>
      </c>
      <c r="D12" s="11" t="s">
        <v>2259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2250</v>
      </c>
      <c r="C13" s="11" t="s">
        <v>2260</v>
      </c>
      <c r="D13" s="11" t="s">
        <v>2260</v>
      </c>
      <c r="E13" s="11">
        <v>0</v>
      </c>
      <c r="F13" s="11">
        <v>1</v>
      </c>
      <c r="G13" s="12" t="s">
        <v>1468</v>
      </c>
      <c r="H13" s="12" t="s">
        <v>2261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2251</v>
      </c>
      <c r="C14" s="11" t="s">
        <v>2262</v>
      </c>
      <c r="D14" s="11" t="s">
        <v>2262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2252</v>
      </c>
      <c r="C15" s="11" t="s">
        <v>2263</v>
      </c>
      <c r="D15" s="11" t="s">
        <v>2263</v>
      </c>
      <c r="E15" s="11">
        <v>0</v>
      </c>
      <c r="F15" s="11">
        <v>1</v>
      </c>
      <c r="G15" s="12" t="s">
        <v>44</v>
      </c>
      <c r="H15" s="12" t="s">
        <v>2264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2253</v>
      </c>
      <c r="C16" s="11" t="s">
        <v>2265</v>
      </c>
      <c r="D16" s="11" t="s">
        <v>2265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2266</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http://hl7.eu/fhir/ig/idea4rc/StructureDefinition/PathologicalReportInfo</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2080</v>
      </c>
      <c r="J7" s="119" t="s">
        <v>2081</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2182</v>
      </c>
      <c r="D9" s="11" t="s">
        <v>2183</v>
      </c>
      <c r="E9" s="11">
        <v>1</v>
      </c>
      <c r="F9" s="11">
        <v>1</v>
      </c>
      <c r="G9" s="11" t="s">
        <v>1468</v>
      </c>
      <c r="H9" s="12" t="s">
        <v>2190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2178</v>
      </c>
      <c r="C10" s="11" t="s">
        <v>2184</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2197</v>
      </c>
      <c r="C12" s="11" t="s">
        <v>1662</v>
      </c>
      <c r="D12" s="12" t="s">
        <v>1663</v>
      </c>
      <c r="E12" s="11">
        <v>1</v>
      </c>
      <c r="F12" s="11">
        <v>1</v>
      </c>
      <c r="G12" s="11" t="s">
        <v>1468</v>
      </c>
      <c r="H12" s="12" t="s">
        <v>2191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2198</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2179</v>
      </c>
      <c r="C15" s="11" t="s">
        <v>2185</v>
      </c>
      <c r="D15" s="11" t="s">
        <v>2186</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2199</v>
      </c>
      <c r="C16" s="11" t="s">
        <v>2187</v>
      </c>
      <c r="D16" s="11" t="s">
        <v>2187</v>
      </c>
      <c r="E16" s="11">
        <v>1</v>
      </c>
      <c r="F16" s="11">
        <v>1</v>
      </c>
      <c r="G16" s="11" t="s">
        <v>1990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2200</v>
      </c>
      <c r="C17" s="11" t="s">
        <v>2188</v>
      </c>
      <c r="D17" s="11" t="s">
        <v>2188</v>
      </c>
      <c r="E17" s="11">
        <v>1</v>
      </c>
      <c r="F17" s="11">
        <v>1</v>
      </c>
      <c r="G17" s="11" t="s">
        <v>1468</v>
      </c>
      <c r="H17" s="12" t="s">
        <v>2193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2180</v>
      </c>
      <c r="C18" s="11" t="s">
        <v>2189</v>
      </c>
      <c r="D18" s="11" t="s">
        <v>2189</v>
      </c>
      <c r="E18" s="11">
        <v>1</v>
      </c>
      <c r="F18" s="11">
        <v>1</v>
      </c>
      <c r="G18" s="11" t="s">
        <v>1468</v>
      </c>
      <c r="H18" s="12" t="s">
        <v>2194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2201</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2202</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2203</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2204</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2205</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2206</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2207</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2208</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2209</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2210</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2211</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2181</v>
      </c>
      <c r="C36" s="11" t="s">
        <v>1710</v>
      </c>
      <c r="D36" s="11" t="s">
        <v>1711</v>
      </c>
      <c r="E36">
        <v>1</v>
      </c>
      <c r="F36">
        <v>1</v>
      </c>
      <c r="G36" s="11" t="s">
        <v>1468</v>
      </c>
      <c r="H36" s="12" t="s">
        <v>2196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51" t="s">
        <v>1790</v>
      </c>
      <c r="F4" s="152"/>
      <c r="G4" s="152"/>
    </row>
    <row r="5" spans="1:19" x14ac:dyDescent="0.75">
      <c r="B5" s="47" t="s">
        <v>10</v>
      </c>
      <c r="C5" s="7" t="s">
        <v>1788</v>
      </c>
      <c r="D5" s="47"/>
      <c r="E5" s="7"/>
    </row>
    <row r="6" spans="1:19" x14ac:dyDescent="0.75">
      <c r="B6" s="47" t="s">
        <v>18</v>
      </c>
      <c r="C6" s="41"/>
      <c r="D6" s="47" t="s">
        <v>1475</v>
      </c>
      <c r="E6" s="151" t="str">
        <f>E3</f>
        <v>http://hl7.eu/fhir/ig/idea4rc/StructureDefinition/SurgeryI4rc</v>
      </c>
      <c r="F6" s="152"/>
      <c r="G6" s="152"/>
    </row>
    <row r="7" spans="1:19" x14ac:dyDescent="0.75">
      <c r="B7" s="47" t="s">
        <v>15</v>
      </c>
      <c r="C7" s="72"/>
      <c r="D7" s="47" t="s">
        <v>1476</v>
      </c>
      <c r="E7" s="151" t="str">
        <f>E4</f>
        <v>http://hl7.eu/fhir/ig/idea4rc/StructureDefinition/Procedure-surgery-eu-i4rc</v>
      </c>
      <c r="F7" s="152"/>
      <c r="G7" s="152"/>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2371</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2372</v>
      </c>
      <c r="E18" s="12"/>
      <c r="F18" s="49" t="s">
        <v>1294</v>
      </c>
      <c r="G18" s="76" t="s">
        <v>2370</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2323</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2324</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2325</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2326</v>
      </c>
      <c r="E23" s="12"/>
      <c r="F23" s="49" t="s">
        <v>1294</v>
      </c>
      <c r="G23" s="76" t="s">
        <v>2328</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2326</v>
      </c>
      <c r="E24" s="11"/>
      <c r="F24" s="49" t="s">
        <v>1294</v>
      </c>
      <c r="G24" s="76" t="s">
        <v>2327</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2311</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2311</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2311</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2329</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2323</v>
      </c>
      <c r="E29" s="12"/>
      <c r="F29" s="49" t="s">
        <v>1316</v>
      </c>
      <c r="G29" s="76" t="s">
        <v>2330</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2332</v>
      </c>
      <c r="E30" s="12"/>
      <c r="F30" s="49" t="s">
        <v>1316</v>
      </c>
      <c r="G30" s="76" t="s">
        <v>2331</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2323</v>
      </c>
      <c r="E32" s="12"/>
      <c r="F32" s="49" t="s">
        <v>1316</v>
      </c>
      <c r="G32" s="76" t="s">
        <v>2333</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2333</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2333</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2333</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2333</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2333</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2333</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2333</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2351</v>
      </c>
      <c r="L6" s="17" t="str">
        <f>CONCATENATE("Title: ##34#",B6,"##34#")</f>
        <v>Title: ##34#Other Treatment##34#</v>
      </c>
    </row>
    <row r="7" spans="1:18" x14ac:dyDescent="0.75">
      <c r="A7" s="26" t="s">
        <v>2</v>
      </c>
      <c r="B7" s="30" t="s">
        <v>2351</v>
      </c>
      <c r="C7" s="9" t="s">
        <v>3</v>
      </c>
      <c r="D7" s="1" t="s">
        <v>4</v>
      </c>
      <c r="E7" s="3" t="s">
        <v>5</v>
      </c>
      <c r="F7" s="3" t="s">
        <v>6</v>
      </c>
      <c r="G7" s="3" t="s">
        <v>7</v>
      </c>
      <c r="H7" s="64" t="s">
        <v>1384</v>
      </c>
      <c r="I7" s="119" t="s">
        <v>2080</v>
      </c>
      <c r="J7" s="119" t="s">
        <v>2081</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2352</v>
      </c>
      <c r="C9" s="12" t="s">
        <v>2353</v>
      </c>
      <c r="D9" s="12" t="s">
        <v>2354</v>
      </c>
      <c r="E9" s="11">
        <v>1</v>
      </c>
      <c r="F9" s="11">
        <v>1</v>
      </c>
      <c r="G9" s="86" t="s">
        <v>1468</v>
      </c>
      <c r="H9" s="12" t="s">
        <v>1645</v>
      </c>
      <c r="I9" s="12" t="b">
        <v>1</v>
      </c>
      <c r="J9" s="12" t="b">
        <v>1</v>
      </c>
      <c r="K9" s="25" t="s">
        <v>2352</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2355</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2356</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2212</v>
      </c>
      <c r="C12" s="11" t="s">
        <v>2218</v>
      </c>
      <c r="D12" s="11" t="s">
        <v>2219</v>
      </c>
      <c r="E12" s="11">
        <v>0</v>
      </c>
      <c r="F12" s="11">
        <v>1</v>
      </c>
      <c r="G12" t="s">
        <v>1468</v>
      </c>
      <c r="H12" s="2" t="s">
        <v>2220</v>
      </c>
      <c r="I12" s="12" t="b">
        <v>0</v>
      </c>
      <c r="J12" s="12" t="b">
        <v>1</v>
      </c>
      <c r="K12" s="25" t="s">
        <v>2212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2357</v>
      </c>
      <c r="C13" s="12" t="s">
        <v>2358</v>
      </c>
      <c r="D13" s="12" t="s">
        <v>2359</v>
      </c>
      <c r="E13" s="11">
        <v>1</v>
      </c>
      <c r="F13" s="11">
        <v>1</v>
      </c>
      <c r="G13" s="86" t="s">
        <v>43</v>
      </c>
      <c r="H13" s="12"/>
      <c r="I13" s="12" t="b">
        <v>1</v>
      </c>
      <c r="J13" s="12" t="b">
        <v>1</v>
      </c>
      <c r="K13" s="25" t="s">
        <v>2357</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2360</v>
      </c>
      <c r="C14" s="12" t="s">
        <v>2361</v>
      </c>
      <c r="D14" s="12" t="s">
        <v>2362</v>
      </c>
      <c r="E14" s="11">
        <v>1</v>
      </c>
      <c r="F14" s="11">
        <v>1</v>
      </c>
      <c r="G14" s="86" t="s">
        <v>43</v>
      </c>
      <c r="H14" s="12"/>
      <c r="I14" s="12" t="b">
        <v>1</v>
      </c>
      <c r="J14" s="12" t="b">
        <v>1</v>
      </c>
      <c r="K14" s="25" t="s">
        <v>2360</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2363</v>
      </c>
      <c r="E20" s="11">
        <v>1</v>
      </c>
      <c r="F20" s="11">
        <v>1</v>
      </c>
      <c r="G20" s="86" t="s">
        <v>43</v>
      </c>
      <c r="H20" s="12"/>
      <c r="I20" s="12" t="b">
        <v>1</v>
      </c>
      <c r="J20" s="12" t="b">
        <v>0</v>
      </c>
      <c r="K20" t="s">
        <v>2216</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2364</v>
      </c>
      <c r="E21" s="11">
        <v>1</v>
      </c>
      <c r="F21" s="11">
        <v>1</v>
      </c>
      <c r="G21" s="86" t="s">
        <v>43</v>
      </c>
      <c r="H21" s="12"/>
      <c r="I21" s="12" t="b">
        <v>1</v>
      </c>
      <c r="J21" s="12" t="b">
        <v>0</v>
      </c>
      <c r="K21" t="s">
        <v>2217</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2365</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2366</v>
      </c>
      <c r="D3" s="47" t="s">
        <v>1473</v>
      </c>
      <c r="E3" s="71" t="str">
        <f>$C$1&amp;B14</f>
        <v>http://hl7.eu/fhir/ig/idea4rc/StructureDefinition/OtherTreatment</v>
      </c>
    </row>
    <row r="4" spans="1:19" x14ac:dyDescent="0.75">
      <c r="B4" s="47" t="s">
        <v>16</v>
      </c>
      <c r="C4" s="28" t="s">
        <v>2366</v>
      </c>
      <c r="D4" s="47" t="s">
        <v>1474</v>
      </c>
      <c r="E4" s="151" t="s">
        <v>1822</v>
      </c>
      <c r="F4" s="159"/>
      <c r="G4" s="159"/>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http://hl7.eu/fhir/ig/idea4rc/StructureDefinition/MedicationAdministration-eu-i4rc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2334</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2311</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2080</v>
      </c>
      <c r="J7" s="119" t="s">
        <v>2081</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2374</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2229</v>
      </c>
      <c r="C35" s="11" t="s">
        <v>2233</v>
      </c>
      <c r="D35" s="12" t="s">
        <v>2233</v>
      </c>
      <c r="E35" s="11">
        <v>1</v>
      </c>
      <c r="F35" s="11">
        <v>1</v>
      </c>
      <c r="G35" s="98" t="s">
        <v>1</v>
      </c>
      <c r="H35" s="6"/>
      <c r="I35" s="12" t="b">
        <v>0</v>
      </c>
      <c r="J35" s="12" t="b">
        <v>1</v>
      </c>
      <c r="K35" t="s">
        <v>2229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2239</v>
      </c>
      <c r="C36" s="11" t="s">
        <v>2233</v>
      </c>
      <c r="D36" s="12" t="s">
        <v>2234</v>
      </c>
      <c r="E36" s="11">
        <v>0</v>
      </c>
      <c r="F36" s="11">
        <v>1</v>
      </c>
      <c r="G36" s="98" t="s">
        <v>43</v>
      </c>
      <c r="H36" s="11"/>
      <c r="I36" s="12" t="b">
        <v>0</v>
      </c>
      <c r="J36" s="12" t="b">
        <v>1</v>
      </c>
      <c r="K36" t="s">
        <v>2230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2240</v>
      </c>
      <c r="C37" s="11" t="s">
        <v>2233</v>
      </c>
      <c r="D37" s="12" t="s">
        <v>2235</v>
      </c>
      <c r="E37" s="11">
        <v>0</v>
      </c>
      <c r="F37" s="11">
        <v>1</v>
      </c>
      <c r="G37" s="98" t="s">
        <v>43</v>
      </c>
      <c r="H37" s="11"/>
      <c r="I37" s="12" t="b">
        <v>0</v>
      </c>
      <c r="J37" s="12" t="b">
        <v>1</v>
      </c>
      <c r="K37" t="s">
        <v>2231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2232</v>
      </c>
      <c r="C38" s="11" t="s">
        <v>2236</v>
      </c>
      <c r="D38" s="12" t="s">
        <v>2237</v>
      </c>
      <c r="E38" s="11">
        <v>0</v>
      </c>
      <c r="F38" s="11">
        <v>1</v>
      </c>
      <c r="G38" s="11" t="s">
        <v>1468</v>
      </c>
      <c r="H38" s="12" t="s">
        <v>2238</v>
      </c>
      <c r="I38" s="12" t="b">
        <v>0</v>
      </c>
      <c r="J38" s="12" t="b">
        <v>1</v>
      </c>
      <c r="K38" t="s">
        <v>2232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http://hl7.eu/fhir/ig/idea4rc/StructureDefinition/RadiotherapyI4rc</v>
      </c>
      <c r="F6" s="152"/>
      <c r="G6" s="152"/>
    </row>
    <row r="7" spans="1:19" x14ac:dyDescent="0.75">
      <c r="B7" s="47" t="s">
        <v>15</v>
      </c>
      <c r="C7" s="72"/>
      <c r="D7" s="47" t="s">
        <v>1476</v>
      </c>
      <c r="E7" s="151" t="str">
        <f>E4</f>
        <v>http://hl7.eu/fhir/ig/idea4rc/StructureDefinition/Procedure-radiotheraphy-eu-i4rc</v>
      </c>
      <c r="F7" s="152"/>
      <c r="G7" s="152"/>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2373</v>
      </c>
      <c r="E16" s="12"/>
      <c r="F16" s="49" t="s">
        <v>1294</v>
      </c>
      <c r="G16" s="76" t="s">
        <v>2370</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2335</v>
      </c>
      <c r="E17" s="12"/>
      <c r="F17" s="49" t="s">
        <v>1294</v>
      </c>
      <c r="G17" s="76" t="s">
        <v>2336</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2337</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2338</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2338</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2338</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2338</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2338</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2340</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2338</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2338</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2338</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2338</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2338</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2339</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2277</v>
      </c>
      <c r="L6" s="17" t="str">
        <f>CONCATENATE("Title: ##34#",B6,"##34#")</f>
        <v>Title: ##34#Other Local Treatment##34#</v>
      </c>
    </row>
    <row r="7" spans="1:18" x14ac:dyDescent="0.75">
      <c r="A7" s="26" t="s">
        <v>2</v>
      </c>
      <c r="B7" s="30" t="s">
        <v>2277</v>
      </c>
      <c r="C7" s="9" t="s">
        <v>3</v>
      </c>
      <c r="D7" s="1" t="s">
        <v>4</v>
      </c>
      <c r="E7" s="3" t="s">
        <v>5</v>
      </c>
      <c r="F7" s="3" t="s">
        <v>6</v>
      </c>
      <c r="G7" s="3" t="s">
        <v>7</v>
      </c>
      <c r="H7" s="64" t="s">
        <v>1384</v>
      </c>
      <c r="I7" s="119" t="s">
        <v>2080</v>
      </c>
      <c r="J7" s="119" t="s">
        <v>2081</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2267</v>
      </c>
      <c r="D9" s="12" t="s">
        <v>2268</v>
      </c>
      <c r="E9" s="12">
        <v>1</v>
      </c>
      <c r="F9" s="12">
        <v>1</v>
      </c>
      <c r="G9" s="12" t="s">
        <v>1468</v>
      </c>
      <c r="H9" s="12" t="s">
        <v>2269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2272</v>
      </c>
      <c r="D12" s="12" t="s">
        <v>1654</v>
      </c>
      <c r="E12" s="12">
        <v>0</v>
      </c>
      <c r="F12" s="12">
        <v>1</v>
      </c>
      <c r="G12" s="12" t="s">
        <v>1468</v>
      </c>
      <c r="H12" s="12" t="s">
        <v>2273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2350</v>
      </c>
      <c r="D3" s="47" t="s">
        <v>1473</v>
      </c>
      <c r="E3" s="71" t="str">
        <f>$C$1&amp;B14</f>
        <v>http://hl7.eu/fhir/ig/idea4rc/StructureDefinition/OtherTreatment</v>
      </c>
    </row>
    <row r="4" spans="1:19" x14ac:dyDescent="0.75">
      <c r="B4" s="47" t="s">
        <v>16</v>
      </c>
      <c r="C4" s="28" t="s">
        <v>2350</v>
      </c>
      <c r="D4" s="47" t="s">
        <v>1474</v>
      </c>
      <c r="E4" s="160" t="s">
        <v>2348</v>
      </c>
      <c r="F4" s="152"/>
      <c r="G4" s="152"/>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http://hl7.eu/fhir/ig/idea4rc/StructureDefinition/Procedure-otherTreatment-eu-i4rc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2341</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2349</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2080</v>
      </c>
      <c r="J7" s="119" t="s">
        <v>2081</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2242</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2241</v>
      </c>
      <c r="C10" s="11" t="s">
        <v>1865</v>
      </c>
      <c r="D10" s="11" t="s">
        <v>1866</v>
      </c>
      <c r="E10" s="11">
        <v>1</v>
      </c>
      <c r="F10" s="11">
        <v>1</v>
      </c>
      <c r="G10" s="11" t="s">
        <v>1468</v>
      </c>
      <c r="H10" s="11" t="s">
        <v>1867</v>
      </c>
      <c r="I10" s="12" t="b">
        <v>1</v>
      </c>
      <c r="J10" s="12" t="b">
        <v>1</v>
      </c>
      <c r="K10" s="25" t="s">
        <v>2241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http://hl7.eu/fhir/ig/idea4rc/StructureDefinition/TreatmentResponseI4rc</v>
      </c>
      <c r="F6" s="152"/>
      <c r="G6" s="152"/>
    </row>
    <row r="7" spans="1:19" x14ac:dyDescent="0.75">
      <c r="B7" s="47" t="s">
        <v>15</v>
      </c>
      <c r="C7" s="72"/>
      <c r="D7" s="47" t="s">
        <v>1476</v>
      </c>
      <c r="E7" s="151" t="str">
        <f>E4</f>
        <v>http://hl7.eu/fhir/ig/idea4rc/StructureDefinition/Procedure-radiotheraphy-eu-i4rc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2080</v>
      </c>
      <c r="J7" s="119" t="s">
        <v>2081</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61" t="s">
        <v>2342</v>
      </c>
      <c r="F4" s="162"/>
      <c r="G4" s="162"/>
    </row>
    <row r="5" spans="1:19" x14ac:dyDescent="0.75">
      <c r="B5" s="47" t="s">
        <v>10</v>
      </c>
      <c r="C5" s="7" t="s">
        <v>1802</v>
      </c>
      <c r="D5" s="47"/>
      <c r="E5" s="7"/>
    </row>
    <row r="6" spans="1:19" x14ac:dyDescent="0.75">
      <c r="B6" s="47" t="s">
        <v>18</v>
      </c>
      <c r="C6" s="41"/>
      <c r="D6" s="47" t="s">
        <v>1475</v>
      </c>
      <c r="E6" s="151" t="str">
        <f>E3</f>
        <v>http://hl7.eu/fhir/ig/idea4rc/StructureDefinition/AdverseEventI4rc</v>
      </c>
      <c r="F6" s="152"/>
      <c r="G6" s="152"/>
    </row>
    <row r="7" spans="1:19" x14ac:dyDescent="0.75">
      <c r="B7" s="47" t="s">
        <v>15</v>
      </c>
      <c r="C7" s="72"/>
      <c r="D7" s="47" t="s">
        <v>1476</v>
      </c>
      <c r="E7" s="151" t="str">
        <f>E4</f>
        <v>http://hl7.eu/fhir/ig/idea4rc/StructureDefinition/AdverseEvent-eu-i4rc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2343</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2344</v>
      </c>
      <c r="E16" s="12"/>
      <c r="F16" s="49" t="s">
        <v>1294</v>
      </c>
      <c r="G16" s="76" t="s">
        <v>2345</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2346</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2347</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1" t="s">
        <v>1625</v>
      </c>
      <c r="F4" s="152"/>
      <c r="G4" s="152"/>
    </row>
    <row r="5" spans="1:19" x14ac:dyDescent="0.75">
      <c r="B5" s="47" t="s">
        <v>10</v>
      </c>
      <c r="C5" s="7" t="s">
        <v>1640</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1" t="s">
        <v>1636</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1636</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1637</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1637</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2024-02-21T09:38:08Z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