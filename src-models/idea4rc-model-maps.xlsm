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68A9599C-901E-4DBF-9CE0-075EEF7AAF12}" xr6:coauthVersionLast="47" xr6:coauthVersionMax="47" xr10:uidLastSave="{00000000-0000-0000-0000-000000000000}"/>
  <bookViews>
    <workbookView xWindow="-90" yWindow="-21710" windowWidth="38620" windowHeight="21100" tabRatio="819" firstSheet="14" activeTab="2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44" l="1"/>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08" i="243" l="1"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Q16" i="178"/>
  <c r="S16" i="178" s="1" a="1"/>
  <c r="S16" i="178" s="1"/>
  <c r="B20" i="179" s="1"/>
  <c r="R16" i="178"/>
  <c r="Q17" i="178"/>
  <c r="R17" i="178"/>
  <c r="S17" i="178" s="1" a="1"/>
  <c r="S17" i="178" s="1"/>
  <c r="Q18" i="178"/>
  <c r="S18" i="178" s="1" a="1"/>
  <c r="S18" i="178" s="1"/>
  <c r="R18" i="178"/>
  <c r="Q19" i="178"/>
  <c r="R19" i="178"/>
  <c r="S19" i="178" s="1" a="1"/>
  <c r="S19" i="178" s="1"/>
  <c r="B23" i="179" s="1"/>
  <c r="Q20" i="178"/>
  <c r="S20" i="178" s="1" a="1"/>
  <c r="S20" i="178" s="1"/>
  <c r="B24" i="179" s="1"/>
  <c r="R20" i="178"/>
  <c r="Q21" i="178"/>
  <c r="R21" i="178"/>
  <c r="S21" i="178" s="1" a="1"/>
  <c r="S21" i="178" s="1"/>
  <c r="B25" i="179" s="1"/>
  <c r="Q22" i="178"/>
  <c r="S22" i="178" s="1" a="1"/>
  <c r="S22" i="178" s="1"/>
  <c r="R22" i="178"/>
  <c r="Q23" i="178"/>
  <c r="R23" i="178"/>
  <c r="S23" i="178" s="1" a="1"/>
  <c r="S23" i="178" s="1"/>
  <c r="B27" i="179" s="1"/>
  <c r="Q24" i="178"/>
  <c r="S24" i="178" s="1" a="1"/>
  <c r="S24" i="178" s="1"/>
  <c r="B28" i="179" s="1"/>
  <c r="R24" i="178"/>
  <c r="Q25" i="178"/>
  <c r="R25" i="178"/>
  <c r="S25" i="178" s="1" a="1"/>
  <c r="S25" i="178" s="1"/>
  <c r="Q26" i="178"/>
  <c r="S26" i="178" s="1" a="1"/>
  <c r="S26" i="178" s="1"/>
  <c r="R26" i="178"/>
  <c r="Q27" i="178"/>
  <c r="R27" i="178"/>
  <c r="S27" i="178" s="1" a="1"/>
  <c r="S27" i="178" s="1"/>
  <c r="B31" i="179" s="1"/>
  <c r="Q28" i="178"/>
  <c r="S28" i="178" s="1" a="1"/>
  <c r="S28" i="178" s="1"/>
  <c r="B32" i="179" s="1"/>
  <c r="R28" i="178"/>
  <c r="Q29" i="178"/>
  <c r="R29" i="178"/>
  <c r="S29" i="178" s="1" a="1"/>
  <c r="S29" i="178" s="1"/>
  <c r="Q30" i="178"/>
  <c r="S30" i="178" s="1" a="1"/>
  <c r="S30" i="178" s="1"/>
  <c r="R30" i="178"/>
  <c r="Q31" i="178"/>
  <c r="R31" i="178"/>
  <c r="Q32" i="178"/>
  <c r="S32" i="178" s="1" a="1"/>
  <c r="S32" i="178" s="1"/>
  <c r="B36" i="179" s="1"/>
  <c r="R32" i="178"/>
  <c r="Q33" i="178"/>
  <c r="R33" i="178"/>
  <c r="Q34" i="178"/>
  <c r="S34" i="178" s="1" a="1"/>
  <c r="S34" i="178" s="1"/>
  <c r="R34" i="178"/>
  <c r="Q35" i="178"/>
  <c r="R35" i="178"/>
  <c r="Q36" i="178"/>
  <c r="S36" i="178" s="1" a="1"/>
  <c r="S36" i="178" s="1"/>
  <c r="B40" i="179" s="1"/>
  <c r="R36" i="178"/>
  <c r="Q37" i="178"/>
  <c r="R37" i="178"/>
  <c r="Q38" i="178"/>
  <c r="S38" i="178" s="1" a="1"/>
  <c r="S38" i="178" s="1"/>
  <c r="R38" i="178"/>
  <c r="Q39" i="178"/>
  <c r="R39" i="178"/>
  <c r="Q40" i="178"/>
  <c r="R40" i="178"/>
  <c r="Q41" i="178"/>
  <c r="R41" i="178"/>
  <c r="Q42" i="178"/>
  <c r="S42" i="178" s="1" a="1"/>
  <c r="S42" i="178" s="1"/>
  <c r="R42" i="178"/>
  <c r="Q43" i="178"/>
  <c r="R43" i="178"/>
  <c r="S43" i="178" a="1"/>
  <c r="S43" i="178" s="1"/>
  <c r="B47" i="179" s="1"/>
  <c r="Q44" i="178"/>
  <c r="R44" i="178"/>
  <c r="Q45" i="178"/>
  <c r="S45" i="178" s="1" a="1"/>
  <c r="S45" i="178" s="1"/>
  <c r="B49" i="179" s="1"/>
  <c r="R45" i="178"/>
  <c r="Q46" i="178"/>
  <c r="S46" i="178" s="1" a="1"/>
  <c r="S46" i="178" s="1"/>
  <c r="R46" i="178"/>
  <c r="Q47" i="178"/>
  <c r="R47" i="178"/>
  <c r="Q48" i="178"/>
  <c r="R48" i="178"/>
  <c r="Q49" i="178"/>
  <c r="R49" i="178"/>
  <c r="Q50" i="178"/>
  <c r="R50" i="178"/>
  <c r="Q51" i="178"/>
  <c r="R51" i="178"/>
  <c r="S51" i="178" a="1"/>
  <c r="S51" i="178" s="1"/>
  <c r="Q52" i="178"/>
  <c r="S52" i="178" s="1" a="1"/>
  <c r="S52" i="178" s="1"/>
  <c r="R52" i="178"/>
  <c r="Q53" i="178"/>
  <c r="S53" i="178" s="1" a="1"/>
  <c r="S53" i="178" s="1"/>
  <c r="B57" i="179" s="1"/>
  <c r="R53" i="178"/>
  <c r="Q54" i="178"/>
  <c r="R54" i="178"/>
  <c r="Q55" i="178"/>
  <c r="R55" i="178"/>
  <c r="S55" i="178" a="1"/>
  <c r="S55" i="178" s="1"/>
  <c r="Q56" i="178"/>
  <c r="R56" i="178"/>
  <c r="Q57" i="178"/>
  <c r="S57" i="178" s="1" a="1"/>
  <c r="S57" i="178" s="1"/>
  <c r="B61" i="179" s="1"/>
  <c r="R57" i="178"/>
  <c r="Q58" i="178"/>
  <c r="S58" i="178" s="1" a="1"/>
  <c r="S58" i="178" s="1"/>
  <c r="R58" i="178"/>
  <c r="Q59" i="178"/>
  <c r="R59" i="178"/>
  <c r="S59" i="178" a="1"/>
  <c r="S59" i="178" s="1"/>
  <c r="B63" i="179" s="1"/>
  <c r="Q60" i="178"/>
  <c r="S60" i="178" s="1" a="1"/>
  <c r="S60" i="178" s="1"/>
  <c r="B64" i="179" s="1"/>
  <c r="R60" i="178"/>
  <c r="Q61" i="178"/>
  <c r="S61" i="178" s="1" a="1"/>
  <c r="S61" i="178" s="1"/>
  <c r="B65" i="179" s="1"/>
  <c r="R61" i="178"/>
  <c r="Q62" i="178"/>
  <c r="R62" i="178"/>
  <c r="Q63" i="178"/>
  <c r="R63" i="178"/>
  <c r="S63" i="178" a="1"/>
  <c r="S63" i="178" s="1"/>
  <c r="Q64" i="178"/>
  <c r="S64" i="178" s="1" a="1"/>
  <c r="S64" i="178" s="1"/>
  <c r="B68" i="179" s="1"/>
  <c r="R64" i="178"/>
  <c r="Q65" i="178"/>
  <c r="R65" i="178"/>
  <c r="Q66" i="178"/>
  <c r="S66" i="178" s="1" a="1"/>
  <c r="S66" i="178" s="1"/>
  <c r="R66" i="178"/>
  <c r="Q67" i="178"/>
  <c r="R67" i="178"/>
  <c r="S67" i="178" a="1"/>
  <c r="S67" i="178" s="1"/>
  <c r="B71" i="179" s="1"/>
  <c r="Q68" i="178"/>
  <c r="S68" i="178" s="1" a="1"/>
  <c r="S68" i="178" s="1"/>
  <c r="B72" i="179" s="1"/>
  <c r="R68" i="178"/>
  <c r="Q69" i="178"/>
  <c r="S69" i="178" s="1" a="1"/>
  <c r="S69" i="178" s="1"/>
  <c r="B73" i="179" s="1"/>
  <c r="R69" i="178"/>
  <c r="Q70" i="178"/>
  <c r="R70" i="178"/>
  <c r="Q71" i="178"/>
  <c r="R71" i="178"/>
  <c r="S71" i="178" a="1"/>
  <c r="S71" i="178" s="1"/>
  <c r="Q72" i="178"/>
  <c r="S72" i="178" s="1" a="1"/>
  <c r="S72" i="178" s="1"/>
  <c r="B76" i="179" s="1"/>
  <c r="R72" i="178"/>
  <c r="Q73" i="178"/>
  <c r="S73" i="178" s="1" a="1"/>
  <c r="S73" i="178" s="1"/>
  <c r="R73" i="178"/>
  <c r="Q74" i="178"/>
  <c r="S74" i="178" s="1" a="1"/>
  <c r="S74" i="178" s="1"/>
  <c r="R74" i="178"/>
  <c r="Q75" i="178"/>
  <c r="R75" i="178"/>
  <c r="S75" i="178" a="1"/>
  <c r="S75" i="178" s="1"/>
  <c r="B79" i="179" s="1"/>
  <c r="Q76" i="178"/>
  <c r="S76" i="178" s="1" a="1"/>
  <c r="S76" i="178" s="1"/>
  <c r="B80" i="179"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B88" i="179" s="1"/>
  <c r="R84" i="178"/>
  <c r="Q85" i="178"/>
  <c r="R85" i="178"/>
  <c r="S85" i="178" a="1"/>
  <c r="S85" i="178" s="1"/>
  <c r="B89" i="179" s="1"/>
  <c r="Q86" i="178"/>
  <c r="R86" i="178"/>
  <c r="S86" i="178" a="1"/>
  <c r="S86" i="178" s="1"/>
  <c r="B90" i="179" s="1"/>
  <c r="Q87" i="178"/>
  <c r="R87" i="178"/>
  <c r="S87" i="178" s="1" a="1"/>
  <c r="S87" i="178" s="1"/>
  <c r="B91" i="179" s="1"/>
  <c r="Q88" i="178"/>
  <c r="S88" i="178" s="1" a="1"/>
  <c r="S88" i="178" s="1"/>
  <c r="B92" i="179" s="1"/>
  <c r="R88" i="178"/>
  <c r="Q89" i="178"/>
  <c r="S89" i="178" s="1" a="1"/>
  <c r="S89" i="178" s="1"/>
  <c r="B93" i="179"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B100" i="179"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B107" i="179" s="1"/>
  <c r="Q104" i="178"/>
  <c r="S104" i="178" s="1" a="1"/>
  <c r="S104" i="178" s="1"/>
  <c r="B108" i="179" s="1"/>
  <c r="R104" i="178"/>
  <c r="Q105" i="178"/>
  <c r="S105" i="178" s="1" a="1"/>
  <c r="S105" i="178" s="1"/>
  <c r="B109" i="179"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B115" i="179" s="1"/>
  <c r="R111" i="178"/>
  <c r="Q112" i="178"/>
  <c r="R112" i="178"/>
  <c r="S112" i="178" s="1" a="1"/>
  <c r="S112" i="178" s="1"/>
  <c r="B116" i="179"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B125" i="179"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B132" i="179" s="1"/>
  <c r="Q129" i="178"/>
  <c r="S129" i="178" s="1" a="1"/>
  <c r="S129" i="178" s="1"/>
  <c r="B133" i="179"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s="1"/>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B141" i="179"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B148" i="179"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B156" i="179" s="1"/>
  <c r="R152" i="178"/>
  <c r="Q153" i="178"/>
  <c r="S153" i="178" s="1" a="1"/>
  <c r="S153" i="178" s="1"/>
  <c r="B157" i="179"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S159" i="178" s="1"/>
  <c r="B163" i="179" s="1"/>
  <c r="R159" i="178"/>
  <c r="Q160" i="178"/>
  <c r="R160" i="178"/>
  <c r="S160" i="178" s="1" a="1"/>
  <c r="S160" i="178" s="1"/>
  <c r="B164" i="179" s="1"/>
  <c r="Q161" i="178"/>
  <c r="S161" i="178" s="1" a="1"/>
  <c r="S161" i="178" s="1"/>
  <c r="B165" i="179"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s="1"/>
  <c r="B169" i="179" s="1"/>
  <c r="Q166" i="178"/>
  <c r="R166" i="178"/>
  <c r="S166" i="178" a="1"/>
  <c r="S166" i="178" s="1"/>
  <c r="B170" i="179" s="1"/>
  <c r="Q167" i="178"/>
  <c r="R167" i="178"/>
  <c r="S167" i="178" s="1" a="1"/>
  <c r="S167" i="178" s="1"/>
  <c r="B171" i="179" s="1"/>
  <c r="Q168" i="178"/>
  <c r="S168" i="178" s="1" a="1"/>
  <c r="S168" i="178" s="1"/>
  <c r="B172" i="179" s="1"/>
  <c r="R168" i="178"/>
  <c r="Q169" i="178"/>
  <c r="S169" i="178" s="1" a="1"/>
  <c r="S169" i="178" s="1"/>
  <c r="B173" i="179"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S175" i="178" s="1"/>
  <c r="B179" i="179" s="1"/>
  <c r="R175" i="178"/>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B188" i="179" s="1"/>
  <c r="R184" i="178"/>
  <c r="Q185" i="178"/>
  <c r="S185" i="178" s="1" a="1"/>
  <c r="S185" i="178" s="1"/>
  <c r="B189" i="179"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B196" i="179" s="1"/>
  <c r="R192" i="178"/>
  <c r="Q193" i="178"/>
  <c r="S193" i="178" s="1" a="1"/>
  <c r="S193" i="178" s="1"/>
  <c r="B197" i="179"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B204" i="179" s="1"/>
  <c r="Q201" i="178"/>
  <c r="S201" i="178" s="1" a="1"/>
  <c r="S201" i="178" s="1"/>
  <c r="B205" i="179"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B212" i="179"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B221" i="179"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B228" i="179" s="1"/>
  <c r="R224" i="178"/>
  <c r="Q225" i="178"/>
  <c r="R225" i="178"/>
  <c r="S225" i="178" s="1" a="1"/>
  <c r="S225" i="178" s="1"/>
  <c r="B229" i="179"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B236" i="179"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B245" i="179"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B252" i="179" s="1"/>
  <c r="R248" i="178"/>
  <c r="Q249" i="178"/>
  <c r="R249" i="178"/>
  <c r="S249" i="178" s="1" a="1"/>
  <c r="S249" i="178" s="1"/>
  <c r="B253" i="179"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B260" i="179" s="1"/>
  <c r="R256" i="178"/>
  <c r="Q257" i="178"/>
  <c r="R257" i="178"/>
  <c r="S257" i="178" a="1"/>
  <c r="S257" i="178" s="1"/>
  <c r="B261" i="179"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B268" i="179" s="1"/>
  <c r="Q265" i="178"/>
  <c r="S265" i="178" s="1" a="1"/>
  <c r="S265" i="178" s="1"/>
  <c r="B269" i="179"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B277" i="179"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B284" i="179" s="1"/>
  <c r="Q281" i="178"/>
  <c r="S281" i="178" s="1" a="1"/>
  <c r="S281" i="178" s="1"/>
  <c r="B285" i="179"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B292" i="179" s="1"/>
  <c r="R288" i="178"/>
  <c r="Q289" i="178"/>
  <c r="R289" i="178"/>
  <c r="S289" i="178" a="1"/>
  <c r="S289" i="178" s="1"/>
  <c r="B293" i="179"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B300" i="179" s="1"/>
  <c r="Q297" i="178"/>
  <c r="S297" i="178" s="1" a="1"/>
  <c r="S297" i="178" s="1"/>
  <c r="B301" i="179"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S47" i="178" s="1" a="1"/>
  <c r="S47" i="178" s="1"/>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9" i="179"/>
  <c r="B30" i="179"/>
  <c r="B33" i="179"/>
  <c r="B34" i="179"/>
  <c r="B42" i="179"/>
  <c r="B46" i="179"/>
  <c r="B56" i="179"/>
  <c r="B70" i="179"/>
  <c r="B77" i="179"/>
  <c r="B81" i="179"/>
  <c r="B21" i="179"/>
  <c r="B22" i="179"/>
  <c r="B26"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50" i="178" l="1" a="1"/>
  <c r="S50" i="178" s="1"/>
  <c r="S44" i="178" a="1"/>
  <c r="S44" i="178" s="1"/>
  <c r="B48" i="179" s="1"/>
  <c r="S41" i="178" a="1"/>
  <c r="S41" i="178" s="1"/>
  <c r="B45" i="179" s="1"/>
  <c r="S35" i="178" a="1"/>
  <c r="S35" i="178" s="1"/>
  <c r="B39" i="179"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62" i="178" a="1"/>
  <c r="S62" i="178" s="1"/>
  <c r="B66" i="179"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7" i="195"/>
  <c r="C58" i="195"/>
  <c r="C54" i="195"/>
  <c r="C40" i="195"/>
  <c r="C42" i="195"/>
  <c r="C43" i="195"/>
  <c r="C39" i="195"/>
  <c r="C52" i="195"/>
  <c r="C53" i="195"/>
  <c r="C51" i="195"/>
  <c r="C37" i="195"/>
  <c r="C38" i="195"/>
  <c r="C36" i="195"/>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R22" i="241" l="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E3" i="196"/>
  <c r="B14" i="198" s="1"/>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E3" i="213" l="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<sst xmlns="http://schemas.openxmlformats.org/spreadsheetml/2006/main" count="7076" uniqueCount="2428">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</sst>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0" fillId="0" borderId="2" xfId="0" applyFill="1" applyBorder="1"/>
    <xf numFmtId="0" fontId="0" fillId="0" borderId="1" xfId="0" applyFill="1" applyBorder="1"/>
    <xf numFmtId="49" fontId="0" fillId="0" borderId="1" xfId="0" quotePrefix="1" applyNumberFormat="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39"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0" t="s">
        <v>2084</v>
      </c>
      <c r="J7" s="120" t="s">
        <v>2085</v>
      </c>
      <c r="L7" s="17" t="str">
        <f>CONCATENATE("Description: "," ##334#",B7,"##334#",)</f>
        <v>Description:  ##334#Subject of care 
Maturity Level: 0 Draft##334#</v>
      </c>
    </row>
    <row r="8" spans="1:18" ht="59" x14ac:dyDescent="0.75">
      <c r="A8" s="103">
        <v>0</v>
      </c>
      <c r="B8" s="157" t="s">
        <v>1520</v>
      </c>
      <c r="C8" s="2" t="s">
        <v>78</v>
      </c>
      <c r="D8" s="2" t="s">
        <v>23</v>
      </c>
      <c r="E8" s="3">
        <v>1</v>
      </c>
      <c r="F8" s="3">
        <v>1</v>
      </c>
      <c r="G8" s="104"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58" t="s">
        <v>1521</v>
      </c>
      <c r="C9" s="12" t="s">
        <v>24</v>
      </c>
      <c r="D9" s="12" t="s">
        <v>25</v>
      </c>
      <c r="E9" s="11">
        <v>1</v>
      </c>
      <c r="F9" s="11">
        <v>1</v>
      </c>
      <c r="G9" s="67" t="s">
        <v>1468</v>
      </c>
      <c r="H9" s="121"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58" t="s">
        <v>1522</v>
      </c>
      <c r="C10" s="12" t="s">
        <v>1436</v>
      </c>
      <c r="D10" s="12" t="s">
        <v>26</v>
      </c>
      <c r="E10" s="11">
        <v>1</v>
      </c>
      <c r="F10" s="11">
        <v>1</v>
      </c>
      <c r="G10" s="67" t="s">
        <v>1468</v>
      </c>
      <c r="H10" s="121"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58" t="s">
        <v>1523</v>
      </c>
      <c r="C11" s="12" t="s">
        <v>27</v>
      </c>
      <c r="D11" s="12" t="s">
        <v>28</v>
      </c>
      <c r="E11" s="11">
        <v>1</v>
      </c>
      <c r="F11" s="11">
        <v>1</v>
      </c>
      <c r="G11" s="67" t="s">
        <v>1468</v>
      </c>
      <c r="H11" s="121" t="s">
        <v>1987</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58" t="s">
        <v>1524</v>
      </c>
      <c r="C12" s="12" t="s">
        <v>29</v>
      </c>
      <c r="D12" s="12" t="s">
        <v>1437</v>
      </c>
      <c r="E12" s="11">
        <v>0</v>
      </c>
      <c r="F12" s="11">
        <v>1</v>
      </c>
      <c r="G12" s="67" t="s">
        <v>1468</v>
      </c>
      <c r="H12" s="121"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58" t="s">
        <v>1525</v>
      </c>
      <c r="C13" s="12" t="s">
        <v>30</v>
      </c>
      <c r="D13" s="12" t="s">
        <v>1438</v>
      </c>
      <c r="E13" s="11">
        <v>0</v>
      </c>
      <c r="F13" s="11">
        <v>1</v>
      </c>
      <c r="G13" s="67" t="s">
        <v>1383</v>
      </c>
      <c r="H13" s="121"/>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58" t="s">
        <v>1526</v>
      </c>
      <c r="C14" s="12" t="s">
        <v>31</v>
      </c>
      <c r="D14" s="12" t="s">
        <v>32</v>
      </c>
      <c r="E14" s="11">
        <v>0</v>
      </c>
      <c r="F14" s="11">
        <v>1</v>
      </c>
      <c r="G14" s="67" t="s">
        <v>1383</v>
      </c>
      <c r="H14" s="121"/>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58" t="s">
        <v>1527</v>
      </c>
      <c r="C15" s="11" t="s">
        <v>33</v>
      </c>
      <c r="D15" s="11" t="s">
        <v>34</v>
      </c>
      <c r="E15" s="11">
        <v>1</v>
      </c>
      <c r="F15" s="11">
        <v>1</v>
      </c>
      <c r="G15" s="67" t="s">
        <v>1468</v>
      </c>
      <c r="H15" s="121" t="s">
        <v>1988</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1937</v>
      </c>
      <c r="C16" s="11" t="s">
        <v>1938</v>
      </c>
      <c r="D16" s="11" t="s">
        <v>1939</v>
      </c>
      <c r="E16" s="11">
        <v>0</v>
      </c>
      <c r="F16" s="11">
        <v>1</v>
      </c>
      <c r="G16" s="67" t="s">
        <v>1993</v>
      </c>
      <c r="H16" s="121"/>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1940</v>
      </c>
      <c r="C17" s="11" t="s">
        <v>1941</v>
      </c>
      <c r="D17" s="11" t="s">
        <v>1942</v>
      </c>
      <c r="E17" s="11">
        <v>0</v>
      </c>
      <c r="F17" s="11">
        <v>1</v>
      </c>
      <c r="G17" s="67" t="s">
        <v>1383</v>
      </c>
      <c r="H17" s="121"/>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1501</v>
      </c>
      <c r="C18" s="4" t="s">
        <v>35</v>
      </c>
      <c r="D18" s="4" t="s">
        <v>2091</v>
      </c>
      <c r="E18" s="6">
        <v>1</v>
      </c>
      <c r="F18" s="6">
        <v>1</v>
      </c>
      <c r="G18" s="4" t="s">
        <v>1</v>
      </c>
      <c r="H18" s="121"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58" t="s">
        <v>1507</v>
      </c>
      <c r="C19" s="12" t="s">
        <v>36</v>
      </c>
      <c r="D19" s="69" t="s">
        <v>37</v>
      </c>
      <c r="E19" s="11">
        <v>0</v>
      </c>
      <c r="F19" s="11">
        <v>1</v>
      </c>
      <c r="G19" s="67" t="s">
        <v>44</v>
      </c>
      <c r="H19" s="121"/>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58" t="s">
        <v>1512</v>
      </c>
      <c r="C20" s="12" t="s">
        <v>1439</v>
      </c>
      <c r="D20" s="67" t="s">
        <v>1945</v>
      </c>
      <c r="E20" s="11">
        <v>0</v>
      </c>
      <c r="F20" s="11">
        <v>1</v>
      </c>
      <c r="G20" s="67" t="s">
        <v>44</v>
      </c>
      <c r="H20" s="121"/>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58" t="s">
        <v>1517</v>
      </c>
      <c r="C21" s="12" t="s">
        <v>1440</v>
      </c>
      <c r="D21" s="67" t="s">
        <v>1946</v>
      </c>
      <c r="E21" s="11">
        <v>0</v>
      </c>
      <c r="F21" s="11">
        <v>1</v>
      </c>
      <c r="G21" s="67" t="s">
        <v>44</v>
      </c>
      <c r="H21" s="121"/>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1513</v>
      </c>
      <c r="C22" s="12" t="s">
        <v>1441</v>
      </c>
      <c r="D22" s="67" t="s">
        <v>1947</v>
      </c>
      <c r="E22" s="11">
        <v>0</v>
      </c>
      <c r="F22" s="11">
        <v>1</v>
      </c>
      <c r="G22" s="67" t="s">
        <v>44</v>
      </c>
      <c r="H22" s="121"/>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58" t="s">
        <v>1504</v>
      </c>
      <c r="C23" s="12" t="s">
        <v>1442</v>
      </c>
      <c r="D23" s="67" t="s">
        <v>1948</v>
      </c>
      <c r="E23" s="11">
        <v>0</v>
      </c>
      <c r="F23" s="11">
        <v>1</v>
      </c>
      <c r="G23" s="67" t="s">
        <v>44</v>
      </c>
      <c r="H23" s="121"/>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58" t="s">
        <v>1514</v>
      </c>
      <c r="C24" s="12" t="s">
        <v>1443</v>
      </c>
      <c r="D24" s="67" t="s">
        <v>1949</v>
      </c>
      <c r="E24" s="11">
        <v>0</v>
      </c>
      <c r="F24" s="11">
        <v>1</v>
      </c>
      <c r="G24" s="67" t="s">
        <v>44</v>
      </c>
      <c r="H24" s="121"/>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58" t="s">
        <v>1515</v>
      </c>
      <c r="C25" s="12" t="s">
        <v>1444</v>
      </c>
      <c r="D25" s="67" t="s">
        <v>1950</v>
      </c>
      <c r="E25" s="11">
        <v>0</v>
      </c>
      <c r="F25" s="11">
        <v>1</v>
      </c>
      <c r="G25" s="67" t="s">
        <v>44</v>
      </c>
      <c r="H25" s="121"/>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58" t="s">
        <v>1516</v>
      </c>
      <c r="C26" s="12" t="s">
        <v>1445</v>
      </c>
      <c r="D26" s="67" t="s">
        <v>1951</v>
      </c>
      <c r="E26" s="11">
        <v>0</v>
      </c>
      <c r="F26" s="11">
        <v>1</v>
      </c>
      <c r="G26" s="67" t="s">
        <v>44</v>
      </c>
      <c r="H26" s="121"/>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58" t="s">
        <v>1508</v>
      </c>
      <c r="C27" s="12" t="s">
        <v>1446</v>
      </c>
      <c r="D27" s="67" t="s">
        <v>1952</v>
      </c>
      <c r="E27" s="11">
        <v>0</v>
      </c>
      <c r="F27" s="11">
        <v>1</v>
      </c>
      <c r="G27" s="67" t="s">
        <v>44</v>
      </c>
      <c r="H27" s="121"/>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58" t="s">
        <v>1509</v>
      </c>
      <c r="C28" s="12" t="s">
        <v>1447</v>
      </c>
      <c r="D28" s="67" t="s">
        <v>1953</v>
      </c>
      <c r="E28" s="11">
        <v>0</v>
      </c>
      <c r="F28" s="11">
        <v>1</v>
      </c>
      <c r="G28" s="67" t="s">
        <v>44</v>
      </c>
      <c r="H28" s="121"/>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1505</v>
      </c>
      <c r="C29" s="12" t="s">
        <v>1448</v>
      </c>
      <c r="D29" s="67" t="s">
        <v>1954</v>
      </c>
      <c r="E29" s="11">
        <v>0</v>
      </c>
      <c r="F29" s="11">
        <v>1</v>
      </c>
      <c r="G29" s="67" t="s">
        <v>44</v>
      </c>
      <c r="H29" s="121"/>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58" t="s">
        <v>1506</v>
      </c>
      <c r="C30" s="12" t="s">
        <v>1449</v>
      </c>
      <c r="D30" s="67" t="s">
        <v>1955</v>
      </c>
      <c r="E30" s="11">
        <v>0</v>
      </c>
      <c r="F30" s="11">
        <v>1</v>
      </c>
      <c r="G30" s="67" t="s">
        <v>44</v>
      </c>
      <c r="H30" s="121"/>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58" t="s">
        <v>1502</v>
      </c>
      <c r="C31" s="12" t="s">
        <v>1450</v>
      </c>
      <c r="D31" s="67" t="s">
        <v>1956</v>
      </c>
      <c r="E31" s="11">
        <v>0</v>
      </c>
      <c r="F31" s="11">
        <v>1</v>
      </c>
      <c r="G31" s="67" t="s">
        <v>44</v>
      </c>
      <c r="H31" s="121"/>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58" t="s">
        <v>1510</v>
      </c>
      <c r="C32" s="12" t="s">
        <v>1451</v>
      </c>
      <c r="D32" s="67" t="s">
        <v>1957</v>
      </c>
      <c r="E32" s="11">
        <v>0</v>
      </c>
      <c r="F32" s="11">
        <v>1</v>
      </c>
      <c r="G32" s="67" t="s">
        <v>44</v>
      </c>
      <c r="H32" s="121"/>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1518</v>
      </c>
      <c r="C33" s="12" t="s">
        <v>1452</v>
      </c>
      <c r="D33" s="67" t="s">
        <v>1958</v>
      </c>
      <c r="E33" s="11">
        <v>0</v>
      </c>
      <c r="F33" s="11">
        <v>1</v>
      </c>
      <c r="G33" s="67" t="s">
        <v>44</v>
      </c>
      <c r="H33" s="121"/>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58" t="s">
        <v>1511</v>
      </c>
      <c r="C34" s="12" t="s">
        <v>1453</v>
      </c>
      <c r="D34" s="67" t="s">
        <v>1959</v>
      </c>
      <c r="E34" s="11">
        <v>0</v>
      </c>
      <c r="F34" s="11">
        <v>1</v>
      </c>
      <c r="G34" s="67" t="s">
        <v>44</v>
      </c>
      <c r="H34" s="121"/>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58" t="s">
        <v>1503</v>
      </c>
      <c r="C35" s="12" t="s">
        <v>1454</v>
      </c>
      <c r="D35" s="67" t="s">
        <v>1960</v>
      </c>
      <c r="E35" s="11">
        <v>0</v>
      </c>
      <c r="F35" s="11">
        <v>1</v>
      </c>
      <c r="G35" s="67" t="s">
        <v>44</v>
      </c>
      <c r="H35" s="121"/>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1943</v>
      </c>
      <c r="C36" s="12" t="s">
        <v>1961</v>
      </c>
      <c r="D36" s="67" t="s">
        <v>1962</v>
      </c>
      <c r="E36" s="11">
        <v>0</v>
      </c>
      <c r="F36" s="11">
        <v>1</v>
      </c>
      <c r="G36" s="67" t="s">
        <v>44</v>
      </c>
      <c r="H36" s="121"/>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1944</v>
      </c>
      <c r="C37" s="12" t="s">
        <v>1963</v>
      </c>
      <c r="D37" s="67" t="s">
        <v>1964</v>
      </c>
      <c r="E37" s="11">
        <v>0</v>
      </c>
      <c r="F37" s="11">
        <v>1</v>
      </c>
      <c r="G37" s="67" t="s">
        <v>44</v>
      </c>
      <c r="H37" s="121"/>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58" t="s">
        <v>1519</v>
      </c>
      <c r="C38" s="12" t="s">
        <v>1455</v>
      </c>
      <c r="D38" s="67" t="s">
        <v>1965</v>
      </c>
      <c r="E38" s="11">
        <v>0</v>
      </c>
      <c r="F38" s="11">
        <v>1</v>
      </c>
      <c r="G38" s="67" t="s">
        <v>44</v>
      </c>
      <c r="H38" s="121"/>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1528</v>
      </c>
      <c r="C39" s="12" t="s">
        <v>38</v>
      </c>
      <c r="D39" s="12" t="s">
        <v>38</v>
      </c>
      <c r="E39" s="11">
        <v>0</v>
      </c>
      <c r="F39" s="11">
        <v>1</v>
      </c>
      <c r="G39" s="67" t="s">
        <v>1468</v>
      </c>
      <c r="H39" s="121" t="s">
        <v>1989</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1529</v>
      </c>
      <c r="C40" s="12" t="s">
        <v>39</v>
      </c>
      <c r="D40" s="12" t="s">
        <v>39</v>
      </c>
      <c r="E40" s="11">
        <v>0</v>
      </c>
      <c r="F40" s="11">
        <v>1</v>
      </c>
      <c r="G40" s="67" t="s">
        <v>1468</v>
      </c>
      <c r="H40" s="121" t="s">
        <v>1990</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1966</v>
      </c>
      <c r="C41" s="11" t="s">
        <v>1967</v>
      </c>
      <c r="D41" s="12" t="s">
        <v>2090</v>
      </c>
      <c r="E41" s="11">
        <v>1</v>
      </c>
      <c r="F41" s="11">
        <v>1</v>
      </c>
      <c r="G41" s="11" t="s">
        <v>1</v>
      </c>
      <c r="H41" s="121"/>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5" t="s">
        <v>2092</v>
      </c>
      <c r="C42" s="11" t="s">
        <v>1968</v>
      </c>
      <c r="D42" s="11" t="s">
        <v>1968</v>
      </c>
      <c r="E42" s="11">
        <v>1</v>
      </c>
      <c r="F42" s="11">
        <v>1</v>
      </c>
      <c r="G42" s="11" t="s">
        <v>44</v>
      </c>
      <c r="H42" s="121"/>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5" t="s">
        <v>2093</v>
      </c>
      <c r="C43" s="11" t="s">
        <v>1969</v>
      </c>
      <c r="D43" s="11" t="s">
        <v>1969</v>
      </c>
      <c r="E43" s="11">
        <v>1</v>
      </c>
      <c r="F43" s="11">
        <v>1</v>
      </c>
      <c r="G43" s="11" t="s">
        <v>44</v>
      </c>
      <c r="H43" s="121"/>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5" t="s">
        <v>2094</v>
      </c>
      <c r="C44" s="11" t="s">
        <v>1970</v>
      </c>
      <c r="D44" s="11" t="s">
        <v>1970</v>
      </c>
      <c r="E44" s="11">
        <v>1</v>
      </c>
      <c r="F44" s="11">
        <v>1</v>
      </c>
      <c r="G44" s="11" t="s">
        <v>44</v>
      </c>
      <c r="H44" s="121"/>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5" t="s">
        <v>2095</v>
      </c>
      <c r="C45" s="11" t="s">
        <v>1971</v>
      </c>
      <c r="D45" s="11" t="s">
        <v>1971</v>
      </c>
      <c r="E45" s="11">
        <v>1</v>
      </c>
      <c r="F45" s="11">
        <v>1</v>
      </c>
      <c r="G45" s="11" t="s">
        <v>44</v>
      </c>
      <c r="H45" s="121"/>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5" t="s">
        <v>2096</v>
      </c>
      <c r="C46" s="11" t="s">
        <v>1972</v>
      </c>
      <c r="D46" s="11" t="s">
        <v>1972</v>
      </c>
      <c r="E46" s="11">
        <v>1</v>
      </c>
      <c r="F46" s="11">
        <v>1</v>
      </c>
      <c r="G46" s="11" t="s">
        <v>44</v>
      </c>
      <c r="H46" s="121"/>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5" t="s">
        <v>2097</v>
      </c>
      <c r="C47" s="11" t="s">
        <v>1973</v>
      </c>
      <c r="D47" s="11" t="s">
        <v>1986</v>
      </c>
      <c r="E47" s="11">
        <v>1</v>
      </c>
      <c r="F47" s="11">
        <v>1</v>
      </c>
      <c r="G47" s="11" t="s">
        <v>44</v>
      </c>
      <c r="H47" s="121"/>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5" t="s">
        <v>2098</v>
      </c>
      <c r="C48" s="11" t="s">
        <v>1974</v>
      </c>
      <c r="D48" s="11" t="s">
        <v>1974</v>
      </c>
      <c r="E48" s="11">
        <v>1</v>
      </c>
      <c r="F48" s="11">
        <v>1</v>
      </c>
      <c r="G48" s="11" t="s">
        <v>44</v>
      </c>
      <c r="H48" s="121"/>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5" t="s">
        <v>2099</v>
      </c>
      <c r="C49" s="11" t="s">
        <v>1975</v>
      </c>
      <c r="D49" s="11" t="s">
        <v>1975</v>
      </c>
      <c r="E49" s="11">
        <v>1</v>
      </c>
      <c r="F49" s="11">
        <v>1</v>
      </c>
      <c r="G49" s="11" t="s">
        <v>44</v>
      </c>
      <c r="H49" s="121"/>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5" t="s">
        <v>2100</v>
      </c>
      <c r="C50" s="11" t="s">
        <v>1976</v>
      </c>
      <c r="D50" s="11" t="s">
        <v>1976</v>
      </c>
      <c r="E50" s="11">
        <v>1</v>
      </c>
      <c r="F50" s="11">
        <v>1</v>
      </c>
      <c r="G50" s="11" t="s">
        <v>44</v>
      </c>
      <c r="H50" s="121"/>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5" t="s">
        <v>2101</v>
      </c>
      <c r="C51" s="11" t="s">
        <v>1977</v>
      </c>
      <c r="D51" s="11" t="s">
        <v>1977</v>
      </c>
      <c r="E51" s="11">
        <v>1</v>
      </c>
      <c r="F51" s="11">
        <v>1</v>
      </c>
      <c r="G51" s="11" t="s">
        <v>44</v>
      </c>
      <c r="H51" s="121"/>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5" t="s">
        <v>2102</v>
      </c>
      <c r="C52" s="11" t="s">
        <v>1978</v>
      </c>
      <c r="D52" s="11" t="s">
        <v>1978</v>
      </c>
      <c r="E52" s="11">
        <v>1</v>
      </c>
      <c r="F52" s="11">
        <v>1</v>
      </c>
      <c r="G52" s="11" t="s">
        <v>44</v>
      </c>
      <c r="H52" s="121"/>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1979</v>
      </c>
      <c r="C53" s="11" t="s">
        <v>1980</v>
      </c>
      <c r="D53" s="11" t="s">
        <v>2089</v>
      </c>
      <c r="E53" s="11">
        <v>1</v>
      </c>
      <c r="F53" s="11">
        <v>1</v>
      </c>
      <c r="G53" s="11" t="s">
        <v>44</v>
      </c>
      <c r="H53" s="121"/>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1981</v>
      </c>
      <c r="C54" s="11" t="s">
        <v>1982</v>
      </c>
      <c r="D54" s="11" t="s">
        <v>1982</v>
      </c>
      <c r="E54" s="11">
        <v>1</v>
      </c>
      <c r="F54" s="11">
        <v>1</v>
      </c>
      <c r="G54" s="11" t="s">
        <v>1468</v>
      </c>
      <c r="H54" s="121" t="s">
        <v>1991</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1983</v>
      </c>
      <c r="C55" s="11" t="s">
        <v>1984</v>
      </c>
      <c r="D55" s="11" t="s">
        <v>1985</v>
      </c>
      <c r="E55" s="11">
        <v>1</v>
      </c>
      <c r="F55" s="11">
        <v>1</v>
      </c>
      <c r="G55" s="11" t="s">
        <v>1994</v>
      </c>
      <c r="H55" s="121"/>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2" t="str">
        <f>Subject!P1</f>
        <v>// -------------------------------------------------------------------------------</v>
      </c>
    </row>
    <row r="116" spans="3:3" x14ac:dyDescent="0.75">
      <c r="C116" s="122" t="str">
        <f>Subject!P2</f>
        <v>// Obligations H&amp;N</v>
      </c>
    </row>
    <row r="117" spans="3:3" x14ac:dyDescent="0.75">
      <c r="C117" s="122"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2" t="str">
        <f>Subject!R1</f>
        <v>// -------------------------------------------------------------------------------</v>
      </c>
    </row>
    <row r="175" spans="3:3" x14ac:dyDescent="0.75">
      <c r="C175" s="122" t="str">
        <f>Subject!R2</f>
        <v>// Obligations Sarcoma</v>
      </c>
    </row>
    <row r="176" spans="3:3" x14ac:dyDescent="0.75">
      <c r="C176" s="122"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1533</v>
      </c>
      <c r="D3" s="47" t="s">
        <v>1473</v>
      </c>
      <c r="E3" s="71" t="str">
        <f>$C$1&amp;Subject!B5</f>
        <v>http://hl7.eu/fhir/ig/idea4rc/StructureDefinition/Subject</v>
      </c>
    </row>
    <row r="4" spans="1:19" x14ac:dyDescent="0.75">
      <c r="B4" s="47" t="s">
        <v>16</v>
      </c>
      <c r="C4" s="28" t="s">
        <v>1532</v>
      </c>
      <c r="D4" s="47" t="s">
        <v>1474</v>
      </c>
      <c r="E4" s="145" t="s">
        <v>1556</v>
      </c>
      <c r="F4" s="146"/>
      <c r="G4" s="146"/>
    </row>
    <row r="5" spans="1:19" x14ac:dyDescent="0.75">
      <c r="B5" s="47" t="s">
        <v>10</v>
      </c>
      <c r="C5" s="80" t="s">
        <v>1534</v>
      </c>
      <c r="D5" s="47"/>
      <c r="E5" s="7"/>
    </row>
    <row r="6" spans="1:19" x14ac:dyDescent="0.75">
      <c r="B6" s="47" t="s">
        <v>18</v>
      </c>
      <c r="C6" s="81"/>
      <c r="D6" s="47" t="s">
        <v>1475</v>
      </c>
      <c r="E6" s="145" t="str">
        <f>E3</f>
        <v>http://hl7.eu/fhir/ig/idea4rc/StructureDefinition/Subject</v>
      </c>
      <c r="F6" s="146"/>
      <c r="G6" s="146"/>
    </row>
    <row r="7" spans="1:19" x14ac:dyDescent="0.75">
      <c r="B7" s="47" t="s">
        <v>15</v>
      </c>
      <c r="C7" s="82"/>
      <c r="D7" s="47" t="s">
        <v>1476</v>
      </c>
      <c r="E7" s="145" t="s">
        <v>1556</v>
      </c>
      <c r="F7" s="146"/>
      <c r="G7" s="146"/>
    </row>
    <row r="8" spans="1:19" ht="44.25" x14ac:dyDescent="0.75">
      <c r="B8" s="47" t="s">
        <v>1477</v>
      </c>
      <c r="C8" s="62" t="s">
        <v>1534</v>
      </c>
      <c r="D8" s="47"/>
      <c r="E8"/>
      <c r="I8" s="12" t="s">
        <v>1289</v>
      </c>
      <c r="J8" s="12" t="s">
        <v>1290</v>
      </c>
      <c r="K8" s="12" t="s">
        <v>1291</v>
      </c>
      <c r="L8" s="12" t="s">
        <v>1292</v>
      </c>
      <c r="M8" s="11" t="s">
        <v>1293</v>
      </c>
      <c r="P8" s="34" t="s">
        <v>1328</v>
      </c>
      <c r="Q8" s="34">
        <v>6</v>
      </c>
    </row>
    <row r="9" spans="1:19" x14ac:dyDescent="0.75">
      <c r="B9" s="47" t="s">
        <v>1478</v>
      </c>
      <c r="C9" s="12" t="s">
        <v>1535</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1536</v>
      </c>
      <c r="E15" s="12"/>
      <c r="F15" s="49" t="s">
        <v>1316</v>
      </c>
      <c r="G15" s="77" t="s">
        <v>2088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1537</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1538</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7"/>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1533</v>
      </c>
      <c r="D3" s="47" t="s">
        <v>1473</v>
      </c>
      <c r="E3" s="71" t="str">
        <f>$C$1&amp;Subject!B5</f>
        <v>http://hl7.eu/fhir/ig/idea4rc/StructureDefinition/Subject</v>
      </c>
    </row>
    <row r="4" spans="1:19" x14ac:dyDescent="0.75">
      <c r="B4" s="47" t="s">
        <v>16</v>
      </c>
      <c r="C4" s="28" t="s">
        <v>1532</v>
      </c>
      <c r="D4" s="47" t="s">
        <v>1474</v>
      </c>
      <c r="E4" s="71" t="s">
        <v>1497</v>
      </c>
    </row>
    <row r="5" spans="1:19" x14ac:dyDescent="0.75">
      <c r="B5" s="47" t="s">
        <v>10</v>
      </c>
      <c r="C5" s="80" t="s">
        <v>1534</v>
      </c>
      <c r="D5" s="47"/>
      <c r="E5" s="7"/>
    </row>
    <row r="6" spans="1:19" x14ac:dyDescent="0.75">
      <c r="B6" s="47" t="s">
        <v>18</v>
      </c>
      <c r="C6" s="81"/>
      <c r="D6" s="47" t="s">
        <v>1475</v>
      </c>
      <c r="E6" s="145" t="str">
        <f>E3</f>
        <v>http://hl7.eu/fhir/ig/idea4rc/StructureDefinition/Subject</v>
      </c>
      <c r="F6" s="146"/>
      <c r="G6" s="146"/>
    </row>
    <row r="7" spans="1:19" x14ac:dyDescent="0.75">
      <c r="B7" s="47" t="s">
        <v>15</v>
      </c>
      <c r="C7" s="82"/>
      <c r="D7" s="47" t="s">
        <v>1476</v>
      </c>
      <c r="E7" s="145" t="s">
        <v>1539</v>
      </c>
      <c r="F7" s="146"/>
      <c r="G7" s="146"/>
    </row>
    <row r="8" spans="1:19" ht="44.25" x14ac:dyDescent="0.75">
      <c r="B8" s="47" t="s">
        <v>1477</v>
      </c>
      <c r="C8" s="62" t="s">
        <v>1534</v>
      </c>
      <c r="D8" s="47"/>
      <c r="E8" s="7"/>
      <c r="I8" s="12" t="s">
        <v>1289</v>
      </c>
      <c r="J8" s="12" t="s">
        <v>1290</v>
      </c>
      <c r="K8" s="12" t="s">
        <v>1291</v>
      </c>
      <c r="L8" s="12" t="s">
        <v>1292</v>
      </c>
      <c r="M8" s="11" t="s">
        <v>1293</v>
      </c>
      <c r="P8" s="34" t="s">
        <v>1328</v>
      </c>
      <c r="Q8" s="34">
        <v>6</v>
      </c>
    </row>
    <row r="9" spans="1:19" x14ac:dyDescent="0.75">
      <c r="B9" s="47" t="s">
        <v>1478</v>
      </c>
      <c r="C9" s="12" t="s">
        <v>1535</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1540</v>
      </c>
      <c r="E14" s="6"/>
      <c r="F14" s="49"/>
      <c r="G14" s="49"/>
      <c r="I14" s="12"/>
      <c r="J14" s="11"/>
      <c r="K14" s="11"/>
      <c r="L14" s="11"/>
      <c r="M14" s="48"/>
      <c r="N14" s="51"/>
    </row>
    <row r="15" spans="1:19" ht="88.5" x14ac:dyDescent="0.75">
      <c r="A15" s="44"/>
      <c r="B15" s="11" t="str">
        <f>Subject!B11</f>
        <v>smoking</v>
      </c>
      <c r="C15" s="11" t="str">
        <f>Subject!C11</f>
        <v>Smoking</v>
      </c>
      <c r="D15" s="12" t="s">
        <v>1542</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1541</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1543</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1544</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1533</v>
      </c>
      <c r="D3" s="47" t="s">
        <v>1473</v>
      </c>
      <c r="E3" s="71" t="str">
        <f>$C$1&amp;Subject!B5</f>
        <v>http://hl7.eu/fhir/ig/idea4rc/StructureDefinition/Subject</v>
      </c>
    </row>
    <row r="4" spans="1:19" x14ac:dyDescent="0.75">
      <c r="B4" s="47" t="s">
        <v>16</v>
      </c>
      <c r="C4" s="28" t="s">
        <v>1532</v>
      </c>
      <c r="D4" s="47" t="s">
        <v>1474</v>
      </c>
      <c r="E4" s="71" t="s">
        <v>1497</v>
      </c>
    </row>
    <row r="5" spans="1:19" x14ac:dyDescent="0.75">
      <c r="B5" s="47" t="s">
        <v>10</v>
      </c>
      <c r="C5" s="80" t="s">
        <v>1534</v>
      </c>
      <c r="D5" s="47"/>
      <c r="E5" s="7"/>
    </row>
    <row r="6" spans="1:19" x14ac:dyDescent="0.75">
      <c r="B6" s="47" t="s">
        <v>18</v>
      </c>
      <c r="C6" s="81"/>
      <c r="D6" s="47" t="s">
        <v>1475</v>
      </c>
      <c r="E6" s="145" t="str">
        <f>E3</f>
        <v>http://hl7.eu/fhir/ig/idea4rc/StructureDefinition/Subject</v>
      </c>
      <c r="F6" s="146"/>
      <c r="G6" s="146"/>
    </row>
    <row r="7" spans="1:19" x14ac:dyDescent="0.75">
      <c r="B7" s="47" t="s">
        <v>15</v>
      </c>
      <c r="C7" s="82"/>
      <c r="D7" s="47" t="s">
        <v>1476</v>
      </c>
      <c r="E7" s="145" t="s">
        <v>1545</v>
      </c>
      <c r="F7" s="146"/>
      <c r="G7" s="146"/>
    </row>
    <row r="8" spans="1:19" ht="44.25" x14ac:dyDescent="0.75">
      <c r="B8" s="47" t="s">
        <v>1477</v>
      </c>
      <c r="C8" s="62" t="s">
        <v>1534</v>
      </c>
      <c r="D8" s="47"/>
      <c r="E8" s="7"/>
      <c r="I8" s="12" t="s">
        <v>1289</v>
      </c>
      <c r="J8" s="12" t="s">
        <v>1290</v>
      </c>
      <c r="K8" s="12" t="s">
        <v>1291</v>
      </c>
      <c r="L8" s="12" t="s">
        <v>1292</v>
      </c>
      <c r="M8" s="11" t="s">
        <v>1293</v>
      </c>
      <c r="P8" s="34" t="s">
        <v>1328</v>
      </c>
      <c r="Q8" s="34">
        <v>6</v>
      </c>
    </row>
    <row r="9" spans="1:19" x14ac:dyDescent="0.75">
      <c r="B9" s="47" t="s">
        <v>1478</v>
      </c>
      <c r="C9" s="12" t="s">
        <v>1535</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1540</v>
      </c>
      <c r="E14" s="6"/>
      <c r="F14" s="49"/>
      <c r="G14" s="49"/>
      <c r="I14" s="12"/>
      <c r="J14" s="11"/>
      <c r="K14" s="11"/>
      <c r="L14" s="11"/>
      <c r="M14" s="48"/>
      <c r="N14" s="51"/>
    </row>
    <row r="15" spans="1:19" ht="73.75" x14ac:dyDescent="0.75">
      <c r="A15" s="44"/>
      <c r="B15" s="11" t="str">
        <f>Subject!B15</f>
        <v>alcohol</v>
      </c>
      <c r="C15" s="11" t="str">
        <f>Subject!C15</f>
        <v>Alcohol</v>
      </c>
      <c r="D15" s="12" t="s">
        <v>1546</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1533</v>
      </c>
      <c r="D3" s="47" t="s">
        <v>1473</v>
      </c>
      <c r="E3" s="71" t="str">
        <f>$C$1&amp;Subject!B5</f>
        <v>http://hl7.eu/fhir/ig/idea4rc/StructureDefinition/Subject</v>
      </c>
    </row>
    <row r="4" spans="1:19" x14ac:dyDescent="0.75">
      <c r="B4" s="47" t="s">
        <v>16</v>
      </c>
      <c r="C4" s="28" t="s">
        <v>1532</v>
      </c>
      <c r="D4" s="47" t="s">
        <v>1474</v>
      </c>
      <c r="E4" s="71" t="s">
        <v>1497</v>
      </c>
    </row>
    <row r="5" spans="1:19" x14ac:dyDescent="0.75">
      <c r="B5" s="47" t="s">
        <v>10</v>
      </c>
      <c r="C5" s="80" t="s">
        <v>1534</v>
      </c>
      <c r="D5" s="47"/>
      <c r="E5" s="7"/>
    </row>
    <row r="6" spans="1:19" x14ac:dyDescent="0.75">
      <c r="B6" s="47" t="s">
        <v>18</v>
      </c>
      <c r="C6" s="81"/>
      <c r="D6" s="47" t="s">
        <v>1475</v>
      </c>
      <c r="E6" s="145" t="str">
        <f>E3</f>
        <v>http://hl7.eu/fhir/ig/idea4rc/StructureDefinition/Subject</v>
      </c>
      <c r="F6" s="146"/>
      <c r="G6" s="146"/>
    </row>
    <row r="7" spans="1:19" x14ac:dyDescent="0.75">
      <c r="B7" s="47" t="s">
        <v>15</v>
      </c>
      <c r="C7" s="82"/>
      <c r="D7" s="47" t="s">
        <v>1476</v>
      </c>
      <c r="E7" s="145" t="s">
        <v>1547</v>
      </c>
      <c r="F7" s="146"/>
      <c r="G7" s="146"/>
    </row>
    <row r="8" spans="1:19" ht="44.25" x14ac:dyDescent="0.75">
      <c r="B8" s="47" t="s">
        <v>1477</v>
      </c>
      <c r="C8" s="62" t="s">
        <v>1534</v>
      </c>
      <c r="D8" s="47"/>
      <c r="E8" s="7"/>
      <c r="I8" s="12" t="s">
        <v>1289</v>
      </c>
      <c r="J8" s="12" t="s">
        <v>1290</v>
      </c>
      <c r="K8" s="12" t="s">
        <v>1291</v>
      </c>
      <c r="L8" s="12" t="s">
        <v>1292</v>
      </c>
      <c r="M8" s="11" t="s">
        <v>1293</v>
      </c>
      <c r="P8" s="34" t="s">
        <v>1328</v>
      </c>
      <c r="Q8" s="34">
        <v>6</v>
      </c>
    </row>
    <row r="9" spans="1:19" x14ac:dyDescent="0.75">
      <c r="B9" s="47" t="s">
        <v>1478</v>
      </c>
      <c r="C9" s="12" t="s">
        <v>1535</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1540</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1992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1548</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1548</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1548</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1548</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1548</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1548</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1548</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1548</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1548</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1548</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1548</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1548</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1548</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1548</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1548</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1548</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1548</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1548</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1548</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1548</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1548</v>
      </c>
      <c r="E36" s="12"/>
      <c r="F36" s="49" t="s">
        <v>1316</v>
      </c>
      <c r="G36" s="77" t="s">
        <v>1992</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1548</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1548</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1548</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1548</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1548</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1548</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1548</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1548</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1548</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1548</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1548</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1533</v>
      </c>
      <c r="D3" s="47" t="s">
        <v>1473</v>
      </c>
      <c r="E3" s="71" t="str">
        <f>$C$1&amp;Subject!B5</f>
        <v>http://hl7.eu/fhir/ig/idea4rc/StructureDefinition/Subject</v>
      </c>
    </row>
    <row r="4" spans="1:19" x14ac:dyDescent="0.75">
      <c r="B4" s="47" t="s">
        <v>16</v>
      </c>
      <c r="C4" s="28" t="s">
        <v>1532</v>
      </c>
      <c r="D4" s="47" t="s">
        <v>1474</v>
      </c>
      <c r="E4" s="71" t="s">
        <v>1497</v>
      </c>
    </row>
    <row r="5" spans="1:19" x14ac:dyDescent="0.75">
      <c r="B5" s="47" t="s">
        <v>10</v>
      </c>
      <c r="C5" s="80" t="s">
        <v>1534</v>
      </c>
      <c r="D5" s="47"/>
      <c r="E5" s="7"/>
    </row>
    <row r="6" spans="1:19" x14ac:dyDescent="0.75">
      <c r="B6" s="47" t="s">
        <v>18</v>
      </c>
      <c r="C6" s="81"/>
      <c r="D6" s="47" t="s">
        <v>1475</v>
      </c>
      <c r="E6" s="145" t="str">
        <f>E3</f>
        <v>http://hl7.eu/fhir/ig/idea4rc/StructureDefinition/Subject</v>
      </c>
      <c r="F6" s="146"/>
      <c r="G6" s="146"/>
    </row>
    <row r="7" spans="1:19" x14ac:dyDescent="0.75">
      <c r="B7" s="47" t="s">
        <v>15</v>
      </c>
      <c r="C7" s="82"/>
      <c r="D7" s="47" t="s">
        <v>1476</v>
      </c>
      <c r="E7" s="145" t="s">
        <v>1549</v>
      </c>
      <c r="F7" s="146"/>
      <c r="G7" s="146"/>
    </row>
    <row r="8" spans="1:19" ht="44.25" x14ac:dyDescent="0.75">
      <c r="B8" s="47" t="s">
        <v>1477</v>
      </c>
      <c r="C8" s="62" t="s">
        <v>1534</v>
      </c>
      <c r="D8" s="47"/>
      <c r="E8" s="7"/>
      <c r="I8" s="12" t="s">
        <v>1289</v>
      </c>
      <c r="J8" s="12" t="s">
        <v>1290</v>
      </c>
      <c r="K8" s="12" t="s">
        <v>1291</v>
      </c>
      <c r="L8" s="12" t="s">
        <v>1292</v>
      </c>
      <c r="M8" s="11" t="s">
        <v>1293</v>
      </c>
      <c r="P8" s="34" t="s">
        <v>1328</v>
      </c>
      <c r="Q8" s="34">
        <v>6</v>
      </c>
    </row>
    <row r="9" spans="1:19" x14ac:dyDescent="0.75">
      <c r="B9" s="47" t="s">
        <v>1478</v>
      </c>
      <c r="C9" s="12" t="s">
        <v>1535</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1540</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1550</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1551</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1632</v>
      </c>
      <c r="E27" s="12"/>
      <c r="F27" s="49" t="s">
        <v>1317</v>
      </c>
      <c r="G27" s="136" t="s">
        <v>2290</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1995</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1550</v>
      </c>
      <c r="E48" s="12"/>
      <c r="F48" s="49" t="s">
        <v>1317</v>
      </c>
      <c r="G48" s="136" t="s">
        <v>2289</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1996</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1632</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2282</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1632</v>
      </c>
      <c r="E77" s="12"/>
      <c r="F77" s="49" t="s">
        <v>1317</v>
      </c>
      <c r="G77" s="136" t="s">
        <v>2283</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7"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2284</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1632</v>
      </c>
      <c r="E89" s="12"/>
      <c r="F89" s="49" t="s">
        <v>1317</v>
      </c>
      <c r="G89" s="136" t="s">
        <v>2285</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7"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2288</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2287</v>
      </c>
      <c r="E102" s="12"/>
      <c r="F102" s="49" t="s">
        <v>1317</v>
      </c>
      <c r="G102" s="136" t="s">
        <v>2286</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7"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1552</v>
      </c>
    </row>
    <row r="3" spans="2:7" x14ac:dyDescent="0.75">
      <c r="B3" s="24" t="s">
        <v>20</v>
      </c>
    </row>
    <row r="4" spans="2:7" x14ac:dyDescent="0.75">
      <c r="B4" s="105" t="str">
        <f>"Instance: "&amp;'Subject-ConceptMap-1'!C4</f>
        <v>Instance: subject2FHIR</v>
      </c>
    </row>
    <row r="5" spans="2:7" x14ac:dyDescent="0.75">
      <c r="B5" s="105" t="s">
        <v>1334</v>
      </c>
    </row>
    <row r="6" spans="2:7" x14ac:dyDescent="0.75">
      <c r="B6" s="105" t="s">
        <v>1325</v>
      </c>
    </row>
    <row r="7" spans="2:7" x14ac:dyDescent="0.75">
      <c r="B7" s="105" t="s">
        <v>1480</v>
      </c>
    </row>
    <row r="8" spans="2:7" x14ac:dyDescent="0.75">
      <c r="B8" s="105" t="str">
        <f>"* name = ##34#"&amp;'Subject-ConceptMap-1'!C3&amp;"##34#"</f>
        <v>* name = ##34#Subject2FHIR##34#</v>
      </c>
    </row>
    <row r="9" spans="2:7" x14ac:dyDescent="0.75">
      <c r="B9" s="105" t="str">
        <f>"* title = ##34#"&amp;'Subject-ConceptMap-1'!C5&amp;"##34#"</f>
        <v>* title = ##34#Subject Model to this guide Map##34#</v>
      </c>
    </row>
    <row r="10" spans="2:7" x14ac:dyDescent="0.75">
      <c r="B10" s="105" t="s">
        <v>1326</v>
      </c>
    </row>
    <row r="11" spans="2:7" x14ac:dyDescent="0.75">
      <c r="B11" s="105" t="s">
        <v>1327</v>
      </c>
    </row>
    <row r="12" spans="2:7" x14ac:dyDescent="0.75">
      <c r="B12" s="105" t="str">
        <f>"* description = ##34#"&amp;'Subject-ConceptMap-1'!C8&amp;"##34#"</f>
        <v>* description = ##34#Subject Model to this guide Map##34#</v>
      </c>
    </row>
    <row r="13" spans="2:7" x14ac:dyDescent="0.75">
      <c r="B13" s="105" t="str">
        <f>"* purpose = ##34#"&amp;'Subject-ConceptMap-1'!C9&amp;"##34#"</f>
        <v>* purpose = ##34#It shows how the Subject model is mapped into this guide##34#</v>
      </c>
    </row>
    <row r="14" spans="2:7" x14ac:dyDescent="0.75">
      <c r="B14" s="106" t="str">
        <f>"* sourceUri = ##34#"&amp;'Subject-ConceptMap-1'!E3&amp;"##34#"</f>
        <v>* sourceUri = ##34#http://hl7.eu/fhir/ig/idea4rc/StructureDefinition/Subject##34#</v>
      </c>
    </row>
    <row r="15" spans="2:7" x14ac:dyDescent="0.75">
      <c r="B15" s="106" t="str">
        <f>"* targetUri = ##34#"&amp;'Subject-ConceptMap-1'!E4&amp;"##34#"</f>
        <v>* targetUri = ##34#http://hl7.eu/fhir/ig/idea4rc/StructureDefinition/patient-eu-i4rc##34#</v>
      </c>
    </row>
    <row r="16" spans="2:7" x14ac:dyDescent="0.75">
      <c r="B16" s="107" t="str">
        <f>"* group[+].source = ##34#"&amp;'Subject-ConceptMap-1'!E6&amp;"##34#"</f>
        <v>* group[+].source = ##34#http://hl7.eu/fhir/ig/idea4rc/StructureDefinition/Subject##34#</v>
      </c>
    </row>
    <row r="17" spans="2:7" x14ac:dyDescent="0.75">
      <c r="B17" s="107" t="str">
        <f>"* group[=].target = ##34#"&amp;'Subject-ConceptMap-1'!E7&amp;"##34#"</f>
        <v>* group[=].target = ##34#http://hl7.eu/fhir/ig/idea4rc/StructureDefinition/patient-eu-i4rc##34#</v>
      </c>
    </row>
    <row r="18" spans="2:7" x14ac:dyDescent="0.75">
      <c r="B18" s="108"/>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9"/>
    </row>
    <row r="125" spans="2:2" x14ac:dyDescent="0.75">
      <c r="B125" s="107" t="str">
        <f>"* group[+].source = ##34#"&amp;'Subject-ConceptMap-2'!E6&amp;"##34#"</f>
        <v>* group[+].source = ##34#http://hl7.eu/fhir/ig/idea4rc/StructureDefinition/Subject##34#</v>
      </c>
    </row>
    <row r="126" spans="2:2" x14ac:dyDescent="0.75">
      <c r="B126" s="110" t="str">
        <f>"* group[=].target = ##34#"&amp;'Subject-ConceptMap-2'!E7&amp;"##34#"</f>
        <v>* group[=].target = ##34#http://hl7.eu/fhir/ig/idea4rc/StructureDefinition/observation-tobaccouse-eu-i4rc##34#</v>
      </c>
    </row>
    <row r="127" spans="2:2" x14ac:dyDescent="0.75">
      <c r="B127" s="111"/>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9"/>
    </row>
    <row r="157" spans="2:3" x14ac:dyDescent="0.75">
      <c r="B157" s="107" t="str">
        <f>"* group[+].source = ##34#"&amp;'Subject-ConceptMap-3'!E6&amp;"##34#"</f>
        <v>* group[+].source = ##34#http://hl7.eu/fhir/ig/idea4rc/StructureDefinition/Subject##34#</v>
      </c>
    </row>
    <row r="158" spans="2:3" x14ac:dyDescent="0.75">
      <c r="B158" s="110" t="str">
        <f>"* group[=].target = ##34#"&amp;'Subject-ConceptMap-3'!E7&amp;"##34#"</f>
        <v>* group[=].target = ##34#http://hl7.eu/fhir/ig/idea4rc/StructureDefinition/observation-alcoholuse-eu-i4rc##34#</v>
      </c>
    </row>
    <row r="159" spans="2:3" x14ac:dyDescent="0.75">
      <c r="B159" s="112"/>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9"/>
    </row>
    <row r="171" spans="2:3" x14ac:dyDescent="0.75">
      <c r="B171" s="110" t="str">
        <f>"* group[+].source = ##34#"&amp;'Subject-ConceptMap-4'!E6&amp;"##34#"</f>
        <v>* group[+].source = ##34#http://hl7.eu/fhir/ig/idea4rc/StructureDefinition/Subject##34#</v>
      </c>
    </row>
    <row r="172" spans="2:3" x14ac:dyDescent="0.75">
      <c r="B172" s="110" t="str">
        <f>"* group[=].target = ##34#"&amp;'Subject-ConceptMap-4'!E7&amp;"##34#"</f>
        <v>* group[=].target = ##34#http://hl7.eu/fhir/ig/idea4rc/StructureDefinition/observation-comorbidity-eu-i4rc##34#</v>
      </c>
    </row>
    <row r="173" spans="2:3" x14ac:dyDescent="0.75">
      <c r="B173" s="111"/>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1"/>
    </row>
    <row r="377" spans="2:2" s="7" customFormat="1" x14ac:dyDescent="0.75">
      <c r="B377" s="113" t="str">
        <f>"* group[+].source = ##34#"&amp;'Subject-ConceptMap-5-x'!E6&amp;"##34#"</f>
        <v>* group[+].source = ##34#http://hl7.eu/fhir/ig/idea4rc/StructureDefinition/Subject##34#</v>
      </c>
    </row>
    <row r="378" spans="2:2" s="7" customFormat="1" x14ac:dyDescent="0.75">
      <c r="B378" s="113" t="str">
        <f>"* group[=].target = ##34#"&amp;'Subject-ConceptMap-5-x'!E7&amp;"##34#"</f>
        <v>* group[=].target = ##34#http://hl7.eu/fhir/ig/idea4rc/StructureDefinition/observation-karnofsky-performance-statuseu-i4rc##34#</v>
      </c>
    </row>
    <row r="379" spans="2:2" s="7" customFormat="1" x14ac:dyDescent="0.75">
      <c r="B379" s="111"/>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9"/>
    </row>
    <row r="391" spans="2:2" x14ac:dyDescent="0.75">
      <c r="B391" s="110" t="str">
        <f>"* group[+].source = ##34#"&amp;'Subject-ConceptMap-5-x'!E24&amp;"##34#"</f>
        <v>* group[+].source = ##34#http://hl7.eu/fhir/ig/idea4rc/StructureDefinition/Subject##34#</v>
      </c>
    </row>
    <row r="392" spans="2:2" x14ac:dyDescent="0.75">
      <c r="B392" s="110" t="str">
        <f>"* group[=].target = ##34#"&amp;'Subject-ConceptMap-5-x'!E25&amp;"##34#"</f>
        <v>* group[=].target = ##34#http://hl7.eu/fhir/ig/idea4rc/StructureDefinition/observation-ecog-performance-status-eu-i4rc##34#</v>
      </c>
    </row>
    <row r="393" spans="2:2" x14ac:dyDescent="0.75">
      <c r="B393" s="111"/>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9"/>
    </row>
    <row r="404" spans="2:2" x14ac:dyDescent="0.75">
      <c r="B404" s="110" t="str">
        <f>"* group[+].source = ##34#"&amp;'Subject-ConceptMap-5-x'!E45&amp;"##34#"</f>
        <v>* group[+].source = ##34#http://hl7.eu/fhir/ig/idea4rc/StructureDefinition/Subject##34#</v>
      </c>
    </row>
    <row r="405" spans="2:2" x14ac:dyDescent="0.75">
      <c r="B405" s="110" t="str">
        <f>"* group[=].target = ##34#"&amp;'Subject-ConceptMap-5-x'!E46&amp;"##34#"</f>
        <v>* group[=].target = ##34#http://hl7.eu/fhir/ig/idea4rc/StructureDefinition/observation-cci-eu-i4rc##34#</v>
      </c>
    </row>
    <row r="406" spans="2:2" x14ac:dyDescent="0.75">
      <c r="B406" s="111"/>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0" t="str">
        <f>B404</f>
        <v>* group[+].source = ##34#http://hl7.eu/fhir/ig/idea4rc/StructureDefinition/Subject##34#</v>
      </c>
    </row>
    <row r="416" spans="2:2" x14ac:dyDescent="0.75">
      <c r="B416" s="110" t="str">
        <f>"* group[=].target = ##34#"&amp;'Subject-ConceptMap-5-x'!E63&amp;"##34#"</f>
        <v>* group[=].target = ##34#http://hl7.org/fhir/StructureDefinition/bmi##34#</v>
      </c>
    </row>
    <row r="417" spans="2:2" x14ac:dyDescent="0.75">
      <c r="B417" s="111"/>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0" t="str">
        <f>B415</f>
        <v>* group[+].source = ##34#http://hl7.eu/fhir/ig/idea4rc/StructureDefinition/Subject##34#</v>
      </c>
    </row>
    <row r="427" spans="2:2" x14ac:dyDescent="0.75">
      <c r="B427" s="110" t="str">
        <f>"* group[=].target = ##34#"&amp;'Subject-ConceptMap-5-x'!E75&amp;"##34#"</f>
        <v>* group[=].target = ##34#http://hl7.eu/fhir/ig/idea4rc/StructureDefinition/observation-yesNo-eu-i4rc##34#</v>
      </c>
    </row>
    <row r="428" spans="2:2" x14ac:dyDescent="0.75">
      <c r="B428" s="111"/>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0" t="str">
        <f>B426</f>
        <v>* group[+].source = ##34#http://hl7.eu/fhir/ig/idea4rc/StructureDefinition/Subject##34#</v>
      </c>
    </row>
    <row r="438" spans="2:2" x14ac:dyDescent="0.75">
      <c r="B438" s="110" t="str">
        <f>"* group[=].target = ##34#"&amp;'Subject-ConceptMap-5-x'!E87&amp;"##34#"</f>
        <v>* group[=].target = ##34#http://hl7.eu/fhir/ig/idea4rc/StructureDefinition/observation-treatment-eu-i4rc##34#</v>
      </c>
    </row>
    <row r="439" spans="2:2" x14ac:dyDescent="0.75">
      <c r="B439" s="111"/>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0" t="str">
        <f>B437</f>
        <v>* group[+].source = ##34#http://hl7.eu/fhir/ig/idea4rc/StructureDefinition/Subject##34#</v>
      </c>
    </row>
    <row r="449" spans="2:2" x14ac:dyDescent="0.75">
      <c r="B449" s="110" t="str">
        <f>"* group[=].target = ##34#"&amp;'Subject-ConceptMap-5-x'!E100&amp;"##34#"</f>
        <v>* group[=].target = ##34#http://hl7.eu/fhir/ig/idea4rc/StructureDefinition/observation-dateLastContact-eu-i4rc##34#</v>
      </c>
    </row>
    <row r="450" spans="2:2" x14ac:dyDescent="0.75">
      <c r="B450" s="111"/>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HospitalPatientRecordsI4rc</v>
      </c>
    </row>
    <row r="5" spans="1:18" ht="15.5" thickBot="1" x14ac:dyDescent="0.9">
      <c r="A5" s="14" t="s">
        <v>16</v>
      </c>
      <c r="B5" s="30" t="s">
        <v>1839</v>
      </c>
      <c r="L5" s="16" t="str">
        <f>CONCATENATE("Id: ",B5)</f>
        <v>Id: HospitalPatientRecords</v>
      </c>
    </row>
    <row r="6" spans="1:18" ht="15.5" thickBot="1" x14ac:dyDescent="0.9">
      <c r="A6" s="14" t="s">
        <v>10</v>
      </c>
      <c r="B6" s="30" t="s">
        <v>1840</v>
      </c>
      <c r="L6" s="17" t="str">
        <f>CONCATENATE("Title: ##34#",B6,"##34#")</f>
        <v>Title: ##34#Hospital Patient Records##34#</v>
      </c>
    </row>
    <row r="7" spans="1:18" x14ac:dyDescent="0.75">
      <c r="A7" s="26" t="s">
        <v>2</v>
      </c>
      <c r="B7" s="97" t="s">
        <v>1840</v>
      </c>
      <c r="C7" s="9" t="s">
        <v>3</v>
      </c>
      <c r="D7" s="1" t="s">
        <v>4</v>
      </c>
      <c r="E7" s="3" t="s">
        <v>5</v>
      </c>
      <c r="F7" s="3" t="s">
        <v>6</v>
      </c>
      <c r="G7" s="3" t="s">
        <v>7</v>
      </c>
      <c r="H7" s="64" t="s">
        <v>1384</v>
      </c>
      <c r="I7" s="120" t="s">
        <v>2084</v>
      </c>
      <c r="J7" s="120" t="s">
        <v>2085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1829</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1830</v>
      </c>
      <c r="C9" s="11" t="s">
        <v>1831</v>
      </c>
      <c r="D9" s="11" t="s">
        <v>1832</v>
      </c>
      <c r="E9" s="11">
        <v>1</v>
      </c>
      <c r="F9" s="11">
        <v>1</v>
      </c>
      <c r="G9" s="73" t="s">
        <v>1</v>
      </c>
      <c r="H9" s="11" t="s">
        <v>1833</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1838</v>
      </c>
      <c r="C10" s="11" t="s">
        <v>1827</v>
      </c>
      <c r="D10" s="11" t="s">
        <v>1828</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1834</v>
      </c>
      <c r="C11" s="11" t="s">
        <v>1835</v>
      </c>
      <c r="D11" s="11" t="s">
        <v>1836</v>
      </c>
      <c r="E11" s="11">
        <v>1</v>
      </c>
      <c r="F11" s="11">
        <v>1</v>
      </c>
      <c r="G11" s="11" t="s">
        <v>43</v>
      </c>
      <c r="H11" s="11" t="s">
        <v>1837</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2" customWidth="1"/>
    <col min="7" max="7" width="29.54296875" customWidth="1"/>
    <col min="8" max="8" width="54.90625" customWidth="1"/>
  </cols>
  <sheetData>
    <row r="1" spans="3:7" ht="15.5" thickBot="1" x14ac:dyDescent="0.9">
      <c r="C1" s="100" t="str">
        <f>HospitalPatientRecords!L1</f>
        <v>//===================================================</v>
      </c>
    </row>
    <row r="2" spans="3:7" ht="16.75" thickBot="1" x14ac:dyDescent="0.9">
      <c r="C2" s="24" t="str">
        <f>HospitalPatientRecords!L2</f>
        <v>//  Logical Model</v>
      </c>
      <c r="G2" s="29" t="s">
        <v>1841</v>
      </c>
    </row>
    <row r="3" spans="3:7" x14ac:dyDescent="0.75">
      <c r="C3" s="24" t="str">
        <f>HospitalPatientRecords!L3</f>
        <v>//===================================================</v>
      </c>
    </row>
    <row r="4" spans="3:7" x14ac:dyDescent="0.75">
      <c r="C4" s="101" t="str">
        <f>HospitalPatientRecords!L4</f>
        <v>Logical: HospitalPatientRecordsI4rc</v>
      </c>
    </row>
    <row r="5" spans="3:7" x14ac:dyDescent="0.75">
      <c r="C5" s="101" t="str">
        <f>HospitalPatientRecords!L5</f>
        <v>Id: HospitalPatientRecords</v>
      </c>
    </row>
    <row r="6" spans="3:7" x14ac:dyDescent="0.75">
      <c r="C6" s="101" t="str">
        <f>HospitalPatientRecords!L6</f>
        <v>Title: ##34#Hospital Patient Records##34#</v>
      </c>
    </row>
    <row r="7" spans="3:7" x14ac:dyDescent="0.75">
      <c r="C7" s="101" t="str">
        <f>HospitalPatientRecords!L7</f>
        <v>Description:  ##334#Hospital Patient Records##334#</v>
      </c>
    </row>
    <row r="8" spans="3:7" ht="29.5" x14ac:dyDescent="0.75">
      <c r="C8" s="102"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2" t="str">
        <f>IF(HospitalPatientRecords!L9="*  ..  ##34###34# ##334###334#","//--- END",HospitalPatientRecords!L9)</f>
        <v>* hospital 1..1 BackboneElement ##34#Hospital##34# ##334#Hospital element containing the data regarding the patient followed by the hospital##334#</v>
      </c>
    </row>
    <row r="10" spans="3:7" x14ac:dyDescent="0.75">
      <c r="C10" s="102" t="str">
        <f>IF(HospitalPatientRecords!L10="*  ..  ##34###34# ##334###334#","//--- END",HospitalPatientRecords!L10)</f>
        <v>* hospital.name 1..1 string ##34#Hospital Name##34# ##334#Hospital where the patients is included in the registry##334#</v>
      </c>
    </row>
    <row r="11" spans="3:7" ht="59" x14ac:dyDescent="0.75">
      <c r="C11" s="102"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2" t="str">
        <f>IF(HospitalPatientRecords!L12="*  ..  ##34###34# ##334###334#","//--- END",HospitalPatientRecords!L12)</f>
        <v>//--- END</v>
      </c>
    </row>
    <row r="13" spans="3:7" x14ac:dyDescent="0.75">
      <c r="C13" s="102" t="str">
        <f>IF(HospitalPatientRecords!L13="*  ..  ##34###34# ##334###334#","//--- END",HospitalPatientRecords!L13)</f>
        <v>//--- END</v>
      </c>
    </row>
    <row r="14" spans="3:7" x14ac:dyDescent="0.75">
      <c r="C14" s="102" t="str">
        <f>IF(HospitalPatientRecords!L14="*  ..  ##34###34# ##334###334#","//--- END",HospitalPatientRecords!L14)</f>
        <v>//--- END</v>
      </c>
    </row>
    <row r="18" spans="3:3" x14ac:dyDescent="0.75">
      <c r="C18" s="100" t="s">
        <v>1387</v>
      </c>
    </row>
    <row r="19" spans="3:3" x14ac:dyDescent="0.75">
      <c r="C19" s="24" t="s">
        <v>1421</v>
      </c>
    </row>
    <row r="20" spans="3:3" x14ac:dyDescent="0.75">
      <c r="C20" s="24" t="s">
        <v>1387</v>
      </c>
    </row>
    <row r="21" spans="3:3" ht="29.5" x14ac:dyDescent="0.75">
      <c r="C21" s="102" t="str">
        <f>IF(HospitalPatientRecords!N8="*  ..  ##34###34# ##334###334#","//--- END",HospitalPatientRecords!N8)</f>
        <v>* patient ^comment = ##334#A patient element data
-##334#</v>
      </c>
    </row>
    <row r="22" spans="3:3" ht="29.5" x14ac:dyDescent="0.75">
      <c r="C22" s="102" t="str">
        <f>IF(HospitalPatientRecords!N9="*  ..  ##34###34# ##334###334#","//--- END",HospitalPatientRecords!N9)</f>
        <v>* hospital ^comment = ##334#A hospital element data
-##334#</v>
      </c>
    </row>
    <row r="23" spans="3:3" x14ac:dyDescent="0.75">
      <c r="C23" s="102" t="str">
        <f>IF(HospitalPatientRecords!N10="*  ..  ##34###34# ##334###334#","//--- END",HospitalPatientRecords!N10)</f>
        <v/>
      </c>
    </row>
    <row r="24" spans="3:3" ht="29.5" x14ac:dyDescent="0.75">
      <c r="C24" s="102" t="str">
        <f>IF(HospitalPatientRecords!N11="*  ..  ##34###34# ##334###334#","//--- END",HospitalPatientRecords!N11)</f>
        <v>* firstContactDate ^comment = ##334#Date
-##334#</v>
      </c>
    </row>
    <row r="25" spans="3:3" x14ac:dyDescent="0.75">
      <c r="C25" s="102" t="str">
        <f>IF(HospitalPatientRecords!N12="*  ..  ##34###34# ##334###334#","//--- END",HospitalPatientRecords!N12)</f>
        <v>//--- END</v>
      </c>
    </row>
    <row r="26" spans="3:3" x14ac:dyDescent="0.75">
      <c r="C26" s="102" t="str">
        <f>IF(HospitalPatientRecords!N13="*  ..  ##34###34# ##334###334#","//--- END",HospitalPatientRecords!N13)</f>
        <v>//--- END</v>
      </c>
    </row>
    <row r="27" spans="3:3" x14ac:dyDescent="0.75">
      <c r="C27" s="102" t="str">
        <f>IF(HospitalPatientRecords!N14="*  ..  ##34###34# ##334###334#","//--- END",HospitalPatientRecords!N14)</f>
        <v>//--- END</v>
      </c>
    </row>
    <row r="30" spans="3:3" x14ac:dyDescent="0.75">
      <c r="C30" s="100" t="str">
        <f>HospitalPatientRecords!P1</f>
        <v>// -------------------------------------------------------------------------------</v>
      </c>
    </row>
    <row r="31" spans="3:3" x14ac:dyDescent="0.75">
      <c r="C31" s="24" t="str">
        <f>HospitalPatientRecords!P2</f>
        <v>// Obligations H&amp;N</v>
      </c>
    </row>
    <row r="32" spans="3:3" x14ac:dyDescent="0.75">
      <c r="C32" s="24" t="str">
        <f>HospitalPatientRecords!P3</f>
        <v>// -------------------------------------------------------------------------------</v>
      </c>
    </row>
    <row r="33" spans="3:3" x14ac:dyDescent="0.75">
      <c r="C33" s="102" t="str">
        <f>IF(HospitalPatientRecords!P8="*  ..  ##34###34# ##334###334#","//--- END",HospitalPatientRecords!P8)</f>
        <v>* patient insert ObligationActorAndCode($actor-headneck, #handle)</v>
      </c>
    </row>
    <row r="34" spans="3:3" x14ac:dyDescent="0.75">
      <c r="C34" s="102" t="str">
        <f>IF(HospitalPatientRecords!P9="*  ..  ##34###34# ##334###334#","//--- END",HospitalPatientRecords!P9)</f>
        <v>* hospital insert ObligationActorAndCode($actor-headneck, #handle)</v>
      </c>
    </row>
    <row r="35" spans="3:3" x14ac:dyDescent="0.75">
      <c r="C35" s="102" t="str">
        <f>IF(HospitalPatientRecords!P10="*  ..  ##34###34# ##334###334#","//--- END",HospitalPatientRecords!P10)</f>
        <v>* hospital.name insert ObligationActorAndCode($actor-headneck, #handle)</v>
      </c>
    </row>
    <row r="36" spans="3:3" x14ac:dyDescent="0.75">
      <c r="C36" s="102" t="str">
        <f>IF(HospitalPatientRecords!P11="*  ..  ##34###34# ##334###334#","//--- END",HospitalPatientRecords!P11)</f>
        <v>* firstContactDate insert ObligationActorAndCode($actor-headneck, #handle)</v>
      </c>
    </row>
    <row r="37" spans="3:3" x14ac:dyDescent="0.75">
      <c r="C37" s="102" t="str">
        <f>IF(HospitalPatientRecords!P12="*  ..  ##34###34# ##334###334#","//--- END",HospitalPatientRecords!P12)</f>
        <v>//--- END</v>
      </c>
    </row>
    <row r="38" spans="3:3" x14ac:dyDescent="0.75">
      <c r="C38" s="102" t="str">
        <f>IF(HospitalPatientRecords!P13="*  ..  ##34###34# ##334###334#","//--- END",HospitalPatientRecords!P13)</f>
        <v>//--- END</v>
      </c>
    </row>
    <row r="39" spans="3:3" x14ac:dyDescent="0.75">
      <c r="C39" s="102" t="str">
        <f>IF(HospitalPatientRecords!P14="*  ..  ##34###34# ##334###334#","//--- END",HospitalPatientRecords!P14)</f>
        <v>//--- END</v>
      </c>
    </row>
    <row r="42" spans="3:3" x14ac:dyDescent="0.75">
      <c r="C42" s="100"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2" t="str">
        <f>IF(HospitalPatientRecords!R8="*  ..  ##34###34# ##334###334#","//--- END",HospitalPatientRecords!R8)</f>
        <v/>
      </c>
    </row>
    <row r="46" spans="3:3" x14ac:dyDescent="0.75">
      <c r="C46" s="102" t="str">
        <f>IF(HospitalPatientRecords!R9="*  ..  ##34###34# ##334###334#","//--- END",HospitalPatientRecords!R9)</f>
        <v/>
      </c>
    </row>
    <row r="47" spans="3:3" x14ac:dyDescent="0.75">
      <c r="C47" s="102" t="str">
        <f>IF(HospitalPatientRecords!R10="*  ..  ##34###34# ##334###334#","//--- END",HospitalPatientRecords!R10)</f>
        <v/>
      </c>
    </row>
    <row r="48" spans="3:3" x14ac:dyDescent="0.75">
      <c r="C48" s="102" t="str">
        <f>IF(HospitalPatientRecords!R11="*  ..  ##34###34# ##334###334#","//--- END",HospitalPatientRecords!R11)</f>
        <v/>
      </c>
    </row>
    <row r="49" spans="3:3" x14ac:dyDescent="0.75">
      <c r="C49" s="102" t="str">
        <f>IF(HospitalPatientRecords!R12="*  ..  ##34###34# ##334###334#","//--- END",HospitalPatientRecords!R12)</f>
        <v>//--- END</v>
      </c>
    </row>
    <row r="50" spans="3:3" x14ac:dyDescent="0.75">
      <c r="C50" s="102" t="str">
        <f>IF(HospitalPatientRecords!R13="*  ..  ##34###34# ##334###334#","//--- END",HospitalPatientRecords!R13)</f>
        <v>//--- END</v>
      </c>
    </row>
    <row r="51" spans="3:3" x14ac:dyDescent="0.75">
      <c r="C51" s="102"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1923</v>
      </c>
      <c r="D3" s="47" t="s">
        <v>1473</v>
      </c>
      <c r="E3" s="71" t="str">
        <f>$C$1&amp;B14</f>
        <v>http://hl7.eu/fhir/ig/idea4rc/StructureDefinition/HospitalPatientRecords</v>
      </c>
    </row>
    <row r="4" spans="1:19" x14ac:dyDescent="0.75">
      <c r="B4" s="47" t="s">
        <v>16</v>
      </c>
      <c r="C4" s="28" t="s">
        <v>1923</v>
      </c>
      <c r="D4" s="47" t="s">
        <v>1474</v>
      </c>
      <c r="E4" s="145" t="s">
        <v>1926</v>
      </c>
      <c r="F4" s="146"/>
      <c r="G4" s="146"/>
    </row>
    <row r="5" spans="1:19" x14ac:dyDescent="0.75">
      <c r="B5" s="47" t="s">
        <v>10</v>
      </c>
      <c r="C5" s="7" t="s">
        <v>1924</v>
      </c>
      <c r="D5" s="47"/>
      <c r="E5" s="7"/>
    </row>
    <row r="6" spans="1:19" x14ac:dyDescent="0.75">
      <c r="B6" s="47" t="s">
        <v>18</v>
      </c>
      <c r="C6" s="41"/>
      <c r="D6" s="47" t="s">
        <v>1475</v>
      </c>
      <c r="E6" s="145" t="str">
        <f>E3</f>
        <v>http://hl7.eu/fhir/ig/idea4rc/StructureDefinition/HospitalPatientRecords</v>
      </c>
      <c r="F6" s="146"/>
      <c r="G6" s="146"/>
    </row>
    <row r="7" spans="1:19" x14ac:dyDescent="0.75">
      <c r="B7" s="47" t="s">
        <v>15</v>
      </c>
      <c r="C7" s="72"/>
      <c r="D7" s="47" t="s">
        <v>1476</v>
      </c>
      <c r="E7" s="145" t="str">
        <f>E4</f>
        <v>http://hl7.eu/fhir/ig/idea4rc/StructureDefinition/episodeOfCare-eu-i4rc</v>
      </c>
      <c r="F7" s="146"/>
      <c r="G7" s="146"/>
    </row>
    <row r="8" spans="1:19" ht="45" thickBot="1" x14ac:dyDescent="0.9">
      <c r="B8" s="47" t="s">
        <v>1477</v>
      </c>
      <c r="C8" t="s">
        <v>1924</v>
      </c>
      <c r="D8" s="47"/>
      <c r="E8" s="7"/>
      <c r="I8" s="12" t="s">
        <v>1289</v>
      </c>
      <c r="J8" s="12" t="s">
        <v>1290</v>
      </c>
      <c r="K8" s="12" t="s">
        <v>1291</v>
      </c>
      <c r="L8" s="12" t="s">
        <v>1292</v>
      </c>
      <c r="M8" s="11" t="s">
        <v>1293</v>
      </c>
      <c r="P8" s="34" t="s">
        <v>1328</v>
      </c>
      <c r="Q8" s="34">
        <v>6</v>
      </c>
    </row>
    <row r="9" spans="1:19" ht="30.25" thickBot="1" x14ac:dyDescent="0.9">
      <c r="B9" s="47" t="s">
        <v>1478</v>
      </c>
      <c r="C9" s="12" t="s">
        <v>1925</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1927</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1928</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1929</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1930</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1862</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1918</v>
      </c>
      <c r="L4" s="16" t="str">
        <f>CONCATENATE("Logical: ",B4)</f>
        <v>Logical: PatientFollowUpI4rc</v>
      </c>
    </row>
    <row r="5" spans="1:18" ht="15.5" thickBot="1" x14ac:dyDescent="0.9">
      <c r="A5" s="14" t="s">
        <v>16</v>
      </c>
      <c r="B5" s="30" t="s">
        <v>1858</v>
      </c>
      <c r="L5" s="16" t="str">
        <f>CONCATENATE("Id: ",B5)</f>
        <v>Id: PatientFollowUp</v>
      </c>
    </row>
    <row r="6" spans="1:18" ht="15.5" thickBot="1" x14ac:dyDescent="0.9">
      <c r="A6" s="14" t="s">
        <v>10</v>
      </c>
      <c r="B6" s="30" t="s">
        <v>1859</v>
      </c>
      <c r="L6" s="17" t="str">
        <f>CONCATENATE("Title: ##34#",B6,"##34#")</f>
        <v>Title: ##34#Patient Follow Up##34#</v>
      </c>
    </row>
    <row r="7" spans="1:18" x14ac:dyDescent="0.75">
      <c r="A7" s="26" t="s">
        <v>2</v>
      </c>
      <c r="B7" s="30" t="s">
        <v>1859</v>
      </c>
      <c r="C7" s="9" t="s">
        <v>3</v>
      </c>
      <c r="D7" s="1" t="s">
        <v>4</v>
      </c>
      <c r="E7" s="3" t="s">
        <v>5</v>
      </c>
      <c r="F7" s="3" t="s">
        <v>6</v>
      </c>
      <c r="G7" s="3" t="s">
        <v>7</v>
      </c>
      <c r="H7" s="64" t="s">
        <v>1384</v>
      </c>
      <c r="I7" s="120" t="s">
        <v>2084</v>
      </c>
      <c r="J7" s="120" t="s">
        <v>2085</v>
      </c>
      <c r="L7" s="17" t="str">
        <f>CONCATENATE("Description: "," ##334#",B7,"##334#",)</f>
        <v>Description:  ##334#Patient Follow Up##334#</v>
      </c>
    </row>
    <row r="8" spans="1:18" ht="29.5" x14ac:dyDescent="0.75">
      <c r="A8" s="59">
        <v>0</v>
      </c>
      <c r="B8" s="11" t="s">
        <v>1487</v>
      </c>
      <c r="C8" s="11" t="s">
        <v>14</v>
      </c>
      <c r="D8" s="11" t="s">
        <v>1842</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1843</v>
      </c>
      <c r="C9" s="11" t="s">
        <v>1844</v>
      </c>
      <c r="D9" s="11" t="s">
        <v>1845</v>
      </c>
      <c r="E9" s="11">
        <v>1</v>
      </c>
      <c r="F9" s="11">
        <v>1</v>
      </c>
      <c r="G9" s="73"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1846</v>
      </c>
      <c r="C10" s="11" t="s">
        <v>1847</v>
      </c>
      <c r="D10" s="11" t="s">
        <v>1848</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1849</v>
      </c>
      <c r="C11" s="11" t="s">
        <v>1850</v>
      </c>
      <c r="D11" s="11" t="s">
        <v>1851</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1852</v>
      </c>
      <c r="C12" s="11" t="s">
        <v>1853</v>
      </c>
      <c r="D12" s="11" t="s">
        <v>1854</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1855</v>
      </c>
      <c r="C13" s="11" t="s">
        <v>1856</v>
      </c>
      <c r="D13" s="11" t="s">
        <v>1857</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1860</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1932</v>
      </c>
      <c r="D3" s="47" t="s">
        <v>1473</v>
      </c>
      <c r="E3" s="71" t="str">
        <f>$C$1&amp;B14</f>
        <v>http://hl7.eu/fhir/ig/idea4rc/StructureDefinition/PatientFollowUpI4rc</v>
      </c>
    </row>
    <row r="4" spans="1:19" x14ac:dyDescent="0.75">
      <c r="B4" s="47" t="s">
        <v>16</v>
      </c>
      <c r="C4" s="28" t="s">
        <v>1932</v>
      </c>
      <c r="D4" s="47" t="s">
        <v>1474</v>
      </c>
      <c r="E4" s="145" t="s">
        <v>1931</v>
      </c>
      <c r="F4" s="146"/>
      <c r="G4" s="146"/>
    </row>
    <row r="5" spans="1:19" x14ac:dyDescent="0.75">
      <c r="B5" s="47" t="s">
        <v>10</v>
      </c>
      <c r="C5" s="7" t="s">
        <v>1933</v>
      </c>
      <c r="D5" s="47"/>
      <c r="E5" s="7"/>
    </row>
    <row r="6" spans="1:19" x14ac:dyDescent="0.75">
      <c r="B6" s="47" t="s">
        <v>18</v>
      </c>
      <c r="C6" s="41"/>
      <c r="D6" s="47" t="s">
        <v>1475</v>
      </c>
      <c r="E6" s="145" t="str">
        <f>E3</f>
        <v>http://hl7.eu/fhir/ig/idea4rc/StructureDefinition/PatientFollowUpI4rc</v>
      </c>
      <c r="F6" s="146"/>
      <c r="G6" s="146"/>
    </row>
    <row r="7" spans="1:19" x14ac:dyDescent="0.75">
      <c r="B7" s="47" t="s">
        <v>15</v>
      </c>
      <c r="C7" s="72"/>
      <c r="D7" s="47" t="s">
        <v>1476</v>
      </c>
      <c r="E7" s="145" t="str">
        <f>C1&amp;"encounter-followup-eu-i4rc"</f>
        <v>http://hl7.eu/fhir/ig/idea4rc/StructureDefinition/encounter-followup-eu-i4rc</v>
      </c>
      <c r="F7" s="146"/>
      <c r="G7" s="146"/>
    </row>
    <row r="8" spans="1:19" ht="45" thickBot="1" x14ac:dyDescent="0.9">
      <c r="B8" s="47" t="s">
        <v>1477</v>
      </c>
      <c r="C8" s="7" t="s">
        <v>1933</v>
      </c>
      <c r="D8" s="47"/>
      <c r="E8" s="7"/>
      <c r="I8" s="12" t="s">
        <v>1289</v>
      </c>
      <c r="J8" s="12" t="s">
        <v>1290</v>
      </c>
      <c r="K8" s="12" t="s">
        <v>1291</v>
      </c>
      <c r="L8" s="12" t="s">
        <v>1292</v>
      </c>
      <c r="M8" s="11" t="s">
        <v>1293</v>
      </c>
      <c r="P8" s="34" t="s">
        <v>1328</v>
      </c>
      <c r="Q8" s="34">
        <v>6</v>
      </c>
    </row>
    <row r="9" spans="1:19" ht="30.25" thickBot="1" x14ac:dyDescent="0.9">
      <c r="B9" s="47" t="s">
        <v>1478</v>
      </c>
      <c r="C9" s="12" t="s">
        <v>1934</v>
      </c>
      <c r="D9" s="93"/>
      <c r="E9" s="147"/>
      <c r="F9" s="148"/>
      <c r="G9" s="14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2291</v>
      </c>
      <c r="E16" s="12"/>
      <c r="F16" s="49" t="s">
        <v>1294</v>
      </c>
      <c r="G16" s="77" t="s">
        <v>2292</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1936</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2291</v>
      </c>
      <c r="E18" s="12"/>
      <c r="F18" s="49" t="s">
        <v>1294</v>
      </c>
      <c r="G18" s="77" t="s">
        <v>2295</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2291</v>
      </c>
      <c r="E19" s="12"/>
      <c r="F19" s="49" t="s">
        <v>1294</v>
      </c>
      <c r="G19" s="77" t="s">
        <v>2295</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2291</v>
      </c>
      <c r="E20" s="12"/>
      <c r="F20" s="49" t="s">
        <v>1294</v>
      </c>
      <c r="G20" s="77" t="s">
        <v>2295</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C27" sqref="C2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1932</v>
      </c>
      <c r="D3" s="47" t="s">
        <v>1473</v>
      </c>
      <c r="E3" s="71" t="str">
        <f>$C$1&amp;B14</f>
        <v>http://hl7.eu/fhir/ig/idea4rc/StructureDefinition/PatientFollowUpI4rc</v>
      </c>
    </row>
    <row r="4" spans="1:19" x14ac:dyDescent="0.75">
      <c r="B4" s="47" t="s">
        <v>16</v>
      </c>
      <c r="C4" s="28" t="s">
        <v>1932</v>
      </c>
      <c r="D4" s="47" t="s">
        <v>1474</v>
      </c>
      <c r="E4" s="145" t="s">
        <v>1931</v>
      </c>
      <c r="F4" s="146"/>
      <c r="G4" s="146"/>
    </row>
    <row r="5" spans="1:19" x14ac:dyDescent="0.75">
      <c r="B5" s="47" t="s">
        <v>10</v>
      </c>
      <c r="C5" s="7" t="s">
        <v>1933</v>
      </c>
      <c r="D5" s="47"/>
      <c r="E5" s="7"/>
    </row>
    <row r="6" spans="1:19" x14ac:dyDescent="0.75">
      <c r="B6" s="47" t="s">
        <v>18</v>
      </c>
      <c r="C6" s="41"/>
      <c r="D6" s="47" t="s">
        <v>1475</v>
      </c>
      <c r="E6" s="145" t="str">
        <f>E3</f>
        <v>http://hl7.eu/fhir/ig/idea4rc/StructureDefinition/PatientFollowUpI4rc</v>
      </c>
      <c r="F6" s="146"/>
      <c r="G6" s="146"/>
    </row>
    <row r="7" spans="1:19" x14ac:dyDescent="0.75">
      <c r="B7" s="47" t="s">
        <v>15</v>
      </c>
      <c r="C7" s="72"/>
      <c r="D7" s="47" t="s">
        <v>1476</v>
      </c>
      <c r="E7" s="145" t="str">
        <f>C1&amp;"Condition-primaryCancer-eu-i4rc"</f>
        <v>http://hl7.eu/fhir/ig/idea4rc/StructureDefinition/Condition-primaryCancer-eu-i4rc</v>
      </c>
      <c r="F7" s="146"/>
      <c r="G7" s="146"/>
    </row>
    <row r="8" spans="1:19" ht="45" thickBot="1" x14ac:dyDescent="0.9">
      <c r="B8" s="47" t="s">
        <v>1477</v>
      </c>
      <c r="C8" s="7" t="s">
        <v>1933</v>
      </c>
      <c r="D8" s="47"/>
      <c r="E8" s="7"/>
      <c r="I8" s="12" t="s">
        <v>1289</v>
      </c>
      <c r="J8" s="12" t="s">
        <v>1290</v>
      </c>
      <c r="K8" s="12" t="s">
        <v>1291</v>
      </c>
      <c r="L8" s="12" t="s">
        <v>1292</v>
      </c>
      <c r="M8" s="11" t="s">
        <v>1293</v>
      </c>
      <c r="P8" s="34" t="s">
        <v>1328</v>
      </c>
      <c r="Q8" s="34">
        <v>6</v>
      </c>
    </row>
    <row r="9" spans="1:19" ht="30.25" thickBot="1" x14ac:dyDescent="0.9">
      <c r="B9" s="47" t="s">
        <v>1478</v>
      </c>
      <c r="C9" s="12" t="s">
        <v>1934</v>
      </c>
      <c r="D9" s="93"/>
      <c r="E9" s="147"/>
      <c r="F9" s="148"/>
      <c r="G9" s="14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1613</v>
      </c>
      <c r="E16" s="12"/>
      <c r="F16" s="49" t="s">
        <v>1316</v>
      </c>
      <c r="G16" s="77" t="s">
        <v>2293</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7" t="s">
        <v>2294</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2310</v>
      </c>
      <c r="E19" s="12"/>
      <c r="F19" s="49" t="s">
        <v>1316</v>
      </c>
      <c r="G19" s="77" t="s">
        <v>2311</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1615</v>
      </c>
      <c r="E20" s="12"/>
      <c r="F20" s="49" t="s">
        <v>1316</v>
      </c>
      <c r="G20" s="77" t="s">
        <v>2294</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7"/>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7"/>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7"/>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5"/>
        <v>6</v>
      </c>
      <c r="R51" s="11">
        <f t="shared" si="16"/>
        <v>1</v>
      </c>
      <c r="S51" s="12" cm="1">
        <f t="array" ref="S51">INDEX('PatientFollowUp-ConceptMap-2'!$I$15:$N$54,Q51+1,R51)</f>
        <v>0</v>
      </c>
    </row>
    <row r="52" spans="2:19" x14ac:dyDescent="0.75">
      <c r="B52" s="11"/>
      <c r="C52" s="11"/>
      <c r="D52" s="12"/>
      <c r="E52" s="12"/>
      <c r="F52" s="49"/>
      <c r="G52" s="77"/>
      <c r="P52" s="11">
        <v>38</v>
      </c>
      <c r="Q52" s="11">
        <f t="shared" si="15"/>
        <v>6</v>
      </c>
      <c r="R52" s="11">
        <f t="shared" si="16"/>
        <v>2</v>
      </c>
      <c r="S52" s="12" cm="1">
        <f t="array" ref="S52">INDEX('PatientFollowUp-ConceptMap-2'!$I$15:$N$54,Q52+1,R52)</f>
        <v>0</v>
      </c>
    </row>
    <row r="53" spans="2:19" x14ac:dyDescent="0.75">
      <c r="B53" s="11"/>
      <c r="C53" s="11"/>
      <c r="D53" s="12"/>
      <c r="E53" s="12"/>
      <c r="F53" s="49"/>
      <c r="G53" s="77"/>
      <c r="P53" s="11">
        <v>39</v>
      </c>
      <c r="Q53" s="11">
        <f t="shared" si="15"/>
        <v>6</v>
      </c>
      <c r="R53" s="11">
        <f t="shared" si="16"/>
        <v>3</v>
      </c>
      <c r="S53" s="12" cm="1">
        <f t="array" ref="S53">INDEX('PatientFollowUp-ConceptMap-2'!$I$15:$N$54,Q53+1,R53)</f>
        <v>0</v>
      </c>
    </row>
    <row r="54" spans="2:19" x14ac:dyDescent="0.75">
      <c r="B54" s="11"/>
      <c r="C54" s="11"/>
      <c r="D54" s="12"/>
      <c r="E54" s="12"/>
      <c r="F54" s="49"/>
      <c r="G54" s="77"/>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1861</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5"/>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5"/>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6" zoomScaleNormal="100" workbookViewId="0">
      <selection activeCell="D14" sqref="D1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1557</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20" t="s">
        <v>2084</v>
      </c>
      <c r="J7" s="120" t="s">
        <v>2085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1997</v>
      </c>
      <c r="C10" t="s">
        <v>1998</v>
      </c>
      <c r="D10" s="2" t="s">
        <v>1999</v>
      </c>
      <c r="E10" s="11">
        <v>1</v>
      </c>
      <c r="F10" s="11">
        <v>1</v>
      </c>
      <c r="G10" s="12" t="s">
        <v>1468</v>
      </c>
      <c r="H10" s="2" t="s">
        <v>2078</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2000</v>
      </c>
      <c r="C13" t="s">
        <v>2001</v>
      </c>
      <c r="D13" s="2" t="s">
        <v>2002</v>
      </c>
      <c r="E13" s="11">
        <v>1</v>
      </c>
      <c r="F13" s="11">
        <v>1</v>
      </c>
      <c r="G13" s="12" t="s">
        <v>44</v>
      </c>
      <c r="H13" s="2" t="s">
        <v>2079</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2080</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2104</v>
      </c>
      <c r="C15" s="4" t="s">
        <v>2105</v>
      </c>
      <c r="D15" s="4" t="s">
        <v>2105</v>
      </c>
      <c r="E15" s="6">
        <v>1</v>
      </c>
      <c r="F15" s="6">
        <v>1</v>
      </c>
      <c r="G15" s="4" t="s">
        <v>1</v>
      </c>
      <c r="H15" s="4" t="s">
        <v>2081</v>
      </c>
      <c r="I15" s="12" t="b">
        <v>1</v>
      </c>
      <c r="J15" s="12" t="b">
        <v>1</v>
      </c>
      <c r="K15" s="123"/>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2106</v>
      </c>
      <c r="C16" s="12" t="s">
        <v>1354</v>
      </c>
      <c r="D16" s="12" t="s">
        <v>1355</v>
      </c>
      <c r="E16" s="11">
        <v>1</v>
      </c>
      <c r="F16" s="11">
        <v>1</v>
      </c>
      <c r="G16" s="12" t="s">
        <v>1468</v>
      </c>
      <c r="H16" s="2" t="s">
        <v>2059</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2107</v>
      </c>
      <c r="C17" s="12" t="s">
        <v>1356</v>
      </c>
      <c r="D17" s="12" t="s">
        <v>1357</v>
      </c>
      <c r="E17" s="11">
        <v>1</v>
      </c>
      <c r="F17" s="11">
        <v>1</v>
      </c>
      <c r="G17" s="12" t="s">
        <v>1468</v>
      </c>
      <c r="H17" s="2" t="s">
        <v>2060</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2108</v>
      </c>
      <c r="C18" s="12" t="s">
        <v>1358</v>
      </c>
      <c r="D18" s="12" t="s">
        <v>1359</v>
      </c>
      <c r="E18" s="11">
        <v>1</v>
      </c>
      <c r="F18" s="11">
        <v>1</v>
      </c>
      <c r="G18" s="12" t="s">
        <v>1468</v>
      </c>
      <c r="H18" s="2" t="s">
        <v>2061</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2109</v>
      </c>
      <c r="C19" s="12" t="s">
        <v>1360</v>
      </c>
      <c r="D19" s="12" t="s">
        <v>1361</v>
      </c>
      <c r="E19" s="11">
        <v>1</v>
      </c>
      <c r="F19" s="11">
        <v>1</v>
      </c>
      <c r="G19" s="12" t="s">
        <v>1468</v>
      </c>
      <c r="H19" s="2" t="s">
        <v>2062</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2110</v>
      </c>
      <c r="C20" s="118" t="s">
        <v>1362</v>
      </c>
      <c r="D20" s="118" t="s">
        <v>1363</v>
      </c>
      <c r="E20" s="3">
        <v>1</v>
      </c>
      <c r="F20" s="3">
        <v>1</v>
      </c>
      <c r="G20" s="118" t="s">
        <v>1468</v>
      </c>
      <c r="H20" s="2" t="s">
        <v>2063</v>
      </c>
      <c r="I20" s="12" t="b">
        <v>1</v>
      </c>
      <c r="J20" s="12" t="b">
        <v>1</v>
      </c>
      <c r="K20" s="25"/>
      <c r="L20" s="118" t="str">
        <f t="shared" si="1"/>
        <v>* hnClassification.histologySNUC 1..1 CodeableConcept ##34#Histology Sinonasal undifferentiated carcinoma##34# ##334#Specifies the histological subgroup for sinonasl undifferentiated carcinomas##334#</v>
      </c>
      <c r="M20"/>
      <c r="N20" s="118"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2111</v>
      </c>
      <c r="C21" s="11" t="s">
        <v>2003</v>
      </c>
      <c r="D21" s="12" t="s">
        <v>2004</v>
      </c>
      <c r="E21" s="11">
        <v>1</v>
      </c>
      <c r="F21" s="11">
        <v>1</v>
      </c>
      <c r="G21" s="12" t="s">
        <v>1468</v>
      </c>
      <c r="H21" s="12" t="s">
        <v>2064</v>
      </c>
      <c r="I21" s="12" t="b">
        <v>0</v>
      </c>
      <c r="J21" s="12" t="b">
        <v>1</v>
      </c>
      <c r="K21" s="115"/>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2112</v>
      </c>
      <c r="C22" s="11" t="s">
        <v>2005</v>
      </c>
      <c r="D22" s="73" t="s">
        <v>2005</v>
      </c>
      <c r="E22" s="11">
        <v>1</v>
      </c>
      <c r="F22" s="11">
        <v>1</v>
      </c>
      <c r="G22" s="12" t="s">
        <v>1468</v>
      </c>
      <c r="H22" s="12" t="s">
        <v>2065</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2113</v>
      </c>
      <c r="C23" s="11" t="s">
        <v>2006</v>
      </c>
      <c r="D23" s="11" t="s">
        <v>2006</v>
      </c>
      <c r="E23" s="11">
        <v>1</v>
      </c>
      <c r="F23" s="11">
        <v>1</v>
      </c>
      <c r="G23" s="12" t="s">
        <v>1468</v>
      </c>
      <c r="H23" s="12" t="s">
        <v>2066</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9" t="s">
        <v>2297</v>
      </c>
      <c r="B24" s="6" t="s">
        <v>2103</v>
      </c>
      <c r="C24" s="6" t="s">
        <v>2114</v>
      </c>
      <c r="D24" s="6" t="s">
        <v>2114</v>
      </c>
      <c r="E24" s="6">
        <v>1</v>
      </c>
      <c r="F24" s="6">
        <v>1</v>
      </c>
      <c r="G24" s="12" t="s">
        <v>1</v>
      </c>
      <c r="H24" s="61"/>
      <c r="I24" s="12" t="b">
        <v>0</v>
      </c>
      <c r="J24" s="12" t="b">
        <v>1</v>
      </c>
      <c r="K24" s="124"/>
      <c r="L24" s="117" t="str">
        <f t="shared" si="1"/>
        <v>* sarcomaClassification 1..1 BackboneElement ##34#Sarcoma classification##34# ##334#Sarcoma classification##334#</v>
      </c>
      <c r="M24"/>
      <c r="N24" s="117" t="str">
        <f t="shared" si="2"/>
        <v/>
      </c>
      <c r="P24" s="12" t="str">
        <f t="shared" si="3"/>
        <v/>
      </c>
      <c r="Q24"/>
      <c r="R24" s="12" t="str">
        <f t="shared" si="4"/>
        <v>* sarcomaClassification insert ObligationActorAndCode($actor-sarcoma-i4rc, #handle)</v>
      </c>
    </row>
    <row r="25" spans="1:18" s="2" customFormat="1" ht="324.5" x14ac:dyDescent="0.75">
      <c r="A25" s="11">
        <v>16</v>
      </c>
      <c r="B25" s="11" t="s">
        <v>2115</v>
      </c>
      <c r="C25" s="11" t="s">
        <v>2007</v>
      </c>
      <c r="D25" s="11" t="s">
        <v>2007</v>
      </c>
      <c r="E25" s="11">
        <v>1</v>
      </c>
      <c r="F25" s="11">
        <v>1</v>
      </c>
      <c r="G25" s="12" t="s">
        <v>1468</v>
      </c>
      <c r="H25" s="2" t="s">
        <v>2067</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2116</v>
      </c>
      <c r="C26" s="11" t="s">
        <v>2008</v>
      </c>
      <c r="D26" s="11" t="s">
        <v>2008</v>
      </c>
      <c r="E26" s="11">
        <v>1</v>
      </c>
      <c r="F26" s="11">
        <v>1</v>
      </c>
      <c r="G26" s="12" t="s">
        <v>1468</v>
      </c>
      <c r="H26" s="2" t="s">
        <v>2068</v>
      </c>
      <c r="I26" s="12" t="b">
        <v>0</v>
      </c>
      <c r="J26" s="12" t="b">
        <v>1</v>
      </c>
      <c r="K26" s="116"/>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2117</v>
      </c>
      <c r="C27" s="11" t="s">
        <v>2009</v>
      </c>
      <c r="D27" s="11" t="s">
        <v>2009</v>
      </c>
      <c r="E27" s="11">
        <v>1</v>
      </c>
      <c r="F27" s="11">
        <v>1</v>
      </c>
      <c r="G27" s="12" t="s">
        <v>1468</v>
      </c>
      <c r="H27" s="2" t="s">
        <v>2069</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2118</v>
      </c>
      <c r="C28" s="11" t="s">
        <v>2010</v>
      </c>
      <c r="D28" s="11" t="s">
        <v>2010</v>
      </c>
      <c r="E28" s="11">
        <v>1</v>
      </c>
      <c r="F28" s="11">
        <v>1</v>
      </c>
      <c r="G28" s="12" t="s">
        <v>1468</v>
      </c>
      <c r="H28" s="12" t="s">
        <v>2070</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2119</v>
      </c>
      <c r="C29" s="11" t="s">
        <v>2011</v>
      </c>
      <c r="D29" s="11" t="s">
        <v>2011</v>
      </c>
      <c r="E29" s="11">
        <v>1</v>
      </c>
      <c r="F29" s="11">
        <v>1</v>
      </c>
      <c r="G29" s="12" t="s">
        <v>1468</v>
      </c>
      <c r="H29" s="12" t="s">
        <v>2071</v>
      </c>
      <c r="I29" s="12" t="b">
        <v>0</v>
      </c>
      <c r="J29" s="12" t="b">
        <v>1</v>
      </c>
      <c r="K29" s="115"/>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2120</v>
      </c>
      <c r="C30" s="11" t="s">
        <v>2012</v>
      </c>
      <c r="D30" s="11" t="s">
        <v>2012</v>
      </c>
      <c r="E30" s="11">
        <v>1</v>
      </c>
      <c r="F30" s="11">
        <v>1</v>
      </c>
      <c r="G30" s="12" t="s">
        <v>1468</v>
      </c>
      <c r="H30" s="12" t="s">
        <v>2072</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2121</v>
      </c>
      <c r="C31" s="11" t="s">
        <v>2013</v>
      </c>
      <c r="D31" s="11" t="s">
        <v>2013</v>
      </c>
      <c r="E31" s="11">
        <v>1</v>
      </c>
      <c r="F31" s="11">
        <v>1</v>
      </c>
      <c r="G31" s="12" t="s">
        <v>1468</v>
      </c>
      <c r="H31" s="12" t="s">
        <v>2073</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2122</v>
      </c>
      <c r="C32" s="11" t="s">
        <v>2014</v>
      </c>
      <c r="D32" s="11" t="s">
        <v>2014</v>
      </c>
      <c r="E32" s="11">
        <v>1</v>
      </c>
      <c r="F32" s="11">
        <v>1</v>
      </c>
      <c r="G32" s="12" t="s">
        <v>1468</v>
      </c>
      <c r="H32" s="12" t="s">
        <v>2074</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2123</v>
      </c>
      <c r="C33" s="11" t="s">
        <v>2015</v>
      </c>
      <c r="D33" s="11" t="s">
        <v>2015</v>
      </c>
      <c r="E33" s="11">
        <v>1</v>
      </c>
      <c r="F33" s="11">
        <v>1</v>
      </c>
      <c r="G33" s="12" t="s">
        <v>1468</v>
      </c>
      <c r="H33" s="12" t="s">
        <v>2075</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2124</v>
      </c>
      <c r="C34" s="11" t="s">
        <v>2016</v>
      </c>
      <c r="D34" s="11" t="s">
        <v>2016</v>
      </c>
      <c r="E34" s="11">
        <v>1</v>
      </c>
      <c r="F34" s="11">
        <v>1</v>
      </c>
      <c r="G34" s="12" t="s">
        <v>1468</v>
      </c>
      <c r="H34" s="12" t="s">
        <v>2076</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2125</v>
      </c>
      <c r="C35" s="11" t="s">
        <v>2017</v>
      </c>
      <c r="D35" s="11" t="s">
        <v>2017</v>
      </c>
      <c r="E35" s="11">
        <v>1</v>
      </c>
      <c r="F35" s="11">
        <v>1</v>
      </c>
      <c r="G35" s="12" t="s">
        <v>1468</v>
      </c>
      <c r="H35" s="12" t="s">
        <v>2077</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2036</v>
      </c>
      <c r="C36" s="11" t="s">
        <v>2036</v>
      </c>
      <c r="D36" s="11" t="s">
        <v>2036</v>
      </c>
      <c r="E36" s="11">
        <v>1</v>
      </c>
      <c r="F36" s="114">
        <v>1</v>
      </c>
      <c r="G36" s="12" t="s">
        <v>1</v>
      </c>
      <c r="H36" s="12"/>
      <c r="I36" s="12" t="b">
        <v>1</v>
      </c>
      <c r="J36" s="12" t="b">
        <v>0</v>
      </c>
      <c r="K36" s="124"/>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2127</v>
      </c>
      <c r="C37" s="12" t="s">
        <v>1364</v>
      </c>
      <c r="D37" s="12" t="s">
        <v>1365</v>
      </c>
      <c r="E37" s="11">
        <v>1</v>
      </c>
      <c r="F37" s="11">
        <v>1</v>
      </c>
      <c r="G37" s="12" t="s">
        <v>1468</v>
      </c>
      <c r="H37" s="12" t="s">
        <v>2042</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2128</v>
      </c>
      <c r="C38" s="12" t="s">
        <v>1366</v>
      </c>
      <c r="D38" s="12" t="s">
        <v>1367</v>
      </c>
      <c r="E38" s="11">
        <v>1</v>
      </c>
      <c r="F38" s="11">
        <v>1</v>
      </c>
      <c r="G38" s="12" t="s">
        <v>1468</v>
      </c>
      <c r="H38" s="12" t="s">
        <v>2043</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2129</v>
      </c>
      <c r="C39" s="117" t="s">
        <v>1368</v>
      </c>
      <c r="D39" s="117" t="s">
        <v>1369</v>
      </c>
      <c r="E39" s="46">
        <v>1</v>
      </c>
      <c r="F39" s="46">
        <v>1</v>
      </c>
      <c r="G39" s="117" t="s">
        <v>1468</v>
      </c>
      <c r="H39" s="117" t="s">
        <v>2044</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2130</v>
      </c>
      <c r="C40" s="12" t="s">
        <v>1370</v>
      </c>
      <c r="D40" s="12" t="s">
        <v>1371</v>
      </c>
      <c r="E40" s="11">
        <v>1</v>
      </c>
      <c r="F40" s="11">
        <v>1</v>
      </c>
      <c r="G40" s="12" t="s">
        <v>1468</v>
      </c>
      <c r="H40" s="12" t="s">
        <v>2045</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2131</v>
      </c>
      <c r="C41" s="12" t="s">
        <v>1372</v>
      </c>
      <c r="D41" s="12" t="s">
        <v>1373</v>
      </c>
      <c r="E41" s="11">
        <v>1</v>
      </c>
      <c r="F41" s="11">
        <v>1</v>
      </c>
      <c r="G41" s="12" t="s">
        <v>1468</v>
      </c>
      <c r="H41" s="12" t="s">
        <v>2046</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2132</v>
      </c>
      <c r="C42" s="12" t="s">
        <v>1374</v>
      </c>
      <c r="D42" s="12" t="s">
        <v>1375</v>
      </c>
      <c r="E42" s="11">
        <v>1</v>
      </c>
      <c r="F42" s="11">
        <v>1</v>
      </c>
      <c r="G42" s="12" t="s">
        <v>1468</v>
      </c>
      <c r="H42" s="12" t="s">
        <v>2047</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2133</v>
      </c>
      <c r="C43" s="12" t="s">
        <v>1376</v>
      </c>
      <c r="D43" s="12" t="s">
        <v>1377</v>
      </c>
      <c r="E43" s="11">
        <v>1</v>
      </c>
      <c r="F43" s="11">
        <v>1</v>
      </c>
      <c r="G43" s="12" t="s">
        <v>1468</v>
      </c>
      <c r="H43" s="12" t="s">
        <v>2048</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2134</v>
      </c>
      <c r="C44" s="11" t="s">
        <v>2018</v>
      </c>
      <c r="D44" s="12" t="s">
        <v>2019</v>
      </c>
      <c r="E44" s="11">
        <v>1</v>
      </c>
      <c r="F44" s="11">
        <v>1</v>
      </c>
      <c r="G44" s="12" t="s">
        <v>1468</v>
      </c>
      <c r="H44" s="12" t="s">
        <v>2049</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2037</v>
      </c>
      <c r="C45" s="11" t="s">
        <v>2020</v>
      </c>
      <c r="D45" s="12" t="s">
        <v>2019</v>
      </c>
      <c r="E45" s="11">
        <v>1</v>
      </c>
      <c r="F45" s="11">
        <v>1</v>
      </c>
      <c r="G45" s="12" t="s">
        <v>1468</v>
      </c>
      <c r="H45" s="12" t="s">
        <v>2050</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2038</v>
      </c>
      <c r="C46" s="11" t="s">
        <v>2021</v>
      </c>
      <c r="D46" s="12" t="s">
        <v>2019</v>
      </c>
      <c r="E46" s="11">
        <v>1</v>
      </c>
      <c r="F46" s="11">
        <v>1</v>
      </c>
      <c r="G46" s="12" t="s">
        <v>1468</v>
      </c>
      <c r="H46" s="12" t="s">
        <v>2051</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2039</v>
      </c>
      <c r="C47" s="11" t="s">
        <v>2022</v>
      </c>
      <c r="D47" s="12" t="s">
        <v>2019</v>
      </c>
      <c r="E47" s="11">
        <v>1</v>
      </c>
      <c r="F47" s="11">
        <v>1</v>
      </c>
      <c r="G47" s="12" t="s">
        <v>1468</v>
      </c>
      <c r="H47" s="12" t="s">
        <v>2052</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2040</v>
      </c>
      <c r="C48" s="11" t="s">
        <v>2023</v>
      </c>
      <c r="D48" s="12" t="s">
        <v>2019</v>
      </c>
      <c r="E48" s="11">
        <v>1</v>
      </c>
      <c r="F48" s="11">
        <v>1</v>
      </c>
      <c r="G48" s="12" t="s">
        <v>1468</v>
      </c>
      <c r="H48" s="12" t="s">
        <v>2053</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2041</v>
      </c>
      <c r="C49" s="11" t="s">
        <v>2024</v>
      </c>
      <c r="D49" s="12" t="s">
        <v>2019</v>
      </c>
      <c r="E49" s="11">
        <v>1</v>
      </c>
      <c r="F49" s="11">
        <v>1</v>
      </c>
      <c r="G49" s="12" t="s">
        <v>1468</v>
      </c>
      <c r="H49" s="12" t="s">
        <v>2054</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2298</v>
      </c>
      <c r="C50" s="11" t="s">
        <v>2025</v>
      </c>
      <c r="D50" s="12" t="s">
        <v>2019</v>
      </c>
      <c r="E50" s="11">
        <v>1</v>
      </c>
      <c r="F50" s="11">
        <v>1</v>
      </c>
      <c r="G50" s="12" t="s">
        <v>1468</v>
      </c>
      <c r="H50" s="12" t="s">
        <v>2055</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2126</v>
      </c>
      <c r="C51" s="11" t="s">
        <v>2026</v>
      </c>
      <c r="D51" s="12" t="s">
        <v>2019</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2027</v>
      </c>
      <c r="C52" s="11" t="s">
        <v>2028</v>
      </c>
      <c r="D52" s="12" t="s">
        <v>2029</v>
      </c>
      <c r="E52" s="11">
        <v>1</v>
      </c>
      <c r="F52" s="11">
        <v>1</v>
      </c>
      <c r="G52" s="12" t="s">
        <v>1993</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2030</v>
      </c>
      <c r="C53" s="11" t="s">
        <v>2031</v>
      </c>
      <c r="D53" s="12" t="s">
        <v>2032</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2033</v>
      </c>
      <c r="C54" s="11" t="s">
        <v>2034</v>
      </c>
      <c r="D54" s="12" t="s">
        <v>2035</v>
      </c>
      <c r="E54" s="11">
        <v>1</v>
      </c>
      <c r="F54" s="11">
        <v>1</v>
      </c>
      <c r="G54" s="12" t="s">
        <v>1993</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2056</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2057</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1807</v>
      </c>
      <c r="D57" s="12" t="s">
        <v>1382</v>
      </c>
      <c r="E57" s="11">
        <v>0</v>
      </c>
      <c r="F57" s="11">
        <v>1</v>
      </c>
      <c r="G57" s="12" t="s">
        <v>1468</v>
      </c>
      <c r="H57" s="12" t="s">
        <v>2058</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2" t="str">
        <f>CancerEpisode!P1</f>
        <v>// -------------------------------------------------------------------------------</v>
      </c>
    </row>
    <row r="125" spans="3:3" x14ac:dyDescent="0.75">
      <c r="C125" s="122" t="str">
        <f>CancerEpisode!P2</f>
        <v>// Obligations H&amp;N</v>
      </c>
    </row>
    <row r="126" spans="3:3" x14ac:dyDescent="0.75">
      <c r="C126" s="122"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2" t="str">
        <f>CancerEpisode!R1</f>
        <v>// -------------------------------------------------------------------------------</v>
      </c>
    </row>
    <row r="184" spans="3:3" x14ac:dyDescent="0.75">
      <c r="C184" s="122" t="str">
        <f>CancerEpisode!R2</f>
        <v>// Obligations Sarcoma</v>
      </c>
    </row>
    <row r="185" spans="3:3" x14ac:dyDescent="0.75">
      <c r="C185" s="122"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topLeftCell="A62" zoomScale="115" zoomScaleNormal="115" workbookViewId="0">
      <selection activeCell="G23" sqref="G2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1531</v>
      </c>
      <c r="D3" s="47" t="s">
        <v>1473</v>
      </c>
      <c r="E3" s="71" t="str">
        <f>$C$1&amp;CancerEpisode!B5</f>
        <v>http://hl7.eu/fhir/ig/idea4rc/StructureDefinition/CancerEpisode</v>
      </c>
    </row>
    <row r="4" spans="1:19" x14ac:dyDescent="0.75">
      <c r="B4" s="47" t="s">
        <v>16</v>
      </c>
      <c r="C4" s="28" t="s">
        <v>1482</v>
      </c>
      <c r="D4" s="47" t="s">
        <v>1474</v>
      </c>
      <c r="E4" s="145" t="s">
        <v>1486</v>
      </c>
      <c r="F4" s="146"/>
      <c r="G4" s="146"/>
    </row>
    <row r="5" spans="1:19" x14ac:dyDescent="0.75">
      <c r="B5" s="47" t="s">
        <v>10</v>
      </c>
      <c r="C5" s="7" t="s">
        <v>1483</v>
      </c>
      <c r="D5" s="47"/>
      <c r="E5" s="7"/>
    </row>
    <row r="6" spans="1:19" x14ac:dyDescent="0.75">
      <c r="B6" s="47" t="s">
        <v>18</v>
      </c>
      <c r="C6" s="41"/>
      <c r="D6" s="47" t="s">
        <v>1475</v>
      </c>
      <c r="E6" s="145" t="str">
        <f>E3</f>
        <v>http://hl7.eu/fhir/ig/idea4rc/StructureDefinition/CancerEpisode</v>
      </c>
      <c r="F6" s="146"/>
      <c r="G6" s="146"/>
    </row>
    <row r="7" spans="1:19" x14ac:dyDescent="0.75">
      <c r="B7" s="47" t="s">
        <v>15</v>
      </c>
      <c r="C7" s="72"/>
      <c r="D7" s="47" t="s">
        <v>1476</v>
      </c>
      <c r="E7" s="145" t="s">
        <v>1486</v>
      </c>
      <c r="F7" s="146"/>
      <c r="G7" s="14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1"/>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1499</v>
      </c>
      <c r="E16" s="11"/>
      <c r="F16" s="49" t="s">
        <v>1294</v>
      </c>
      <c r="G16" s="74"/>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2309</v>
      </c>
      <c r="E17" s="11"/>
      <c r="F17" s="49" t="s">
        <v>1294</v>
      </c>
      <c r="G17" s="74"/>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2425</v>
      </c>
      <c r="E18" s="11"/>
      <c r="F18" s="49" t="s">
        <v>1294</v>
      </c>
      <c r="G18" s="74" t="s">
        <v>2308</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#Condition.evidence:diagnosisDetails.detail</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2425</v>
      </c>
      <c r="E19" s="11"/>
      <c r="F19" s="49" t="s">
        <v>1294</v>
      </c>
      <c r="G19" s="74" t="s">
        <v>2308</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#Condition.evidence:diagnosisDetails.detail</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2425</v>
      </c>
      <c r="E20" s="11"/>
      <c r="F20" s="49" t="s">
        <v>1294</v>
      </c>
      <c r="G20" s="74" t="s">
        <v>2308</v>
      </c>
      <c r="H20" s="43"/>
      <c r="I20" s="12" t="str">
        <f t="shared" si="20"/>
        <v>* group[=].element[+].code = #CancerEpisode.biopsyDoneBy</v>
      </c>
      <c r="J20" s="12" t="str">
        <f t="shared" si="21"/>
        <v>* group[=].element[=].display = ##34#Biopsy done by##34#</v>
      </c>
      <c r="K20" s="12" t="str">
        <f t="shared" si="22"/>
        <v>* group[=].element[=].target.code = #Condition.evidence:diagnosisDetails.detail</v>
      </c>
      <c r="L20" s="12" t="str">
        <f t="shared" si="23"/>
        <v>* group[=].element[=].target.display = ##34###34#</v>
      </c>
      <c r="M20" s="12" t="str">
        <f t="shared" si="24"/>
        <v>* group[=].element[=].target.equivalence = #relatedto</v>
      </c>
      <c r="N20" s="12" t="str">
        <f t="shared" si="25"/>
        <v>* group[=].element[=].target.comment = ##34#see details in group2##34#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1498</v>
      </c>
      <c r="E21" s="11"/>
      <c r="F21" s="49" t="s">
        <v>1317</v>
      </c>
      <c r="G21" s="76" t="s">
        <v>2426</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##34#Applicable only if onSetDateTime is not used otherwise is a calculated value from birthdate and onSetDateTime##34#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2307</v>
      </c>
      <c r="E22" s="11"/>
      <c r="F22" s="49" t="s">
        <v>1316</v>
      </c>
      <c r="G22" s="159" t="s">
        <v>2427</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##34#true' when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8" t="s">
        <v>1500</v>
      </c>
      <c r="E23" s="11"/>
      <c r="F23" s="49" t="s">
        <v>1294</v>
      </c>
      <c r="G23" s="74" t="s">
        <v>1479</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1530</v>
      </c>
      <c r="E24" s="11"/>
      <c r="F24" s="49" t="s">
        <v>1294</v>
      </c>
      <c r="G24" s="76" t="s">
        <v>2296</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6"/>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6"/>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6"/>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6"/>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6"/>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6"/>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6"/>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6"/>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6" t="s">
        <v>2296</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6"/>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6"/>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#Condition.evidence:diagnosisDetails.detail</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6"/>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6"/>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6"/>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6"/>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6"/>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6"/>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#Condition.evidence:diagnosisDetails.detail</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6"/>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6"/>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6"/>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1615</v>
      </c>
      <c r="E45" s="12"/>
      <c r="F45" s="49" t="s">
        <v>1316</v>
      </c>
      <c r="G45" s="96"/>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1615</v>
      </c>
      <c r="E46" s="12"/>
      <c r="F46" s="49" t="s">
        <v>1316</v>
      </c>
      <c r="G46" s="96"/>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1615</v>
      </c>
      <c r="E47" s="12"/>
      <c r="F47" s="49" t="s">
        <v>1316</v>
      </c>
      <c r="G47" s="96"/>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v>
      </c>
    </row>
    <row r="48" spans="1:19" ht="44.25" x14ac:dyDescent="0.75">
      <c r="A48" s="12" t="str">
        <f>CancerEpisode!B39</f>
        <v>subsites.hypopharynx</v>
      </c>
      <c r="B48" s="11" t="str">
        <f>CancerEpisode!B39</f>
        <v>subsites.hypopharynx</v>
      </c>
      <c r="C48" s="11" t="str">
        <f>CancerEpisode!C39</f>
        <v>Hypopharynx subsite</v>
      </c>
      <c r="D48" s="12" t="s">
        <v>1615</v>
      </c>
      <c r="E48" s="12"/>
      <c r="F48" s="49" t="s">
        <v>1316</v>
      </c>
      <c r="G48" s="96"/>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1615</v>
      </c>
      <c r="E49" s="12"/>
      <c r="F49" s="49" t="s">
        <v>1316</v>
      </c>
      <c r="G49" s="96"/>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1615</v>
      </c>
      <c r="E50" s="12"/>
      <c r="F50" s="49" t="s">
        <v>1316</v>
      </c>
      <c r="G50" s="96"/>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##34#see details in group2##34#</v>
      </c>
    </row>
    <row r="51" spans="1:19" ht="44.25" x14ac:dyDescent="0.75">
      <c r="A51" s="12" t="str">
        <f>CancerEpisode!B42</f>
        <v>subsites.oralCavity</v>
      </c>
      <c r="B51" s="11" t="str">
        <f>CancerEpisode!B42</f>
        <v>subsites.oralCavity</v>
      </c>
      <c r="C51" s="11" t="str">
        <f>CancerEpisode!C42</f>
        <v>Oral cavity subsite</v>
      </c>
      <c r="D51" s="12" t="s">
        <v>1615</v>
      </c>
      <c r="E51" s="12"/>
      <c r="F51" s="49" t="s">
        <v>1316</v>
      </c>
      <c r="G51" s="96"/>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1615</v>
      </c>
      <c r="E52" s="12"/>
      <c r="F52" s="49" t="s">
        <v>1316</v>
      </c>
      <c r="G52" s="96"/>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1615</v>
      </c>
      <c r="E53" s="12"/>
      <c r="F53" s="49" t="s">
        <v>1316</v>
      </c>
      <c r="G53" s="96"/>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1615</v>
      </c>
      <c r="E54" s="12"/>
      <c r="F54" s="49" t="s">
        <v>1316</v>
      </c>
      <c r="G54" s="96"/>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1615</v>
      </c>
      <c r="E55" s="12"/>
      <c r="F55" s="49" t="s">
        <v>1316</v>
      </c>
      <c r="G55" s="96"/>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1615</v>
      </c>
      <c r="E56" s="12"/>
      <c r="F56" s="49" t="s">
        <v>1316</v>
      </c>
      <c r="G56" s="96"/>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##34#Applicable only if onSetDateTime is not used otherwise is a calculated value from birthdate and onSetDateTime##34#</v>
      </c>
    </row>
    <row r="57" spans="1:19" ht="44.25" x14ac:dyDescent="0.75">
      <c r="A57" s="12" t="str">
        <f>CancerEpisode!B48</f>
        <v>subsites.genitoUrinarySubsite</v>
      </c>
      <c r="B57" s="11" t="str">
        <f>CancerEpisode!B48</f>
        <v>subsites.genitoUrinarySubsite</v>
      </c>
      <c r="C57" s="11" t="str">
        <f>CancerEpisode!C48</f>
        <v>Genito urinary subsite</v>
      </c>
      <c r="D57" s="12" t="s">
        <v>1615</v>
      </c>
      <c r="E57" s="12"/>
      <c r="F57" s="49" t="s">
        <v>1316</v>
      </c>
      <c r="G57" s="96"/>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1615</v>
      </c>
      <c r="E58" s="12"/>
      <c r="F58" s="49" t="s">
        <v>1316</v>
      </c>
      <c r="G58" s="96"/>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1615</v>
      </c>
      <c r="E59" s="12"/>
      <c r="F59" s="49" t="s">
        <v>1316</v>
      </c>
      <c r="G59" s="96"/>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1615</v>
      </c>
      <c r="E60" s="12"/>
      <c r="F60" s="49" t="s">
        <v>1316</v>
      </c>
      <c r="G60" s="96"/>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2305</v>
      </c>
      <c r="E61" s="12"/>
      <c r="F61" s="49" t="s">
        <v>1316</v>
      </c>
      <c r="G61" s="77" t="s">
        <v>2306</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2304</v>
      </c>
      <c r="E62" s="12"/>
      <c r="F62" s="49" t="s">
        <v>1316</v>
      </c>
      <c r="G62" s="77"/>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##34#true' when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2305</v>
      </c>
      <c r="E63" s="12"/>
      <c r="F63" s="49" t="s">
        <v>1294</v>
      </c>
      <c r="G63" s="91" t="s">
        <v>2301</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2299</v>
      </c>
      <c r="E64" s="12"/>
      <c r="F64" s="49" t="s">
        <v>1294</v>
      </c>
      <c r="G64" s="91" t="s">
        <v>2300</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2299</v>
      </c>
      <c r="E65" s="12"/>
      <c r="F65" s="49" t="s">
        <v>1294</v>
      </c>
      <c r="G65" s="91" t="s">
        <v>2302</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2299</v>
      </c>
      <c r="E66" s="12"/>
      <c r="F66" s="49" t="s">
        <v>1294</v>
      </c>
      <c r="G66" s="91" t="s">
        <v>2303</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1531</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45" t="str">
        <f>E3</f>
        <v>http://hl7.eu/fhir/ig/idea4rc/StructureDefinition/CancerEpisode</v>
      </c>
      <c r="F6" s="146"/>
      <c r="G6" s="146"/>
    </row>
    <row r="7" spans="1:19" x14ac:dyDescent="0.75">
      <c r="B7" s="47" t="s">
        <v>15</v>
      </c>
      <c r="C7" s="72"/>
      <c r="D7" s="47" t="s">
        <v>1476</v>
      </c>
      <c r="E7" s="145" t="s">
        <v>1553</v>
      </c>
      <c r="F7" s="146"/>
      <c r="G7" s="14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1495</v>
      </c>
      <c r="E14" s="6"/>
      <c r="F14" s="49"/>
      <c r="G14" s="49"/>
      <c r="I14" s="12"/>
      <c r="J14" s="11"/>
      <c r="K14" s="11"/>
      <c r="L14" s="11"/>
      <c r="M14" s="48"/>
      <c r="N14" s="51"/>
    </row>
    <row r="15" spans="1:19" ht="44.25" x14ac:dyDescent="0.75">
      <c r="A15" s="44"/>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1555</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2312</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1554</v>
      </c>
      <c r="E18" s="11"/>
      <c r="F18" s="49" t="s">
        <v>1294</v>
      </c>
      <c r="G18" s="77"/>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tabSelected="1"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##34#see details in group2##34#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##34#Applicable only if onSetDateTime is not used otherwise is a calculated value from birthdate and onSetDateTime##34#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##34#true' when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A4" zoomScale="85" zoomScaleNormal="85" workbookViewId="0">
      <selection activeCell="B10" sqref="B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2086</v>
      </c>
      <c r="R2" s="24" t="s">
        <v>2087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1919</v>
      </c>
      <c r="L4" s="16" t="str">
        <f>CONCATENATE("Logical: ",B4)</f>
        <v>Logical: EpisodeEventI4rc</v>
      </c>
    </row>
    <row r="5" spans="1:18" ht="19.899999999999999" customHeight="1" x14ac:dyDescent="0.75">
      <c r="A5" s="14" t="s">
        <v>16</v>
      </c>
      <c r="B5" s="31" t="s">
        <v>1604</v>
      </c>
      <c r="L5" s="16" t="str">
        <f>CONCATENATE("Id: ",B5)</f>
        <v>Id: EpisodeEvent</v>
      </c>
    </row>
    <row r="6" spans="1:18" ht="19.899999999999999" customHeight="1" x14ac:dyDescent="0.75">
      <c r="A6" s="14" t="s">
        <v>10</v>
      </c>
      <c r="B6" s="32" t="s">
        <v>1565</v>
      </c>
      <c r="L6" s="17" t="str">
        <f>CONCATENATE("Title: ##34#",B6,"##34#")</f>
        <v>Title: ##34#Episode Event##34#</v>
      </c>
    </row>
    <row r="7" spans="1:18" ht="19.899999999999999" customHeight="1" x14ac:dyDescent="0.75">
      <c r="A7" s="26" t="s">
        <v>2</v>
      </c>
      <c r="B7" s="32" t="s">
        <v>1565</v>
      </c>
      <c r="C7" s="9" t="s">
        <v>3</v>
      </c>
      <c r="D7" s="1" t="s">
        <v>4</v>
      </c>
      <c r="E7" s="3" t="s">
        <v>5</v>
      </c>
      <c r="F7" s="3" t="s">
        <v>6</v>
      </c>
      <c r="G7" s="3" t="s">
        <v>7</v>
      </c>
      <c r="H7" s="64" t="s">
        <v>1384</v>
      </c>
      <c r="I7" s="120" t="s">
        <v>2084</v>
      </c>
      <c r="J7" s="120" t="s">
        <v>2085</v>
      </c>
      <c r="L7" s="17" t="str">
        <f>CONCATENATE("Description: "," ##334#",B7,"##334#",)</f>
        <v>Description:  ##334#Episode Event##334#</v>
      </c>
    </row>
    <row r="8" spans="1:18" ht="20.25" customHeight="1" x14ac:dyDescent="0.75">
      <c r="A8" s="59">
        <v>0</v>
      </c>
      <c r="B8" s="42" t="s">
        <v>1605</v>
      </c>
      <c r="C8" s="11" t="s">
        <v>1596</v>
      </c>
      <c r="D8" s="11" t="s">
        <v>1597</v>
      </c>
      <c r="E8" s="11">
        <v>1</v>
      </c>
      <c r="F8" s="11">
        <v>1</v>
      </c>
      <c r="G8" t="s">
        <v>1609</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1606</v>
      </c>
      <c r="C9" s="11" t="s">
        <v>1598</v>
      </c>
      <c r="D9" s="11" t="s">
        <v>1599</v>
      </c>
      <c r="E9" s="11">
        <v>1</v>
      </c>
      <c r="F9" s="11">
        <v>1</v>
      </c>
      <c r="G9" s="42" t="s">
        <v>1468</v>
      </c>
      <c r="H9" s="12" t="s">
        <v>2082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1607</v>
      </c>
      <c r="C10" s="11" t="s">
        <v>1600</v>
      </c>
      <c r="D10" s="12" t="s">
        <v>1601</v>
      </c>
      <c r="E10" s="11">
        <v>0</v>
      </c>
      <c r="F10" s="11">
        <v>1</v>
      </c>
      <c r="G10" s="42" t="s">
        <v>1468</v>
      </c>
      <c r="H10" s="12" t="s">
        <v>2083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1608</v>
      </c>
      <c r="C11" s="11" t="s">
        <v>1602</v>
      </c>
      <c r="D11" s="11" t="s">
        <v>1603</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1610</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70" zoomScaleNormal="70" workbookViewId="0">
      <selection activeCell="B17" sqref="B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1616</v>
      </c>
      <c r="D3" s="47" t="s">
        <v>1473</v>
      </c>
      <c r="E3" s="71" t="str">
        <f>$C$1&amp;EpisodeEvent!B4</f>
        <v>http://hl7.eu/fhir/ig/idea4rc/StructureDefinition/EpisodeEventI4rc</v>
      </c>
    </row>
    <row r="4" spans="1:19" x14ac:dyDescent="0.75">
      <c r="B4" s="47" t="s">
        <v>16</v>
      </c>
      <c r="C4" s="28" t="s">
        <v>1621</v>
      </c>
      <c r="D4" s="47" t="s">
        <v>1474</v>
      </c>
      <c r="E4" s="145" t="s">
        <v>1486</v>
      </c>
      <c r="F4" s="146"/>
      <c r="G4" s="146"/>
    </row>
    <row r="5" spans="1:19" x14ac:dyDescent="0.75">
      <c r="B5" s="47" t="s">
        <v>10</v>
      </c>
      <c r="C5" s="7" t="s">
        <v>1617</v>
      </c>
      <c r="D5" s="47"/>
      <c r="E5" s="7"/>
    </row>
    <row r="6" spans="1:19" x14ac:dyDescent="0.75">
      <c r="B6" s="47" t="s">
        <v>18</v>
      </c>
      <c r="C6" s="41"/>
      <c r="D6" s="47" t="s">
        <v>1475</v>
      </c>
      <c r="E6" s="145" t="str">
        <f>E3</f>
        <v>http://hl7.eu/fhir/ig/idea4rc/StructureDefinition/EpisodeEventI4rc</v>
      </c>
      <c r="F6" s="146"/>
      <c r="G6" s="146"/>
    </row>
    <row r="7" spans="1:19" x14ac:dyDescent="0.75">
      <c r="B7" s="47" t="s">
        <v>15</v>
      </c>
      <c r="C7" s="72"/>
      <c r="D7" s="47" t="s">
        <v>1476</v>
      </c>
      <c r="E7" s="145" t="s">
        <v>1486</v>
      </c>
      <c r="F7" s="146"/>
      <c r="G7" s="146"/>
    </row>
    <row r="8" spans="1:19" ht="45" thickBot="1" x14ac:dyDescent="0.9">
      <c r="B8" s="47" t="s">
        <v>1477</v>
      </c>
      <c r="C8" s="73" t="s">
        <v>1617</v>
      </c>
      <c r="D8" s="47"/>
      <c r="E8" s="7"/>
      <c r="I8" s="12" t="s">
        <v>1289</v>
      </c>
      <c r="J8" s="12" t="s">
        <v>1290</v>
      </c>
      <c r="K8" s="12" t="s">
        <v>1291</v>
      </c>
      <c r="L8" s="12" t="s">
        <v>1292</v>
      </c>
      <c r="M8" s="11" t="s">
        <v>1293</v>
      </c>
      <c r="P8" s="34" t="s">
        <v>1328</v>
      </c>
      <c r="Q8" s="34">
        <v>6</v>
      </c>
    </row>
    <row r="9" spans="1:19" ht="30.25" thickBot="1" x14ac:dyDescent="0.9">
      <c r="B9" s="47" t="s">
        <v>1478</v>
      </c>
      <c r="C9" s="12" t="s">
        <v>1618</v>
      </c>
      <c r="D9" s="93"/>
      <c r="E9" s="150"/>
      <c r="F9" s="151"/>
      <c r="G9" s="15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1612</v>
      </c>
      <c r="E15" s="12"/>
      <c r="F15" s="49" t="s">
        <v>1316</v>
      </c>
      <c r="G15" s="77" t="s">
        <v>1625</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1626</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1613</v>
      </c>
      <c r="E17" s="12"/>
      <c r="F17" s="49" t="s">
        <v>1294</v>
      </c>
      <c r="G17" s="76" t="s">
        <v>2313</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2380</v>
      </c>
      <c r="E18" s="12"/>
      <c r="F18" s="49" t="s">
        <v>1294</v>
      </c>
      <c r="G18" s="76" t="s">
        <v>2381</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8" t="str">
        <f>EpisodeEvent!B11</f>
        <v>dateOfEpisode</v>
      </c>
      <c r="C19" s="11" t="str">
        <f>EpisodeEvent!C11</f>
        <v>Date of episode</v>
      </c>
      <c r="D19" s="12" t="s">
        <v>2314</v>
      </c>
      <c r="E19" s="12"/>
      <c r="F19" s="49" t="s">
        <v>1317</v>
      </c>
      <c r="G19" s="76" t="s">
        <v>2315</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1619</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GeneticTestExpressionI4rc</v>
      </c>
    </row>
    <row r="5" spans="1:18" ht="15.5" thickBot="1" x14ac:dyDescent="0.9">
      <c r="A5" s="14" t="s">
        <v>16</v>
      </c>
      <c r="B5" s="30" t="s">
        <v>1886</v>
      </c>
      <c r="L5" s="16" t="str">
        <f>CONCATENATE("Id: ",B5)</f>
        <v>Id: GeneticTestExpression</v>
      </c>
    </row>
    <row r="6" spans="1:18" ht="15.5" thickBot="1" x14ac:dyDescent="0.9">
      <c r="A6" s="14" t="s">
        <v>10</v>
      </c>
      <c r="B6" s="30" t="s">
        <v>1887</v>
      </c>
      <c r="L6" s="17" t="str">
        <f>CONCATENATE("Title: ##34#",B6,"##34#")</f>
        <v>Title: ##34#Genetic Test Expression##34#</v>
      </c>
    </row>
    <row r="7" spans="1:18" x14ac:dyDescent="0.75">
      <c r="A7" s="26" t="s">
        <v>2</v>
      </c>
      <c r="B7" s="97" t="s">
        <v>1887</v>
      </c>
      <c r="C7" s="9" t="s">
        <v>3</v>
      </c>
      <c r="D7" s="1" t="s">
        <v>4</v>
      </c>
      <c r="E7" s="3" t="s">
        <v>5</v>
      </c>
      <c r="F7" s="3" t="s">
        <v>6</v>
      </c>
      <c r="G7" s="3" t="s">
        <v>7</v>
      </c>
      <c r="H7" s="64" t="s">
        <v>1384</v>
      </c>
      <c r="I7" s="120" t="s">
        <v>2084</v>
      </c>
      <c r="J7" s="120" t="s">
        <v>2085</v>
      </c>
      <c r="L7" s="17" t="str">
        <f>CONCATENATE("Description: "," ##334#",B7,"##334#",)</f>
        <v>Description:  ##334#Genetic Test Expression##334#</v>
      </c>
    </row>
    <row r="8" spans="1:18" ht="59" x14ac:dyDescent="0.75">
      <c r="A8" s="59">
        <v>0</v>
      </c>
      <c r="B8" s="11" t="s">
        <v>1590</v>
      </c>
      <c r="C8" s="11" t="s">
        <v>1596</v>
      </c>
      <c r="D8" t="s">
        <v>1559</v>
      </c>
      <c r="E8" s="11">
        <v>1</v>
      </c>
      <c r="F8" s="11">
        <v>1</v>
      </c>
      <c r="G8" s="11" t="s">
        <v>1611</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1888</v>
      </c>
      <c r="C9" s="144" t="s">
        <v>2407</v>
      </c>
      <c r="D9" t="s">
        <v>1889</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1890</v>
      </c>
      <c r="C10" s="144" t="s">
        <v>1891</v>
      </c>
      <c r="D10" t="s">
        <v>1891</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1892</v>
      </c>
      <c r="C11" s="144" t="s">
        <v>2408</v>
      </c>
      <c r="D11" t="s">
        <v>1893</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1894</v>
      </c>
      <c r="C12" s="144" t="s">
        <v>1895</v>
      </c>
      <c r="D12" t="s">
        <v>1895</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1896</v>
      </c>
      <c r="C13" s="144" t="s">
        <v>2409</v>
      </c>
      <c r="D13" t="s">
        <v>1897</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1898</v>
      </c>
      <c r="C14" s="144" t="s">
        <v>1899</v>
      </c>
      <c r="D14" t="s">
        <v>1899</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2135</v>
      </c>
      <c r="C15" s="144" t="s">
        <v>2410</v>
      </c>
      <c r="D15" t="s">
        <v>1900</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1901</v>
      </c>
      <c r="C16" s="144" t="s">
        <v>1902</v>
      </c>
      <c r="D16" t="s">
        <v>1902</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2136</v>
      </c>
      <c r="C17" s="144" t="s">
        <v>2411</v>
      </c>
      <c r="D17" t="s">
        <v>1903</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1904</v>
      </c>
      <c r="C18" s="144" t="s">
        <v>1905</v>
      </c>
      <c r="D18" t="s">
        <v>1905</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1906</v>
      </c>
      <c r="C19" s="144" t="s">
        <v>2412</v>
      </c>
      <c r="D19" t="s">
        <v>1907</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1908</v>
      </c>
      <c r="C20" s="144" t="s">
        <v>1909</v>
      </c>
      <c r="D20" t="s">
        <v>1909</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2137</v>
      </c>
      <c r="C21" s="144" t="s">
        <v>2413</v>
      </c>
      <c r="D21" t="s">
        <v>1910</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1911</v>
      </c>
      <c r="C22" s="144" t="s">
        <v>1912</v>
      </c>
      <c r="D22" t="s">
        <v>1912</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2" customWidth="1"/>
    <col min="7" max="7" width="29.54296875" customWidth="1"/>
    <col min="8" max="8" width="54.90625" customWidth="1"/>
  </cols>
  <sheetData>
    <row r="1" spans="3:7" ht="15.5" thickBot="1" x14ac:dyDescent="0.9">
      <c r="C1" s="100" t="str">
        <f>GeneticTestExpression!L1</f>
        <v>//===================================================</v>
      </c>
    </row>
    <row r="2" spans="3:7" ht="16.75" thickBot="1" x14ac:dyDescent="0.9">
      <c r="C2" s="24" t="str">
        <f>GeneticTestExpression!L2</f>
        <v>//  Logical Model</v>
      </c>
      <c r="G2" s="29" t="s">
        <v>1913</v>
      </c>
    </row>
    <row r="3" spans="3:7" x14ac:dyDescent="0.75">
      <c r="C3" s="24" t="str">
        <f>GeneticTestExpression!L3</f>
        <v>//===================================================</v>
      </c>
    </row>
    <row r="4" spans="3:7" x14ac:dyDescent="0.75">
      <c r="C4" s="101" t="str">
        <f>GeneticTestExpression!L4</f>
        <v>Logical: GeneticTestExpressionI4rc</v>
      </c>
    </row>
    <row r="5" spans="3:7" x14ac:dyDescent="0.75">
      <c r="C5" s="101" t="str">
        <f>GeneticTestExpression!L5</f>
        <v>Id: GeneticTestExpression</v>
      </c>
    </row>
    <row r="6" spans="3:7" x14ac:dyDescent="0.75">
      <c r="C6" s="101" t="str">
        <f>GeneticTestExpression!L6</f>
        <v>Title: ##34#Genetic Test Expression##34#</v>
      </c>
    </row>
    <row r="7" spans="3:7" x14ac:dyDescent="0.75">
      <c r="C7" s="101" t="str">
        <f>GeneticTestExpression!L7</f>
        <v>Description:  ##334#Genetic Test Expression##334#</v>
      </c>
    </row>
    <row r="8" spans="3:7" ht="29.5" x14ac:dyDescent="0.75">
      <c r="C8" s="102"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2" t="str">
        <f>IF(GeneticTestExpression!L9="*  ..  ##34###34# ##334###334#","//--- END",GeneticTestExpression!L9)</f>
        <v>* geneExpressionAnalysisPerformed 0..1 boolean ##34#Is a gene expression analysis performed ?##34# ##334#Clarifies whether a gene expression analysis is performed##334#</v>
      </c>
    </row>
    <row r="10" spans="3:7" x14ac:dyDescent="0.75">
      <c r="C10" s="102" t="str">
        <f>IF(GeneticTestExpression!L10="*  ..  ##34###34# ##334###334#","//--- END",GeneticTestExpression!L10)</f>
        <v>* dateOfGeneExpression 0..1 date ##34#Date of the gene expression analysis##34# ##334#Date of the gene expression analysis##334#</v>
      </c>
    </row>
    <row r="11" spans="3:7" ht="29.5" x14ac:dyDescent="0.75">
      <c r="C11" s="102" t="str">
        <f>IF(GeneticTestExpression!L11="*  ..  ##34###34# ##334###334#","//--- END",GeneticTestExpression!L11)</f>
        <v>* geneMutationAnalysisPerformed 0..1 boolean ##34#Is a gene mutation analysis performed ?##34# ##334#Clarifies whether a gene mutation analysis is performed##334#</v>
      </c>
    </row>
    <row r="12" spans="3:7" x14ac:dyDescent="0.75">
      <c r="C12" s="102" t="str">
        <f>IF(GeneticTestExpression!L12="*  ..  ##34###34# ##334###334#","//--- END",GeneticTestExpression!L12)</f>
        <v>* dateOfGeneMutation 0..1 date ##34#Date of the gene mutation analysis##34# ##334#Date of the gene mutation analysis##334#</v>
      </c>
    </row>
    <row r="13" spans="3:7" ht="29.5" x14ac:dyDescent="0.75">
      <c r="C13" s="102"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2" t="str">
        <f>IF(GeneticTestExpression!L14="*  ..  ##34###34# ##334###334#","//--- END",GeneticTestExpression!L14)</f>
        <v>* dateOfTraslocation 0..1 date ##34#Date of the Chromosome translocation test##34# ##334#Date of the Chromosome translocation test##334#</v>
      </c>
    </row>
    <row r="15" spans="3:7" ht="29.5" x14ac:dyDescent="0.75">
      <c r="C15" s="102" t="str">
        <f>IF(GeneticTestExpression!L15="*  ..  ##34###34# ##334###334#","//--- END",GeneticTestExpression!L15)</f>
        <v>* ngsPerformed 0..1 boolean ##34#Is a NGS analysis performed ?##34# ##334#Clarifies whether a NGS analysis is performed##334#</v>
      </c>
    </row>
    <row r="16" spans="3:7" x14ac:dyDescent="0.75">
      <c r="C16" s="102" t="str">
        <f>IF(GeneticTestExpression!L16="*  ..  ##34###34# ##334###334#","//--- END",GeneticTestExpression!L16)</f>
        <v>* dateOfNgs 0..1 date ##34#Date of the NGS analysis##34# ##334#Date of the NGS analysis##334#</v>
      </c>
    </row>
    <row r="17" spans="3:3" ht="29.5" x14ac:dyDescent="0.75">
      <c r="C17" s="102" t="str">
        <f>IF(GeneticTestExpression!L17="*  ..  ##34###34# ##334###334#","//--- END",GeneticTestExpression!L17)</f>
        <v>* pcrTestPerformed 0..1 boolean ##34#Is a PCR analysis performed ?##34# ##334#Clarifies whether a PCR analysis is performed##334#</v>
      </c>
    </row>
    <row r="18" spans="3:3" x14ac:dyDescent="0.75">
      <c r="C18" s="102" t="str">
        <f>IF(GeneticTestExpression!L18="*  ..  ##34###34# ##334###334#","//--- END",GeneticTestExpression!L18)</f>
        <v>* dateOfPcr 0..1 date ##34#Date of the PCR analysis##34# ##334#Date of the PCR analysis##334#</v>
      </c>
    </row>
    <row r="19" spans="3:3" ht="29.5" x14ac:dyDescent="0.75">
      <c r="C19" s="102"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2" t="str">
        <f>IF(GeneticTestExpression!L20="*  ..  ##34###34# ##334###334#","//--- END",GeneticTestExpression!L20)</f>
        <v>* dateOfImmunohistochemistry 0..1 date ##34#Date of the immunohiostochemestry analysis##34# ##334#Date of the immunohiostochemestry analysis##334#</v>
      </c>
    </row>
    <row r="21" spans="3:3" ht="29.5" x14ac:dyDescent="0.75">
      <c r="C21" s="102" t="str">
        <f>IF(GeneticTestExpression!L21="*  ..  ##34###34# ##334###334#","//--- END",GeneticTestExpression!L21)</f>
        <v>* ctDnaPerformed 0..1 boolean ##34#Is a ctDNA analysis performed ?##34# ##334#Clarifies whether a ctDNA analysis is performed##334#</v>
      </c>
    </row>
    <row r="22" spans="3:3" x14ac:dyDescent="0.75">
      <c r="C22" s="102" t="str">
        <f>IF(GeneticTestExpression!L22="*  ..  ##34###34# ##334###334#","//--- END",GeneticTestExpression!L22)</f>
        <v>* dateOfCtdna 0..1 date ##34#Date of the ctDNA analysis##34# ##334#Date of the ctDNA analysis##334#</v>
      </c>
    </row>
    <row r="23" spans="3:3" x14ac:dyDescent="0.75">
      <c r="C23" s="102" t="str">
        <f>IF(GeneticTestExpression!L23="*  ..  ##34###34# ##334###334#","//--- END",GeneticTestExpression!L23)</f>
        <v>//--- END</v>
      </c>
    </row>
    <row r="24" spans="3:3" x14ac:dyDescent="0.75">
      <c r="C24" s="102" t="str">
        <f>IF(GeneticTestExpression!L24="*  ..  ##34###34# ##334###334#","//--- END",GeneticTestExpression!L24)</f>
        <v>//--- END</v>
      </c>
    </row>
    <row r="25" spans="3:3" x14ac:dyDescent="0.75">
      <c r="C25" s="102" t="str">
        <f>IF(GeneticTestExpression!L25="*  ..  ##34###34# ##334###334#","//--- END",GeneticTestExpression!L25)</f>
        <v>//--- END</v>
      </c>
    </row>
    <row r="26" spans="3:3" x14ac:dyDescent="0.75">
      <c r="C26" s="102" t="str">
        <f>IF(GeneticTestExpression!L26="*  ..  ##34###34# ##334###334#","//--- END",GeneticTestExpression!L26)</f>
        <v>//--- END</v>
      </c>
    </row>
    <row r="27" spans="3:3" x14ac:dyDescent="0.75">
      <c r="C27" s="102"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2404</v>
      </c>
      <c r="D3" s="47" t="s">
        <v>1473</v>
      </c>
      <c r="E3" s="71" t="str">
        <f>$C$1&amp;B14</f>
        <v>http://hl7.eu/fhir/ig/idea4rc/StructureDefinition/GeneticTestExpressionI4rc</v>
      </c>
    </row>
    <row r="4" spans="1:19" x14ac:dyDescent="0.75">
      <c r="B4" s="47" t="s">
        <v>16</v>
      </c>
      <c r="C4" s="28" t="s">
        <v>2403</v>
      </c>
      <c r="D4" s="47" t="s">
        <v>1474</v>
      </c>
      <c r="E4" s="145" t="s">
        <v>1486</v>
      </c>
      <c r="F4" s="146"/>
      <c r="G4" s="146"/>
    </row>
    <row r="5" spans="1:19" x14ac:dyDescent="0.75">
      <c r="B5" s="47" t="s">
        <v>10</v>
      </c>
      <c r="C5" s="7" t="s">
        <v>2405</v>
      </c>
      <c r="D5" s="47"/>
      <c r="E5" s="7"/>
    </row>
    <row r="6" spans="1:19" x14ac:dyDescent="0.75">
      <c r="B6" s="47" t="s">
        <v>18</v>
      </c>
      <c r="C6" s="41"/>
      <c r="D6" s="47" t="s">
        <v>1475</v>
      </c>
      <c r="E6" s="145" t="str">
        <f>E3</f>
        <v>http://hl7.eu/fhir/ig/idea4rc/StructureDefinition/GeneticTestExpressionI4rc</v>
      </c>
      <c r="F6" s="146"/>
      <c r="G6" s="146"/>
    </row>
    <row r="7" spans="1:19" x14ac:dyDescent="0.75">
      <c r="B7" s="47" t="s">
        <v>15</v>
      </c>
      <c r="C7" s="72"/>
      <c r="D7" s="47" t="s">
        <v>1476</v>
      </c>
      <c r="E7" s="145" t="s">
        <v>1486</v>
      </c>
      <c r="F7" s="146"/>
      <c r="G7" s="146"/>
    </row>
    <row r="8" spans="1:19" ht="45" thickBot="1" x14ac:dyDescent="0.9">
      <c r="B8" s="47" t="s">
        <v>1477</v>
      </c>
      <c r="C8" s="7" t="s">
        <v>2405</v>
      </c>
      <c r="D8" s="47"/>
      <c r="E8" s="7"/>
      <c r="I8" s="12" t="s">
        <v>1289</v>
      </c>
      <c r="J8" s="12" t="s">
        <v>1290</v>
      </c>
      <c r="K8" s="12" t="s">
        <v>1291</v>
      </c>
      <c r="L8" s="12" t="s">
        <v>1292</v>
      </c>
      <c r="M8" s="11" t="s">
        <v>1293</v>
      </c>
      <c r="P8" s="34" t="s">
        <v>1328</v>
      </c>
      <c r="Q8" s="34">
        <v>6</v>
      </c>
    </row>
    <row r="9" spans="1:19" ht="15.5" thickBot="1" x14ac:dyDescent="0.9">
      <c r="B9" s="47" t="s">
        <v>1478</v>
      </c>
      <c r="C9" s="12" t="s">
        <v>2406</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2414</v>
      </c>
      <c r="E16" s="12"/>
      <c r="F16" s="49" t="s">
        <v>1316</v>
      </c>
      <c r="G16" s="77" t="s">
        <v>2416</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2415</v>
      </c>
      <c r="E17" s="12"/>
      <c r="F17" s="49" t="s">
        <v>1316</v>
      </c>
      <c r="G17" s="77" t="s">
        <v>2417</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2414</v>
      </c>
      <c r="E18" s="12"/>
      <c r="F18" s="49" t="s">
        <v>1316</v>
      </c>
      <c r="G18" s="77" t="s">
        <v>2418</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2415</v>
      </c>
      <c r="E19" s="12"/>
      <c r="F19" s="49" t="s">
        <v>1316</v>
      </c>
      <c r="G19" s="77" t="s">
        <v>2418</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2414</v>
      </c>
      <c r="E20" s="12"/>
      <c r="F20" s="49" t="s">
        <v>1316</v>
      </c>
      <c r="G20" s="77" t="s">
        <v>2419</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2415</v>
      </c>
      <c r="E21" s="12"/>
      <c r="F21" s="49" t="s">
        <v>1316</v>
      </c>
      <c r="G21" s="77" t="s">
        <v>2419</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2414</v>
      </c>
      <c r="E22" s="12"/>
      <c r="F22" s="49" t="s">
        <v>1316</v>
      </c>
      <c r="G22" s="77" t="s">
        <v>2420</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2415</v>
      </c>
      <c r="E23" s="12"/>
      <c r="F23" s="49" t="s">
        <v>1316</v>
      </c>
      <c r="G23" s="77" t="s">
        <v>2420</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2414</v>
      </c>
      <c r="E24" s="12"/>
      <c r="F24" s="49" t="s">
        <v>1316</v>
      </c>
      <c r="G24" s="77" t="s">
        <v>2421</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2415</v>
      </c>
      <c r="E25" s="12"/>
      <c r="F25" s="49" t="s">
        <v>1316</v>
      </c>
      <c r="G25" s="77" t="s">
        <v>2421</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2414</v>
      </c>
      <c r="E26" s="12"/>
      <c r="F26" s="49" t="s">
        <v>1316</v>
      </c>
      <c r="G26" s="77" t="s">
        <v>2422</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2415</v>
      </c>
      <c r="E27" s="12"/>
      <c r="F27" s="49" t="s">
        <v>1316</v>
      </c>
      <c r="G27" s="77" t="s">
        <v>2422</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2414</v>
      </c>
      <c r="E28" s="12"/>
      <c r="F28" s="49" t="s">
        <v>1316</v>
      </c>
      <c r="G28" s="77" t="s">
        <v>2423</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2415</v>
      </c>
      <c r="E29" s="12"/>
      <c r="F29" s="49" t="s">
        <v>1316</v>
      </c>
      <c r="G29" s="77" t="s">
        <v>2423</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2424</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2086</v>
      </c>
      <c r="R2" s="24" t="s">
        <v>2087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2180</v>
      </c>
      <c r="L4" s="16" t="str">
        <f>CONCATENATE("Logical: ",B4)</f>
        <v>Logical: StageI4rc</v>
      </c>
    </row>
    <row r="5" spans="1:18" ht="19.899999999999999" customHeight="1" x14ac:dyDescent="0.75">
      <c r="A5" s="14" t="s">
        <v>16</v>
      </c>
      <c r="B5" s="31" t="s">
        <v>2181</v>
      </c>
      <c r="L5" s="16" t="str">
        <f>CONCATENATE("Id: ",B5)</f>
        <v>Id: Stage</v>
      </c>
    </row>
    <row r="6" spans="1:18" ht="19.899999999999999" customHeight="1" x14ac:dyDescent="0.75">
      <c r="A6" s="14" t="s">
        <v>10</v>
      </c>
      <c r="B6" s="32" t="s">
        <v>2181</v>
      </c>
      <c r="L6" s="17" t="str">
        <f>CONCATENATE("Title: ##34#",B6,"##34#")</f>
        <v>Title: ##34#Stage##34#</v>
      </c>
    </row>
    <row r="7" spans="1:18" ht="19.899999999999999" customHeight="1" x14ac:dyDescent="0.75">
      <c r="A7" s="26" t="s">
        <v>2</v>
      </c>
      <c r="B7" s="63" t="s">
        <v>2181</v>
      </c>
      <c r="C7" s="9" t="s">
        <v>3</v>
      </c>
      <c r="D7" s="1" t="s">
        <v>4</v>
      </c>
      <c r="E7" s="3" t="s">
        <v>5</v>
      </c>
      <c r="F7" s="3" t="s">
        <v>6</v>
      </c>
      <c r="G7" s="3" t="s">
        <v>7</v>
      </c>
      <c r="H7" s="64" t="s">
        <v>1384</v>
      </c>
      <c r="I7" s="120" t="s">
        <v>2084</v>
      </c>
      <c r="J7" s="120" t="s">
        <v>2085</v>
      </c>
      <c r="L7" s="17" t="str">
        <f>CONCATENATE("Description: "," ##334#",B7,"##334#",)</f>
        <v>Description:  ##334#Stage##334#</v>
      </c>
    </row>
    <row r="8" spans="1:18" ht="20.25" customHeight="1" x14ac:dyDescent="0.75">
      <c r="A8" s="126">
        <v>0</v>
      </c>
      <c r="B8" s="42" t="s">
        <v>1564</v>
      </c>
      <c r="C8" s="11" t="s">
        <v>1558</v>
      </c>
      <c r="D8" s="11" t="s">
        <v>1559</v>
      </c>
      <c r="E8" s="11">
        <v>1</v>
      </c>
      <c r="F8" s="11">
        <v>1</v>
      </c>
      <c r="G8" t="s">
        <v>1611</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6">
        <v>1</v>
      </c>
      <c r="B9" s="11" t="s">
        <v>1881</v>
      </c>
      <c r="C9" s="11" t="s">
        <v>2147</v>
      </c>
      <c r="D9" s="11" t="s">
        <v>2147</v>
      </c>
      <c r="E9" s="11">
        <v>1</v>
      </c>
      <c r="F9" s="11">
        <v>1</v>
      </c>
      <c r="G9" t="s">
        <v>1468</v>
      </c>
      <c r="H9" s="12" t="s">
        <v>2157</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6">
        <v>2</v>
      </c>
      <c r="B10" s="11" t="s">
        <v>2138</v>
      </c>
      <c r="C10" s="11" t="s">
        <v>292</v>
      </c>
      <c r="D10" s="11" t="s">
        <v>1388</v>
      </c>
      <c r="E10" s="11">
        <v>1</v>
      </c>
      <c r="F10" s="11">
        <v>1</v>
      </c>
      <c r="G10" t="s">
        <v>1468</v>
      </c>
      <c r="H10" s="12" t="s">
        <v>2158</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7">
        <v>3</v>
      </c>
      <c r="B11" s="11" t="s">
        <v>2139</v>
      </c>
      <c r="C11" s="11" t="s">
        <v>299</v>
      </c>
      <c r="D11" s="11" t="s">
        <v>1389</v>
      </c>
      <c r="E11" s="11">
        <v>1</v>
      </c>
      <c r="F11" s="11">
        <v>1</v>
      </c>
      <c r="G11" t="s">
        <v>1468</v>
      </c>
      <c r="H11" s="12" t="s">
        <v>2159</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6">
        <v>4</v>
      </c>
      <c r="B12" s="11" t="s">
        <v>2140</v>
      </c>
      <c r="C12" s="11" t="s">
        <v>306</v>
      </c>
      <c r="D12" s="11" t="s">
        <v>1390</v>
      </c>
      <c r="E12" s="11">
        <v>1</v>
      </c>
      <c r="F12" s="11">
        <v>1</v>
      </c>
      <c r="G12" t="s">
        <v>1468</v>
      </c>
      <c r="H12" s="12" t="s">
        <v>2160</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6">
        <v>5</v>
      </c>
      <c r="B13" s="11" t="s">
        <v>2141</v>
      </c>
      <c r="C13" s="11" t="s">
        <v>1560</v>
      </c>
      <c r="D13" s="11" t="s">
        <v>1561</v>
      </c>
      <c r="E13" s="11">
        <v>1</v>
      </c>
      <c r="F13" s="11">
        <v>1</v>
      </c>
      <c r="G13" t="s">
        <v>1468</v>
      </c>
      <c r="H13" s="12" t="s">
        <v>2161</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6">
        <v>6</v>
      </c>
      <c r="B14" s="6" t="s">
        <v>2142</v>
      </c>
      <c r="C14" s="11" t="s">
        <v>2148</v>
      </c>
      <c r="D14" s="11" t="s">
        <v>2149</v>
      </c>
      <c r="E14" s="11">
        <v>1</v>
      </c>
      <c r="F14" s="11">
        <v>1</v>
      </c>
      <c r="G14" t="s">
        <v>1468</v>
      </c>
      <c r="H14" s="4" t="s">
        <v>2164</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8">
        <v>7</v>
      </c>
      <c r="B15" s="11" t="s">
        <v>2143</v>
      </c>
      <c r="C15" s="11" t="s">
        <v>2150</v>
      </c>
      <c r="D15" s="11" t="s">
        <v>2151</v>
      </c>
      <c r="E15" s="11">
        <v>1</v>
      </c>
      <c r="F15" s="11">
        <v>1</v>
      </c>
      <c r="G15" t="s">
        <v>1468</v>
      </c>
      <c r="H15" s="12" t="s">
        <v>2165</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8">
        <v>8</v>
      </c>
      <c r="B16" s="6" t="s">
        <v>2144</v>
      </c>
      <c r="C16" s="11" t="s">
        <v>2152</v>
      </c>
      <c r="D16" s="11" t="s">
        <v>2153</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8">
        <v>9</v>
      </c>
      <c r="B17" s="11" t="s">
        <v>1417</v>
      </c>
      <c r="C17" s="11" t="s">
        <v>1392</v>
      </c>
      <c r="D17" s="11" t="s">
        <v>1393</v>
      </c>
      <c r="E17" s="11">
        <v>1</v>
      </c>
      <c r="F17" s="11">
        <v>1</v>
      </c>
      <c r="G17" t="s">
        <v>1468</v>
      </c>
      <c r="H17" s="12" t="s">
        <v>2162</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8">
        <v>10</v>
      </c>
      <c r="B18" s="6" t="s">
        <v>2145</v>
      </c>
      <c r="C18" s="11" t="s">
        <v>2154</v>
      </c>
      <c r="D18" s="11" t="s">
        <v>2155</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8"/>
      <c r="B19" s="6" t="s">
        <v>2166</v>
      </c>
      <c r="C19" s="6" t="s">
        <v>2166</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8">
        <v>11</v>
      </c>
      <c r="B20" s="11" t="s">
        <v>2167</v>
      </c>
      <c r="C20" s="11" t="s">
        <v>1394</v>
      </c>
      <c r="D20" s="11" t="s">
        <v>2321</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8">
        <v>12</v>
      </c>
      <c r="B21" s="11" t="s">
        <v>2168</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8">
        <v>13</v>
      </c>
      <c r="B22" s="11" t="s">
        <v>2169</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8">
        <v>14</v>
      </c>
      <c r="B23" s="11" t="s">
        <v>2170</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8">
        <v>15</v>
      </c>
      <c r="B24" s="11" t="s">
        <v>2171</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8">
        <v>16</v>
      </c>
      <c r="B25" s="11" t="s">
        <v>2172</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9">
        <v>17</v>
      </c>
      <c r="B26" s="11" t="s">
        <v>2173</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6">
        <v>18</v>
      </c>
      <c r="B27" s="11" t="s">
        <v>2174</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9">
        <v>19</v>
      </c>
      <c r="B28" s="11" t="s">
        <v>2175</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6">
        <v>20</v>
      </c>
      <c r="B29" s="11" t="s">
        <v>2176</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9">
        <v>21</v>
      </c>
      <c r="B30" s="11" t="s">
        <v>2146</v>
      </c>
      <c r="C30" s="11" t="s">
        <v>2156</v>
      </c>
      <c r="D30" s="11" t="s">
        <v>1391</v>
      </c>
      <c r="E30" s="11">
        <v>1</v>
      </c>
      <c r="F30" s="11">
        <v>1</v>
      </c>
      <c r="G30" t="s">
        <v>1468</v>
      </c>
      <c r="H30" s="12" t="s">
        <v>2163</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2331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2327</v>
      </c>
      <c r="D3" s="47" t="s">
        <v>1473</v>
      </c>
      <c r="E3" s="71" t="str">
        <f>$C$1&amp;Stage!B4</f>
        <v>http://hl7.eu/fhir/ig/idea4rc/StructureDefinition/StageI4rc</v>
      </c>
    </row>
    <row r="4" spans="1:19" x14ac:dyDescent="0.75">
      <c r="B4" s="47" t="s">
        <v>16</v>
      </c>
      <c r="C4" s="28" t="s">
        <v>2328</v>
      </c>
      <c r="D4" s="47" t="s">
        <v>1474</v>
      </c>
      <c r="E4" s="145" t="s">
        <v>1627</v>
      </c>
      <c r="F4" s="146"/>
      <c r="G4" s="146"/>
    </row>
    <row r="5" spans="1:19" x14ac:dyDescent="0.75">
      <c r="B5" s="47" t="s">
        <v>10</v>
      </c>
      <c r="C5" s="7" t="s">
        <v>2329</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1627</v>
      </c>
      <c r="F7" s="146"/>
      <c r="G7" s="146"/>
    </row>
    <row r="8" spans="1:19" ht="44.25" x14ac:dyDescent="0.75">
      <c r="B8" s="47" t="s">
        <v>1477</v>
      </c>
      <c r="C8" s="73" t="s">
        <v>2329</v>
      </c>
      <c r="D8" s="47"/>
      <c r="E8" s="7"/>
      <c r="I8" s="12" t="s">
        <v>1289</v>
      </c>
      <c r="J8" s="12" t="s">
        <v>1290</v>
      </c>
      <c r="K8" s="12" t="s">
        <v>1291</v>
      </c>
      <c r="L8" s="12" t="s">
        <v>1292</v>
      </c>
      <c r="M8" s="11" t="s">
        <v>1293</v>
      </c>
      <c r="P8" s="34" t="s">
        <v>1328</v>
      </c>
      <c r="Q8" s="34">
        <v>6</v>
      </c>
    </row>
    <row r="9" spans="1:19" x14ac:dyDescent="0.75">
      <c r="B9" s="47" t="s">
        <v>1478</v>
      </c>
      <c r="C9" s="12" t="s">
        <v>2330</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2319</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2316</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2317</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2318</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2323</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2322</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2322</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2318</v>
      </c>
      <c r="E23" s="11"/>
      <c r="F23" s="49" t="s">
        <v>1294</v>
      </c>
      <c r="G23" s="76" t="s">
        <v>2386</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1633</v>
      </c>
      <c r="E24" s="11"/>
      <c r="F24" s="49" t="s">
        <v>1294</v>
      </c>
      <c r="G24" s="76" t="s">
        <v>2324</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2317</v>
      </c>
      <c r="E25" s="11"/>
      <c r="F25" s="49" t="s">
        <v>1294</v>
      </c>
      <c r="G25" s="76" t="s">
        <v>2387</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2325</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1632</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5" t="s">
        <v>1638</v>
      </c>
      <c r="F4" s="146"/>
      <c r="G4" s="146"/>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5" t="str">
        <f>E3</f>
        <v>http://hl7.eu/fhir/ig/idea4rc/StructureDefinition/StageI4rc</v>
      </c>
      <c r="F6" s="146"/>
      <c r="G6" s="146"/>
    </row>
    <row r="7" spans="1:19" ht="15.5" thickBot="1" x14ac:dyDescent="0.9">
      <c r="B7" s="47" t="s">
        <v>15</v>
      </c>
      <c r="C7" s="28">
        <f>'Stage-ConceptMap-1'!C7</f>
        <v>0</v>
      </c>
      <c r="D7" s="47" t="s">
        <v>1476</v>
      </c>
      <c r="E7" s="145" t="s">
        <v>1638</v>
      </c>
      <c r="F7" s="146"/>
      <c r="G7" s="146"/>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9"/>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1632</v>
      </c>
      <c r="E16" s="62"/>
      <c r="F16" s="95" t="s">
        <v>1316</v>
      </c>
      <c r="G16" s="139"/>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5" t="s">
        <v>1639</v>
      </c>
      <c r="F4" s="146"/>
      <c r="G4" s="146"/>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5" t="str">
        <f>E3</f>
        <v>http://hl7.eu/fhir/ig/idea4rc/StructureDefinition/StageI4rc</v>
      </c>
      <c r="F6" s="146"/>
      <c r="G6" s="146"/>
    </row>
    <row r="7" spans="1:19" ht="15.5" thickBot="1" x14ac:dyDescent="0.9">
      <c r="B7" s="47" t="s">
        <v>15</v>
      </c>
      <c r="C7" s="28">
        <f>'Stage-ConceptMap-1'!C7</f>
        <v>0</v>
      </c>
      <c r="D7" s="47" t="s">
        <v>1476</v>
      </c>
      <c r="E7" s="145" t="s">
        <v>1639</v>
      </c>
      <c r="F7" s="146"/>
      <c r="G7" s="146"/>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9"/>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1632</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1620</v>
      </c>
      <c r="D3" s="47" t="s">
        <v>1473</v>
      </c>
      <c r="E3" s="71" t="str">
        <f>$C$1&amp;Stage!B4</f>
        <v>http://hl7.eu/fhir/ig/idea4rc/StructureDefinition/StageI4rc</v>
      </c>
    </row>
    <row r="4" spans="1:19" x14ac:dyDescent="0.75">
      <c r="B4" s="47" t="s">
        <v>16</v>
      </c>
      <c r="C4" s="28" t="s">
        <v>1622</v>
      </c>
      <c r="D4" s="47" t="s">
        <v>1474</v>
      </c>
      <c r="E4" s="145" t="s">
        <v>1640</v>
      </c>
      <c r="F4" s="146"/>
      <c r="G4" s="146"/>
    </row>
    <row r="5" spans="1:19" x14ac:dyDescent="0.75">
      <c r="B5" s="47" t="s">
        <v>10</v>
      </c>
      <c r="C5" s="7" t="s">
        <v>1623</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1640</v>
      </c>
      <c r="F7" s="146"/>
      <c r="G7" s="146"/>
    </row>
    <row r="8" spans="1:19" ht="44.25" x14ac:dyDescent="0.75">
      <c r="B8" s="47" t="s">
        <v>1477</v>
      </c>
      <c r="C8" s="73" t="s">
        <v>1623</v>
      </c>
      <c r="D8" s="47"/>
      <c r="E8" s="7"/>
      <c r="I8" s="12" t="s">
        <v>1289</v>
      </c>
      <c r="J8" s="12" t="s">
        <v>1290</v>
      </c>
      <c r="K8" s="12" t="s">
        <v>1291</v>
      </c>
      <c r="L8" s="12" t="s">
        <v>1292</v>
      </c>
      <c r="M8" s="11" t="s">
        <v>1293</v>
      </c>
      <c r="P8" s="34" t="s">
        <v>1328</v>
      </c>
      <c r="Q8" s="34">
        <v>6</v>
      </c>
    </row>
    <row r="9" spans="1:19" x14ac:dyDescent="0.75">
      <c r="B9" s="47" t="s">
        <v>1478</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9"/>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9"/>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1632</v>
      </c>
      <c r="E18" s="62"/>
      <c r="F18" s="95" t="s">
        <v>1316</v>
      </c>
      <c r="G18" s="139"/>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1620</v>
      </c>
      <c r="D3" s="47" t="s">
        <v>1473</v>
      </c>
      <c r="E3" s="71" t="str">
        <f>$C$1&amp;Stage!B4</f>
        <v>http://hl7.eu/fhir/ig/idea4rc/StructureDefinition/StageI4rc</v>
      </c>
    </row>
    <row r="4" spans="1:19" x14ac:dyDescent="0.75">
      <c r="B4" s="47" t="s">
        <v>16</v>
      </c>
      <c r="C4" s="28" t="s">
        <v>1622</v>
      </c>
      <c r="D4" s="47" t="s">
        <v>1474</v>
      </c>
      <c r="E4" s="145" t="s">
        <v>1640</v>
      </c>
      <c r="F4" s="146"/>
      <c r="G4" s="146"/>
    </row>
    <row r="5" spans="1:19" x14ac:dyDescent="0.75">
      <c r="B5" s="47" t="s">
        <v>10</v>
      </c>
      <c r="C5" s="7" t="s">
        <v>1623</v>
      </c>
      <c r="D5" s="47"/>
      <c r="E5" s="7"/>
    </row>
    <row r="6" spans="1:19" x14ac:dyDescent="0.75">
      <c r="B6" s="47" t="s">
        <v>18</v>
      </c>
      <c r="C6" s="41"/>
      <c r="D6" s="47" t="s">
        <v>1475</v>
      </c>
      <c r="E6" s="146" t="str">
        <f>E3</f>
        <v>http://hl7.eu/fhir/ig/idea4rc/StructureDefinition/StageI4rc</v>
      </c>
      <c r="F6" s="146"/>
      <c r="G6" s="146"/>
    </row>
    <row r="7" spans="1:19" x14ac:dyDescent="0.75">
      <c r="B7" s="47" t="s">
        <v>15</v>
      </c>
      <c r="C7" s="72"/>
      <c r="D7" s="47" t="s">
        <v>1476</v>
      </c>
      <c r="E7" s="146" t="s">
        <v>2333</v>
      </c>
      <c r="F7" s="146"/>
      <c r="G7" s="146"/>
    </row>
    <row r="8" spans="1:19" ht="44.25" x14ac:dyDescent="0.75">
      <c r="B8" s="47" t="s">
        <v>1477</v>
      </c>
      <c r="C8" s="73" t="s">
        <v>1623</v>
      </c>
      <c r="D8" s="47"/>
      <c r="E8" s="7"/>
      <c r="I8" s="12" t="s">
        <v>1289</v>
      </c>
      <c r="J8" s="12" t="s">
        <v>1290</v>
      </c>
      <c r="K8" s="12" t="s">
        <v>1291</v>
      </c>
      <c r="L8" s="12" t="s">
        <v>1292</v>
      </c>
      <c r="M8" s="11" t="s">
        <v>1293</v>
      </c>
      <c r="P8" s="34" t="s">
        <v>1328</v>
      </c>
      <c r="Q8" s="34">
        <v>6</v>
      </c>
    </row>
    <row r="9" spans="1:19" x14ac:dyDescent="0.75">
      <c r="B9" s="47" t="s">
        <v>1478</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1632</v>
      </c>
      <c r="E15" s="62"/>
      <c r="F15" s="95" t="s">
        <v>1316</v>
      </c>
      <c r="G15" s="76" t="s">
        <v>2323</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45" t="s">
        <v>1627</v>
      </c>
      <c r="F4" s="146"/>
      <c r="G4" s="146"/>
    </row>
    <row r="5" spans="1:19" x14ac:dyDescent="0.75">
      <c r="B5" s="47" t="s">
        <v>10</v>
      </c>
      <c r="C5" s="73" t="str">
        <f>'Stage-ConceptMap-1'!C5</f>
        <v>Stage Model to this guide Map</v>
      </c>
      <c r="D5" s="47"/>
      <c r="E5" s="7"/>
    </row>
    <row r="6" spans="1:19" x14ac:dyDescent="0.75">
      <c r="B6" s="47" t="s">
        <v>18</v>
      </c>
      <c r="C6" s="73">
        <f>'Stage-ConceptMap-1'!C6</f>
        <v>0</v>
      </c>
      <c r="D6" s="47" t="s">
        <v>1475</v>
      </c>
      <c r="E6" s="145" t="str">
        <f>E3</f>
        <v>http://hl7.eu/fhir/ig/idea4rc/StructureDefinition/StageI4rc</v>
      </c>
      <c r="F6" s="146"/>
      <c r="G6" s="146"/>
    </row>
    <row r="7" spans="1:19" x14ac:dyDescent="0.75">
      <c r="B7" s="47" t="s">
        <v>15</v>
      </c>
      <c r="C7" s="73">
        <f>'Stage-ConceptMap-1'!C7</f>
        <v>0</v>
      </c>
      <c r="D7" s="47" t="s">
        <v>1476</v>
      </c>
      <c r="E7" s="145" t="s">
        <v>2320</v>
      </c>
      <c r="F7" s="146"/>
      <c r="G7" s="146"/>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1540</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2332</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2388</v>
      </c>
      <c r="E16" s="12"/>
      <c r="F16" s="49" t="s">
        <v>1294</v>
      </c>
      <c r="G16" s="76" t="s">
        <v>2390</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2388</v>
      </c>
      <c r="E17" s="12"/>
      <c r="F17" s="49" t="s">
        <v>1294</v>
      </c>
      <c r="G17" s="76" t="s">
        <v>2389</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2391</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2392</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1615</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1615</v>
      </c>
      <c r="E21" s="12"/>
      <c r="F21" s="49" t="s">
        <v>1316</v>
      </c>
      <c r="G21" s="77" t="s">
        <v>2393</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1615</v>
      </c>
      <c r="E22" s="12"/>
      <c r="F22" s="49" t="s">
        <v>1316</v>
      </c>
      <c r="G22" s="77" t="s">
        <v>2394</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1615</v>
      </c>
      <c r="E23" s="12"/>
      <c r="F23" s="49" t="s">
        <v>1316</v>
      </c>
      <c r="G23" s="77" t="s">
        <v>2395</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1615</v>
      </c>
      <c r="E24" s="12"/>
      <c r="F24" s="49" t="s">
        <v>1316</v>
      </c>
      <c r="G24" s="77" t="s">
        <v>2396</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1615</v>
      </c>
      <c r="E25" s="12"/>
      <c r="F25" s="49" t="s">
        <v>1316</v>
      </c>
      <c r="G25" s="77" t="s">
        <v>2397</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1615</v>
      </c>
      <c r="E26" s="12"/>
      <c r="F26" s="49" t="s">
        <v>1316</v>
      </c>
      <c r="G26" s="77" t="s">
        <v>2398</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1615</v>
      </c>
      <c r="E27" s="12"/>
      <c r="F27" s="49" t="s">
        <v>1316</v>
      </c>
      <c r="G27" s="77" t="s">
        <v>2399</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1615</v>
      </c>
      <c r="E28" s="12"/>
      <c r="F28" s="49" t="s">
        <v>1316</v>
      </c>
      <c r="G28" s="77" t="s">
        <v>2400</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1615</v>
      </c>
      <c r="E29" s="12"/>
      <c r="F29" s="49" t="s">
        <v>1316</v>
      </c>
      <c r="G29" s="76" t="s">
        <v>2401</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1615</v>
      </c>
      <c r="E30" s="12"/>
      <c r="F30" s="49" t="s">
        <v>1316</v>
      </c>
      <c r="G30" s="77" t="s">
        <v>2402</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2177</v>
      </c>
      <c r="L4" s="16" t="str">
        <f>CONCATENATE("Logical: ",B4)</f>
        <v>Logical: PathologicalReportInfoI4rc</v>
      </c>
    </row>
    <row r="5" spans="1:18" ht="15.5" thickBot="1" x14ac:dyDescent="0.9">
      <c r="A5" s="14" t="s">
        <v>16</v>
      </c>
      <c r="B5" s="30" t="s">
        <v>2178</v>
      </c>
      <c r="L5" s="16" t="str">
        <f>CONCATENATE("Id: ",B5)</f>
        <v>Id: PathologicalReportInfo</v>
      </c>
    </row>
    <row r="6" spans="1:18" ht="15.5" thickBot="1" x14ac:dyDescent="0.9">
      <c r="A6" s="14" t="s">
        <v>10</v>
      </c>
      <c r="B6" s="30" t="s">
        <v>2179</v>
      </c>
      <c r="L6" s="17" t="str">
        <f>CONCATENATE("Title: ##34#",B6,"##34#")</f>
        <v>Title: ##34#Pathological Report Info##34#</v>
      </c>
    </row>
    <row r="7" spans="1:18" x14ac:dyDescent="0.75">
      <c r="A7" s="26" t="s">
        <v>2</v>
      </c>
      <c r="B7" s="97" t="s">
        <v>2179</v>
      </c>
      <c r="C7" s="9" t="s">
        <v>3</v>
      </c>
      <c r="D7" s="1" t="s">
        <v>4</v>
      </c>
      <c r="E7" s="3" t="s">
        <v>5</v>
      </c>
      <c r="F7" s="3" t="s">
        <v>6</v>
      </c>
      <c r="G7" s="118" t="s">
        <v>7</v>
      </c>
      <c r="H7" s="64" t="s">
        <v>1384</v>
      </c>
      <c r="I7" s="120" t="s">
        <v>2084</v>
      </c>
      <c r="J7" s="120" t="s">
        <v>2085</v>
      </c>
      <c r="L7" s="17" t="str">
        <f>CONCATENATE("Description: "," ##334#",B7,"##334#",)</f>
        <v>Description:  ##334#Pathological Report Info##334#</v>
      </c>
    </row>
    <row r="8" spans="1:18" ht="59" x14ac:dyDescent="0.75">
      <c r="A8" s="59">
        <v>0</v>
      </c>
      <c r="B8" s="11" t="s">
        <v>1564</v>
      </c>
      <c r="C8" s="11" t="s">
        <v>1558</v>
      </c>
      <c r="D8" s="11" t="s">
        <v>1559</v>
      </c>
      <c r="E8" s="11">
        <v>1</v>
      </c>
      <c r="F8" s="11">
        <v>1</v>
      </c>
      <c r="G8" s="78" t="s">
        <v>1611</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2250</v>
      </c>
      <c r="C9" s="11" t="s">
        <v>2258</v>
      </c>
      <c r="D9" s="11" t="s">
        <v>2259</v>
      </c>
      <c r="E9" s="11">
        <v>0</v>
      </c>
      <c r="F9" s="11">
        <v>1</v>
      </c>
      <c r="G9" s="12" t="s">
        <v>1468</v>
      </c>
      <c r="H9" s="12" t="s">
        <v>2260</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2251</v>
      </c>
      <c r="C10" s="11" t="s">
        <v>2261</v>
      </c>
      <c r="D10" s="11" t="s">
        <v>2261</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2252</v>
      </c>
      <c r="C11" s="11" t="s">
        <v>2262</v>
      </c>
      <c r="D11" s="11" t="s">
        <v>2262</v>
      </c>
      <c r="E11" s="11">
        <v>0</v>
      </c>
      <c r="F11" s="11">
        <v>1</v>
      </c>
      <c r="G11" s="12" t="s">
        <v>1993</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2253</v>
      </c>
      <c r="C12" s="11" t="s">
        <v>2263</v>
      </c>
      <c r="D12" s="11" t="s">
        <v>2263</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2254</v>
      </c>
      <c r="C13" s="11" t="s">
        <v>2264</v>
      </c>
      <c r="D13" s="11" t="s">
        <v>2264</v>
      </c>
      <c r="E13" s="11">
        <v>0</v>
      </c>
      <c r="F13" s="11">
        <v>1</v>
      </c>
      <c r="G13" s="12" t="s">
        <v>1468</v>
      </c>
      <c r="H13" s="12" t="s">
        <v>2265</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2255</v>
      </c>
      <c r="C14" s="11" t="s">
        <v>2266</v>
      </c>
      <c r="D14" s="11" t="s">
        <v>2266</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2256</v>
      </c>
      <c r="C15" s="11" t="s">
        <v>2267</v>
      </c>
      <c r="D15" s="11" t="s">
        <v>2267</v>
      </c>
      <c r="E15" s="11">
        <v>0</v>
      </c>
      <c r="F15" s="11">
        <v>1</v>
      </c>
      <c r="G15" s="12" t="s">
        <v>44</v>
      </c>
      <c r="H15" s="12" t="s">
        <v>2268</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2257</v>
      </c>
      <c r="C16" s="11" t="s">
        <v>2269</v>
      </c>
      <c r="D16" s="11" t="s">
        <v>2269</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2" customWidth="1"/>
    <col min="7" max="7" width="29.54296875" customWidth="1"/>
    <col min="8" max="8" width="54.90625" customWidth="1"/>
  </cols>
  <sheetData>
    <row r="1" spans="3:7" ht="15.5" thickBot="1" x14ac:dyDescent="0.9">
      <c r="C1" s="100" t="str">
        <f>PathologicalReportInfo!L1</f>
        <v>//===================================================</v>
      </c>
    </row>
    <row r="2" spans="3:7" ht="16.75" thickBot="1" x14ac:dyDescent="0.9">
      <c r="C2" s="24" t="str">
        <f>PathologicalReportInfo!L2</f>
        <v>//  Logical Model</v>
      </c>
      <c r="G2" s="29" t="s">
        <v>2270</v>
      </c>
    </row>
    <row r="3" spans="3:7" x14ac:dyDescent="0.75">
      <c r="C3" s="24" t="str">
        <f>PathologicalReportInfo!L3</f>
        <v>//===================================================</v>
      </c>
    </row>
    <row r="4" spans="3:7" x14ac:dyDescent="0.75">
      <c r="C4" s="101" t="str">
        <f>PathologicalReportInfo!L4</f>
        <v>Logical: PathologicalReportInfoI4rc</v>
      </c>
    </row>
    <row r="5" spans="3:7" x14ac:dyDescent="0.75">
      <c r="C5" s="101" t="str">
        <f>PathologicalReportInfo!L5</f>
        <v>Id: PathologicalReportInfo</v>
      </c>
    </row>
    <row r="6" spans="3:7" x14ac:dyDescent="0.75">
      <c r="C6" s="101" t="str">
        <f>PathologicalReportInfo!L6</f>
        <v>Title: ##34#Pathological Report Info##34#</v>
      </c>
    </row>
    <row r="7" spans="3:7" x14ac:dyDescent="0.75">
      <c r="C7" s="101" t="str">
        <f>PathologicalReportInfo!L7</f>
        <v>Description:  ##334#Pathological Report Info##334#</v>
      </c>
    </row>
    <row r="8" spans="3:7" ht="29.5" x14ac:dyDescent="0.75">
      <c r="C8" s="102"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2" t="str">
        <f>IF(PathologicalReportInfo!L9="*  ..  ##34###34# ##334###334#","//--- END",PathologicalReportInfo!L9)</f>
        <v>* degreeOfCytologicAtypia 0..1 CodeableConcept ##34#Degree of cytologic Atypia##34# ##334#Defines the degree of cytologic atypia##334#</v>
      </c>
    </row>
    <row r="10" spans="3:7" x14ac:dyDescent="0.75">
      <c r="C10" s="102" t="str">
        <f>IF(PathologicalReportInfo!L10="*  ..  ##34###34# ##334###334#","//--- END",PathologicalReportInfo!L10)</f>
        <v>* patternOfGrowth 0..1 BackboneElement ##34#Pattern of Growth##34# ##334#Pattern of Growth##334#</v>
      </c>
    </row>
    <row r="11" spans="3:7" x14ac:dyDescent="0.75">
      <c r="C11" s="102" t="str">
        <f>IF(PathologicalReportInfo!L11="*  ..  ##34###34# ##334###334#","//--- END",PathologicalReportInfo!L11)</f>
        <v>* mitoticActivity 0..1 Quantity ##34#Mitotic Activity##34# ##334#Mitotic Activity##334#</v>
      </c>
    </row>
    <row r="12" spans="3:7" ht="29.5" x14ac:dyDescent="0.75">
      <c r="C12" s="102" t="str">
        <f>IF(PathologicalReportInfo!L12="*  ..  ##34###34# ##334###334#","//--- END",PathologicalReportInfo!L12)</f>
        <v>* infiltrationOfSurroundingMyometrium 0..1 BackboneElement ##34#Infiltration of surrounding myometrium##34# ##334#Infiltration of surrounding myometrium##334#</v>
      </c>
    </row>
    <row r="13" spans="3:7" x14ac:dyDescent="0.75">
      <c r="C13" s="102" t="str">
        <f>IF(PathologicalReportInfo!L13="*  ..  ##34###34# ##334###334#","//--- END",PathologicalReportInfo!L13)</f>
        <v>* typeOfNecrosis 0..1 CodeableConcept ##34#Type of necrosis##34# ##334#Type of necrosis##334#</v>
      </c>
    </row>
    <row r="14" spans="3:7" x14ac:dyDescent="0.75">
      <c r="C14" s="102" t="str">
        <f>IF(PathologicalReportInfo!L14="*  ..  ##34###34# ##334###334#","//--- END",PathologicalReportInfo!L14)</f>
        <v>* expressionOfErPr 0..1 BackboneElement ##34#Expression of ER/PR##34# ##334#Expression of ER/PR##334#</v>
      </c>
    </row>
    <row r="15" spans="3:7" ht="29.5" x14ac:dyDescent="0.75">
      <c r="C15" s="102" t="str">
        <f>IF(PathologicalReportInfo!L15="*  ..  ##34###34# ##334###334#","//--- END",PathologicalReportInfo!L15)</f>
        <v>* vascularIntrusionOrInvasion 0..1 boolean ##34#vascular intrusion or invasion##34# ##334#vascular intrusion or invasion##334#</v>
      </c>
    </row>
    <row r="16" spans="3:7" x14ac:dyDescent="0.75">
      <c r="C16" s="102" t="str">
        <f>IF(PathologicalReportInfo!L16="*  ..  ##34###34# ##334###334#","//--- END",PathologicalReportInfo!L16)</f>
        <v>* p16AndP53Expression 0..1 BackboneElement ##34#p16 and p53 expression##34# ##334#p16 and p53 expression##334#</v>
      </c>
    </row>
    <row r="17" spans="3:3" x14ac:dyDescent="0.75">
      <c r="C17" s="102" t="str">
        <f>IF(PathologicalReportInfo!L17="*  ..  ##34###34# ##334###334#","//--- END",PathologicalReportInfo!L17)</f>
        <v>//--- END</v>
      </c>
    </row>
    <row r="18" spans="3:3" x14ac:dyDescent="0.75">
      <c r="C18" s="102" t="str">
        <f>IF(PathologicalReportInfo!L18="*  ..  ##34###34# ##334###334#","//--- END",PathologicalReportInfo!L18)</f>
        <v>//--- END</v>
      </c>
    </row>
    <row r="19" spans="3:3" x14ac:dyDescent="0.75">
      <c r="C19" s="102" t="str">
        <f>IF(PathologicalReportInfo!L19="*  ..  ##34###34# ##334###334#","//--- END",PathologicalReportInfo!L19)</f>
        <v>//--- END</v>
      </c>
    </row>
    <row r="23" spans="3:3" x14ac:dyDescent="0.75">
      <c r="C23" s="100" t="s">
        <v>1387</v>
      </c>
    </row>
    <row r="24" spans="3:3" x14ac:dyDescent="0.75">
      <c r="C24" s="24" t="s">
        <v>1421</v>
      </c>
    </row>
    <row r="25" spans="3:3" x14ac:dyDescent="0.75">
      <c r="C25" s="24" t="s">
        <v>1387</v>
      </c>
    </row>
    <row r="26" spans="3:3" x14ac:dyDescent="0.75">
      <c r="C26" s="102" t="str">
        <f>IF(PathologicalReportInfo!N8="*  ..  ##34###34# ##334###334#","//--- END",PathologicalReportInfo!N8)</f>
        <v/>
      </c>
    </row>
    <row r="27" spans="3:3" ht="59" x14ac:dyDescent="0.75">
      <c r="C27" s="102"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2" t="str">
        <f>IF(PathologicalReportInfo!N10="*  ..  ##34###34# ##334###334#","//--- END",PathologicalReportInfo!N10)</f>
        <v/>
      </c>
    </row>
    <row r="29" spans="3:3" x14ac:dyDescent="0.75">
      <c r="C29" s="102" t="str">
        <f>IF(PathologicalReportInfo!N11="*  ..  ##34###34# ##334###334#","//--- END",PathologicalReportInfo!N11)</f>
        <v/>
      </c>
    </row>
    <row r="30" spans="3:3" x14ac:dyDescent="0.75">
      <c r="C30" s="102" t="str">
        <f>IF(PathologicalReportInfo!N12="*  ..  ##34###34# ##334###334#","//--- END",PathologicalReportInfo!N12)</f>
        <v/>
      </c>
    </row>
    <row r="31" spans="3:3" ht="132.75" x14ac:dyDescent="0.75">
      <c r="C31" s="102"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2" t="str">
        <f>IF(PathologicalReportInfo!N14="*  ..  ##34###34# ##334###334#","//--- END",PathologicalReportInfo!N14)</f>
        <v/>
      </c>
    </row>
    <row r="33" spans="3:3" ht="29.5" x14ac:dyDescent="0.75">
      <c r="C33" s="102" t="str">
        <f>IF(PathologicalReportInfo!N15="*  ..  ##34###34# ##334###334#","//--- END",PathologicalReportInfo!N15)</f>
        <v>* vascularIntrusionOrInvasion ^comment = ##334#True;False
Vascular invasion by tumor present - 4163142##334#</v>
      </c>
    </row>
    <row r="34" spans="3:3" x14ac:dyDescent="0.75">
      <c r="C34" s="102" t="str">
        <f>IF(PathologicalReportInfo!N16="*  ..  ##34###34# ##334###334#","//--- END",PathologicalReportInfo!N16)</f>
        <v/>
      </c>
    </row>
    <row r="35" spans="3:3" x14ac:dyDescent="0.75">
      <c r="C35" s="102" t="str">
        <f>IF(PathologicalReportInfo!N17="*  ..  ##34###34# ##334###334#","//--- END",PathologicalReportInfo!N17)</f>
        <v>//--- END</v>
      </c>
    </row>
    <row r="36" spans="3:3" x14ac:dyDescent="0.75">
      <c r="C36" s="102" t="str">
        <f>IF(PathologicalReportInfo!N18="*  ..  ##34###34# ##334###334#","//--- END",PathologicalReportInfo!N18)</f>
        <v>//--- END</v>
      </c>
    </row>
    <row r="37" spans="3:3" x14ac:dyDescent="0.75">
      <c r="C37" s="102" t="str">
        <f>IF(PathologicalReportInfo!N19="*  ..  ##34###34# ##334###334#","//--- END",PathologicalReportInfo!N19)</f>
        <v>//--- END</v>
      </c>
    </row>
    <row r="40" spans="3:3" x14ac:dyDescent="0.75">
      <c r="C40" s="100" t="str">
        <f>PathologicalReportInfo!P1</f>
        <v>// -------------------------------------------------------------------------------</v>
      </c>
    </row>
    <row r="41" spans="3:3" x14ac:dyDescent="0.75">
      <c r="C41" s="24" t="str">
        <f>PathologicalReportInfo!P2</f>
        <v>// Obligations H&amp;N</v>
      </c>
    </row>
    <row r="42" spans="3:3" x14ac:dyDescent="0.75">
      <c r="C42" s="24" t="str">
        <f>PathologicalReportInfo!P3</f>
        <v>// -------------------------------------------------------------------------------</v>
      </c>
    </row>
    <row r="43" spans="3:3" x14ac:dyDescent="0.75">
      <c r="C43" s="102" t="str">
        <f>IF(PathologicalReportInfo!P8="*  ..  ##34###34# ##334###334#","//--- END",PathologicalReportInfo!P8)</f>
        <v/>
      </c>
    </row>
    <row r="44" spans="3:3" x14ac:dyDescent="0.75">
      <c r="C44" s="102" t="str">
        <f>IF(PathologicalReportInfo!P9="*  ..  ##34###34# ##334###334#","//--- END",PathologicalReportInfo!P9)</f>
        <v/>
      </c>
    </row>
    <row r="45" spans="3:3" x14ac:dyDescent="0.75">
      <c r="C45" s="102" t="str">
        <f>IF(PathologicalReportInfo!P10="*  ..  ##34###34# ##334###334#","//--- END",PathologicalReportInfo!P10)</f>
        <v/>
      </c>
    </row>
    <row r="46" spans="3:3" x14ac:dyDescent="0.75">
      <c r="C46" s="102" t="str">
        <f>IF(PathologicalReportInfo!P11="*  ..  ##34###34# ##334###334#","//--- END",PathologicalReportInfo!P11)</f>
        <v/>
      </c>
    </row>
    <row r="47" spans="3:3" x14ac:dyDescent="0.75">
      <c r="C47" s="102" t="str">
        <f>IF(PathologicalReportInfo!P12="*  ..  ##34###34# ##334###334#","//--- END",PathologicalReportInfo!P12)</f>
        <v/>
      </c>
    </row>
    <row r="48" spans="3:3" x14ac:dyDescent="0.75">
      <c r="C48" s="102" t="str">
        <f>IF(PathologicalReportInfo!P13="*  ..  ##34###34# ##334###334#","//--- END",PathologicalReportInfo!P13)</f>
        <v/>
      </c>
    </row>
    <row r="49" spans="3:3" x14ac:dyDescent="0.75">
      <c r="C49" s="102" t="str">
        <f>IF(PathologicalReportInfo!P14="*  ..  ##34###34# ##334###334#","//--- END",PathologicalReportInfo!P14)</f>
        <v/>
      </c>
    </row>
    <row r="50" spans="3:3" x14ac:dyDescent="0.75">
      <c r="C50" s="102" t="str">
        <f>IF(PathologicalReportInfo!P15="*  ..  ##34###34# ##334###334#","//--- END",PathologicalReportInfo!P15)</f>
        <v/>
      </c>
    </row>
    <row r="51" spans="3:3" x14ac:dyDescent="0.75">
      <c r="C51" s="102" t="str">
        <f>IF(PathologicalReportInfo!P16="*  ..  ##34###34# ##334###334#","//--- END",PathologicalReportInfo!P16)</f>
        <v/>
      </c>
    </row>
    <row r="52" spans="3:3" x14ac:dyDescent="0.75">
      <c r="C52" s="102" t="str">
        <f>IF(PathologicalReportInfo!P17="*  ..  ##34###34# ##334###334#","//--- END",PathologicalReportInfo!P17)</f>
        <v>//--- END</v>
      </c>
    </row>
    <row r="53" spans="3:3" x14ac:dyDescent="0.75">
      <c r="C53" s="102" t="str">
        <f>IF(PathologicalReportInfo!P18="*  ..  ##34###34# ##334###334#","//--- END",PathologicalReportInfo!P18)</f>
        <v>//--- END</v>
      </c>
    </row>
    <row r="54" spans="3:3" x14ac:dyDescent="0.75">
      <c r="C54" s="102" t="str">
        <f>IF(PathologicalReportInfo!P19="*  ..  ##34###34# ##334###334#","//--- END",PathologicalReportInfo!P19)</f>
        <v>//--- END</v>
      </c>
    </row>
    <row r="58" spans="3:3" x14ac:dyDescent="0.75">
      <c r="C58" s="100"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2" t="str">
        <f>IF(PathologicalReportInfo!R8="*  ..  ##34###34# ##334###334#","//--- END",PathologicalReportInfo!R8)</f>
        <v>* episodeEvent insert ObligationActorAndCode($actor-sarcoma-i4rc, #handle)</v>
      </c>
    </row>
    <row r="62" spans="3:3" x14ac:dyDescent="0.75">
      <c r="C62" s="102" t="str">
        <f>IF(PathologicalReportInfo!R9="*  ..  ##34###34# ##334###334#","//--- END",PathologicalReportInfo!R9)</f>
        <v>* degreeOfCytologicAtypia insert ObligationActorAndCode($actor-sarcoma-i4rc, #handle)</v>
      </c>
    </row>
    <row r="63" spans="3:3" x14ac:dyDescent="0.75">
      <c r="C63" s="102" t="str">
        <f>IF(PathologicalReportInfo!R10="*  ..  ##34###34# ##334###334#","//--- END",PathologicalReportInfo!R10)</f>
        <v>* patternOfGrowth insert ObligationActorAndCode($actor-sarcoma-i4rc, #handle)</v>
      </c>
    </row>
    <row r="64" spans="3:3" x14ac:dyDescent="0.75">
      <c r="C64" s="102" t="str">
        <f>IF(PathologicalReportInfo!R11="*  ..  ##34###34# ##334###334#","//--- END",PathologicalReportInfo!R11)</f>
        <v>* mitoticActivity insert ObligationActorAndCode($actor-sarcoma-i4rc, #handle)</v>
      </c>
    </row>
    <row r="65" spans="3:3" x14ac:dyDescent="0.75">
      <c r="C65" s="102" t="str">
        <f>IF(PathologicalReportInfo!R12="*  ..  ##34###34# ##334###334#","//--- END",PathologicalReportInfo!R12)</f>
        <v>* infiltrationOfSurroundingMyometrium insert ObligationActorAndCode($actor-sarcoma-i4rc, #handle)</v>
      </c>
    </row>
    <row r="66" spans="3:3" x14ac:dyDescent="0.75">
      <c r="C66" s="102" t="str">
        <f>IF(PathologicalReportInfo!R13="*  ..  ##34###34# ##334###334#","//--- END",PathologicalReportInfo!R13)</f>
        <v>* typeOfNecrosis insert ObligationActorAndCode($actor-sarcoma-i4rc, #handle)</v>
      </c>
    </row>
    <row r="67" spans="3:3" x14ac:dyDescent="0.75">
      <c r="C67" s="102" t="str">
        <f>IF(PathologicalReportInfo!R14="*  ..  ##34###34# ##334###334#","//--- END",PathologicalReportInfo!R14)</f>
        <v>* expressionOfErPr insert ObligationActorAndCode($actor-sarcoma-i4rc, #handle)</v>
      </c>
    </row>
    <row r="68" spans="3:3" x14ac:dyDescent="0.75">
      <c r="C68" s="102" t="str">
        <f>IF(PathologicalReportInfo!R15="*  ..  ##34###34# ##334###334#","//--- END",PathologicalReportInfo!R15)</f>
        <v>* vascularIntrusionOrInvasion insert ObligationActorAndCode($actor-sarcoma-i4rc, #handle)</v>
      </c>
    </row>
    <row r="69" spans="3:3" x14ac:dyDescent="0.75">
      <c r="C69" s="102" t="str">
        <f>IF(PathologicalReportInfo!R16="*  ..  ##34###34# ##334###334#","//--- END",PathologicalReportInfo!R16)</f>
        <v>* p16AndP53Expression insert ObligationActorAndCode($actor-sarcoma-i4rc, #handle)</v>
      </c>
    </row>
    <row r="70" spans="3:3" x14ac:dyDescent="0.75">
      <c r="C70" s="102" t="str">
        <f>IF(PathologicalReportInfo!R17="*  ..  ##34###34# ##334###334#","//--- END",PathologicalReportInfo!R17)</f>
        <v>//--- END</v>
      </c>
    </row>
    <row r="71" spans="3:3" x14ac:dyDescent="0.75">
      <c r="C71" s="102" t="str">
        <f>IF(PathologicalReportInfo!R18="*  ..  ##34###34# ##334###334#","//--- END",PathologicalReportInfo!R18)</f>
        <v>//--- END</v>
      </c>
    </row>
    <row r="72" spans="3:3" x14ac:dyDescent="0.75">
      <c r="C72" s="102"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1923</v>
      </c>
      <c r="D3" s="47" t="s">
        <v>1473</v>
      </c>
      <c r="E3" s="71" t="str">
        <f>$C$1&amp;B14</f>
        <v>http://hl7.eu/fhir/ig/idea4rc/StructureDefinition/PathologicalReportInfo</v>
      </c>
    </row>
    <row r="4" spans="1:19" x14ac:dyDescent="0.75">
      <c r="B4" s="47" t="s">
        <v>16</v>
      </c>
      <c r="C4" s="28" t="s">
        <v>1923</v>
      </c>
      <c r="D4" s="47" t="s">
        <v>1474</v>
      </c>
      <c r="E4" s="145" t="s">
        <v>1926</v>
      </c>
      <c r="F4" s="146"/>
      <c r="G4" s="146"/>
    </row>
    <row r="5" spans="1:19" x14ac:dyDescent="0.75">
      <c r="B5" s="47" t="s">
        <v>10</v>
      </c>
      <c r="C5" s="7" t="s">
        <v>1924</v>
      </c>
      <c r="D5" s="47"/>
      <c r="E5" s="7"/>
    </row>
    <row r="6" spans="1:19" x14ac:dyDescent="0.75">
      <c r="B6" s="47" t="s">
        <v>18</v>
      </c>
      <c r="C6" s="41"/>
      <c r="D6" s="47" t="s">
        <v>1475</v>
      </c>
      <c r="E6" s="145" t="str">
        <f>E3</f>
        <v>http://hl7.eu/fhir/ig/idea4rc/StructureDefinition/PathologicalReportInfo</v>
      </c>
      <c r="F6" s="146"/>
      <c r="G6" s="146"/>
    </row>
    <row r="7" spans="1:19" x14ac:dyDescent="0.75">
      <c r="B7" s="47" t="s">
        <v>15</v>
      </c>
      <c r="C7" s="72"/>
      <c r="D7" s="47" t="s">
        <v>1476</v>
      </c>
      <c r="E7" s="145" t="str">
        <f>E4</f>
        <v>http://hl7.eu/fhir/ig/idea4rc/StructureDefinition/episodeOfCare-eu-i4rc</v>
      </c>
      <c r="F7" s="146"/>
      <c r="G7" s="146"/>
    </row>
    <row r="8" spans="1:19" ht="45" thickBot="1" x14ac:dyDescent="0.9">
      <c r="B8" s="47" t="s">
        <v>1477</v>
      </c>
      <c r="C8" t="s">
        <v>1924</v>
      </c>
      <c r="D8" s="47"/>
      <c r="E8" s="7"/>
      <c r="I8" s="12" t="s">
        <v>1289</v>
      </c>
      <c r="J8" s="12" t="s">
        <v>1290</v>
      </c>
      <c r="K8" s="12" t="s">
        <v>1291</v>
      </c>
      <c r="L8" s="12" t="s">
        <v>1292</v>
      </c>
      <c r="M8" s="11" t="s">
        <v>1293</v>
      </c>
      <c r="P8" s="34" t="s">
        <v>1328</v>
      </c>
      <c r="Q8" s="34">
        <v>6</v>
      </c>
    </row>
    <row r="9" spans="1:19" ht="30.25" thickBot="1" x14ac:dyDescent="0.9">
      <c r="B9" s="47" t="s">
        <v>1478</v>
      </c>
      <c r="C9" s="12" t="s">
        <v>1925</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1927</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1928</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1929</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1930</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1862</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1921</v>
      </c>
      <c r="L4" s="16" t="str">
        <f>CONCATENATE("Logical: ",B4)</f>
        <v>Logical: SurgeryI4rc</v>
      </c>
    </row>
    <row r="5" spans="1:18" ht="15.5" thickBot="1" x14ac:dyDescent="0.9">
      <c r="A5" s="14" t="s">
        <v>16</v>
      </c>
      <c r="B5" s="30" t="s">
        <v>1659</v>
      </c>
      <c r="L5" s="16" t="str">
        <f>CONCATENATE("Id: ",B5)</f>
        <v>Id: Surgery</v>
      </c>
    </row>
    <row r="6" spans="1:18" ht="15.5" thickBot="1" x14ac:dyDescent="0.9">
      <c r="A6" s="14" t="s">
        <v>10</v>
      </c>
      <c r="B6" s="30" t="s">
        <v>1659</v>
      </c>
      <c r="L6" s="17" t="str">
        <f>CONCATENATE("Title: ##34#",B6,"##34#")</f>
        <v>Title: ##34#Surgery##34#</v>
      </c>
    </row>
    <row r="7" spans="1:18" x14ac:dyDescent="0.75">
      <c r="A7" s="26" t="s">
        <v>2</v>
      </c>
      <c r="B7" s="97" t="s">
        <v>1659</v>
      </c>
      <c r="C7" s="9" t="s">
        <v>3</v>
      </c>
      <c r="D7" s="1" t="s">
        <v>4</v>
      </c>
      <c r="E7" s="3" t="s">
        <v>5</v>
      </c>
      <c r="F7" s="3" t="s">
        <v>6</v>
      </c>
      <c r="G7" s="3" t="s">
        <v>7</v>
      </c>
      <c r="H7" s="64" t="s">
        <v>1384</v>
      </c>
      <c r="I7" s="120" t="s">
        <v>2084</v>
      </c>
      <c r="J7" s="120" t="s">
        <v>2085</v>
      </c>
      <c r="L7" s="17" t="str">
        <f>CONCATENATE("Description: "," ##334#",B7,"##334#",)</f>
        <v>Description:  ##334#Surgery##334#</v>
      </c>
    </row>
    <row r="8" spans="1:18" ht="59" x14ac:dyDescent="0.75">
      <c r="A8" s="130">
        <v>0</v>
      </c>
      <c r="B8" s="11" t="s">
        <v>1564</v>
      </c>
      <c r="C8" s="11" t="s">
        <v>1646</v>
      </c>
      <c r="D8" s="11" t="s">
        <v>1559</v>
      </c>
      <c r="E8" s="11">
        <v>1</v>
      </c>
      <c r="F8" s="11">
        <v>1</v>
      </c>
      <c r="G8" s="42" t="s">
        <v>1611</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0">
        <v>1</v>
      </c>
      <c r="B9" s="11" t="s">
        <v>1881</v>
      </c>
      <c r="C9" s="11" t="s">
        <v>2186</v>
      </c>
      <c r="D9" s="11" t="s">
        <v>2187</v>
      </c>
      <c r="E9" s="11">
        <v>1</v>
      </c>
      <c r="F9" s="11">
        <v>1</v>
      </c>
      <c r="G9" s="11" t="s">
        <v>1468</v>
      </c>
      <c r="H9" s="12" t="s">
        <v>2194</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0">
        <v>2</v>
      </c>
      <c r="B10" s="6" t="s">
        <v>2182</v>
      </c>
      <c r="C10" s="11" t="s">
        <v>2188</v>
      </c>
      <c r="D10" s="11" t="s">
        <v>1660</v>
      </c>
      <c r="E10" s="11">
        <v>1</v>
      </c>
      <c r="F10" s="11">
        <v>1</v>
      </c>
      <c r="G10" s="11" t="s">
        <v>1468</v>
      </c>
      <c r="H10" s="12" t="s">
        <v>1661</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0">
        <v>3</v>
      </c>
      <c r="B11" s="11" t="s">
        <v>43</v>
      </c>
      <c r="C11" s="11" t="s">
        <v>1662</v>
      </c>
      <c r="D11" s="11" t="s">
        <v>1663</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0">
        <v>4</v>
      </c>
      <c r="B12" s="11" t="s">
        <v>2201</v>
      </c>
      <c r="C12" s="11" t="s">
        <v>1664</v>
      </c>
      <c r="D12" s="12" t="s">
        <v>1665</v>
      </c>
      <c r="E12" s="11">
        <v>1</v>
      </c>
      <c r="F12" s="11">
        <v>1</v>
      </c>
      <c r="G12" s="11" t="s">
        <v>1468</v>
      </c>
      <c r="H12" s="12" t="s">
        <v>2195</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0">
        <v>5</v>
      </c>
      <c r="B13" s="11" t="s">
        <v>2202</v>
      </c>
      <c r="C13" s="11" t="s">
        <v>1666</v>
      </c>
      <c r="D13" s="11" t="s">
        <v>1667</v>
      </c>
      <c r="E13" s="11">
        <v>1</v>
      </c>
      <c r="F13" s="11">
        <v>1</v>
      </c>
      <c r="G13" s="11" t="s">
        <v>1468</v>
      </c>
      <c r="H13" s="12" t="s">
        <v>1668</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0">
        <v>6</v>
      </c>
      <c r="B14" s="11" t="s">
        <v>1669</v>
      </c>
      <c r="C14" s="11" t="s">
        <v>1670</v>
      </c>
      <c r="D14" s="11" t="s">
        <v>1671</v>
      </c>
      <c r="E14" s="11">
        <v>0</v>
      </c>
      <c r="F14" s="11">
        <v>1</v>
      </c>
      <c r="G14" s="11" t="s">
        <v>1468</v>
      </c>
      <c r="H14" s="12" t="s">
        <v>2196</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0">
        <v>7</v>
      </c>
      <c r="B15" s="11" t="s">
        <v>2183</v>
      </c>
      <c r="C15" s="11" t="s">
        <v>2189</v>
      </c>
      <c r="D15" s="11" t="s">
        <v>2190</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0">
        <v>8</v>
      </c>
      <c r="B16" s="6" t="s">
        <v>2203</v>
      </c>
      <c r="C16" s="11" t="s">
        <v>2191</v>
      </c>
      <c r="D16" s="11" t="s">
        <v>2191</v>
      </c>
      <c r="E16" s="11">
        <v>1</v>
      </c>
      <c r="F16" s="11">
        <v>1</v>
      </c>
      <c r="G16" s="11" t="s">
        <v>1993</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0">
        <v>9</v>
      </c>
      <c r="B17" s="6" t="s">
        <v>2204</v>
      </c>
      <c r="C17" s="11" t="s">
        <v>2192</v>
      </c>
      <c r="D17" s="11" t="s">
        <v>2192</v>
      </c>
      <c r="E17" s="11">
        <v>1</v>
      </c>
      <c r="F17" s="11">
        <v>1</v>
      </c>
      <c r="G17" s="11" t="s">
        <v>1468</v>
      </c>
      <c r="H17" s="12" t="s">
        <v>2197</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0">
        <v>10</v>
      </c>
      <c r="B18" s="6" t="s">
        <v>2184</v>
      </c>
      <c r="C18" s="11" t="s">
        <v>2193</v>
      </c>
      <c r="D18" s="11" t="s">
        <v>2193</v>
      </c>
      <c r="E18" s="11">
        <v>1</v>
      </c>
      <c r="F18" s="11">
        <v>1</v>
      </c>
      <c r="G18" s="11" t="s">
        <v>1468</v>
      </c>
      <c r="H18" s="12" t="s">
        <v>2198</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0">
        <v>11</v>
      </c>
      <c r="B19" s="6" t="s">
        <v>1672</v>
      </c>
      <c r="C19" s="11" t="s">
        <v>1673</v>
      </c>
      <c r="D19" s="11" t="s">
        <v>1674</v>
      </c>
      <c r="E19" s="11">
        <v>1</v>
      </c>
      <c r="F19" s="11">
        <v>1</v>
      </c>
      <c r="G19" s="11" t="s">
        <v>1468</v>
      </c>
      <c r="H19" s="12" t="s">
        <v>1675</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0">
        <v>12</v>
      </c>
      <c r="B20" s="11" t="s">
        <v>1676</v>
      </c>
      <c r="C20" s="11" t="s">
        <v>1677</v>
      </c>
      <c r="D20" s="11" t="s">
        <v>1678</v>
      </c>
      <c r="E20" s="6">
        <v>1</v>
      </c>
      <c r="F20" s="6">
        <v>1</v>
      </c>
      <c r="G20" s="11" t="s">
        <v>1468</v>
      </c>
      <c r="H20" s="12" t="s">
        <v>1679</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0">
        <v>13</v>
      </c>
      <c r="B21" s="6" t="s">
        <v>1680</v>
      </c>
      <c r="C21" s="11" t="s">
        <v>1681</v>
      </c>
      <c r="D21" s="11" t="s">
        <v>1682</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0">
        <v>14</v>
      </c>
      <c r="B22" s="11" t="s">
        <v>1683</v>
      </c>
      <c r="C22" s="11" t="s">
        <v>1684</v>
      </c>
      <c r="D22" s="11" t="s">
        <v>1685</v>
      </c>
      <c r="E22" s="11">
        <v>0</v>
      </c>
      <c r="F22" s="11">
        <v>1</v>
      </c>
      <c r="G22" s="11" t="s">
        <v>1468</v>
      </c>
      <c r="H22" s="12" t="s">
        <v>2199</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0">
        <v>15</v>
      </c>
      <c r="B23" s="11" t="s">
        <v>1686</v>
      </c>
      <c r="C23" s="11" t="s">
        <v>1687</v>
      </c>
      <c r="D23" s="11" t="s">
        <v>1688</v>
      </c>
      <c r="E23" s="11">
        <v>0</v>
      </c>
      <c r="F23" s="11">
        <v>1</v>
      </c>
      <c r="G23" s="11" t="s">
        <v>1468</v>
      </c>
      <c r="H23" s="12" t="s">
        <v>1679</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0">
        <v>16</v>
      </c>
      <c r="B24" s="140" t="s">
        <v>1689</v>
      </c>
      <c r="C24" s="11" t="s">
        <v>1690</v>
      </c>
      <c r="D24" s="11" t="s">
        <v>1691</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0">
        <v>17</v>
      </c>
      <c r="B25" s="11" t="s">
        <v>2205</v>
      </c>
      <c r="C25" s="11" t="s">
        <v>1786</v>
      </c>
      <c r="D25" s="11" t="s">
        <v>1693</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0">
        <v>17</v>
      </c>
      <c r="B26" s="11" t="s">
        <v>2206</v>
      </c>
      <c r="C26" s="11" t="s">
        <v>1692</v>
      </c>
      <c r="D26" s="11" t="s">
        <v>1693</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0">
        <v>18</v>
      </c>
      <c r="B27" s="11" t="s">
        <v>2207</v>
      </c>
      <c r="C27" s="11" t="s">
        <v>1694</v>
      </c>
      <c r="D27" s="11" t="s">
        <v>1695</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0">
        <v>19</v>
      </c>
      <c r="B28" s="11" t="s">
        <v>2208</v>
      </c>
      <c r="C28" s="11" t="s">
        <v>1696</v>
      </c>
      <c r="D28" s="11" t="s">
        <v>1697</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0">
        <v>20</v>
      </c>
      <c r="B29" s="11" t="s">
        <v>2209</v>
      </c>
      <c r="C29" s="11" t="s">
        <v>1698</v>
      </c>
      <c r="D29" s="11" t="s">
        <v>1699</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0">
        <v>21</v>
      </c>
      <c r="B30" s="11" t="s">
        <v>2210</v>
      </c>
      <c r="C30" s="11" t="s">
        <v>1700</v>
      </c>
      <c r="D30" s="11" t="s">
        <v>1701</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0">
        <v>22</v>
      </c>
      <c r="B31" s="11" t="s">
        <v>2211</v>
      </c>
      <c r="C31" s="11" t="s">
        <v>1702</v>
      </c>
      <c r="D31" s="11" t="s">
        <v>1703</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0">
        <v>23</v>
      </c>
      <c r="B32" s="11" t="s">
        <v>2212</v>
      </c>
      <c r="C32" s="11" t="s">
        <v>1704</v>
      </c>
      <c r="D32" s="11" t="s">
        <v>1705</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0">
        <v>24</v>
      </c>
      <c r="B33" s="11" t="s">
        <v>2213</v>
      </c>
      <c r="C33" s="11" t="s">
        <v>1706</v>
      </c>
      <c r="D33" s="11" t="s">
        <v>1707</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0">
        <v>25</v>
      </c>
      <c r="B34" s="11" t="s">
        <v>2214</v>
      </c>
      <c r="C34" s="11" t="s">
        <v>1708</v>
      </c>
      <c r="D34" s="11" t="s">
        <v>1709</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0">
        <v>26</v>
      </c>
      <c r="B35" s="11" t="s">
        <v>2215</v>
      </c>
      <c r="C35" s="11" t="s">
        <v>1710</v>
      </c>
      <c r="D35" s="11" t="s">
        <v>1711</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0">
        <v>27</v>
      </c>
      <c r="B36" s="11" t="s">
        <v>2185</v>
      </c>
      <c r="C36" s="11" t="s">
        <v>1712</v>
      </c>
      <c r="D36" s="11" t="s">
        <v>1713</v>
      </c>
      <c r="E36">
        <v>1</v>
      </c>
      <c r="F36">
        <v>1</v>
      </c>
      <c r="G36" s="11" t="s">
        <v>1468</v>
      </c>
      <c r="H36" s="12" t="s">
        <v>2200</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1658</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1789</v>
      </c>
      <c r="D3" s="47" t="s">
        <v>1473</v>
      </c>
      <c r="E3" s="71" t="str">
        <f>$C$1&amp;B14</f>
        <v>http://hl7.eu/fhir/ig/idea4rc/StructureDefinition/SurgeryI4rc</v>
      </c>
    </row>
    <row r="4" spans="1:19" x14ac:dyDescent="0.75">
      <c r="B4" s="47" t="s">
        <v>16</v>
      </c>
      <c r="C4" s="28" t="s">
        <v>1789</v>
      </c>
      <c r="D4" s="47" t="s">
        <v>1474</v>
      </c>
      <c r="E4" s="145" t="s">
        <v>1792</v>
      </c>
      <c r="F4" s="146"/>
      <c r="G4" s="146"/>
    </row>
    <row r="5" spans="1:19" x14ac:dyDescent="0.75">
      <c r="B5" s="47" t="s">
        <v>10</v>
      </c>
      <c r="C5" s="7" t="s">
        <v>1790</v>
      </c>
      <c r="D5" s="47"/>
      <c r="E5" s="7"/>
    </row>
    <row r="6" spans="1:19" x14ac:dyDescent="0.75">
      <c r="B6" s="47" t="s">
        <v>18</v>
      </c>
      <c r="C6" s="41"/>
      <c r="D6" s="47" t="s">
        <v>1475</v>
      </c>
      <c r="E6" s="145" t="str">
        <f>E3</f>
        <v>http://hl7.eu/fhir/ig/idea4rc/StructureDefinition/SurgeryI4rc</v>
      </c>
      <c r="F6" s="146"/>
      <c r="G6" s="146"/>
    </row>
    <row r="7" spans="1:19" x14ac:dyDescent="0.75">
      <c r="B7" s="47" t="s">
        <v>15</v>
      </c>
      <c r="C7" s="72"/>
      <c r="D7" s="47" t="s">
        <v>1476</v>
      </c>
      <c r="E7" s="145" t="str">
        <f>E4</f>
        <v>http://hl7.eu/fhir/ig/idea4rc/StructureDefinition/Procedure-surgery-eu-i4rc</v>
      </c>
      <c r="F7" s="146"/>
      <c r="G7" s="146"/>
    </row>
    <row r="8" spans="1:19" ht="45" thickBot="1" x14ac:dyDescent="0.9">
      <c r="B8" s="47" t="s">
        <v>1477</v>
      </c>
      <c r="C8" s="7" t="s">
        <v>1790</v>
      </c>
      <c r="D8" s="47"/>
      <c r="E8" s="7"/>
      <c r="I8" s="12" t="s">
        <v>1289</v>
      </c>
      <c r="J8" s="12" t="s">
        <v>1290</v>
      </c>
      <c r="K8" s="12" t="s">
        <v>1291</v>
      </c>
      <c r="L8" s="12" t="s">
        <v>1292</v>
      </c>
      <c r="M8" s="11" t="s">
        <v>1293</v>
      </c>
      <c r="P8" s="34" t="s">
        <v>1328</v>
      </c>
      <c r="Q8" s="34">
        <v>6</v>
      </c>
    </row>
    <row r="9" spans="1:19" ht="15.5" thickBot="1" x14ac:dyDescent="0.9">
      <c r="B9" s="47" t="s">
        <v>1478</v>
      </c>
      <c r="C9" s="12" t="s">
        <v>1791</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1793</v>
      </c>
      <c r="E14" s="6"/>
      <c r="F14" s="49"/>
      <c r="G14" s="49"/>
      <c r="I14" s="12"/>
      <c r="J14" s="11"/>
      <c r="K14" s="11"/>
      <c r="L14" s="11"/>
      <c r="M14" s="48"/>
      <c r="N14" s="51"/>
    </row>
    <row r="15" spans="1:19" ht="44.25" x14ac:dyDescent="0.75">
      <c r="A15" s="44"/>
      <c r="B15" s="11" t="str">
        <f>Surgery!B8</f>
        <v>episodeEvent</v>
      </c>
      <c r="C15" s="11" t="str">
        <f>Surgery!C8</f>
        <v>Episode Event reference</v>
      </c>
      <c r="D15" s="12" t="s">
        <v>1794</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1802</v>
      </c>
      <c r="E16" s="12"/>
      <c r="F16" s="49" t="s">
        <v>1294</v>
      </c>
      <c r="G16" s="76" t="s">
        <v>1795</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1554</v>
      </c>
      <c r="E17" s="12"/>
      <c r="F17" s="49" t="s">
        <v>1294</v>
      </c>
      <c r="G17" s="76" t="s">
        <v>2382</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2383</v>
      </c>
      <c r="E18" s="12"/>
      <c r="F18" s="49" t="s">
        <v>1294</v>
      </c>
      <c r="G18" s="76" t="s">
        <v>2381</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2334</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1802</v>
      </c>
      <c r="E20" s="12"/>
      <c r="F20" s="49" t="s">
        <v>1294</v>
      </c>
      <c r="G20" s="76" t="s">
        <v>2335</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1796</v>
      </c>
      <c r="E21" s="12"/>
      <c r="F21" s="49" t="s">
        <v>1294</v>
      </c>
      <c r="G21" s="76" t="s">
        <v>1797</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1798</v>
      </c>
      <c r="E22" s="12"/>
      <c r="F22" s="49" t="s">
        <v>1294</v>
      </c>
      <c r="G22" s="76" t="s">
        <v>2336</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2337</v>
      </c>
      <c r="E23" s="12"/>
      <c r="F23" s="49" t="s">
        <v>1294</v>
      </c>
      <c r="G23" s="76" t="s">
        <v>2339</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2337</v>
      </c>
      <c r="E24" s="11"/>
      <c r="F24" s="49" t="s">
        <v>1294</v>
      </c>
      <c r="G24" s="76" t="s">
        <v>2338</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1799</v>
      </c>
      <c r="E25" s="11"/>
      <c r="F25" s="49" t="s">
        <v>1294</v>
      </c>
      <c r="G25" s="76" t="s">
        <v>2322</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2322</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2322</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2340</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2334</v>
      </c>
      <c r="E29" s="12"/>
      <c r="F29" s="49" t="s">
        <v>1316</v>
      </c>
      <c r="G29" s="76" t="s">
        <v>2341</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2343</v>
      </c>
      <c r="E30" s="12"/>
      <c r="F30" s="49" t="s">
        <v>1316</v>
      </c>
      <c r="G30" s="76" t="s">
        <v>2342</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1800</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2334</v>
      </c>
      <c r="E32" s="12"/>
      <c r="F32" s="49" t="s">
        <v>1316</v>
      </c>
      <c r="G32" s="76" t="s">
        <v>2344</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1615</v>
      </c>
      <c r="E33" s="12"/>
      <c r="F33" s="49" t="s">
        <v>1316</v>
      </c>
      <c r="G33" s="76" t="s">
        <v>2344</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1615</v>
      </c>
      <c r="E34" s="12"/>
      <c r="F34" s="49" t="s">
        <v>1316</v>
      </c>
      <c r="G34" s="76" t="s">
        <v>2344</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1615</v>
      </c>
      <c r="E35" s="12"/>
      <c r="F35" s="49" t="s">
        <v>1316</v>
      </c>
      <c r="G35" s="76" t="s">
        <v>2344</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1615</v>
      </c>
      <c r="E36" s="12"/>
      <c r="F36" s="49" t="s">
        <v>1316</v>
      </c>
      <c r="G36" s="76" t="s">
        <v>2344</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1615</v>
      </c>
      <c r="E37" s="12"/>
      <c r="F37" s="49" t="s">
        <v>1316</v>
      </c>
      <c r="G37" s="76" t="s">
        <v>2344</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1615</v>
      </c>
      <c r="E38" s="12"/>
      <c r="F38" s="49" t="s">
        <v>1316</v>
      </c>
      <c r="G38" s="76" t="s">
        <v>2344</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1615</v>
      </c>
      <c r="E39" s="12"/>
      <c r="F39" s="49" t="s">
        <v>1316</v>
      </c>
      <c r="G39" s="76" t="s">
        <v>2344</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1801</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5.5" thickBot="1" x14ac:dyDescent="0.9">
      <c r="L3" s="24" t="str">
        <f>L1</f>
        <v>//===================================================</v>
      </c>
      <c r="N3" s="24" t="str">
        <f>N1</f>
        <v>// -------------------------------------------------------------------------------</v>
      </c>
      <c r="P3" s="24" t="str">
        <f>P1</f>
        <v>// -------------------------------------------------------------------------------</v>
      </c>
      <c r="R3" s="24" t="str">
        <f>R1</f>
        <v>// -------------------------------------------------------------------------------</v>
      </c>
    </row>
    <row r="4" spans="1:18" ht="15.5" thickBot="1" x14ac:dyDescent="0.9">
      <c r="A4" s="5" t="s">
        <v>11</v>
      </c>
      <c r="B4" s="30" t="s">
        <v>2279</v>
      </c>
      <c r="L4" s="16" t="str">
        <f>CONCATENATE("Logical: ",B4)</f>
        <v>Logical: OtherTreatmentI4rc</v>
      </c>
    </row>
    <row r="5" spans="1:18" ht="15.5" thickBot="1" x14ac:dyDescent="0.9">
      <c r="A5" s="14" t="s">
        <v>16</v>
      </c>
      <c r="B5" s="30" t="s">
        <v>2280</v>
      </c>
      <c r="L5" s="16" t="str">
        <f>CONCATENATE("Id: ",B5)</f>
        <v>Id: OtherTreatment</v>
      </c>
    </row>
    <row r="6" spans="1:18" ht="15.5" thickBot="1" x14ac:dyDescent="0.9">
      <c r="A6" s="14" t="s">
        <v>10</v>
      </c>
      <c r="B6" s="30" t="s">
        <v>2362</v>
      </c>
      <c r="L6" s="17" t="str">
        <f>CONCATENATE("Title: ##34#",B6,"##34#")</f>
        <v>Title: ##34#Other Treatment##34#</v>
      </c>
    </row>
    <row r="7" spans="1:18" x14ac:dyDescent="0.75">
      <c r="A7" s="26" t="s">
        <v>2</v>
      </c>
      <c r="B7" s="30" t="s">
        <v>2362</v>
      </c>
      <c r="C7" s="9" t="s">
        <v>3</v>
      </c>
      <c r="D7" s="1" t="s">
        <v>4</v>
      </c>
      <c r="E7" s="3" t="s">
        <v>5</v>
      </c>
      <c r="F7" s="3" t="s">
        <v>6</v>
      </c>
      <c r="G7" s="3" t="s">
        <v>7</v>
      </c>
      <c r="H7" s="64" t="s">
        <v>1384</v>
      </c>
      <c r="I7" s="120" t="s">
        <v>2084</v>
      </c>
      <c r="J7" s="120" t="s">
        <v>2085</v>
      </c>
      <c r="L7" s="17" t="str">
        <f>CONCATENATE("Description: "," ##334#",B7,"##334#",)</f>
        <v>Description:  ##334#Other Treatment##334#</v>
      </c>
    </row>
    <row r="8" spans="1:18" ht="59" x14ac:dyDescent="0.75">
      <c r="A8" s="59">
        <v>0</v>
      </c>
      <c r="B8" s="12" t="s">
        <v>1590</v>
      </c>
      <c r="C8" s="12" t="s">
        <v>1646</v>
      </c>
      <c r="D8" s="12" t="s">
        <v>1559</v>
      </c>
      <c r="E8" s="11">
        <v>1</v>
      </c>
      <c r="F8" s="11">
        <v>1</v>
      </c>
      <c r="G8" s="131" t="s">
        <v>1611</v>
      </c>
      <c r="H8" s="12"/>
      <c r="I8" s="12" t="b">
        <v>1</v>
      </c>
      <c r="J8" s="12" t="b">
        <v>1</v>
      </c>
      <c r="K8" s="25" t="s">
        <v>1564</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2363</v>
      </c>
      <c r="C9" s="12" t="s">
        <v>2364</v>
      </c>
      <c r="D9" s="12" t="s">
        <v>2365</v>
      </c>
      <c r="E9" s="11">
        <v>1</v>
      </c>
      <c r="F9" s="11">
        <v>1</v>
      </c>
      <c r="G9" s="86" t="s">
        <v>1468</v>
      </c>
      <c r="H9" s="12" t="s">
        <v>1647</v>
      </c>
      <c r="I9" s="12" t="b">
        <v>1</v>
      </c>
      <c r="J9" s="12" t="b">
        <v>1</v>
      </c>
      <c r="K9" s="25" t="s">
        <v>2363</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2366</v>
      </c>
      <c r="E10" s="11">
        <v>1</v>
      </c>
      <c r="F10" s="11">
        <v>1</v>
      </c>
      <c r="G10" s="102" t="s">
        <v>1468</v>
      </c>
      <c r="H10" s="12" t="s">
        <v>1648</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1649</v>
      </c>
      <c r="D11" s="12" t="s">
        <v>1650</v>
      </c>
      <c r="E11" s="11">
        <v>1</v>
      </c>
      <c r="F11" s="11">
        <v>1</v>
      </c>
      <c r="G11" s="102" t="s">
        <v>1468</v>
      </c>
      <c r="H11" s="12" t="s">
        <v>2367</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2216</v>
      </c>
      <c r="C12" s="11" t="s">
        <v>2222</v>
      </c>
      <c r="D12" s="11" t="s">
        <v>2223</v>
      </c>
      <c r="E12" s="11">
        <v>0</v>
      </c>
      <c r="F12" s="11">
        <v>1</v>
      </c>
      <c r="G12" t="s">
        <v>1468</v>
      </c>
      <c r="H12" s="2" t="s">
        <v>2224</v>
      </c>
      <c r="I12" s="12" t="b">
        <v>0</v>
      </c>
      <c r="J12" s="12" t="b">
        <v>1</v>
      </c>
      <c r="K12" s="25" t="s">
        <v>2216</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2368</v>
      </c>
      <c r="C13" s="12" t="s">
        <v>2369</v>
      </c>
      <c r="D13" s="12" t="s">
        <v>2370</v>
      </c>
      <c r="E13" s="11">
        <v>1</v>
      </c>
      <c r="F13" s="11">
        <v>1</v>
      </c>
      <c r="G13" s="86" t="s">
        <v>43</v>
      </c>
      <c r="H13" s="12"/>
      <c r="I13" s="12" t="b">
        <v>1</v>
      </c>
      <c r="J13" s="12" t="b">
        <v>1</v>
      </c>
      <c r="K13" s="25" t="s">
        <v>2368</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2371</v>
      </c>
      <c r="C14" s="12" t="s">
        <v>2372</v>
      </c>
      <c r="D14" s="12" t="s">
        <v>2373</v>
      </c>
      <c r="E14" s="11">
        <v>1</v>
      </c>
      <c r="F14" s="11">
        <v>1</v>
      </c>
      <c r="G14" s="86" t="s">
        <v>43</v>
      </c>
      <c r="H14" s="12"/>
      <c r="I14" s="12" t="b">
        <v>1</v>
      </c>
      <c r="J14" s="12" t="b">
        <v>1</v>
      </c>
      <c r="K14" s="25" t="s">
        <v>2371</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1651</v>
      </c>
      <c r="D15" s="12" t="s">
        <v>1652</v>
      </c>
      <c r="E15" s="11">
        <v>0</v>
      </c>
      <c r="F15" s="11">
        <v>1</v>
      </c>
      <c r="G15" s="132" t="s">
        <v>1787</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3"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1781</v>
      </c>
      <c r="C17" s="12" t="s">
        <v>1424</v>
      </c>
      <c r="D17" s="13" t="s">
        <v>1424</v>
      </c>
      <c r="E17" s="11">
        <v>1</v>
      </c>
      <c r="F17" s="11">
        <v>1</v>
      </c>
      <c r="G17" s="86" t="s">
        <v>1468</v>
      </c>
      <c r="H17" s="12" t="s">
        <v>1653</v>
      </c>
      <c r="I17" s="12" t="b">
        <v>1</v>
      </c>
      <c r="J17" s="12" t="b">
        <v>1</v>
      </c>
      <c r="K17" s="25" t="s">
        <v>2217</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1782</v>
      </c>
      <c r="C18" s="12" t="s">
        <v>1425</v>
      </c>
      <c r="D18" s="13" t="s">
        <v>1425</v>
      </c>
      <c r="E18" s="11">
        <v>1</v>
      </c>
      <c r="F18" s="11">
        <v>1</v>
      </c>
      <c r="G18" s="86" t="s">
        <v>1468</v>
      </c>
      <c r="H18" s="12" t="s">
        <v>1653</v>
      </c>
      <c r="I18" s="12" t="b">
        <v>1</v>
      </c>
      <c r="J18" s="12" t="b">
        <v>1</v>
      </c>
      <c r="K18" s="25" t="s">
        <v>2218</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1783</v>
      </c>
      <c r="C19" s="12" t="s">
        <v>1426</v>
      </c>
      <c r="D19" s="13" t="s">
        <v>1426</v>
      </c>
      <c r="E19" s="11">
        <v>1</v>
      </c>
      <c r="F19" s="11">
        <v>1</v>
      </c>
      <c r="G19" s="86" t="s">
        <v>1468</v>
      </c>
      <c r="H19" s="12" t="s">
        <v>1653</v>
      </c>
      <c r="I19" s="12" t="b">
        <v>1</v>
      </c>
      <c r="J19" s="12" t="b">
        <v>1</v>
      </c>
      <c r="K19" t="s">
        <v>2219</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1784</v>
      </c>
      <c r="C20" s="12" t="s">
        <v>1429</v>
      </c>
      <c r="D20" s="12" t="s">
        <v>2374</v>
      </c>
      <c r="E20" s="11">
        <v>1</v>
      </c>
      <c r="F20" s="11">
        <v>1</v>
      </c>
      <c r="G20" s="86" t="s">
        <v>43</v>
      </c>
      <c r="H20" s="12"/>
      <c r="I20" s="12" t="b">
        <v>1</v>
      </c>
      <c r="J20" s="12" t="b">
        <v>0</v>
      </c>
      <c r="K20" t="s">
        <v>2220</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1785</v>
      </c>
      <c r="C21" s="12" t="s">
        <v>1430</v>
      </c>
      <c r="D21" s="12" t="s">
        <v>2375</v>
      </c>
      <c r="E21" s="11">
        <v>1</v>
      </c>
      <c r="F21" s="11">
        <v>1</v>
      </c>
      <c r="G21" s="86" t="s">
        <v>43</v>
      </c>
      <c r="H21" s="12"/>
      <c r="I21" s="12" t="b">
        <v>1</v>
      </c>
      <c r="J21" s="12" t="b">
        <v>0</v>
      </c>
      <c r="K21" t="s">
        <v>2221</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1654</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1864</v>
      </c>
      <c r="C23" s="11" t="s">
        <v>1655</v>
      </c>
      <c r="D23" s="11" t="s">
        <v>1656</v>
      </c>
      <c r="E23" s="11">
        <v>1</v>
      </c>
      <c r="F23" s="11">
        <v>1</v>
      </c>
      <c r="G23" t="s">
        <v>1468</v>
      </c>
      <c r="H23" s="12" t="s">
        <v>1657</v>
      </c>
      <c r="I23" s="12" t="b">
        <v>1</v>
      </c>
      <c r="J23" s="12" t="b">
        <v>1</v>
      </c>
      <c r="K23" t="s">
        <v>1864</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2376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2377</v>
      </c>
      <c r="D3" s="47" t="s">
        <v>1473</v>
      </c>
      <c r="E3" s="71" t="str">
        <f>$C$1&amp;B14</f>
        <v>http://hl7.eu/fhir/ig/idea4rc/StructureDefinition/OtherTreatment</v>
      </c>
    </row>
    <row r="4" spans="1:19" x14ac:dyDescent="0.75">
      <c r="B4" s="47" t="s">
        <v>16</v>
      </c>
      <c r="C4" s="28" t="s">
        <v>2377</v>
      </c>
      <c r="D4" s="47" t="s">
        <v>1474</v>
      </c>
      <c r="E4" s="145" t="s">
        <v>1824</v>
      </c>
      <c r="F4" s="153"/>
      <c r="G4" s="153"/>
    </row>
    <row r="5" spans="1:19" x14ac:dyDescent="0.75">
      <c r="B5" s="47" t="s">
        <v>10</v>
      </c>
      <c r="C5" s="7" t="s">
        <v>2378</v>
      </c>
      <c r="D5" s="47"/>
      <c r="E5" s="7"/>
    </row>
    <row r="6" spans="1:19" x14ac:dyDescent="0.75">
      <c r="B6" s="47" t="s">
        <v>18</v>
      </c>
      <c r="C6" s="41"/>
      <c r="D6" s="47" t="s">
        <v>1475</v>
      </c>
      <c r="E6" s="145" t="str">
        <f>E3</f>
        <v>http://hl7.eu/fhir/ig/idea4rc/StructureDefinition/OtherTreatment</v>
      </c>
      <c r="F6" s="146"/>
      <c r="G6" s="146"/>
    </row>
    <row r="7" spans="1:19" x14ac:dyDescent="0.75">
      <c r="B7" s="47" t="s">
        <v>15</v>
      </c>
      <c r="C7" s="72"/>
      <c r="D7" s="47" t="s">
        <v>1476</v>
      </c>
      <c r="E7" s="145" t="str">
        <f>E4</f>
        <v>http://hl7.eu/fhir/ig/idea4rc/StructureDefinition/MedicationAdministration-eu-i4rc</v>
      </c>
      <c r="F7" s="146"/>
      <c r="G7" s="146"/>
    </row>
    <row r="8" spans="1:19" ht="45" thickBot="1" x14ac:dyDescent="0.9">
      <c r="B8" s="47" t="s">
        <v>1477</v>
      </c>
      <c r="C8" s="7" t="s">
        <v>2378</v>
      </c>
      <c r="D8" s="47"/>
      <c r="E8" s="7"/>
      <c r="I8" s="12" t="s">
        <v>1289</v>
      </c>
      <c r="J8" s="12" t="s">
        <v>1290</v>
      </c>
      <c r="K8" s="12" t="s">
        <v>1291</v>
      </c>
      <c r="L8" s="12" t="s">
        <v>1292</v>
      </c>
      <c r="M8" s="11" t="s">
        <v>1293</v>
      </c>
      <c r="P8" s="34" t="s">
        <v>1328</v>
      </c>
      <c r="Q8" s="34">
        <v>6</v>
      </c>
    </row>
    <row r="9" spans="1:19" ht="30.25" thickBot="1" x14ac:dyDescent="0.9">
      <c r="B9" s="47" t="s">
        <v>1478</v>
      </c>
      <c r="C9" s="12" t="s">
        <v>2379</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1793</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1794</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1818</v>
      </c>
      <c r="E16" s="12"/>
      <c r="F16" s="49" t="s">
        <v>1316</v>
      </c>
      <c r="G16" s="77" t="s">
        <v>2345</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1818</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1818</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1614</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1819</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2322</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1820</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1820</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1820</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1821</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1822</v>
      </c>
      <c r="E29" s="12"/>
      <c r="F29" s="49" t="s">
        <v>1294</v>
      </c>
      <c r="G29" s="76" t="s">
        <v>1823</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1825</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1922</v>
      </c>
      <c r="L4" s="16" t="str">
        <f>CONCATENATE("Logical: ",B4)</f>
        <v>Logical: RadiotherapyI4rc</v>
      </c>
    </row>
    <row r="5" spans="1:18" ht="15.5" thickBot="1" x14ac:dyDescent="0.9">
      <c r="A5" s="14" t="s">
        <v>16</v>
      </c>
      <c r="B5" s="30" t="s">
        <v>1715</v>
      </c>
      <c r="L5" s="16" t="str">
        <f>CONCATENATE("Id: ",B5)</f>
        <v>Id: Radiotherapy</v>
      </c>
    </row>
    <row r="6" spans="1:18" ht="15.5" thickBot="1" x14ac:dyDescent="0.9">
      <c r="A6" s="14" t="s">
        <v>10</v>
      </c>
      <c r="B6" s="30" t="s">
        <v>1715</v>
      </c>
      <c r="L6" s="17" t="str">
        <f>CONCATENATE("Title: ##34#",B6,"##34#")</f>
        <v>Title: ##34#Radiotherapy##34#</v>
      </c>
    </row>
    <row r="7" spans="1:18" x14ac:dyDescent="0.75">
      <c r="A7" s="26" t="s">
        <v>2</v>
      </c>
      <c r="B7" s="30" t="s">
        <v>1715</v>
      </c>
      <c r="C7" s="9" t="s">
        <v>3</v>
      </c>
      <c r="D7" s="1" t="s">
        <v>4</v>
      </c>
      <c r="E7" s="3" t="s">
        <v>5</v>
      </c>
      <c r="F7" s="3" t="s">
        <v>6</v>
      </c>
      <c r="G7" s="3" t="s">
        <v>7</v>
      </c>
      <c r="H7" s="64" t="s">
        <v>1384</v>
      </c>
      <c r="I7" s="120" t="s">
        <v>2084</v>
      </c>
      <c r="J7" s="120" t="s">
        <v>2085</v>
      </c>
      <c r="L7" s="17" t="str">
        <f>CONCATENATE("Description: "," ##334#",B7,"##334#",)</f>
        <v>Description:  ##334#Radiotherapy##334#</v>
      </c>
    </row>
    <row r="8" spans="1:18" ht="59" x14ac:dyDescent="0.75">
      <c r="A8" s="59">
        <v>0</v>
      </c>
      <c r="B8" s="11" t="s">
        <v>1590</v>
      </c>
      <c r="C8" s="11" t="s">
        <v>1646</v>
      </c>
      <c r="D8" s="12" t="s">
        <v>1559</v>
      </c>
      <c r="E8" s="11">
        <v>1</v>
      </c>
      <c r="F8" s="11">
        <v>1</v>
      </c>
      <c r="G8" s="134" t="s">
        <v>1611</v>
      </c>
      <c r="H8" s="12"/>
      <c r="I8" s="12" t="b">
        <v>1</v>
      </c>
      <c r="J8" s="12" t="b">
        <v>1</v>
      </c>
      <c r="K8" s="25" t="s">
        <v>1564</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1714</v>
      </c>
      <c r="C9" s="11" t="s">
        <v>1715</v>
      </c>
      <c r="D9" s="12" t="s">
        <v>2385</v>
      </c>
      <c r="E9" s="11">
        <v>1</v>
      </c>
      <c r="F9" s="11">
        <v>1</v>
      </c>
      <c r="G9" s="11" t="s">
        <v>1468</v>
      </c>
      <c r="H9" s="12" t="s">
        <v>1661</v>
      </c>
      <c r="I9" s="12" t="b">
        <v>1</v>
      </c>
      <c r="J9" s="12" t="b">
        <v>1</v>
      </c>
      <c r="K9" s="25" t="s">
        <v>1714</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1716</v>
      </c>
      <c r="E10" s="11">
        <v>1</v>
      </c>
      <c r="F10" s="11">
        <v>1</v>
      </c>
      <c r="G10" s="11" t="s">
        <v>1468</v>
      </c>
      <c r="H10" s="12" t="s">
        <v>1648</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1649</v>
      </c>
      <c r="D11" s="12" t="s">
        <v>1717</v>
      </c>
      <c r="E11" s="11">
        <v>0</v>
      </c>
      <c r="F11" s="11">
        <v>1</v>
      </c>
      <c r="G11" s="11" t="s">
        <v>1468</v>
      </c>
      <c r="H11" s="12" t="s">
        <v>1718</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1719</v>
      </c>
      <c r="C12" s="11" t="s">
        <v>1720</v>
      </c>
      <c r="D12" s="12" t="s">
        <v>1721</v>
      </c>
      <c r="E12" s="11">
        <v>1</v>
      </c>
      <c r="F12" s="11">
        <v>1</v>
      </c>
      <c r="G12" s="11" t="s">
        <v>1468</v>
      </c>
      <c r="H12" s="12" t="s">
        <v>1722</v>
      </c>
      <c r="I12" s="12" t="b">
        <v>1</v>
      </c>
      <c r="J12" s="12" t="b">
        <v>1</v>
      </c>
      <c r="K12" s="25" t="s">
        <v>1719</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8">
        <v>5</v>
      </c>
      <c r="B13" s="11" t="s">
        <v>1723</v>
      </c>
      <c r="C13" s="11" t="s">
        <v>1724</v>
      </c>
      <c r="D13" s="4" t="s">
        <v>1724</v>
      </c>
      <c r="E13" s="11">
        <v>0</v>
      </c>
      <c r="F13" s="11">
        <v>1</v>
      </c>
      <c r="G13" s="11" t="s">
        <v>0</v>
      </c>
      <c r="H13" s="12"/>
      <c r="I13" s="12" t="b">
        <v>1</v>
      </c>
      <c r="J13" s="12" t="b">
        <v>0</v>
      </c>
      <c r="K13" s="25" t="s">
        <v>1723</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1725</v>
      </c>
      <c r="C14" s="11" t="s">
        <v>1726</v>
      </c>
      <c r="D14" s="12" t="s">
        <v>1727</v>
      </c>
      <c r="E14" s="11">
        <v>1</v>
      </c>
      <c r="F14" s="11">
        <v>1</v>
      </c>
      <c r="G14" s="11" t="s">
        <v>1468</v>
      </c>
      <c r="H14" s="12" t="s">
        <v>1728</v>
      </c>
      <c r="I14" s="12" t="b">
        <v>1</v>
      </c>
      <c r="J14" s="12" t="b">
        <v>1</v>
      </c>
      <c r="K14" s="25" t="s">
        <v>1725</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1729</v>
      </c>
      <c r="C15" s="11" t="s">
        <v>1730</v>
      </c>
      <c r="D15" s="12" t="s">
        <v>1731</v>
      </c>
      <c r="E15" s="11">
        <v>1</v>
      </c>
      <c r="F15" s="11">
        <v>1</v>
      </c>
      <c r="G15" s="42" t="s">
        <v>1787</v>
      </c>
      <c r="H15" s="12"/>
      <c r="I15" s="12" t="b">
        <v>1</v>
      </c>
      <c r="J15" s="12" t="b">
        <v>1</v>
      </c>
      <c r="K15" s="25" t="s">
        <v>2225</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2">
        <v>8</v>
      </c>
      <c r="B16" s="11" t="s">
        <v>1732</v>
      </c>
      <c r="C16" s="11" t="s">
        <v>1733</v>
      </c>
      <c r="D16" s="12" t="s">
        <v>1734</v>
      </c>
      <c r="E16" s="11">
        <v>1</v>
      </c>
      <c r="F16" s="11">
        <v>1</v>
      </c>
      <c r="G16" s="42" t="s">
        <v>1787</v>
      </c>
      <c r="H16" s="12"/>
      <c r="I16" s="12" t="b">
        <v>1</v>
      </c>
      <c r="J16" s="12" t="b">
        <v>0</v>
      </c>
      <c r="K16" s="25" t="s">
        <v>2226</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1735</v>
      </c>
      <c r="C17" s="11" t="s">
        <v>1736</v>
      </c>
      <c r="D17" s="12" t="s">
        <v>1737</v>
      </c>
      <c r="E17" s="11">
        <v>1</v>
      </c>
      <c r="F17" s="11">
        <v>1</v>
      </c>
      <c r="G17" s="42" t="s">
        <v>1787</v>
      </c>
      <c r="H17" s="12"/>
      <c r="I17" s="12" t="b">
        <v>1</v>
      </c>
      <c r="J17" s="12" t="b">
        <v>1</v>
      </c>
      <c r="K17" s="25" t="s">
        <v>1735</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1738</v>
      </c>
      <c r="C18" s="11" t="s">
        <v>1739</v>
      </c>
      <c r="D18" s="12" t="s">
        <v>1740</v>
      </c>
      <c r="E18" s="11">
        <v>0</v>
      </c>
      <c r="F18" s="11">
        <v>1</v>
      </c>
      <c r="G18" s="11" t="s">
        <v>1468</v>
      </c>
      <c r="H18" s="12" t="s">
        <v>1679</v>
      </c>
      <c r="I18" s="12" t="b">
        <v>1</v>
      </c>
      <c r="J18" s="12" t="b">
        <v>0</v>
      </c>
      <c r="K18" t="s">
        <v>1738</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1741</v>
      </c>
      <c r="C19" s="11" t="s">
        <v>1742</v>
      </c>
      <c r="D19" s="12" t="s">
        <v>1743</v>
      </c>
      <c r="E19" s="11">
        <v>0</v>
      </c>
      <c r="F19" s="11">
        <v>1</v>
      </c>
      <c r="G19" s="11" t="s">
        <v>1468</v>
      </c>
      <c r="H19" s="12" t="s">
        <v>1679</v>
      </c>
      <c r="I19" s="12" t="b">
        <v>1</v>
      </c>
      <c r="J19" s="12" t="b">
        <v>0</v>
      </c>
      <c r="K19" t="s">
        <v>2227</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1744</v>
      </c>
      <c r="C20" s="11" t="s">
        <v>1745</v>
      </c>
      <c r="D20" s="12" t="s">
        <v>1746</v>
      </c>
      <c r="E20" s="11">
        <v>1</v>
      </c>
      <c r="F20" s="11">
        <v>1</v>
      </c>
      <c r="G20" s="11" t="s">
        <v>43</v>
      </c>
      <c r="H20" s="12"/>
      <c r="I20" s="12" t="b">
        <v>1</v>
      </c>
      <c r="J20" s="12" t="b">
        <v>1</v>
      </c>
      <c r="K20" t="s">
        <v>1744</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1747</v>
      </c>
      <c r="C21" s="11" t="s">
        <v>1748</v>
      </c>
      <c r="D21" s="12" t="s">
        <v>1749</v>
      </c>
      <c r="E21" s="11">
        <v>1</v>
      </c>
      <c r="F21" s="11">
        <v>1</v>
      </c>
      <c r="G21" s="11" t="s">
        <v>43</v>
      </c>
      <c r="H21" s="12"/>
      <c r="I21" s="12" t="b">
        <v>1</v>
      </c>
      <c r="J21" s="12" t="b">
        <v>1</v>
      </c>
      <c r="K21" t="s">
        <v>1747</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1750</v>
      </c>
      <c r="C22" s="11" t="s">
        <v>1751</v>
      </c>
      <c r="D22" s="12" t="s">
        <v>1752</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1771</v>
      </c>
      <c r="C23" s="11" t="s">
        <v>1753</v>
      </c>
      <c r="D23" s="13" t="s">
        <v>1753</v>
      </c>
      <c r="E23" s="11">
        <v>0</v>
      </c>
      <c r="F23" s="11">
        <v>1</v>
      </c>
      <c r="G23" s="11" t="s">
        <v>44</v>
      </c>
      <c r="H23" s="12"/>
      <c r="I23" s="12" t="b">
        <v>1</v>
      </c>
      <c r="J23" s="12" t="b">
        <v>0</v>
      </c>
      <c r="K23" t="s">
        <v>2228</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1772</v>
      </c>
      <c r="C24" s="11" t="s">
        <v>1754</v>
      </c>
      <c r="D24" s="13" t="s">
        <v>1754</v>
      </c>
      <c r="E24" s="11">
        <v>0</v>
      </c>
      <c r="F24" s="11">
        <v>1</v>
      </c>
      <c r="G24" s="11" t="s">
        <v>44</v>
      </c>
      <c r="H24" s="12"/>
      <c r="I24" s="12" t="b">
        <v>1</v>
      </c>
      <c r="J24" s="12" t="b">
        <v>0</v>
      </c>
      <c r="K24" t="s">
        <v>2229</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1773</v>
      </c>
      <c r="C25" s="11" t="s">
        <v>1755</v>
      </c>
      <c r="D25" s="13" t="s">
        <v>1755</v>
      </c>
      <c r="E25" s="11">
        <v>1</v>
      </c>
      <c r="F25" s="11">
        <v>1</v>
      </c>
      <c r="G25" s="11" t="s">
        <v>44</v>
      </c>
      <c r="H25" s="12"/>
      <c r="I25" s="12" t="b">
        <v>1</v>
      </c>
      <c r="J25" s="12" t="b">
        <v>0</v>
      </c>
      <c r="K25" t="s">
        <v>2230</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1774</v>
      </c>
      <c r="C26" s="11" t="s">
        <v>1756</v>
      </c>
      <c r="D26" s="13" t="s">
        <v>1756</v>
      </c>
      <c r="E26" s="11">
        <v>1</v>
      </c>
      <c r="F26" s="11">
        <v>1</v>
      </c>
      <c r="G26" s="11" t="s">
        <v>44</v>
      </c>
      <c r="H26" s="12"/>
      <c r="I26" s="12" t="b">
        <v>1</v>
      </c>
      <c r="J26" s="12" t="b">
        <v>0</v>
      </c>
      <c r="K26" t="s">
        <v>2231</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1775</v>
      </c>
      <c r="C27" s="11" t="s">
        <v>1757</v>
      </c>
      <c r="D27" s="13" t="s">
        <v>1757</v>
      </c>
      <c r="E27" s="11">
        <v>1</v>
      </c>
      <c r="F27" s="11">
        <v>1</v>
      </c>
      <c r="G27" s="11" t="s">
        <v>44</v>
      </c>
      <c r="H27" s="12"/>
      <c r="I27" s="12" t="b">
        <v>1</v>
      </c>
      <c r="J27" s="12" t="b">
        <v>0</v>
      </c>
      <c r="K27" t="s">
        <v>2232</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1758</v>
      </c>
      <c r="C28" s="11" t="s">
        <v>1759</v>
      </c>
      <c r="D28" s="12" t="s">
        <v>1760</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1776</v>
      </c>
      <c r="C29" s="11" t="s">
        <v>1761</v>
      </c>
      <c r="D29" s="13" t="s">
        <v>1761</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1777</v>
      </c>
      <c r="C30" s="11" t="s">
        <v>1763</v>
      </c>
      <c r="D30" s="13" t="s">
        <v>1763</v>
      </c>
      <c r="E30" s="11">
        <v>0</v>
      </c>
      <c r="F30" s="11">
        <v>1</v>
      </c>
      <c r="G30" s="11" t="s">
        <v>44</v>
      </c>
      <c r="H30" s="12"/>
      <c r="I30" s="12" t="b">
        <v>1</v>
      </c>
      <c r="J30" s="12" t="b">
        <v>1</v>
      </c>
      <c r="K30" t="s">
        <v>1762</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1778</v>
      </c>
      <c r="C31" s="12" t="s">
        <v>1764</v>
      </c>
      <c r="D31" s="13" t="s">
        <v>1764</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1779</v>
      </c>
      <c r="C32" s="12" t="s">
        <v>1765</v>
      </c>
      <c r="D32" s="13" t="s">
        <v>1765</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1780</v>
      </c>
      <c r="C33" s="12" t="s">
        <v>1766</v>
      </c>
      <c r="D33" s="13" t="s">
        <v>1766</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1767</v>
      </c>
      <c r="C34" s="12" t="s">
        <v>1768</v>
      </c>
      <c r="D34" s="12" t="s">
        <v>1769</v>
      </c>
      <c r="E34" s="11">
        <v>1</v>
      </c>
      <c r="F34" s="11">
        <v>1</v>
      </c>
      <c r="G34" s="11" t="s">
        <v>1468</v>
      </c>
      <c r="H34" s="12" t="s">
        <v>1770</v>
      </c>
      <c r="I34" s="12" t="b">
        <v>1</v>
      </c>
      <c r="J34" s="12" t="b">
        <v>1</v>
      </c>
      <c r="K34" t="s">
        <v>1767</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2233</v>
      </c>
      <c r="C35" s="11" t="s">
        <v>2237</v>
      </c>
      <c r="D35" s="12" t="s">
        <v>2237</v>
      </c>
      <c r="E35" s="11">
        <v>1</v>
      </c>
      <c r="F35" s="11">
        <v>1</v>
      </c>
      <c r="G35" s="99" t="s">
        <v>1</v>
      </c>
      <c r="H35" s="6"/>
      <c r="I35" s="12" t="b">
        <v>0</v>
      </c>
      <c r="J35" s="12" t="b">
        <v>1</v>
      </c>
      <c r="K35" t="s">
        <v>2233</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2243</v>
      </c>
      <c r="C36" s="11" t="s">
        <v>2237</v>
      </c>
      <c r="D36" s="12" t="s">
        <v>2238</v>
      </c>
      <c r="E36" s="11">
        <v>0</v>
      </c>
      <c r="F36" s="11">
        <v>1</v>
      </c>
      <c r="G36" s="99" t="s">
        <v>43</v>
      </c>
      <c r="H36" s="11"/>
      <c r="I36" s="12" t="b">
        <v>0</v>
      </c>
      <c r="J36" s="12" t="b">
        <v>1</v>
      </c>
      <c r="K36" t="s">
        <v>2234</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2244</v>
      </c>
      <c r="C37" s="11" t="s">
        <v>2237</v>
      </c>
      <c r="D37" s="12" t="s">
        <v>2239</v>
      </c>
      <c r="E37" s="11">
        <v>0</v>
      </c>
      <c r="F37" s="11">
        <v>1</v>
      </c>
      <c r="G37" s="99" t="s">
        <v>43</v>
      </c>
      <c r="H37" s="11"/>
      <c r="I37" s="12" t="b">
        <v>0</v>
      </c>
      <c r="J37" s="12" t="b">
        <v>1</v>
      </c>
      <c r="K37" t="s">
        <v>2235</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2236</v>
      </c>
      <c r="C38" s="11" t="s">
        <v>2240</v>
      </c>
      <c r="D38" s="12" t="s">
        <v>2241</v>
      </c>
      <c r="E38" s="11">
        <v>0</v>
      </c>
      <c r="F38" s="11">
        <v>1</v>
      </c>
      <c r="G38" s="11" t="s">
        <v>1468</v>
      </c>
      <c r="H38" s="12" t="s">
        <v>2242</v>
      </c>
      <c r="I38" s="12" t="b">
        <v>0</v>
      </c>
      <c r="J38" s="12" t="b">
        <v>1</v>
      </c>
      <c r="K38" t="s">
        <v>2236</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1788</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1803</v>
      </c>
      <c r="D3" s="47" t="s">
        <v>1473</v>
      </c>
      <c r="E3" s="71" t="str">
        <f>$C$1&amp;B14</f>
        <v>http://hl7.eu/fhir/ig/idea4rc/StructureDefinition/RadiotherapyI4rc</v>
      </c>
    </row>
    <row r="4" spans="1:19" x14ac:dyDescent="0.75">
      <c r="B4" s="47" t="s">
        <v>16</v>
      </c>
      <c r="C4" s="28" t="s">
        <v>1803</v>
      </c>
      <c r="D4" s="47" t="s">
        <v>1474</v>
      </c>
      <c r="E4" s="145" t="s">
        <v>1826</v>
      </c>
      <c r="F4" s="146"/>
      <c r="G4" s="146"/>
    </row>
    <row r="5" spans="1:19" x14ac:dyDescent="0.75">
      <c r="B5" s="47" t="s">
        <v>10</v>
      </c>
      <c r="C5" s="7" t="s">
        <v>1804</v>
      </c>
      <c r="D5" s="47"/>
      <c r="E5" s="7"/>
    </row>
    <row r="6" spans="1:19" x14ac:dyDescent="0.75">
      <c r="B6" s="47" t="s">
        <v>18</v>
      </c>
      <c r="C6" s="41"/>
      <c r="D6" s="47" t="s">
        <v>1475</v>
      </c>
      <c r="E6" s="145" t="str">
        <f>E3</f>
        <v>http://hl7.eu/fhir/ig/idea4rc/StructureDefinition/RadiotherapyI4rc</v>
      </c>
      <c r="F6" s="146"/>
      <c r="G6" s="146"/>
    </row>
    <row r="7" spans="1:19" x14ac:dyDescent="0.75">
      <c r="B7" s="47" t="s">
        <v>15</v>
      </c>
      <c r="C7" s="72"/>
      <c r="D7" s="47" t="s">
        <v>1476</v>
      </c>
      <c r="E7" s="145" t="str">
        <f>E4</f>
        <v>http://hl7.eu/fhir/ig/idea4rc/StructureDefinition/Procedure-radiotheraphy-eu-i4rc</v>
      </c>
      <c r="F7" s="146"/>
      <c r="G7" s="146"/>
    </row>
    <row r="8" spans="1:19" ht="15.5" thickBot="1" x14ac:dyDescent="0.9">
      <c r="B8" s="47" t="s">
        <v>1477</v>
      </c>
      <c r="C8" s="7" t="s">
        <v>1804</v>
      </c>
      <c r="D8" s="47"/>
      <c r="E8" s="7"/>
      <c r="I8" s="12"/>
      <c r="J8" s="12"/>
      <c r="K8" s="12"/>
      <c r="L8" s="12"/>
      <c r="M8" s="11"/>
      <c r="P8" s="34" t="s">
        <v>1328</v>
      </c>
      <c r="Q8" s="34">
        <v>6</v>
      </c>
    </row>
    <row r="9" spans="1:19" ht="30.25" thickBot="1" x14ac:dyDescent="0.9">
      <c r="B9" s="47" t="s">
        <v>1478</v>
      </c>
      <c r="C9" s="12" t="s">
        <v>1805</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1793</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1794</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2384</v>
      </c>
      <c r="E16" s="12"/>
      <c r="F16" s="49" t="s">
        <v>1294</v>
      </c>
      <c r="G16" s="76" t="s">
        <v>2381</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2346</v>
      </c>
      <c r="E17" s="12"/>
      <c r="F17" s="49" t="s">
        <v>1294</v>
      </c>
      <c r="G17" s="76" t="s">
        <v>2347</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1816</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1812</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1813</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1808</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1809</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2348</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1810</v>
      </c>
      <c r="E24" s="11"/>
      <c r="F24" s="49" t="s">
        <v>1294</v>
      </c>
      <c r="G24" s="76" t="s">
        <v>1811</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1808</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1814</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1815</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1615</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1615</v>
      </c>
      <c r="E29" s="12"/>
      <c r="F29" s="49" t="s">
        <v>1294</v>
      </c>
      <c r="G29" s="76" t="s">
        <v>2349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1615</v>
      </c>
      <c r="E30" s="12"/>
      <c r="F30" s="49" t="s">
        <v>1294</v>
      </c>
      <c r="G30" s="76" t="s">
        <v>2349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1615</v>
      </c>
      <c r="E31" s="12"/>
      <c r="F31" s="49" t="s">
        <v>1294</v>
      </c>
      <c r="G31" s="76" t="s">
        <v>2349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1615</v>
      </c>
      <c r="E32" s="12"/>
      <c r="F32" s="49" t="s">
        <v>1294</v>
      </c>
      <c r="G32" s="76" t="s">
        <v>2349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1615</v>
      </c>
      <c r="E33" s="12"/>
      <c r="F33" s="49" t="s">
        <v>1294</v>
      </c>
      <c r="G33" s="76" t="s">
        <v>2349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1615</v>
      </c>
      <c r="E34" s="12"/>
      <c r="F34" s="49" t="s">
        <v>1294</v>
      </c>
      <c r="G34" s="76" t="s">
        <v>2351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1615</v>
      </c>
      <c r="E35" s="12"/>
      <c r="F35" s="49" t="s">
        <v>1294</v>
      </c>
      <c r="G35" s="76" t="s">
        <v>2349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1615</v>
      </c>
      <c r="E36" s="12"/>
      <c r="F36" s="49" t="s">
        <v>1294</v>
      </c>
      <c r="G36" s="76" t="s">
        <v>2349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1615</v>
      </c>
      <c r="E37" s="12"/>
      <c r="F37" s="49" t="s">
        <v>1294</v>
      </c>
      <c r="G37" s="76" t="s">
        <v>2349</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1615</v>
      </c>
      <c r="E38" s="12"/>
      <c r="F38" s="49" t="s">
        <v>1294</v>
      </c>
      <c r="G38" s="76" t="s">
        <v>2349</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1615</v>
      </c>
      <c r="E39" s="12"/>
      <c r="F39" s="49" t="s">
        <v>1294</v>
      </c>
      <c r="G39" s="76" t="s">
        <v>2349</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1810</v>
      </c>
      <c r="E40" s="11"/>
      <c r="F40" s="49" t="s">
        <v>1294</v>
      </c>
      <c r="G40" s="76" t="s">
        <v>2350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1817</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5.5" thickBot="1" x14ac:dyDescent="0.9">
      <c r="L3" s="24" t="str">
        <f>L1</f>
        <v>//===================================================</v>
      </c>
      <c r="N3" s="24" t="str">
        <f>N1</f>
        <v>// -------------------------------------------------------------------------------</v>
      </c>
      <c r="P3" s="24" t="str">
        <f>P1</f>
        <v>// -------------------------------------------------------------------------------</v>
      </c>
      <c r="R3" s="24" t="str">
        <f>R1</f>
        <v>// -------------------------------------------------------------------------------</v>
      </c>
    </row>
    <row r="4" spans="1:18" ht="15.5" thickBot="1" x14ac:dyDescent="0.9">
      <c r="A4" s="5" t="s">
        <v>11</v>
      </c>
      <c r="B4" s="30" t="s">
        <v>2279</v>
      </c>
      <c r="L4" s="16" t="str">
        <f>CONCATENATE("Logical: ",B4)</f>
        <v>Logical: OtherTreatmentI4rc</v>
      </c>
    </row>
    <row r="5" spans="1:18" ht="15.5" thickBot="1" x14ac:dyDescent="0.9">
      <c r="A5" s="14" t="s">
        <v>16</v>
      </c>
      <c r="B5" s="30" t="s">
        <v>2280</v>
      </c>
      <c r="L5" s="16" t="str">
        <f>CONCATENATE("Id: ",B5)</f>
        <v>Id: OtherTreatment</v>
      </c>
    </row>
    <row r="6" spans="1:18" ht="15.5" thickBot="1" x14ac:dyDescent="0.9">
      <c r="A6" s="14" t="s">
        <v>10</v>
      </c>
      <c r="B6" s="30" t="s">
        <v>2281</v>
      </c>
      <c r="L6" s="17" t="str">
        <f>CONCATENATE("Title: ##34#",B6,"##34#")</f>
        <v>Title: ##34#Other Local Treatment##34#</v>
      </c>
    </row>
    <row r="7" spans="1:18" x14ac:dyDescent="0.75">
      <c r="A7" s="26" t="s">
        <v>2</v>
      </c>
      <c r="B7" s="30" t="s">
        <v>2281</v>
      </c>
      <c r="C7" s="9" t="s">
        <v>3</v>
      </c>
      <c r="D7" s="1" t="s">
        <v>4</v>
      </c>
      <c r="E7" s="3" t="s">
        <v>5</v>
      </c>
      <c r="F7" s="3" t="s">
        <v>6</v>
      </c>
      <c r="G7" s="3" t="s">
        <v>7</v>
      </c>
      <c r="H7" s="64" t="s">
        <v>1384</v>
      </c>
      <c r="I7" s="120" t="s">
        <v>2084</v>
      </c>
      <c r="J7" s="120" t="s">
        <v>2085</v>
      </c>
      <c r="L7" s="17" t="str">
        <f>CONCATENATE("Description: "," ##334#",B7,"##334#",)</f>
        <v>Description:  ##334#Other Local Treatment##334#</v>
      </c>
    </row>
    <row r="8" spans="1:18" ht="59" x14ac:dyDescent="0.75">
      <c r="A8" s="59">
        <v>0</v>
      </c>
      <c r="B8" s="12" t="s">
        <v>1564</v>
      </c>
      <c r="C8" s="12" t="s">
        <v>1646</v>
      </c>
      <c r="D8" s="12" t="s">
        <v>1559</v>
      </c>
      <c r="E8" s="12">
        <v>1</v>
      </c>
      <c r="F8" s="12">
        <v>1</v>
      </c>
      <c r="G8" s="134" t="s">
        <v>1611</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1881</v>
      </c>
      <c r="C9" s="12" t="s">
        <v>2271</v>
      </c>
      <c r="D9" s="12" t="s">
        <v>2272</v>
      </c>
      <c r="E9" s="12">
        <v>1</v>
      </c>
      <c r="F9" s="12">
        <v>1</v>
      </c>
      <c r="G9" s="12" t="s">
        <v>1468</v>
      </c>
      <c r="H9" s="12" t="s">
        <v>2273</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1744</v>
      </c>
      <c r="C10" s="12" t="s">
        <v>1745</v>
      </c>
      <c r="D10" s="12" t="s">
        <v>2274</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1747</v>
      </c>
      <c r="C11" s="12" t="s">
        <v>1748</v>
      </c>
      <c r="D11" s="12" t="s">
        <v>2275</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1864</v>
      </c>
      <c r="C12" s="12" t="s">
        <v>2276</v>
      </c>
      <c r="D12" s="12" t="s">
        <v>1656</v>
      </c>
      <c r="E12" s="12">
        <v>0</v>
      </c>
      <c r="F12" s="12">
        <v>1</v>
      </c>
      <c r="G12" s="12" t="s">
        <v>1468</v>
      </c>
      <c r="H12" s="12" t="s">
        <v>2277</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5"/>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2361</v>
      </c>
      <c r="D3" s="47" t="s">
        <v>1473</v>
      </c>
      <c r="E3" s="71" t="str">
        <f>$C$1&amp;B14</f>
        <v>http://hl7.eu/fhir/ig/idea4rc/StructureDefinition/OtherTreatment</v>
      </c>
    </row>
    <row r="4" spans="1:19" x14ac:dyDescent="0.75">
      <c r="B4" s="47" t="s">
        <v>16</v>
      </c>
      <c r="C4" s="28" t="s">
        <v>2361</v>
      </c>
      <c r="D4" s="47" t="s">
        <v>1474</v>
      </c>
      <c r="E4" s="154" t="s">
        <v>2359</v>
      </c>
      <c r="F4" s="146"/>
      <c r="G4" s="146"/>
    </row>
    <row r="5" spans="1:19" x14ac:dyDescent="0.75">
      <c r="B5" s="47" t="s">
        <v>10</v>
      </c>
      <c r="C5" s="7" t="s">
        <v>2378</v>
      </c>
      <c r="D5" s="47"/>
      <c r="E5" s="7"/>
    </row>
    <row r="6" spans="1:19" x14ac:dyDescent="0.75">
      <c r="B6" s="47" t="s">
        <v>18</v>
      </c>
      <c r="C6" s="41"/>
      <c r="D6" s="47" t="s">
        <v>1475</v>
      </c>
      <c r="E6" s="145" t="str">
        <f>E3</f>
        <v>http://hl7.eu/fhir/ig/idea4rc/StructureDefinition/OtherTreatment</v>
      </c>
      <c r="F6" s="146"/>
      <c r="G6" s="146"/>
    </row>
    <row r="7" spans="1:19" x14ac:dyDescent="0.75">
      <c r="B7" s="47" t="s">
        <v>15</v>
      </c>
      <c r="C7" s="72"/>
      <c r="D7" s="47" t="s">
        <v>1476</v>
      </c>
      <c r="E7" s="145" t="str">
        <f>E4</f>
        <v>http://hl7.eu/fhir/ig/idea4rc/StructureDefinition/Procedure-otherTreatment-eu-i4rc</v>
      </c>
      <c r="F7" s="146"/>
      <c r="G7" s="146"/>
    </row>
    <row r="8" spans="1:19" ht="45" thickBot="1" x14ac:dyDescent="0.9">
      <c r="B8" s="47" t="s">
        <v>1477</v>
      </c>
      <c r="C8" s="7" t="s">
        <v>2378</v>
      </c>
      <c r="D8" s="47"/>
      <c r="E8" s="7"/>
      <c r="I8" s="12" t="s">
        <v>1289</v>
      </c>
      <c r="J8" s="12" t="s">
        <v>1290</v>
      </c>
      <c r="K8" s="12" t="s">
        <v>1291</v>
      </c>
      <c r="L8" s="12" t="s">
        <v>1292</v>
      </c>
      <c r="M8" s="11" t="s">
        <v>1293</v>
      </c>
      <c r="P8" s="34" t="s">
        <v>1328</v>
      </c>
      <c r="Q8" s="34">
        <v>6</v>
      </c>
    </row>
    <row r="9" spans="1:19" ht="30.25" thickBot="1" x14ac:dyDescent="0.9">
      <c r="B9" s="47" t="s">
        <v>1478</v>
      </c>
      <c r="C9" s="12" t="s">
        <v>2379</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1793</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1794</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2352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1814</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1815</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1798</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2360</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143" t="s">
        <v>1917</v>
      </c>
      <c r="L4" s="16" t="str">
        <f>CONCATENATE("Logical: ",B4)</f>
        <v>Logical: TreatmentResponseI4rc</v>
      </c>
    </row>
    <row r="5" spans="1:18" ht="15.5" thickBot="1" x14ac:dyDescent="0.9">
      <c r="A5" s="14" t="s">
        <v>16</v>
      </c>
      <c r="B5" s="30" t="s">
        <v>1863</v>
      </c>
      <c r="L5" s="16" t="str">
        <f>CONCATENATE("Id: ",B5)</f>
        <v>Id: TreatmentResponse</v>
      </c>
    </row>
    <row r="6" spans="1:18" ht="15.5" thickBot="1" x14ac:dyDescent="0.9">
      <c r="A6" s="14" t="s">
        <v>10</v>
      </c>
      <c r="B6" s="30" t="s">
        <v>1865</v>
      </c>
      <c r="L6" s="17" t="str">
        <f>CONCATENATE("Title: ##34#",B6,"##34#")</f>
        <v>Title: ##34#Treatment Response##34#</v>
      </c>
    </row>
    <row r="7" spans="1:18" x14ac:dyDescent="0.75">
      <c r="A7" s="26" t="s">
        <v>2</v>
      </c>
      <c r="B7" s="30" t="s">
        <v>1865</v>
      </c>
      <c r="C7" s="9" t="s">
        <v>3</v>
      </c>
      <c r="D7" s="1" t="s">
        <v>4</v>
      </c>
      <c r="E7" s="3" t="s">
        <v>5</v>
      </c>
      <c r="F7" s="3" t="s">
        <v>6</v>
      </c>
      <c r="G7" s="3" t="s">
        <v>7</v>
      </c>
      <c r="H7" s="64" t="s">
        <v>1384</v>
      </c>
      <c r="I7" s="120" t="s">
        <v>2084</v>
      </c>
      <c r="J7" s="120" t="s">
        <v>2085</v>
      </c>
      <c r="L7" s="17" t="str">
        <f>CONCATENATE("Description: "," ##334#",B7,"##334#",)</f>
        <v>Description:  ##334#Treatment Response##334#</v>
      </c>
    </row>
    <row r="8" spans="1:18" ht="59" x14ac:dyDescent="0.75">
      <c r="A8" s="59">
        <v>0</v>
      </c>
      <c r="B8" s="11" t="s">
        <v>1564</v>
      </c>
      <c r="C8" s="11" t="s">
        <v>1558</v>
      </c>
      <c r="D8" s="11" t="s">
        <v>1559</v>
      </c>
      <c r="E8" s="11">
        <v>1</v>
      </c>
      <c r="F8" s="11">
        <v>1</v>
      </c>
      <c r="G8" s="72" t="s">
        <v>1611</v>
      </c>
      <c r="H8" s="11"/>
      <c r="I8" s="12" t="b">
        <v>1</v>
      </c>
      <c r="J8" s="12" t="b">
        <v>1</v>
      </c>
      <c r="K8" s="25" t="s">
        <v>1564</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1864</v>
      </c>
      <c r="C9" s="11" t="s">
        <v>1655</v>
      </c>
      <c r="D9" s="11" t="s">
        <v>1866</v>
      </c>
      <c r="E9" s="11">
        <v>1</v>
      </c>
      <c r="F9" s="11">
        <v>1</v>
      </c>
      <c r="G9" s="11" t="s">
        <v>1468</v>
      </c>
      <c r="H9" s="12" t="s">
        <v>2246</v>
      </c>
      <c r="I9" s="12" t="b">
        <v>1</v>
      </c>
      <c r="J9" s="12" t="b">
        <v>1</v>
      </c>
      <c r="K9" s="25" t="s">
        <v>1864</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2245</v>
      </c>
      <c r="C10" s="11" t="s">
        <v>1867</v>
      </c>
      <c r="D10" s="11" t="s">
        <v>1868</v>
      </c>
      <c r="E10" s="11">
        <v>1</v>
      </c>
      <c r="F10" s="11">
        <v>1</v>
      </c>
      <c r="G10" s="11" t="s">
        <v>1468</v>
      </c>
      <c r="H10" s="11" t="s">
        <v>1869</v>
      </c>
      <c r="I10" s="12" t="b">
        <v>1</v>
      </c>
      <c r="J10" s="12" t="b">
        <v>1</v>
      </c>
      <c r="K10" s="25" t="s">
        <v>2245</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1870</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1871</v>
      </c>
      <c r="D3" s="47" t="s">
        <v>1473</v>
      </c>
      <c r="E3" s="71" t="str">
        <f>$C$1&amp;B14</f>
        <v>http://hl7.eu/fhir/ig/idea4rc/StructureDefinition/TreatmentResponseI4rc</v>
      </c>
    </row>
    <row r="4" spans="1:19" x14ac:dyDescent="0.75">
      <c r="B4" s="47" t="s">
        <v>16</v>
      </c>
      <c r="C4" s="28" t="s">
        <v>1871</v>
      </c>
      <c r="D4" s="47" t="s">
        <v>1474</v>
      </c>
      <c r="E4" s="145" t="s">
        <v>1826</v>
      </c>
      <c r="F4" s="146"/>
      <c r="G4" s="146"/>
    </row>
    <row r="5" spans="1:19" x14ac:dyDescent="0.75">
      <c r="B5" s="47" t="s">
        <v>10</v>
      </c>
      <c r="C5" s="7" t="s">
        <v>1804</v>
      </c>
      <c r="D5" s="47"/>
      <c r="E5" s="7"/>
    </row>
    <row r="6" spans="1:19" x14ac:dyDescent="0.75">
      <c r="B6" s="47" t="s">
        <v>18</v>
      </c>
      <c r="C6" s="41"/>
      <c r="D6" s="47" t="s">
        <v>1475</v>
      </c>
      <c r="E6" s="145" t="str">
        <f>E3</f>
        <v>http://hl7.eu/fhir/ig/idea4rc/StructureDefinition/TreatmentResponseI4rc</v>
      </c>
      <c r="F6" s="146"/>
      <c r="G6" s="146"/>
    </row>
    <row r="7" spans="1:19" x14ac:dyDescent="0.75">
      <c r="B7" s="47" t="s">
        <v>15</v>
      </c>
      <c r="C7" s="72"/>
      <c r="D7" s="47" t="s">
        <v>1476</v>
      </c>
      <c r="E7" s="145" t="str">
        <f>E4</f>
        <v>http://hl7.eu/fhir/ig/idea4rc/StructureDefinition/Procedure-radiotheraphy-eu-i4rc</v>
      </c>
      <c r="F7" s="146"/>
      <c r="G7" s="146"/>
    </row>
    <row r="8" spans="1:19" ht="45" thickBot="1" x14ac:dyDescent="0.9">
      <c r="B8" s="47" t="s">
        <v>1477</v>
      </c>
      <c r="C8" s="7" t="s">
        <v>1804</v>
      </c>
      <c r="D8" s="47"/>
      <c r="E8" s="7"/>
      <c r="I8" s="12" t="s">
        <v>1289</v>
      </c>
      <c r="J8" s="12" t="s">
        <v>1290</v>
      </c>
      <c r="K8" s="12" t="s">
        <v>1291</v>
      </c>
      <c r="L8" s="12" t="s">
        <v>1292</v>
      </c>
      <c r="M8" s="11" t="s">
        <v>1293</v>
      </c>
      <c r="P8" s="34" t="s">
        <v>1328</v>
      </c>
      <c r="Q8" s="34">
        <v>6</v>
      </c>
    </row>
    <row r="9" spans="1:19" ht="30.25" thickBot="1" x14ac:dyDescent="0.9">
      <c r="B9" s="47" t="s">
        <v>1478</v>
      </c>
      <c r="C9" s="12" t="s">
        <v>1805</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1793</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1872</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2086</v>
      </c>
      <c r="R2" s="24" t="s">
        <v>2087</v>
      </c>
    </row>
    <row r="3" spans="1:18" ht="17.75" customHeight="1" thickBot="1" x14ac:dyDescent="0.9">
      <c r="L3" s="24" t="str">
        <f>L1</f>
        <v>//===================================================</v>
      </c>
      <c r="N3" s="24" t="str">
        <f>N1</f>
        <v>// -------------------------------------------------------------------------------</v>
      </c>
      <c r="P3" s="24" t="str">
        <f>P1</f>
        <v>// -------------------------------------------------------------------------------</v>
      </c>
      <c r="R3" s="24" t="str">
        <f>R1</f>
        <v>// -------------------------------------------------------------------------------</v>
      </c>
    </row>
    <row r="4" spans="1:18" ht="15.5" thickBot="1" x14ac:dyDescent="0.9">
      <c r="A4" s="5" t="s">
        <v>11</v>
      </c>
      <c r="B4" s="30" t="s">
        <v>1915</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1880</v>
      </c>
      <c r="L6" s="17" t="str">
        <f>CONCATENATE("Title: ##34#",B6,"##34#")</f>
        <v>Title: ##34#Adverse Event##34#</v>
      </c>
    </row>
    <row r="7" spans="1:18" x14ac:dyDescent="0.75">
      <c r="A7" s="26" t="s">
        <v>2</v>
      </c>
      <c r="B7" s="30" t="s">
        <v>1880</v>
      </c>
      <c r="C7" s="9" t="s">
        <v>3</v>
      </c>
      <c r="D7" s="1" t="s">
        <v>4</v>
      </c>
      <c r="E7" s="3" t="s">
        <v>5</v>
      </c>
      <c r="F7" s="3" t="s">
        <v>6</v>
      </c>
      <c r="G7" s="3" t="s">
        <v>7</v>
      </c>
      <c r="H7" s="64" t="s">
        <v>1384</v>
      </c>
      <c r="I7" s="120" t="s">
        <v>2084</v>
      </c>
      <c r="J7" s="120" t="s">
        <v>2085</v>
      </c>
      <c r="L7" s="17" t="str">
        <f>CONCATENATE("Description: "," ##334#",B7,"##334#",)</f>
        <v>Description:  ##334#Adverse Event##334#</v>
      </c>
    </row>
    <row r="8" spans="1:18" ht="59" x14ac:dyDescent="0.75">
      <c r="A8" s="59">
        <v>0</v>
      </c>
      <c r="B8" s="141" t="s">
        <v>1564</v>
      </c>
      <c r="C8" s="11" t="s">
        <v>1646</v>
      </c>
      <c r="D8" s="11" t="s">
        <v>1559</v>
      </c>
      <c r="E8" s="11">
        <v>1</v>
      </c>
      <c r="F8" s="11">
        <v>1</v>
      </c>
      <c r="G8" s="11" t="s">
        <v>1611</v>
      </c>
      <c r="H8" s="11"/>
      <c r="I8" s="12" t="b">
        <v>1</v>
      </c>
      <c r="J8" s="12" t="b">
        <v>0</v>
      </c>
      <c r="K8" s="25" t="s">
        <v>1564</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1881</v>
      </c>
      <c r="C9" s="11" t="s">
        <v>1873</v>
      </c>
      <c r="D9" s="11" t="s">
        <v>1874</v>
      </c>
      <c r="E9" s="11">
        <v>1</v>
      </c>
      <c r="F9" s="11">
        <v>1</v>
      </c>
      <c r="G9" s="11" t="s">
        <v>1468</v>
      </c>
      <c r="H9" s="11"/>
      <c r="I9" s="12" t="b">
        <v>1</v>
      </c>
      <c r="J9" s="12" t="b">
        <v>0</v>
      </c>
      <c r="K9" s="25" t="s">
        <v>2247</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1882</v>
      </c>
      <c r="C10" s="11" t="s">
        <v>1875</v>
      </c>
      <c r="D10" s="11" t="s">
        <v>1876</v>
      </c>
      <c r="E10" s="11">
        <v>1</v>
      </c>
      <c r="F10" s="11">
        <v>1</v>
      </c>
      <c r="G10" s="11" t="s">
        <v>43</v>
      </c>
      <c r="H10" s="11"/>
      <c r="I10" s="12" t="b">
        <v>1</v>
      </c>
      <c r="J10" s="12" t="b">
        <v>0</v>
      </c>
      <c r="K10" s="25" t="s">
        <v>2248</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1883</v>
      </c>
      <c r="C11" s="11" t="s">
        <v>1877</v>
      </c>
      <c r="D11" s="11" t="s">
        <v>1878</v>
      </c>
      <c r="E11" s="11">
        <v>1</v>
      </c>
      <c r="F11" s="11">
        <v>1</v>
      </c>
      <c r="G11" s="11" t="s">
        <v>1468</v>
      </c>
      <c r="H11" s="62" t="s">
        <v>1879</v>
      </c>
      <c r="I11" s="12" t="b">
        <v>1</v>
      </c>
      <c r="J11" s="12" t="b">
        <v>0</v>
      </c>
      <c r="K11" s="25" t="s">
        <v>2249</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2" customWidth="1"/>
    <col min="7" max="7" width="29.54296875" customWidth="1"/>
    <col min="8" max="8" width="54.90625" customWidth="1"/>
  </cols>
  <sheetData>
    <row r="1" spans="3:7" ht="15.5" thickBot="1" x14ac:dyDescent="0.9">
      <c r="C1" s="100" t="str">
        <f>AdverseEvent!L1</f>
        <v>//===================================================</v>
      </c>
    </row>
    <row r="2" spans="3:7" ht="16.75" thickBot="1" x14ac:dyDescent="0.9">
      <c r="C2" s="24" t="str">
        <f>AdverseEvent!L2</f>
        <v>//  Logical Model</v>
      </c>
      <c r="G2" s="29" t="s">
        <v>1884</v>
      </c>
    </row>
    <row r="3" spans="3:7" x14ac:dyDescent="0.75">
      <c r="C3" s="24" t="str">
        <f>AdverseEvent!L3</f>
        <v>//===================================================</v>
      </c>
    </row>
    <row r="4" spans="3:7" x14ac:dyDescent="0.75">
      <c r="C4" s="101" t="str">
        <f>AdverseEvent!L4</f>
        <v>Logical: AdverseEventI4rc</v>
      </c>
    </row>
    <row r="5" spans="3:7" x14ac:dyDescent="0.75">
      <c r="C5" s="101" t="str">
        <f>AdverseEvent!L5</f>
        <v>Id: AdverseEvent</v>
      </c>
    </row>
    <row r="6" spans="3:7" x14ac:dyDescent="0.75">
      <c r="C6" s="101" t="str">
        <f>AdverseEvent!L6</f>
        <v>Title: ##34#Adverse Event##34#</v>
      </c>
    </row>
    <row r="7" spans="3:7" x14ac:dyDescent="0.75">
      <c r="C7" s="101" t="str">
        <f>AdverseEvent!L7</f>
        <v>Description:  ##334#Adverse Event##334#</v>
      </c>
    </row>
    <row r="8" spans="3:7" ht="29.5" x14ac:dyDescent="0.75">
      <c r="C8" s="102"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2"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2" t="str">
        <f>IF(AdverseEvent!L10="*  ..  ##34###34# ##334###334#","//--- END",AdverseEvent!L10)</f>
        <v>* eventStartingDate 1..1 date ##34#Adverse event starting date  ##34# ##334#specifies when adverse events begins##334#</v>
      </c>
    </row>
    <row r="11" spans="3:7" ht="29.5" x14ac:dyDescent="0.75">
      <c r="C11" s="102" t="str">
        <f>IF(AdverseEvent!L11="*  ..  ##34###34# ##334###334#","//--- END",AdverseEvent!L11)</f>
        <v>* eventDuration 1..1 CodeableConcept ##34#Adverse event duration##34# ##334#specifies the duration of the adverse event##334#</v>
      </c>
    </row>
    <row r="12" spans="3:7" x14ac:dyDescent="0.75">
      <c r="C12" s="102" t="str">
        <f>IF(AdverseEvent!L12="*  ..  ##34###34# ##334###334#","//--- END",AdverseEvent!L12)</f>
        <v>//--- END</v>
      </c>
    </row>
    <row r="13" spans="3:7" x14ac:dyDescent="0.75">
      <c r="C13" s="102" t="str">
        <f>IF(AdverseEvent!L13="*  ..  ##34###34# ##334###334#","//--- END",AdverseEvent!L13)</f>
        <v>//--- END</v>
      </c>
    </row>
    <row r="14" spans="3:7" x14ac:dyDescent="0.75">
      <c r="C14" s="102" t="str">
        <f>IF(AdverseEvent!L14="*  ..  ##34###34# ##334###334#","//--- END",AdverseEvent!L14)</f>
        <v>//--- END</v>
      </c>
    </row>
    <row r="16" spans="3:7" x14ac:dyDescent="0.75">
      <c r="C16" s="100" t="s">
        <v>1387</v>
      </c>
    </row>
    <row r="17" spans="3:3" x14ac:dyDescent="0.75">
      <c r="C17" s="24" t="s">
        <v>1421</v>
      </c>
    </row>
    <row r="18" spans="3:3" x14ac:dyDescent="0.75">
      <c r="C18" s="24" t="s">
        <v>1387</v>
      </c>
    </row>
    <row r="19" spans="3:3" x14ac:dyDescent="0.75">
      <c r="C19" s="102" t="str">
        <f>IF(AdverseEvent!N8="*  ..  ##34###34# ##334###334#","//--- END",AdverseEvent!N8)</f>
        <v/>
      </c>
    </row>
    <row r="20" spans="3:3" x14ac:dyDescent="0.75">
      <c r="C20" s="102" t="str">
        <f>IF(AdverseEvent!N9="*  ..  ##34###34# ##334###334#","//--- END",AdverseEvent!N9)</f>
        <v/>
      </c>
    </row>
    <row r="21" spans="3:3" x14ac:dyDescent="0.75">
      <c r="C21" s="102" t="str">
        <f>IF(AdverseEvent!N10="*  ..  ##34###34# ##334###334#","//--- END",AdverseEvent!N10)</f>
        <v/>
      </c>
    </row>
    <row r="22" spans="3:3" ht="44.25" x14ac:dyDescent="0.75">
      <c r="C22" s="102" t="str">
        <f>IF(AdverseEvent!N11="*  ..  ##34###34# ##334###334#","//--- END",AdverseEvent!N11)</f>
        <v>* eventDuration ^comment = ##334#Less than one week; More than one week but  less than a month; More than a month but less than 3 months; More than 3 months; Unknown.
Custom##334#</v>
      </c>
    </row>
    <row r="23" spans="3:3" x14ac:dyDescent="0.75">
      <c r="C23" s="102" t="str">
        <f>IF(AdverseEvent!N12="*  ..  ##34###34# ##334###334#","//--- END",AdverseEvent!N12)</f>
        <v>//--- END</v>
      </c>
    </row>
    <row r="24" spans="3:3" x14ac:dyDescent="0.75">
      <c r="C24" s="102" t="str">
        <f>IF(AdverseEvent!N13="*  ..  ##34###34# ##334###334#","//--- END",AdverseEvent!N13)</f>
        <v>//--- END</v>
      </c>
    </row>
    <row r="25" spans="3:3" x14ac:dyDescent="0.75">
      <c r="C25" s="102"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1871</v>
      </c>
      <c r="D3" s="47" t="s">
        <v>1473</v>
      </c>
      <c r="E3" s="71" t="str">
        <f>$C$1&amp;B14</f>
        <v>http://hl7.eu/fhir/ig/idea4rc/StructureDefinition/AdverseEventI4rc</v>
      </c>
    </row>
    <row r="4" spans="1:19" x14ac:dyDescent="0.75">
      <c r="B4" s="47" t="s">
        <v>16</v>
      </c>
      <c r="C4" s="28" t="s">
        <v>1871</v>
      </c>
      <c r="D4" s="47" t="s">
        <v>1474</v>
      </c>
      <c r="E4" s="155" t="s">
        <v>2353</v>
      </c>
      <c r="F4" s="156"/>
      <c r="G4" s="156"/>
    </row>
    <row r="5" spans="1:19" x14ac:dyDescent="0.75">
      <c r="B5" s="47" t="s">
        <v>10</v>
      </c>
      <c r="C5" s="7" t="s">
        <v>1804</v>
      </c>
      <c r="D5" s="47"/>
      <c r="E5" s="7"/>
    </row>
    <row r="6" spans="1:19" x14ac:dyDescent="0.75">
      <c r="B6" s="47" t="s">
        <v>18</v>
      </c>
      <c r="C6" s="41"/>
      <c r="D6" s="47" t="s">
        <v>1475</v>
      </c>
      <c r="E6" s="145" t="str">
        <f>E3</f>
        <v>http://hl7.eu/fhir/ig/idea4rc/StructureDefinition/AdverseEventI4rc</v>
      </c>
      <c r="F6" s="146"/>
      <c r="G6" s="146"/>
    </row>
    <row r="7" spans="1:19" x14ac:dyDescent="0.75">
      <c r="B7" s="47" t="s">
        <v>15</v>
      </c>
      <c r="C7" s="72"/>
      <c r="D7" s="47" t="s">
        <v>1476</v>
      </c>
      <c r="E7" s="145" t="str">
        <f>E4</f>
        <v>http://hl7.eu/fhir/ig/idea4rc/StructureDefinition/AdverseEvent-eu-i4rc</v>
      </c>
      <c r="F7" s="146"/>
      <c r="G7" s="146"/>
    </row>
    <row r="8" spans="1:19" ht="45" thickBot="1" x14ac:dyDescent="0.9">
      <c r="B8" s="47" t="s">
        <v>1477</v>
      </c>
      <c r="C8" s="7" t="s">
        <v>1804</v>
      </c>
      <c r="D8" s="47"/>
      <c r="E8" s="7"/>
      <c r="I8" s="12" t="s">
        <v>1289</v>
      </c>
      <c r="J8" s="12" t="s">
        <v>1290</v>
      </c>
      <c r="K8" s="12" t="s">
        <v>1291</v>
      </c>
      <c r="L8" s="12" t="s">
        <v>1292</v>
      </c>
      <c r="M8" s="11" t="s">
        <v>1293</v>
      </c>
      <c r="P8" s="34" t="s">
        <v>1328</v>
      </c>
      <c r="Q8" s="34">
        <v>6</v>
      </c>
    </row>
    <row r="9" spans="1:19" ht="30.25" thickBot="1" x14ac:dyDescent="0.9">
      <c r="B9" s="47" t="s">
        <v>1478</v>
      </c>
      <c r="C9" s="12" t="s">
        <v>1805</v>
      </c>
      <c r="D9" s="93"/>
      <c r="E9" s="147"/>
      <c r="F9" s="148"/>
      <c r="G9" s="14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2354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2355</v>
      </c>
      <c r="E16" s="12"/>
      <c r="F16" s="49" t="s">
        <v>1294</v>
      </c>
      <c r="G16" s="76" t="s">
        <v>2356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2357</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2358</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1885</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1920</v>
      </c>
      <c r="J4" s="16" t="str">
        <f>CONCATENATE("Logical: ",B4)</f>
        <v>Logical: PathologicalStageI4rc</v>
      </c>
    </row>
    <row r="5" spans="1:12" ht="19.899999999999999" customHeight="1" x14ac:dyDescent="0.75">
      <c r="A5" s="14" t="s">
        <v>16</v>
      </c>
      <c r="B5" s="31" t="s">
        <v>1588</v>
      </c>
      <c r="J5" s="16" t="str">
        <f>CONCATENATE("Id: ",B5)</f>
        <v>Id: PathologicalStage</v>
      </c>
    </row>
    <row r="6" spans="1:12" ht="19.899999999999999" customHeight="1" x14ac:dyDescent="0.75">
      <c r="A6" s="14" t="s">
        <v>10</v>
      </c>
      <c r="B6" s="32" t="s">
        <v>1589</v>
      </c>
      <c r="J6" s="17" t="str">
        <f>CONCATENATE("Title: ##34#",B6,"##34#")</f>
        <v>Title: ##34#Pathological Stage##34#</v>
      </c>
    </row>
    <row r="7" spans="1:12" ht="19.899999999999999" customHeight="1" x14ac:dyDescent="0.75">
      <c r="A7" s="26" t="s">
        <v>2</v>
      </c>
      <c r="B7" s="63" t="s">
        <v>1588</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1590</v>
      </c>
      <c r="C8" s="11" t="s">
        <v>1558</v>
      </c>
      <c r="D8" s="11" t="s">
        <v>1559</v>
      </c>
      <c r="E8" s="11">
        <v>1</v>
      </c>
      <c r="F8" s="11">
        <v>1</v>
      </c>
      <c r="G8" s="42" t="s">
        <v>1611</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1566</v>
      </c>
      <c r="C9" s="11" t="s">
        <v>1566</v>
      </c>
      <c r="D9" s="11" t="s">
        <v>1567</v>
      </c>
      <c r="E9" s="11">
        <v>0</v>
      </c>
      <c r="F9" s="11">
        <v>1</v>
      </c>
      <c r="G9" s="42" t="s">
        <v>1468</v>
      </c>
      <c r="H9" s="12" t="s">
        <v>1581</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1568</v>
      </c>
      <c r="C10" s="11" t="s">
        <v>1568</v>
      </c>
      <c r="D10" s="11" t="s">
        <v>1569</v>
      </c>
      <c r="E10" s="11">
        <v>0</v>
      </c>
      <c r="F10" s="11">
        <v>1</v>
      </c>
      <c r="G10" s="42" t="s">
        <v>1468</v>
      </c>
      <c r="H10" s="12" t="s">
        <v>1582</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1570</v>
      </c>
      <c r="C11" s="11" t="s">
        <v>1570</v>
      </c>
      <c r="D11" s="11" t="s">
        <v>1571</v>
      </c>
      <c r="E11" s="11">
        <v>0</v>
      </c>
      <c r="F11" s="11">
        <v>1</v>
      </c>
      <c r="G11" s="42" t="s">
        <v>1468</v>
      </c>
      <c r="H11" s="12" t="s">
        <v>1583</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1594</v>
      </c>
      <c r="C12" s="11" t="s">
        <v>1572</v>
      </c>
      <c r="D12" s="11" t="s">
        <v>1573</v>
      </c>
      <c r="E12" s="11">
        <v>0</v>
      </c>
      <c r="F12" s="11">
        <v>1</v>
      </c>
      <c r="G12" s="42" t="s">
        <v>1468</v>
      </c>
      <c r="H12" s="12" t="s">
        <v>1584</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1591</v>
      </c>
      <c r="C13" s="11" t="s">
        <v>1574</v>
      </c>
      <c r="D13" s="12" t="s">
        <v>1575</v>
      </c>
      <c r="E13" s="11">
        <v>0</v>
      </c>
      <c r="F13" s="11">
        <v>1</v>
      </c>
      <c r="G13" s="42" t="s">
        <v>1468</v>
      </c>
      <c r="H13" s="12" t="s">
        <v>1585</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1592</v>
      </c>
      <c r="C14" s="11" t="s">
        <v>1576</v>
      </c>
      <c r="D14" s="12" t="s">
        <v>1416</v>
      </c>
      <c r="E14" s="11">
        <v>1</v>
      </c>
      <c r="F14" s="11">
        <v>1</v>
      </c>
      <c r="G14" s="42" t="s">
        <v>1468</v>
      </c>
      <c r="H14" s="12" t="s">
        <v>1586</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1577</v>
      </c>
      <c r="E15" s="11">
        <v>0</v>
      </c>
      <c r="F15" s="11">
        <v>1</v>
      </c>
      <c r="G15" s="42" t="s">
        <v>1468</v>
      </c>
      <c r="H15" s="12" t="s">
        <v>1586</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1593</v>
      </c>
      <c r="C16" s="11" t="s">
        <v>1578</v>
      </c>
      <c r="D16" s="12" t="s">
        <v>1579</v>
      </c>
      <c r="E16" s="11">
        <v>1</v>
      </c>
      <c r="F16" s="11">
        <v>1</v>
      </c>
      <c r="G16" s="42" t="s">
        <v>1468</v>
      </c>
      <c r="H16" s="12" t="s">
        <v>1587</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1562</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1580</v>
      </c>
      <c r="D18" s="11" t="s">
        <v>1395</v>
      </c>
      <c r="E18" s="11">
        <v>0</v>
      </c>
      <c r="F18" s="11">
        <v>1</v>
      </c>
      <c r="G18" s="42" t="s">
        <v>44</v>
      </c>
      <c r="H18" s="12" t="s">
        <v>1563</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1563</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1563</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1563</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1563</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1563</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1563</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1563</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1563</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1563</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1636</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1595</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1641</v>
      </c>
      <c r="D3" s="47" t="s">
        <v>1473</v>
      </c>
      <c r="E3" s="71" t="str">
        <f>$C$1&amp;Stage!B4</f>
        <v>http://hl7.eu/fhir/ig/idea4rc/StructureDefinition/StageI4rc</v>
      </c>
    </row>
    <row r="4" spans="1:19" x14ac:dyDescent="0.75">
      <c r="B4" s="47" t="s">
        <v>16</v>
      </c>
      <c r="C4" s="28" t="s">
        <v>1644</v>
      </c>
      <c r="D4" s="47" t="s">
        <v>1474</v>
      </c>
      <c r="E4" s="145" t="s">
        <v>1627</v>
      </c>
      <c r="F4" s="146"/>
      <c r="G4" s="146"/>
    </row>
    <row r="5" spans="1:19" x14ac:dyDescent="0.75">
      <c r="B5" s="47" t="s">
        <v>10</v>
      </c>
      <c r="C5" s="7" t="s">
        <v>1642</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1627</v>
      </c>
      <c r="F7" s="146"/>
      <c r="G7" s="146"/>
    </row>
    <row r="8" spans="1:19" ht="44.25" x14ac:dyDescent="0.75">
      <c r="B8" s="47" t="s">
        <v>1477</v>
      </c>
      <c r="C8" s="73" t="s">
        <v>1642</v>
      </c>
      <c r="D8" s="47"/>
      <c r="E8" s="7"/>
      <c r="I8" s="12" t="s">
        <v>1289</v>
      </c>
      <c r="J8" s="12" t="s">
        <v>1290</v>
      </c>
      <c r="K8" s="12" t="s">
        <v>1291</v>
      </c>
      <c r="L8" s="12" t="s">
        <v>1292</v>
      </c>
      <c r="M8" s="11" t="s">
        <v>1293</v>
      </c>
      <c r="P8" s="34" t="s">
        <v>1328</v>
      </c>
      <c r="Q8" s="34">
        <v>6</v>
      </c>
    </row>
    <row r="9" spans="1:19" ht="29.5" x14ac:dyDescent="0.75">
      <c r="B9" s="47" t="s">
        <v>1478</v>
      </c>
      <c r="C9" s="12" t="s">
        <v>1643</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1540</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1629</v>
      </c>
      <c r="E16" s="12"/>
      <c r="F16" s="49" t="s">
        <v>1294</v>
      </c>
      <c r="G16" s="77" t="s">
        <v>1634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1630</v>
      </c>
      <c r="E17" s="12"/>
      <c r="F17" s="95" t="s">
        <v>1294</v>
      </c>
      <c r="G17" s="77" t="s">
        <v>1634</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1631</v>
      </c>
      <c r="E18" s="12"/>
      <c r="F18" s="49" t="s">
        <v>1317</v>
      </c>
      <c r="G18" s="77" t="s">
        <v>1634</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1806</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1806</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1806</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1806</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1632</v>
      </c>
      <c r="E23" s="12"/>
      <c r="F23" s="49" t="s">
        <v>1294</v>
      </c>
      <c r="G23" s="77" t="s">
        <v>1634</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1633</v>
      </c>
      <c r="E24" s="12"/>
      <c r="F24" s="49" t="s">
        <v>1294</v>
      </c>
      <c r="G24" s="77" t="s">
        <v>1635</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1637</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1637</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1637</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1637</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1637</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1637</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1637</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1637</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1637</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1637</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1641</v>
      </c>
      <c r="D3" s="47" t="s">
        <v>1473</v>
      </c>
      <c r="E3" s="71" t="str">
        <f>$C$1&amp;Stage!B4</f>
        <v>http://hl7.eu/fhir/ig/idea4rc/StructureDefinition/StageI4rc</v>
      </c>
    </row>
    <row r="4" spans="1:19" x14ac:dyDescent="0.75">
      <c r="B4" s="47" t="s">
        <v>16</v>
      </c>
      <c r="C4" s="28" t="s">
        <v>1641</v>
      </c>
      <c r="D4" s="47" t="s">
        <v>1474</v>
      </c>
      <c r="E4" s="145" t="s">
        <v>1638</v>
      </c>
      <c r="F4" s="146"/>
      <c r="G4" s="146"/>
    </row>
    <row r="5" spans="1:19" x14ac:dyDescent="0.75">
      <c r="B5" s="47" t="s">
        <v>10</v>
      </c>
      <c r="C5" s="7" t="s">
        <v>1623</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1638</v>
      </c>
      <c r="F7" s="146"/>
      <c r="G7" s="146"/>
    </row>
    <row r="8" spans="1:19" ht="44.25" x14ac:dyDescent="0.75">
      <c r="B8" s="47" t="s">
        <v>1477</v>
      </c>
      <c r="C8" s="73" t="s">
        <v>1623</v>
      </c>
      <c r="D8" s="47"/>
      <c r="E8" s="7"/>
      <c r="I8" s="12" t="s">
        <v>1289</v>
      </c>
      <c r="J8" s="12" t="s">
        <v>1290</v>
      </c>
      <c r="K8" s="12" t="s">
        <v>1291</v>
      </c>
      <c r="L8" s="12" t="s">
        <v>1292</v>
      </c>
      <c r="M8" s="11" t="s">
        <v>1293</v>
      </c>
      <c r="P8" s="34" t="s">
        <v>1328</v>
      </c>
      <c r="Q8" s="34">
        <v>6</v>
      </c>
    </row>
    <row r="9" spans="1:19" x14ac:dyDescent="0.75">
      <c r="B9" s="47" t="s">
        <v>1478</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1540</v>
      </c>
      <c r="E14" s="6"/>
      <c r="F14" s="49"/>
      <c r="G14" s="49"/>
      <c r="I14" s="12"/>
      <c r="J14" s="11"/>
      <c r="K14" s="11"/>
      <c r="L14" s="11"/>
      <c r="M14" s="48"/>
      <c r="N14" s="51"/>
    </row>
    <row r="15" spans="1:19" ht="73.75" customHeight="1" x14ac:dyDescent="0.75">
      <c r="A15" s="44"/>
      <c r="B15" s="11" t="str">
        <f>Stage!B9</f>
        <v>type</v>
      </c>
      <c r="C15" s="11" t="str">
        <f>Stage!C9</f>
        <v>Type of stage</v>
      </c>
      <c r="D15" s="12" t="s">
        <v>1632</v>
      </c>
      <c r="E15" s="12"/>
      <c r="F15" s="49" t="s">
        <v>1294</v>
      </c>
      <c r="G15" s="77" t="s">
        <v>1634</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1620</v>
      </c>
      <c r="D3" s="47" t="s">
        <v>1473</v>
      </c>
      <c r="E3" s="71" t="str">
        <f>$C$1&amp;Stage!B4</f>
        <v>http://hl7.eu/fhir/ig/idea4rc/StructureDefinition/StageI4rc</v>
      </c>
    </row>
    <row r="4" spans="1:19" x14ac:dyDescent="0.75">
      <c r="B4" s="47" t="s">
        <v>16</v>
      </c>
      <c r="C4" s="28" t="s">
        <v>1622</v>
      </c>
      <c r="D4" s="47" t="s">
        <v>1474</v>
      </c>
      <c r="E4" s="145" t="s">
        <v>1639</v>
      </c>
      <c r="F4" s="146"/>
      <c r="G4" s="146"/>
    </row>
    <row r="5" spans="1:19" x14ac:dyDescent="0.75">
      <c r="B5" s="47" t="s">
        <v>10</v>
      </c>
      <c r="C5" s="7" t="s">
        <v>1623</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1639</v>
      </c>
      <c r="F7" s="146"/>
      <c r="G7" s="146"/>
    </row>
    <row r="8" spans="1:19" ht="44.25" x14ac:dyDescent="0.75">
      <c r="B8" s="47" t="s">
        <v>1477</v>
      </c>
      <c r="C8" s="73" t="s">
        <v>1623</v>
      </c>
      <c r="D8" s="47"/>
      <c r="E8" s="7"/>
      <c r="I8" s="12" t="s">
        <v>1289</v>
      </c>
      <c r="J8" s="12" t="s">
        <v>1290</v>
      </c>
      <c r="K8" s="12" t="s">
        <v>1291</v>
      </c>
      <c r="L8" s="12" t="s">
        <v>1292</v>
      </c>
      <c r="M8" s="11" t="s">
        <v>1293</v>
      </c>
      <c r="P8" s="34" t="s">
        <v>1328</v>
      </c>
      <c r="Q8" s="34">
        <v>6</v>
      </c>
    </row>
    <row r="9" spans="1:19" x14ac:dyDescent="0.75">
      <c r="B9" s="47" t="s">
        <v>1478</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1540</v>
      </c>
      <c r="E14" s="6"/>
      <c r="F14" s="49"/>
      <c r="G14" s="49"/>
      <c r="I14" s="12"/>
      <c r="J14" s="11"/>
      <c r="K14" s="11"/>
      <c r="L14" s="11"/>
      <c r="M14" s="48"/>
      <c r="N14" s="51"/>
    </row>
    <row r="15" spans="1:19" ht="73.75" customHeight="1" x14ac:dyDescent="0.75">
      <c r="A15" s="44"/>
      <c r="B15" s="11" t="str">
        <f>Stage!B10</f>
        <v>t</v>
      </c>
      <c r="C15" s="11" t="str">
        <f>Stage!C10</f>
        <v>T</v>
      </c>
      <c r="D15" s="12" t="s">
        <v>1632</v>
      </c>
      <c r="E15" s="12"/>
      <c r="F15" s="49" t="s">
        <v>1294</v>
      </c>
      <c r="G15" s="77" t="s">
        <v>1634</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1620</v>
      </c>
      <c r="D3" s="47" t="s">
        <v>1473</v>
      </c>
      <c r="E3" s="71" t="str">
        <f>$C$1&amp;Stage!B4</f>
        <v>http://hl7.eu/fhir/ig/idea4rc/StructureDefinition/StageI4rc</v>
      </c>
    </row>
    <row r="4" spans="1:19" x14ac:dyDescent="0.75">
      <c r="B4" s="47" t="s">
        <v>16</v>
      </c>
      <c r="C4" s="28" t="s">
        <v>1622</v>
      </c>
      <c r="D4" s="47" t="s">
        <v>1474</v>
      </c>
      <c r="E4" s="145" t="s">
        <v>1640</v>
      </c>
      <c r="F4" s="146"/>
      <c r="G4" s="146"/>
    </row>
    <row r="5" spans="1:19" x14ac:dyDescent="0.75">
      <c r="B5" s="47" t="s">
        <v>10</v>
      </c>
      <c r="C5" s="7" t="s">
        <v>1623</v>
      </c>
      <c r="D5" s="47"/>
      <c r="E5" s="7"/>
    </row>
    <row r="6" spans="1:19" x14ac:dyDescent="0.75">
      <c r="B6" s="47" t="s">
        <v>18</v>
      </c>
      <c r="C6" s="41"/>
      <c r="D6" s="47" t="s">
        <v>1475</v>
      </c>
      <c r="E6" s="145" t="str">
        <f>E3</f>
        <v>http://hl7.eu/fhir/ig/idea4rc/StructureDefinition/StageI4rc</v>
      </c>
      <c r="F6" s="146"/>
      <c r="G6" s="146"/>
    </row>
    <row r="7" spans="1:19" x14ac:dyDescent="0.75">
      <c r="B7" s="47" t="s">
        <v>15</v>
      </c>
      <c r="C7" s="72"/>
      <c r="D7" s="47" t="s">
        <v>1476</v>
      </c>
      <c r="E7" s="145" t="s">
        <v>1640</v>
      </c>
      <c r="F7" s="146"/>
      <c r="G7" s="146"/>
    </row>
    <row r="8" spans="1:19" ht="44.25" x14ac:dyDescent="0.75">
      <c r="B8" s="47" t="s">
        <v>1477</v>
      </c>
      <c r="C8" s="73" t="s">
        <v>1623</v>
      </c>
      <c r="D8" s="47"/>
      <c r="E8" s="7"/>
      <c r="I8" s="12" t="s">
        <v>1289</v>
      </c>
      <c r="J8" s="12" t="s">
        <v>1290</v>
      </c>
      <c r="K8" s="12" t="s">
        <v>1291</v>
      </c>
      <c r="L8" s="12" t="s">
        <v>1292</v>
      </c>
      <c r="M8" s="11" t="s">
        <v>1293</v>
      </c>
      <c r="P8" s="34" t="s">
        <v>1328</v>
      </c>
      <c r="Q8" s="34">
        <v>6</v>
      </c>
    </row>
    <row r="9" spans="1:19" x14ac:dyDescent="0.75">
      <c r="B9" s="47" t="s">
        <v>1478</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1540</v>
      </c>
      <c r="E14" s="6"/>
      <c r="F14" s="49"/>
      <c r="G14" s="49"/>
      <c r="I14" s="12"/>
      <c r="J14" s="11"/>
      <c r="K14" s="11"/>
      <c r="L14" s="11"/>
      <c r="M14" s="48"/>
      <c r="N14" s="51"/>
    </row>
    <row r="15" spans="1:19" ht="73.75" customHeight="1" x14ac:dyDescent="0.75">
      <c r="A15" s="44"/>
      <c r="B15" s="11" t="str">
        <f>Stage!B12</f>
        <v>m</v>
      </c>
      <c r="C15" s="11" t="str">
        <f>Stage!C12</f>
        <v>M</v>
      </c>
      <c r="D15" s="12" t="s">
        <v>1632</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1645</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2024-01-22T15:49:53Z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