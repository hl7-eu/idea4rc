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9C08F29C-A76D-4876-AAE1-68CA2BDCEE2A}" xr6:coauthVersionLast="47" xr6:coauthVersionMax="47" xr10:uidLastSave="{00000000-0000-0000-0000-000000000000}"/>
  <bookViews>
    <workbookView xWindow="-90" yWindow="-21710" windowWidth="38620" windowHeight="21100" tabRatio="819" firstSheet="41" activeTab="4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Subject!$A$7:$O$40</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00" l="1"/>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09" i="200"/>
  <c r="B241" i="200"/>
  <c r="B181" i="200"/>
  <c r="B182" i="200"/>
  <c r="B183" i="200"/>
  <c r="B184" i="200"/>
  <c r="B185" i="200"/>
  <c r="B186" i="200"/>
  <c r="B187" i="200"/>
  <c r="B188" i="200"/>
  <c r="B148" i="200"/>
  <c r="B149" i="200"/>
  <c r="B150" i="200"/>
  <c r="B151" i="200"/>
  <c r="B152" i="200"/>
  <c r="B153" i="200"/>
  <c r="B154" i="200"/>
  <c r="B155" i="200"/>
  <c r="B156" i="200"/>
  <c r="B157" i="200"/>
  <c r="B158" i="200"/>
  <c r="B159" i="200"/>
  <c r="B160" i="200"/>
  <c r="B161" i="200"/>
  <c r="B162" i="200"/>
  <c r="B163" i="200"/>
  <c r="B164" i="200"/>
  <c r="B165" i="200"/>
  <c r="B166" i="200"/>
  <c r="B167" i="200"/>
  <c r="B168" i="200"/>
  <c r="B169" i="200"/>
  <c r="B170" i="200"/>
  <c r="B171" i="200"/>
  <c r="B172" i="200"/>
  <c r="B173" i="200"/>
  <c r="B174" i="200"/>
  <c r="B175" i="200"/>
  <c r="B115" i="200"/>
  <c r="B116" i="200"/>
  <c r="B117" i="200"/>
  <c r="B118" i="200"/>
  <c r="B119" i="200"/>
  <c r="B120" i="200"/>
  <c r="B121" i="200"/>
  <c r="B122" i="200"/>
  <c r="B123" i="200"/>
  <c r="B124" i="200"/>
  <c r="B125" i="200"/>
  <c r="B126" i="200"/>
  <c r="B127" i="200"/>
  <c r="B128" i="200"/>
  <c r="B129" i="200"/>
  <c r="B130" i="200"/>
  <c r="B131" i="200"/>
  <c r="B132" i="200"/>
  <c r="B133" i="200"/>
  <c r="B134" i="200"/>
  <c r="B135" i="200"/>
  <c r="B136" i="200"/>
  <c r="B137" i="200"/>
  <c r="B138" i="200"/>
  <c r="B139" i="200"/>
  <c r="B140" i="200"/>
  <c r="B141" i="200"/>
  <c r="B84" i="200"/>
  <c r="B85" i="200"/>
  <c r="B86" i="200"/>
  <c r="B87" i="200"/>
  <c r="B88" i="200"/>
  <c r="B89" i="200"/>
  <c r="B90" i="200"/>
  <c r="B91" i="200"/>
  <c r="B92" i="200"/>
  <c r="B93" i="200"/>
  <c r="B94" i="200"/>
  <c r="B95" i="200"/>
  <c r="B96" i="200"/>
  <c r="B97" i="200"/>
  <c r="B98" i="200"/>
  <c r="B99" i="200"/>
  <c r="B100" i="200"/>
  <c r="B101" i="200"/>
  <c r="B102" i="200"/>
  <c r="B103" i="200"/>
  <c r="B104" i="200"/>
  <c r="B105" i="200"/>
  <c r="B106" i="200"/>
  <c r="B107" i="200"/>
  <c r="B108" i="200"/>
  <c r="B109" i="200"/>
  <c r="Q16" i="255"/>
  <c r="S16" i="255" s="1" a="1"/>
  <c r="S16" i="255" s="1"/>
  <c r="B194" i="200" s="1"/>
  <c r="R16" i="255"/>
  <c r="Q17" i="255"/>
  <c r="R17" i="255"/>
  <c r="Q18" i="255"/>
  <c r="S18" i="255" s="1" a="1"/>
  <c r="S18" i="255" s="1"/>
  <c r="B196" i="200" s="1"/>
  <c r="R18" i="255"/>
  <c r="Q19" i="255"/>
  <c r="R19" i="255"/>
  <c r="S19" i="255" s="1" a="1"/>
  <c r="S19" i="255" s="1"/>
  <c r="B197" i="200" s="1"/>
  <c r="Q20" i="255"/>
  <c r="S20" i="255" s="1" a="1"/>
  <c r="S20" i="255" s="1"/>
  <c r="B198" i="200" s="1"/>
  <c r="R20" i="255"/>
  <c r="Q21" i="255"/>
  <c r="R21" i="255"/>
  <c r="S21" i="255" s="1" a="1"/>
  <c r="S21" i="255" s="1"/>
  <c r="B199" i="200" s="1"/>
  <c r="Q22" i="255"/>
  <c r="S22" i="255" s="1" a="1"/>
  <c r="S22" i="255" s="1"/>
  <c r="B200" i="200" s="1"/>
  <c r="R22" i="255"/>
  <c r="Q23" i="255"/>
  <c r="R23" i="255"/>
  <c r="Q24" i="255"/>
  <c r="S24" i="255" s="1" a="1"/>
  <c r="S24" i="255" s="1"/>
  <c r="B202" i="200" s="1"/>
  <c r="R24" i="255"/>
  <c r="Q25" i="255"/>
  <c r="S25" i="255" s="1" a="1"/>
  <c r="S25" i="255" s="1"/>
  <c r="B203" i="200" s="1"/>
  <c r="R25" i="255"/>
  <c r="Q26" i="255"/>
  <c r="S26" i="255" s="1" a="1"/>
  <c r="S26" i="255" s="1"/>
  <c r="B204" i="200" s="1"/>
  <c r="R26" i="255"/>
  <c r="Q27" i="255"/>
  <c r="S27" i="255" s="1" a="1"/>
  <c r="S27" i="255" s="1"/>
  <c r="B205" i="200" s="1"/>
  <c r="R27" i="255"/>
  <c r="Q28" i="255"/>
  <c r="S28" i="255" s="1" a="1"/>
  <c r="S28" i="255" s="1"/>
  <c r="B206" i="200" s="1"/>
  <c r="R28" i="255"/>
  <c r="Q29" i="255"/>
  <c r="S29" i="255" s="1" a="1"/>
  <c r="S29" i="255" s="1"/>
  <c r="B207" i="200" s="1"/>
  <c r="R29" i="255"/>
  <c r="Q30" i="255"/>
  <c r="S30" i="255" s="1" a="1"/>
  <c r="S30" i="255" s="1"/>
  <c r="B208" i="200" s="1"/>
  <c r="R30" i="255"/>
  <c r="Q31" i="255"/>
  <c r="S31" i="255" s="1" a="1"/>
  <c r="S31" i="255" s="1"/>
  <c r="R31" i="255"/>
  <c r="Q32" i="255"/>
  <c r="S32" i="255" s="1" a="1"/>
  <c r="S32" i="255" s="1"/>
  <c r="B210" i="200" s="1"/>
  <c r="R32" i="255"/>
  <c r="Q33" i="255"/>
  <c r="S33" i="255" s="1" a="1"/>
  <c r="S33" i="255" s="1"/>
  <c r="B211" i="200" s="1"/>
  <c r="R33" i="255"/>
  <c r="Q34" i="255"/>
  <c r="S34" i="255" s="1" a="1"/>
  <c r="S34" i="255" s="1"/>
  <c r="B212" i="200" s="1"/>
  <c r="R34" i="255"/>
  <c r="Q35" i="255"/>
  <c r="R35" i="255"/>
  <c r="Q36" i="255"/>
  <c r="S36" i="255" s="1" a="1"/>
  <c r="S36" i="255" s="1"/>
  <c r="B214" i="200" s="1"/>
  <c r="R36" i="255"/>
  <c r="Q37" i="255"/>
  <c r="S37" i="255" s="1" a="1"/>
  <c r="S37" i="255" s="1"/>
  <c r="B215" i="200" s="1"/>
  <c r="R37" i="255"/>
  <c r="Q38" i="255"/>
  <c r="S38" i="255" s="1" a="1"/>
  <c r="S38" i="255" s="1"/>
  <c r="B216" i="200" s="1"/>
  <c r="R38" i="255"/>
  <c r="Q39" i="255"/>
  <c r="S39" i="255" s="1" a="1"/>
  <c r="S39" i="255" s="1"/>
  <c r="B217" i="200" s="1"/>
  <c r="R39" i="255"/>
  <c r="Q40" i="255"/>
  <c r="S40" i="255" s="1" a="1"/>
  <c r="S40" i="255" s="1"/>
  <c r="B218" i="200" s="1"/>
  <c r="R40" i="255"/>
  <c r="Q41" i="255"/>
  <c r="S41" i="255" s="1" a="1"/>
  <c r="S41" i="255" s="1"/>
  <c r="B219" i="200" s="1"/>
  <c r="R41" i="255"/>
  <c r="Q42" i="255"/>
  <c r="S42" i="255" s="1" a="1"/>
  <c r="S42" i="255" s="1"/>
  <c r="B220" i="200" s="1"/>
  <c r="R42" i="255"/>
  <c r="Q43" i="255"/>
  <c r="S43" i="255" s="1" a="1"/>
  <c r="S43" i="255" s="1"/>
  <c r="B221" i="200" s="1"/>
  <c r="R43" i="255"/>
  <c r="Q44" i="255"/>
  <c r="S44" i="255" s="1" a="1"/>
  <c r="S44" i="255" s="1"/>
  <c r="B222" i="200" s="1"/>
  <c r="R44" i="255"/>
  <c r="Q45" i="255"/>
  <c r="S45" i="255" s="1" a="1"/>
  <c r="S45" i="255" s="1"/>
  <c r="B223" i="200" s="1"/>
  <c r="R45" i="255"/>
  <c r="Q46" i="255"/>
  <c r="S46" i="255" s="1" a="1"/>
  <c r="S46" i="255" s="1"/>
  <c r="B224" i="200" s="1"/>
  <c r="R46" i="255"/>
  <c r="Q47" i="255"/>
  <c r="R47" i="255"/>
  <c r="Q48" i="255"/>
  <c r="S48" i="255" s="1" a="1"/>
  <c r="S48" i="255" s="1"/>
  <c r="B226" i="200" s="1"/>
  <c r="R48" i="255"/>
  <c r="Q49" i="255"/>
  <c r="S49" i="255" s="1" a="1"/>
  <c r="S49" i="255" s="1"/>
  <c r="B227" i="200" s="1"/>
  <c r="R49" i="255"/>
  <c r="Q50" i="255"/>
  <c r="S50" i="255" s="1" a="1"/>
  <c r="S50" i="255" s="1"/>
  <c r="B228" i="200" s="1"/>
  <c r="R50" i="255"/>
  <c r="Q51" i="255"/>
  <c r="S51" i="255" s="1" a="1"/>
  <c r="S51" i="255" s="1"/>
  <c r="B229" i="200" s="1"/>
  <c r="R51" i="255"/>
  <c r="Q52" i="255"/>
  <c r="S52" i="255" s="1" a="1"/>
  <c r="S52" i="255" s="1"/>
  <c r="B230" i="200" s="1"/>
  <c r="R52" i="255"/>
  <c r="Q53" i="255"/>
  <c r="S53" i="255" s="1" a="1"/>
  <c r="S53" i="255" s="1"/>
  <c r="B231" i="200" s="1"/>
  <c r="R53" i="255"/>
  <c r="Q54" i="255"/>
  <c r="S54" i="255" s="1" a="1"/>
  <c r="S54" i="255" s="1"/>
  <c r="B232" i="200" s="1"/>
  <c r="R54" i="255"/>
  <c r="Q55" i="255"/>
  <c r="S55" i="255" s="1" a="1"/>
  <c r="S55" i="255" s="1"/>
  <c r="B233" i="200" s="1"/>
  <c r="R55" i="255"/>
  <c r="Q56" i="255"/>
  <c r="S56" i="255" s="1" a="1"/>
  <c r="S56" i="255" s="1"/>
  <c r="B234" i="200" s="1"/>
  <c r="R56" i="255"/>
  <c r="Q57" i="255"/>
  <c r="S57" i="255" s="1" a="1"/>
  <c r="S57" i="255" s="1"/>
  <c r="B235" i="200" s="1"/>
  <c r="R57" i="255"/>
  <c r="Q58" i="255"/>
  <c r="S58" i="255" s="1" a="1"/>
  <c r="S58" i="255" s="1"/>
  <c r="B236" i="200" s="1"/>
  <c r="R58" i="255"/>
  <c r="Q59" i="255"/>
  <c r="R59" i="255"/>
  <c r="Q60" i="255"/>
  <c r="S60" i="255" s="1" a="1"/>
  <c r="S60" i="255" s="1"/>
  <c r="B238" i="200" s="1"/>
  <c r="R60" i="255"/>
  <c r="Q61" i="255"/>
  <c r="S61" i="255" s="1" a="1"/>
  <c r="S61" i="255" s="1"/>
  <c r="B239" i="200" s="1"/>
  <c r="R61" i="255"/>
  <c r="Q62" i="255"/>
  <c r="S62" i="255" s="1" a="1"/>
  <c r="S62" i="255" s="1"/>
  <c r="B240" i="200" s="1"/>
  <c r="R62" i="255"/>
  <c r="Q63" i="255"/>
  <c r="S63" i="255" s="1" a="1"/>
  <c r="S63" i="255" s="1"/>
  <c r="R63" i="255"/>
  <c r="Q64" i="255"/>
  <c r="S64" i="255" s="1" a="1"/>
  <c r="S64" i="255" s="1"/>
  <c r="B242" i="200" s="1"/>
  <c r="R64" i="255"/>
  <c r="Q65" i="255"/>
  <c r="S65" i="255" s="1" a="1"/>
  <c r="S65" i="255" s="1"/>
  <c r="B243" i="200" s="1"/>
  <c r="R65" i="255"/>
  <c r="Q66" i="255"/>
  <c r="S66" i="255" s="1" a="1"/>
  <c r="S66" i="255" s="1"/>
  <c r="B244" i="200" s="1"/>
  <c r="R66" i="255"/>
  <c r="Q67" i="255"/>
  <c r="S67" i="255" s="1" a="1"/>
  <c r="S67" i="255" s="1"/>
  <c r="B245" i="200" s="1"/>
  <c r="R67" i="255"/>
  <c r="Q68" i="255"/>
  <c r="R68" i="255"/>
  <c r="Q69" i="255"/>
  <c r="S69" i="255" s="1" a="1"/>
  <c r="S69" i="255" s="1"/>
  <c r="B247" i="200" s="1"/>
  <c r="R69" i="255"/>
  <c r="Q70" i="255"/>
  <c r="S70" i="255" s="1" a="1"/>
  <c r="S70" i="255" s="1"/>
  <c r="B248" i="200" s="1"/>
  <c r="R70" i="255"/>
  <c r="Q71" i="255"/>
  <c r="R71" i="255"/>
  <c r="Q72" i="255"/>
  <c r="S72" i="255" s="1" a="1"/>
  <c r="S72" i="255" s="1"/>
  <c r="B250" i="200" s="1"/>
  <c r="R72" i="255"/>
  <c r="Q73" i="255"/>
  <c r="S73" i="255" s="1" a="1"/>
  <c r="S73" i="255" s="1"/>
  <c r="B251" i="200" s="1"/>
  <c r="R73" i="255"/>
  <c r="Q74" i="255"/>
  <c r="S74" i="255" s="1" a="1"/>
  <c r="S74" i="255" s="1"/>
  <c r="B252" i="200" s="1"/>
  <c r="R74" i="255"/>
  <c r="Q75" i="255"/>
  <c r="S75" i="255" s="1" a="1"/>
  <c r="S75" i="255" s="1"/>
  <c r="B253" i="200" s="1"/>
  <c r="R75" i="255"/>
  <c r="Q76" i="255"/>
  <c r="S76" i="255" s="1" a="1"/>
  <c r="S76" i="255" s="1"/>
  <c r="B254" i="200" s="1"/>
  <c r="R76" i="255"/>
  <c r="Q77" i="255"/>
  <c r="S77" i="255" s="1" a="1"/>
  <c r="S77" i="255" s="1"/>
  <c r="B255" i="200" s="1"/>
  <c r="R77" i="255"/>
  <c r="Q78" i="255"/>
  <c r="S78" i="255" s="1" a="1"/>
  <c r="S78" i="255" s="1"/>
  <c r="B256" i="200" s="1"/>
  <c r="R78" i="255"/>
  <c r="Q79" i="255"/>
  <c r="S79" i="255" s="1" a="1"/>
  <c r="S79" i="255" s="1"/>
  <c r="B257" i="200" s="1"/>
  <c r="R79" i="255"/>
  <c r="Q80" i="255"/>
  <c r="S80" i="255" s="1" a="1"/>
  <c r="S80" i="255" s="1"/>
  <c r="B258" i="200" s="1"/>
  <c r="R80" i="255"/>
  <c r="Q81" i="255"/>
  <c r="S81" i="255" s="1" a="1"/>
  <c r="S81" i="255" s="1"/>
  <c r="B259" i="200" s="1"/>
  <c r="R81" i="255"/>
  <c r="Q82" i="255"/>
  <c r="S82" i="255" s="1" a="1"/>
  <c r="S82" i="255" s="1"/>
  <c r="B260" i="200" s="1"/>
  <c r="R82" i="255"/>
  <c r="Q83" i="255"/>
  <c r="R83" i="255"/>
  <c r="Q84" i="255"/>
  <c r="S84" i="255" s="1" a="1"/>
  <c r="S84" i="255" s="1"/>
  <c r="B262" i="200" s="1"/>
  <c r="R84" i="255"/>
  <c r="Q85" i="255"/>
  <c r="S85" i="255" s="1" a="1"/>
  <c r="S85" i="255" s="1"/>
  <c r="B263" i="200" s="1"/>
  <c r="R85" i="255"/>
  <c r="Q86" i="255"/>
  <c r="S86" i="255" s="1" a="1"/>
  <c r="S86" i="255" s="1"/>
  <c r="B264" i="200" s="1"/>
  <c r="R86" i="255"/>
  <c r="Q87" i="255"/>
  <c r="S87" i="255" s="1" a="1"/>
  <c r="S87" i="255" s="1"/>
  <c r="B265" i="200" s="1"/>
  <c r="R87" i="255"/>
  <c r="Q88" i="255"/>
  <c r="S88" i="255" s="1" a="1"/>
  <c r="S88" i="255" s="1"/>
  <c r="B266" i="200" s="1"/>
  <c r="R88" i="255"/>
  <c r="Q89" i="255"/>
  <c r="S89" i="255" s="1" a="1"/>
  <c r="S89" i="255" s="1"/>
  <c r="B267" i="200" s="1"/>
  <c r="R89" i="255"/>
  <c r="Q90" i="255"/>
  <c r="S90" i="255" s="1" a="1"/>
  <c r="S90" i="255" s="1"/>
  <c r="B268" i="200" s="1"/>
  <c r="R90" i="255"/>
  <c r="Q91" i="255"/>
  <c r="S91" i="255" s="1" a="1"/>
  <c r="S91" i="255" s="1"/>
  <c r="B269" i="200" s="1"/>
  <c r="R91" i="255"/>
  <c r="Q92" i="255"/>
  <c r="R92" i="255"/>
  <c r="Q93" i="255"/>
  <c r="S93" i="255" s="1" a="1"/>
  <c r="S93" i="255" s="1"/>
  <c r="B271" i="200" s="1"/>
  <c r="R93" i="255"/>
  <c r="Q94" i="255"/>
  <c r="S94" i="255" s="1" a="1"/>
  <c r="S94" i="255" s="1"/>
  <c r="B272" i="200" s="1"/>
  <c r="R94" i="255"/>
  <c r="Q95" i="255"/>
  <c r="R95" i="255"/>
  <c r="Q96" i="255"/>
  <c r="S96" i="255" s="1" a="1"/>
  <c r="S96" i="255" s="1"/>
  <c r="B274" i="200" s="1"/>
  <c r="R96" i="255"/>
  <c r="Q97" i="255"/>
  <c r="S97" i="255" s="1" a="1"/>
  <c r="S97" i="255" s="1"/>
  <c r="B275" i="200" s="1"/>
  <c r="R97" i="255"/>
  <c r="Q98" i="255"/>
  <c r="S98" i="255" s="1" a="1"/>
  <c r="S98" i="255" s="1"/>
  <c r="B276" i="200" s="1"/>
  <c r="R98" i="255"/>
  <c r="Q99" i="255"/>
  <c r="S99" i="255" s="1" a="1"/>
  <c r="S99" i="255" s="1"/>
  <c r="B277" i="200" s="1"/>
  <c r="R99" i="255"/>
  <c r="Q100" i="255"/>
  <c r="S100" i="255" s="1" a="1"/>
  <c r="S100" i="255" s="1"/>
  <c r="B278" i="200" s="1"/>
  <c r="R100" i="255"/>
  <c r="Q101" i="255"/>
  <c r="S101" i="255" s="1" a="1"/>
  <c r="S101" i="255" s="1"/>
  <c r="B279" i="200" s="1"/>
  <c r="R101" i="255"/>
  <c r="Q102" i="255"/>
  <c r="S102" i="255" s="1" a="1"/>
  <c r="S102" i="255" s="1"/>
  <c r="B280" i="200" s="1"/>
  <c r="R102" i="255"/>
  <c r="Q103" i="255"/>
  <c r="S103" i="255" s="1" a="1"/>
  <c r="S103" i="255" s="1"/>
  <c r="B281" i="200" s="1"/>
  <c r="R103" i="255"/>
  <c r="Q104" i="255"/>
  <c r="S104" i="255" s="1" a="1"/>
  <c r="S104" i="255" s="1"/>
  <c r="B282" i="200" s="1"/>
  <c r="R104" i="255"/>
  <c r="Q105" i="255"/>
  <c r="S105" i="255" s="1" a="1"/>
  <c r="S105" i="255" s="1"/>
  <c r="B283" i="200" s="1"/>
  <c r="R105" i="255"/>
  <c r="Q106" i="255"/>
  <c r="S106" i="255" s="1" a="1"/>
  <c r="S106" i="255" s="1"/>
  <c r="B284" i="200" s="1"/>
  <c r="R106" i="255"/>
  <c r="Q107" i="255"/>
  <c r="R107" i="255"/>
  <c r="Q108" i="255"/>
  <c r="S108" i="255" s="1" a="1"/>
  <c r="S108" i="255" s="1"/>
  <c r="B286" i="200" s="1"/>
  <c r="R108" i="255"/>
  <c r="Q109" i="255"/>
  <c r="S109" i="255" s="1" a="1"/>
  <c r="S109" i="255" s="1"/>
  <c r="B287" i="200" s="1"/>
  <c r="R109" i="255"/>
  <c r="Q110" i="255"/>
  <c r="S110" i="255" s="1" a="1"/>
  <c r="S110" i="255" s="1"/>
  <c r="B288" i="200" s="1"/>
  <c r="R110" i="255"/>
  <c r="Q111" i="255"/>
  <c r="S111" i="255" s="1" a="1"/>
  <c r="S111" i="255" s="1"/>
  <c r="B289" i="200" s="1"/>
  <c r="R111" i="255"/>
  <c r="Q112" i="255"/>
  <c r="S112" i="255" s="1" a="1"/>
  <c r="S112" i="255" s="1"/>
  <c r="B290" i="200" s="1"/>
  <c r="R112" i="255"/>
  <c r="Q113" i="255"/>
  <c r="S113" i="255" s="1" a="1"/>
  <c r="S113" i="255" s="1"/>
  <c r="B291"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Q165" i="213"/>
  <c r="S165" i="213" s="1" a="1"/>
  <c r="S165" i="213" s="1"/>
  <c r="B169" i="214" s="1"/>
  <c r="R165" i="213"/>
  <c r="Q166" i="213"/>
  <c r="S166" i="213" s="1" a="1"/>
  <c r="S166" i="213" s="1"/>
  <c r="B170" i="214" s="1"/>
  <c r="R166" i="213"/>
  <c r="Q167" i="213"/>
  <c r="S167" i="213" s="1" a="1"/>
  <c r="S167" i="213" s="1"/>
  <c r="B171" i="214" s="1"/>
  <c r="R167" i="213"/>
  <c r="Q168" i="213"/>
  <c r="S168" i="213" s="1" a="1"/>
  <c r="S168" i="213" s="1"/>
  <c r="B172" i="214"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B28" i="214" s="1"/>
  <c r="R24" i="213"/>
  <c r="Q25" i="213"/>
  <c r="R25" i="213"/>
  <c r="S25" i="213" a="1"/>
  <c r="S25" i="213" s="1"/>
  <c r="B29" i="214" s="1"/>
  <c r="Q26" i="213"/>
  <c r="R26" i="213"/>
  <c r="Q27" i="213"/>
  <c r="R27" i="213"/>
  <c r="S27" i="213" a="1"/>
  <c r="S27" i="213" s="1"/>
  <c r="B31" i="214" s="1"/>
  <c r="Q28" i="213"/>
  <c r="S28" i="213" s="1" a="1"/>
  <c r="S28" i="213" s="1"/>
  <c r="B32" i="214" s="1"/>
  <c r="R28" i="213"/>
  <c r="Q29" i="213"/>
  <c r="R29" i="213"/>
  <c r="S29" i="213" a="1"/>
  <c r="S29" i="213" s="1"/>
  <c r="B33" i="214" s="1"/>
  <c r="Q30" i="213"/>
  <c r="S30" i="213" s="1" a="1"/>
  <c r="S30" i="213" s="1"/>
  <c r="B34" i="214" s="1"/>
  <c r="R30" i="213"/>
  <c r="Q31" i="213"/>
  <c r="R31" i="213"/>
  <c r="S31" i="213" a="1"/>
  <c r="S31" i="213" s="1"/>
  <c r="B35" i="214" s="1"/>
  <c r="Q32" i="213"/>
  <c r="S32" i="213" s="1" a="1"/>
  <c r="S32" i="213" s="1"/>
  <c r="B36" i="214" s="1"/>
  <c r="R32" i="213"/>
  <c r="Q33" i="213"/>
  <c r="R33" i="213"/>
  <c r="Q34" i="213"/>
  <c r="S34" i="213" s="1" a="1"/>
  <c r="S34" i="213" s="1"/>
  <c r="B38" i="214" s="1"/>
  <c r="R34" i="213"/>
  <c r="Q35" i="213"/>
  <c r="R35" i="213"/>
  <c r="S35" i="213" a="1"/>
  <c r="S35" i="213" s="1"/>
  <c r="B39" i="214" s="1"/>
  <c r="Q36" i="213"/>
  <c r="S36" i="213" s="1" a="1"/>
  <c r="S36" i="213" s="1"/>
  <c r="B40" i="214" s="1"/>
  <c r="R36" i="213"/>
  <c r="Q37" i="213"/>
  <c r="R37" i="213"/>
  <c r="S37" i="213" a="1"/>
  <c r="S37" i="213" s="1"/>
  <c r="B41" i="214" s="1"/>
  <c r="Q38" i="213"/>
  <c r="S38" i="213" s="1" a="1"/>
  <c r="S38" i="213" s="1"/>
  <c r="B42" i="214" s="1"/>
  <c r="R38" i="213"/>
  <c r="Q39" i="213"/>
  <c r="R39" i="213"/>
  <c r="Q40" i="213"/>
  <c r="S40" i="213" s="1" a="1"/>
  <c r="S40" i="213" s="1"/>
  <c r="B44" i="214" s="1"/>
  <c r="R40" i="213"/>
  <c r="Q41" i="213"/>
  <c r="R41" i="213"/>
  <c r="S41" i="213" a="1"/>
  <c r="S41" i="213" s="1"/>
  <c r="B45" i="214" s="1"/>
  <c r="Q42" i="213"/>
  <c r="S42" i="213" s="1" a="1"/>
  <c r="S42" i="213" s="1"/>
  <c r="B46" i="214" s="1"/>
  <c r="R42" i="213"/>
  <c r="Q43" i="213"/>
  <c r="R43" i="213"/>
  <c r="S43" i="213" a="1"/>
  <c r="S43" i="213" s="1"/>
  <c r="B47" i="214" s="1"/>
  <c r="Q44" i="213"/>
  <c r="S44" i="213" s="1" a="1"/>
  <c r="S44" i="213" s="1"/>
  <c r="B48" i="214" s="1"/>
  <c r="R44" i="213"/>
  <c r="Q45" i="213"/>
  <c r="R45" i="213"/>
  <c r="Q46" i="213"/>
  <c r="S46" i="213" s="1" a="1"/>
  <c r="S46" i="213" s="1"/>
  <c r="B50" i="214" s="1"/>
  <c r="R46" i="213"/>
  <c r="Q47" i="213"/>
  <c r="R47" i="213"/>
  <c r="Q48" i="213"/>
  <c r="S48" i="213" s="1" a="1"/>
  <c r="S48" i="213" s="1"/>
  <c r="B52" i="214" s="1"/>
  <c r="R48" i="213"/>
  <c r="Q49" i="213"/>
  <c r="R49" i="213"/>
  <c r="S49" i="213" a="1"/>
  <c r="S49" i="213" s="1"/>
  <c r="B53" i="214" s="1"/>
  <c r="Q50" i="213"/>
  <c r="R50" i="213"/>
  <c r="Q51" i="213"/>
  <c r="R51" i="213"/>
  <c r="Q52" i="213"/>
  <c r="S52" i="213" s="1" a="1"/>
  <c r="S52" i="213" s="1"/>
  <c r="B56" i="214" s="1"/>
  <c r="R52" i="213"/>
  <c r="Q53" i="213"/>
  <c r="R53" i="213"/>
  <c r="S53" i="213" a="1"/>
  <c r="S53" i="213" s="1"/>
  <c r="B57" i="214" s="1"/>
  <c r="Q54" i="213"/>
  <c r="S54" i="213" s="1" a="1"/>
  <c r="S54" i="213" s="1"/>
  <c r="B58" i="214" s="1"/>
  <c r="R54" i="213"/>
  <c r="Q55" i="213"/>
  <c r="R55" i="213"/>
  <c r="S55" i="213" a="1"/>
  <c r="S55" i="213" s="1"/>
  <c r="B59" i="214" s="1"/>
  <c r="Q56" i="213"/>
  <c r="S56" i="213" s="1" a="1"/>
  <c r="S56" i="213" s="1"/>
  <c r="B60" i="214" s="1"/>
  <c r="R56" i="213"/>
  <c r="Q57" i="213"/>
  <c r="R57" i="213"/>
  <c r="Q58" i="213"/>
  <c r="S58" i="213" s="1" a="1"/>
  <c r="S58" i="213" s="1"/>
  <c r="B62" i="214" s="1"/>
  <c r="R58" i="213"/>
  <c r="Q59" i="213"/>
  <c r="R59" i="213"/>
  <c r="S59" i="213" a="1"/>
  <c r="S59" i="213" s="1"/>
  <c r="B63" i="214" s="1"/>
  <c r="Q60" i="213"/>
  <c r="S60" i="213" s="1" a="1"/>
  <c r="S60" i="213" s="1"/>
  <c r="B64" i="214" s="1"/>
  <c r="R60" i="213"/>
  <c r="Q61" i="213"/>
  <c r="R61" i="213"/>
  <c r="S61" i="213" a="1"/>
  <c r="S61" i="213" s="1"/>
  <c r="B65" i="214" s="1"/>
  <c r="Q62" i="213"/>
  <c r="S62" i="213" s="1" a="1"/>
  <c r="S62" i="213" s="1"/>
  <c r="B66" i="214" s="1"/>
  <c r="R62" i="213"/>
  <c r="Q63" i="213"/>
  <c r="R63" i="213"/>
  <c r="Q64" i="213"/>
  <c r="S64" i="213" s="1" a="1"/>
  <c r="S64" i="213" s="1"/>
  <c r="B68" i="214" s="1"/>
  <c r="R64" i="213"/>
  <c r="Q65" i="213"/>
  <c r="R65" i="213"/>
  <c r="S65" i="213" a="1"/>
  <c r="S65" i="213" s="1"/>
  <c r="B69" i="214" s="1"/>
  <c r="Q66" i="213"/>
  <c r="S66" i="213" s="1" a="1"/>
  <c r="S66" i="213" s="1"/>
  <c r="B70" i="214" s="1"/>
  <c r="R66" i="213"/>
  <c r="Q67" i="213"/>
  <c r="R67" i="213"/>
  <c r="S67" i="213" a="1"/>
  <c r="S67" i="213" s="1"/>
  <c r="B71" i="214" s="1"/>
  <c r="Q68" i="213"/>
  <c r="S68" i="213" s="1" a="1"/>
  <c r="S68" i="213" s="1"/>
  <c r="B72" i="214" s="1"/>
  <c r="R68" i="213"/>
  <c r="Q69" i="213"/>
  <c r="R69" i="213"/>
  <c r="Q70" i="213"/>
  <c r="S70" i="213" s="1" a="1"/>
  <c r="S70" i="213" s="1"/>
  <c r="B74" i="214" s="1"/>
  <c r="R70" i="213"/>
  <c r="Q71" i="213"/>
  <c r="R71" i="213"/>
  <c r="S71" i="213" a="1"/>
  <c r="S71" i="213" s="1"/>
  <c r="B75" i="214" s="1"/>
  <c r="Q72" i="213"/>
  <c r="S72" i="213" s="1" a="1"/>
  <c r="R72" i="213"/>
  <c r="S72" i="213"/>
  <c r="B76" i="214" s="1"/>
  <c r="Q73" i="213"/>
  <c r="R73" i="213"/>
  <c r="S73" i="213" a="1"/>
  <c r="S73" i="213"/>
  <c r="B77" i="214" s="1"/>
  <c r="Q74" i="213"/>
  <c r="S74" i="213" s="1" a="1"/>
  <c r="S74" i="213" s="1"/>
  <c r="B78" i="214" s="1"/>
  <c r="R74" i="213"/>
  <c r="Q75" i="213"/>
  <c r="R75" i="213"/>
  <c r="S75" i="213" a="1"/>
  <c r="S75" i="213" s="1"/>
  <c r="B79" i="214" s="1"/>
  <c r="Q76" i="213"/>
  <c r="S76" i="213" s="1" a="1"/>
  <c r="S76" i="213" s="1"/>
  <c r="B80" i="214" s="1"/>
  <c r="R76" i="213"/>
  <c r="Q77" i="213"/>
  <c r="R77" i="213"/>
  <c r="S77" i="213" a="1"/>
  <c r="S77" i="213" s="1"/>
  <c r="B81" i="214" s="1"/>
  <c r="Q78" i="213"/>
  <c r="S78" i="213" s="1" a="1"/>
  <c r="S78" i="213" s="1"/>
  <c r="B82" i="214" s="1"/>
  <c r="R78" i="213"/>
  <c r="Q79" i="213"/>
  <c r="R79" i="213"/>
  <c r="S79" i="213" a="1"/>
  <c r="S79" i="213" s="1"/>
  <c r="B83" i="214" s="1"/>
  <c r="Q80" i="213"/>
  <c r="S80" i="213" s="1" a="1"/>
  <c r="S80" i="213" s="1"/>
  <c r="B84" i="214" s="1"/>
  <c r="R80" i="213"/>
  <c r="Q81" i="213"/>
  <c r="R81" i="213"/>
  <c r="S81" i="213" a="1"/>
  <c r="S81" i="213" s="1"/>
  <c r="B85" i="214" s="1"/>
  <c r="Q82" i="213"/>
  <c r="S82" i="213" s="1" a="1"/>
  <c r="S82" i="213" s="1"/>
  <c r="B86" i="214" s="1"/>
  <c r="R82" i="213"/>
  <c r="Q83" i="213"/>
  <c r="R83" i="213"/>
  <c r="S83" i="213" a="1"/>
  <c r="S83" i="213" s="1"/>
  <c r="B87" i="214" s="1"/>
  <c r="Q84" i="213"/>
  <c r="S84" i="213" s="1" a="1"/>
  <c r="S84" i="213" s="1"/>
  <c r="B88" i="214" s="1"/>
  <c r="R84" i="213"/>
  <c r="Q85" i="213"/>
  <c r="R85" i="213"/>
  <c r="S85" i="213" a="1"/>
  <c r="S85" i="213" s="1"/>
  <c r="B89" i="214" s="1"/>
  <c r="Q86" i="213"/>
  <c r="S86" i="213" s="1" a="1"/>
  <c r="S86" i="213" s="1"/>
  <c r="B90" i="214" s="1"/>
  <c r="R86" i="213"/>
  <c r="Q87" i="213"/>
  <c r="R87" i="213"/>
  <c r="Q88" i="213"/>
  <c r="S88" i="213" s="1" a="1"/>
  <c r="S88" i="213" s="1"/>
  <c r="B92" i="214" s="1"/>
  <c r="R88" i="213"/>
  <c r="Q89" i="213"/>
  <c r="R89" i="213"/>
  <c r="S89" i="213" a="1"/>
  <c r="S89" i="213" s="1"/>
  <c r="B93" i="214" s="1"/>
  <c r="Q90" i="213"/>
  <c r="S90" i="213" s="1" a="1"/>
  <c r="S90" i="213" s="1"/>
  <c r="B94" i="214" s="1"/>
  <c r="R90" i="213"/>
  <c r="Q91" i="213"/>
  <c r="R91" i="213"/>
  <c r="S91" i="213" a="1"/>
  <c r="S91" i="213" s="1"/>
  <c r="B95" i="214" s="1"/>
  <c r="Q92" i="213"/>
  <c r="S92" i="213" s="1" a="1"/>
  <c r="S92" i="213" s="1"/>
  <c r="B96" i="214" s="1"/>
  <c r="R92" i="213"/>
  <c r="Q93" i="213"/>
  <c r="R93" i="213"/>
  <c r="Q94" i="213"/>
  <c r="S94" i="213" s="1" a="1"/>
  <c r="S94" i="213" s="1"/>
  <c r="B98" i="214" s="1"/>
  <c r="R94" i="213"/>
  <c r="Q95" i="213"/>
  <c r="R95" i="213"/>
  <c r="S95" i="213" a="1"/>
  <c r="S95" i="213" s="1"/>
  <c r="B99" i="214" s="1"/>
  <c r="Q96" i="213"/>
  <c r="S96" i="213" s="1" a="1"/>
  <c r="S96" i="213" s="1"/>
  <c r="B100" i="214" s="1"/>
  <c r="R96" i="213"/>
  <c r="Q97" i="213"/>
  <c r="R97" i="213"/>
  <c r="S97" i="213" a="1"/>
  <c r="S97" i="213" s="1"/>
  <c r="B101" i="214" s="1"/>
  <c r="Q98" i="213"/>
  <c r="S98" i="213" s="1" a="1"/>
  <c r="S98" i="213" s="1"/>
  <c r="B102" i="214" s="1"/>
  <c r="R98" i="213"/>
  <c r="Q99" i="213"/>
  <c r="R99" i="213"/>
  <c r="S99" i="213" a="1"/>
  <c r="S99" i="213" s="1"/>
  <c r="B103" i="214" s="1"/>
  <c r="Q100" i="213"/>
  <c r="S100" i="213" s="1" a="1"/>
  <c r="S100" i="213" s="1"/>
  <c r="B104" i="214" s="1"/>
  <c r="R100" i="213"/>
  <c r="Q101" i="213"/>
  <c r="R101" i="213"/>
  <c r="S101" i="213" a="1"/>
  <c r="S101" i="213" s="1"/>
  <c r="B105" i="214" s="1"/>
  <c r="Q102" i="213"/>
  <c r="S102" i="213" s="1" a="1"/>
  <c r="S102" i="213" s="1"/>
  <c r="B106" i="214" s="1"/>
  <c r="R102" i="213"/>
  <c r="Q103" i="213"/>
  <c r="R103" i="213"/>
  <c r="S103" i="213" a="1"/>
  <c r="S103" i="213" s="1"/>
  <c r="B107" i="214" s="1"/>
  <c r="Q104" i="213"/>
  <c r="S104" i="213" s="1" a="1"/>
  <c r="R104" i="213"/>
  <c r="S104" i="213"/>
  <c r="B108" i="214" s="1"/>
  <c r="Q105" i="213"/>
  <c r="R105" i="213"/>
  <c r="Q106" i="213"/>
  <c r="S106" i="213" s="1" a="1"/>
  <c r="S106" i="213" s="1"/>
  <c r="B110" i="214" s="1"/>
  <c r="R106" i="213"/>
  <c r="Q107" i="213"/>
  <c r="R107" i="213"/>
  <c r="S107" i="213" a="1"/>
  <c r="S107" i="213" s="1"/>
  <c r="B111" i="214" s="1"/>
  <c r="Q108" i="213"/>
  <c r="S108" i="213" s="1" a="1"/>
  <c r="S108" i="213" s="1"/>
  <c r="B112" i="214" s="1"/>
  <c r="R108" i="213"/>
  <c r="Q109" i="213"/>
  <c r="R109" i="213"/>
  <c r="S109" i="213" a="1"/>
  <c r="S109" i="213" s="1"/>
  <c r="B113" i="214" s="1"/>
  <c r="Q110" i="213"/>
  <c r="S110" i="213" s="1" a="1"/>
  <c r="S110" i="213" s="1"/>
  <c r="B114" i="214" s="1"/>
  <c r="R110" i="213"/>
  <c r="Q111" i="213"/>
  <c r="R111" i="213"/>
  <c r="Q112" i="213"/>
  <c r="S112" i="213" s="1" a="1"/>
  <c r="S112" i="213" s="1"/>
  <c r="B116" i="214" s="1"/>
  <c r="R112" i="213"/>
  <c r="Q113" i="213"/>
  <c r="R113" i="213"/>
  <c r="S113" i="213" a="1"/>
  <c r="S113" i="213" s="1"/>
  <c r="B117" i="214" s="1"/>
  <c r="Q114" i="213"/>
  <c r="S114" i="213" s="1" a="1"/>
  <c r="S114" i="213" s="1"/>
  <c r="B118" i="214" s="1"/>
  <c r="R114" i="213"/>
  <c r="Q115" i="213"/>
  <c r="R115" i="213"/>
  <c r="S115" i="213" a="1"/>
  <c r="S115" i="213" s="1"/>
  <c r="B119" i="214" s="1"/>
  <c r="Q116" i="213"/>
  <c r="S116" i="213" s="1" a="1"/>
  <c r="S116" i="213" s="1"/>
  <c r="B120" i="214" s="1"/>
  <c r="R116" i="213"/>
  <c r="Q117" i="213"/>
  <c r="R117" i="213"/>
  <c r="Q118" i="213"/>
  <c r="S118" i="213" s="1" a="1"/>
  <c r="S118" i="213" s="1"/>
  <c r="B122" i="214" s="1"/>
  <c r="R118" i="213"/>
  <c r="Q119" i="213"/>
  <c r="R119" i="213"/>
  <c r="S119" i="213" a="1"/>
  <c r="S119" i="213" s="1"/>
  <c r="B123" i="214" s="1"/>
  <c r="Q120" i="213"/>
  <c r="S120" i="213" s="1" a="1"/>
  <c r="S120" i="213" s="1"/>
  <c r="B124" i="214" s="1"/>
  <c r="R120" i="213"/>
  <c r="Q121" i="213"/>
  <c r="R121" i="213"/>
  <c r="S121" i="213" a="1"/>
  <c r="S121" i="213" s="1"/>
  <c r="B125" i="214" s="1"/>
  <c r="Q122" i="213"/>
  <c r="S122" i="213" s="1" a="1"/>
  <c r="S122" i="213" s="1"/>
  <c r="B126" i="214" s="1"/>
  <c r="R122" i="213"/>
  <c r="Q123" i="213"/>
  <c r="R123" i="213"/>
  <c r="S123" i="213" a="1"/>
  <c r="S123" i="213" s="1"/>
  <c r="B127" i="214" s="1"/>
  <c r="Q124" i="213"/>
  <c r="S124" i="213" s="1" a="1"/>
  <c r="S124" i="213" s="1"/>
  <c r="B128" i="214" s="1"/>
  <c r="R124" i="213"/>
  <c r="Q125" i="213"/>
  <c r="R125" i="213"/>
  <c r="S125" i="213" a="1"/>
  <c r="S125" i="213" s="1"/>
  <c r="B129" i="214" s="1"/>
  <c r="Q126" i="213"/>
  <c r="S126" i="213" s="1" a="1"/>
  <c r="S126" i="213" s="1"/>
  <c r="B130" i="214" s="1"/>
  <c r="R126" i="213"/>
  <c r="Q127" i="213"/>
  <c r="R127" i="213"/>
  <c r="S127" i="213" a="1"/>
  <c r="S127" i="213"/>
  <c r="B131" i="214" s="1"/>
  <c r="Q128" i="213"/>
  <c r="S128" i="213" s="1" a="1"/>
  <c r="S128" i="213" s="1"/>
  <c r="B132" i="214" s="1"/>
  <c r="R128" i="213"/>
  <c r="Q129" i="213"/>
  <c r="R129" i="213"/>
  <c r="S129" i="213" a="1"/>
  <c r="S129" i="213" s="1"/>
  <c r="B133" i="214" s="1"/>
  <c r="Q130" i="213"/>
  <c r="S130" i="213" s="1" a="1"/>
  <c r="S130" i="213" s="1"/>
  <c r="B134" i="214" s="1"/>
  <c r="R130" i="213"/>
  <c r="Q131" i="213"/>
  <c r="R131" i="213"/>
  <c r="S131" i="213" a="1"/>
  <c r="S131" i="213" s="1"/>
  <c r="B135" i="214" s="1"/>
  <c r="Q132" i="213"/>
  <c r="S132" i="213" s="1" a="1"/>
  <c r="S132" i="213" s="1"/>
  <c r="B136" i="214" s="1"/>
  <c r="R132" i="213"/>
  <c r="Q133" i="213"/>
  <c r="R133" i="213"/>
  <c r="S133" i="213" s="1" a="1"/>
  <c r="S133" i="213" s="1"/>
  <c r="B137" i="214" s="1"/>
  <c r="Q134" i="213"/>
  <c r="S134" i="213" s="1" a="1"/>
  <c r="S134" i="213" s="1"/>
  <c r="B138" i="214" s="1"/>
  <c r="R134" i="213"/>
  <c r="Q135" i="213"/>
  <c r="R135" i="213"/>
  <c r="S135" i="213" a="1"/>
  <c r="S135" i="213" s="1"/>
  <c r="B139" i="214" s="1"/>
  <c r="Q136" i="213"/>
  <c r="S136" i="213" s="1" a="1"/>
  <c r="S136" i="213" s="1"/>
  <c r="B140" i="214" s="1"/>
  <c r="R136" i="213"/>
  <c r="Q137" i="213"/>
  <c r="R137" i="213"/>
  <c r="S137" i="213" s="1" a="1"/>
  <c r="S137" i="213" s="1"/>
  <c r="B141" i="214" s="1"/>
  <c r="Q138" i="213"/>
  <c r="S138" i="213" s="1" a="1"/>
  <c r="S138" i="213" s="1"/>
  <c r="B142" i="214" s="1"/>
  <c r="R138" i="213"/>
  <c r="Q139" i="213"/>
  <c r="R139" i="213"/>
  <c r="S139" i="213" s="1" a="1"/>
  <c r="S139" i="213" s="1"/>
  <c r="B143" i="214" s="1"/>
  <c r="Q140" i="213"/>
  <c r="S140" i="213" s="1" a="1"/>
  <c r="S140" i="213" s="1"/>
  <c r="B144" i="214" s="1"/>
  <c r="R140" i="213"/>
  <c r="Q141" i="213"/>
  <c r="R141" i="213"/>
  <c r="Q142" i="213"/>
  <c r="S142" i="213" s="1" a="1"/>
  <c r="S142" i="213" s="1"/>
  <c r="B146" i="214" s="1"/>
  <c r="R142" i="213"/>
  <c r="Q143" i="213"/>
  <c r="R143" i="213"/>
  <c r="S143" i="213" a="1"/>
  <c r="S143" i="213" s="1"/>
  <c r="B147" i="214" s="1"/>
  <c r="Q144" i="213"/>
  <c r="S144" i="213" s="1" a="1"/>
  <c r="S144" i="213" s="1"/>
  <c r="B148" i="214" s="1"/>
  <c r="R144" i="213"/>
  <c r="Q145" i="213"/>
  <c r="R145" i="213"/>
  <c r="S145" i="213" s="1" a="1"/>
  <c r="S145" i="213" s="1"/>
  <c r="B149" i="214" s="1"/>
  <c r="Q146" i="213"/>
  <c r="S146" i="213" s="1" a="1"/>
  <c r="S146" i="213" s="1"/>
  <c r="B150" i="214" s="1"/>
  <c r="R146" i="213"/>
  <c r="Q147" i="213"/>
  <c r="R147" i="213"/>
  <c r="S147" i="213" a="1"/>
  <c r="S147" i="213" s="1"/>
  <c r="B151" i="214" s="1"/>
  <c r="Q148" i="213"/>
  <c r="S148" i="213" s="1" a="1"/>
  <c r="S148" i="213" s="1"/>
  <c r="B152" i="214" s="1"/>
  <c r="R148" i="213"/>
  <c r="Q149" i="213"/>
  <c r="R149" i="213"/>
  <c r="S149" i="213" s="1" a="1"/>
  <c r="S149" i="213" s="1"/>
  <c r="B153" i="214" s="1"/>
  <c r="Q150" i="213"/>
  <c r="S150" i="213" s="1" a="1"/>
  <c r="S150" i="213" s="1"/>
  <c r="B154" i="214" s="1"/>
  <c r="R150" i="213"/>
  <c r="Q151" i="213"/>
  <c r="R151" i="213"/>
  <c r="S151" i="213" a="1"/>
  <c r="S151" i="213" s="1"/>
  <c r="B155" i="214" s="1"/>
  <c r="Q152" i="213"/>
  <c r="S152" i="213" s="1" a="1"/>
  <c r="S152" i="213" s="1"/>
  <c r="B156" i="214" s="1"/>
  <c r="R152" i="213"/>
  <c r="Q153" i="213"/>
  <c r="R153" i="213"/>
  <c r="Q154" i="213"/>
  <c r="S154" i="213" s="1" a="1"/>
  <c r="S154" i="213" s="1"/>
  <c r="B158" i="214" s="1"/>
  <c r="R154" i="213"/>
  <c r="Q155" i="213"/>
  <c r="R155" i="213"/>
  <c r="S155" i="213" s="1" a="1"/>
  <c r="S155" i="213" s="1"/>
  <c r="B159" i="214" s="1"/>
  <c r="Q156" i="213"/>
  <c r="S156" i="213" s="1" a="1"/>
  <c r="S156" i="213" s="1"/>
  <c r="B160" i="214" s="1"/>
  <c r="R156" i="213"/>
  <c r="Q157" i="213"/>
  <c r="R157" i="213"/>
  <c r="S157" i="213" a="1"/>
  <c r="S157" i="213" s="1"/>
  <c r="B161" i="214" s="1"/>
  <c r="Q158" i="213"/>
  <c r="S158" i="213" s="1" a="1"/>
  <c r="S158" i="213" s="1"/>
  <c r="B162" i="214" s="1"/>
  <c r="R158" i="213"/>
  <c r="Q159" i="213"/>
  <c r="R159" i="213"/>
  <c r="Q160" i="213"/>
  <c r="S160" i="213" s="1" a="1"/>
  <c r="S160" i="213" s="1"/>
  <c r="B164" i="214" s="1"/>
  <c r="R160" i="213"/>
  <c r="Q161" i="213"/>
  <c r="S161" i="213" s="1" a="1"/>
  <c r="S161" i="213" s="1"/>
  <c r="B165" i="214" s="1"/>
  <c r="R161" i="213"/>
  <c r="Q162" i="213"/>
  <c r="S162" i="213" s="1" a="1"/>
  <c r="S162" i="213" s="1"/>
  <c r="B166" i="214" s="1"/>
  <c r="R162" i="213"/>
  <c r="Q163" i="213"/>
  <c r="S163" i="213" s="1" a="1"/>
  <c r="S163" i="213" s="1"/>
  <c r="B167" i="214" s="1"/>
  <c r="R163" i="213"/>
  <c r="Q164" i="213"/>
  <c r="S164" i="213" s="1" a="1"/>
  <c r="S164" i="213" s="1"/>
  <c r="B168" i="214" s="1"/>
  <c r="R164" i="213"/>
  <c r="Q18" i="213"/>
  <c r="S18" i="213" s="1" a="1"/>
  <c r="S18" i="213" s="1"/>
  <c r="B22" i="214" s="1"/>
  <c r="R18" i="213"/>
  <c r="Q19" i="213"/>
  <c r="S19" i="213" s="1" a="1"/>
  <c r="S19" i="213" s="1"/>
  <c r="B23" i="214" s="1"/>
  <c r="R19" i="213"/>
  <c r="Q20" i="213"/>
  <c r="S20" i="213" s="1" a="1"/>
  <c r="S20" i="213" s="1"/>
  <c r="B24" i="214" s="1"/>
  <c r="R20" i="213"/>
  <c r="Q21" i="213"/>
  <c r="R21" i="213"/>
  <c r="Q22" i="213"/>
  <c r="S22" i="213" s="1" a="1"/>
  <c r="S22" i="213" s="1"/>
  <c r="B26" i="214" s="1"/>
  <c r="R22" i="213"/>
  <c r="Q23" i="213"/>
  <c r="R23" i="213"/>
  <c r="Q16" i="213"/>
  <c r="S16" i="213" s="1" a="1"/>
  <c r="S16" i="213" s="1"/>
  <c r="B20" i="214" s="1"/>
  <c r="R16" i="213"/>
  <c r="Q17" i="213"/>
  <c r="R17" i="213"/>
  <c r="S17" i="213" a="1"/>
  <c r="S17" i="213" s="1"/>
  <c r="B21" i="214" s="1"/>
  <c r="I24" i="213"/>
  <c r="S69" i="213" s="1" a="1"/>
  <c r="S69" i="213" s="1"/>
  <c r="B73" i="214" s="1"/>
  <c r="J24" i="213"/>
  <c r="K24" i="213"/>
  <c r="L24" i="213"/>
  <c r="M24" i="213"/>
  <c r="N24" i="213"/>
  <c r="I25" i="213"/>
  <c r="J25" i="213"/>
  <c r="K25" i="213"/>
  <c r="L25" i="213"/>
  <c r="M25" i="213"/>
  <c r="N25" i="213"/>
  <c r="I26" i="213"/>
  <c r="J26" i="213"/>
  <c r="K26" i="213"/>
  <c r="L26" i="213"/>
  <c r="M26" i="213"/>
  <c r="N26" i="213"/>
  <c r="I27" i="213"/>
  <c r="S87" i="213" s="1" a="1"/>
  <c r="S87" i="213" s="1"/>
  <c r="B91" i="214" s="1"/>
  <c r="J27" i="213"/>
  <c r="K27" i="213"/>
  <c r="L27" i="213"/>
  <c r="M27" i="213"/>
  <c r="N27" i="213"/>
  <c r="I28" i="213"/>
  <c r="S93" i="213" s="1" a="1"/>
  <c r="S93" i="213" s="1"/>
  <c r="B97" i="214" s="1"/>
  <c r="J28" i="213"/>
  <c r="K28" i="213"/>
  <c r="L28" i="213"/>
  <c r="M28" i="213"/>
  <c r="N28" i="213"/>
  <c r="I29" i="213"/>
  <c r="J29" i="213"/>
  <c r="K29" i="213"/>
  <c r="L29" i="213"/>
  <c r="M29" i="213"/>
  <c r="N29" i="213"/>
  <c r="I30" i="213"/>
  <c r="S105" i="213" s="1" a="1"/>
  <c r="S105" i="213" s="1"/>
  <c r="B109" i="214" s="1"/>
  <c r="J30" i="213"/>
  <c r="K30" i="213"/>
  <c r="L30" i="213"/>
  <c r="M30" i="213"/>
  <c r="N30" i="213"/>
  <c r="I31" i="213"/>
  <c r="S111" i="213" s="1" a="1"/>
  <c r="S111" i="213" s="1"/>
  <c r="B115" i="214" s="1"/>
  <c r="J31" i="213"/>
  <c r="K31" i="213"/>
  <c r="L31" i="213"/>
  <c r="M31" i="213"/>
  <c r="N31" i="213"/>
  <c r="I32" i="213"/>
  <c r="S117" i="213" s="1" a="1"/>
  <c r="S117" i="213" s="1"/>
  <c r="B121" i="214" s="1"/>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S141" i="213" s="1" a="1"/>
  <c r="S141" i="213" s="1"/>
  <c r="B145" i="214" s="1"/>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S33" i="213" s="1" a="1"/>
  <c r="S33" i="213" s="1"/>
  <c r="B37" i="214" s="1"/>
  <c r="J18" i="213"/>
  <c r="K18" i="213"/>
  <c r="L18" i="213"/>
  <c r="M18" i="213"/>
  <c r="N18" i="213"/>
  <c r="I19" i="213"/>
  <c r="S39" i="213" s="1" a="1"/>
  <c r="S39" i="213" s="1"/>
  <c r="B43" i="214" s="1"/>
  <c r="J19" i="213"/>
  <c r="K19" i="213"/>
  <c r="L19" i="213"/>
  <c r="M19" i="213"/>
  <c r="N19" i="213"/>
  <c r="I20" i="213"/>
  <c r="S45" i="213" s="1" a="1"/>
  <c r="S45" i="213" s="1"/>
  <c r="B49" i="214" s="1"/>
  <c r="J20" i="213"/>
  <c r="K20" i="213"/>
  <c r="S47" i="213" s="1" a="1"/>
  <c r="S47" i="213" s="1"/>
  <c r="B51" i="214" s="1"/>
  <c r="L20" i="213"/>
  <c r="M20" i="213"/>
  <c r="N20" i="213"/>
  <c r="I21" i="213"/>
  <c r="S51" i="213" s="1" a="1"/>
  <c r="S51" i="213" s="1"/>
  <c r="B55" i="214" s="1"/>
  <c r="J21" i="213"/>
  <c r="K21" i="213"/>
  <c r="L21" i="213"/>
  <c r="M21" i="213"/>
  <c r="N21" i="213"/>
  <c r="I22" i="213"/>
  <c r="S57" i="213" s="1" a="1"/>
  <c r="S57" i="213" s="1"/>
  <c r="B61" i="214" s="1"/>
  <c r="J22" i="213"/>
  <c r="K22" i="213"/>
  <c r="L22" i="213"/>
  <c r="M22" i="213"/>
  <c r="N22" i="213"/>
  <c r="I23" i="213"/>
  <c r="S63" i="213" s="1" a="1"/>
  <c r="S63" i="213" s="1"/>
  <c r="B67" i="214" s="1"/>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50" i="213" l="1" a="1"/>
  <c r="S50" i="213" s="1"/>
  <c r="B54" i="214" s="1"/>
  <c r="S159" i="213" a="1"/>
  <c r="S159" i="213" s="1"/>
  <c r="B163" i="214" s="1"/>
  <c r="S153" i="213" a="1"/>
  <c r="S153" i="213" s="1"/>
  <c r="B157" i="214" s="1"/>
  <c r="S23" i="255" a="1"/>
  <c r="S23" i="255" s="1"/>
  <c r="B201" i="200" s="1"/>
  <c r="S107" i="255" a="1"/>
  <c r="S107" i="255" s="1"/>
  <c r="B285" i="200" s="1"/>
  <c r="S95" i="255" a="1"/>
  <c r="S95" i="255" s="1"/>
  <c r="B273" i="200" s="1"/>
  <c r="S83" i="255" a="1"/>
  <c r="S83" i="255" s="1"/>
  <c r="B261" i="200" s="1"/>
  <c r="S71" i="255" a="1"/>
  <c r="S71" i="255" s="1"/>
  <c r="B249" i="200" s="1"/>
  <c r="S59" i="255" a="1"/>
  <c r="S59" i="255" s="1"/>
  <c r="B237" i="200" s="1"/>
  <c r="S47" i="255" a="1"/>
  <c r="S47" i="255" s="1"/>
  <c r="B225" i="200" s="1"/>
  <c r="S35" i="255" a="1"/>
  <c r="S35" i="255" s="1"/>
  <c r="B213" i="200"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70" i="200" s="1"/>
  <c r="S68" i="255" a="1"/>
  <c r="S68" i="255" s="1"/>
  <c r="B246"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S23" i="213" s="1" a="1"/>
  <c r="S23" i="213" s="1"/>
  <c r="B27" i="214" s="1"/>
  <c r="L16" i="213"/>
  <c r="M16" i="213"/>
  <c r="N16" i="213"/>
  <c r="S26" i="213" s="1" a="1"/>
  <c r="S26" i="213" s="1"/>
  <c r="B30" i="214" s="1"/>
  <c r="N15" i="255"/>
  <c r="M15" i="255"/>
  <c r="L15" i="255"/>
  <c r="K15" i="255"/>
  <c r="S17" i="255" s="1" a="1"/>
  <c r="S17" i="255" s="1"/>
  <c r="B195" i="200" s="1"/>
  <c r="J15" i="255"/>
  <c r="I15" i="255"/>
  <c r="B191" i="200"/>
  <c r="B17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180" i="200" s="1"/>
  <c r="R15" i="256"/>
  <c r="Q15" i="256"/>
  <c r="N15" i="256"/>
  <c r="M15" i="256"/>
  <c r="L15" i="256"/>
  <c r="K15" i="256"/>
  <c r="J15" i="256"/>
  <c r="B14" i="256"/>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S16" i="256" l="1" a="1"/>
  <c r="S16" i="256" s="1"/>
  <c r="S15" i="255" a="1"/>
  <c r="S15" i="255" s="1"/>
  <c r="B193" i="200" s="1"/>
  <c r="B22" i="199" l="1"/>
  <c r="C22" i="199"/>
  <c r="B16" i="199"/>
  <c r="C16" i="199"/>
  <c r="B17" i="199"/>
  <c r="C17" i="199"/>
  <c r="B18" i="199"/>
  <c r="C18" i="199"/>
  <c r="B19" i="199"/>
  <c r="C19" i="199"/>
  <c r="B20" i="199"/>
  <c r="C20" i="199"/>
  <c r="B21" i="199"/>
  <c r="C21"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45" i="200"/>
  <c r="B112" i="200"/>
  <c r="B81" i="200"/>
  <c r="C18" i="203"/>
  <c r="B18" i="203"/>
  <c r="C17" i="203"/>
  <c r="B17" i="203"/>
  <c r="C16" i="203"/>
  <c r="B16" i="203"/>
  <c r="R15" i="203"/>
  <c r="Q15" i="203"/>
  <c r="N15" i="203"/>
  <c r="M15" i="203"/>
  <c r="L15" i="203"/>
  <c r="K15" i="203"/>
  <c r="C15" i="203"/>
  <c r="J15" i="203" s="1"/>
  <c r="B15" i="203"/>
  <c r="B14" i="203"/>
  <c r="C18" i="202"/>
  <c r="B18" i="202"/>
  <c r="C17" i="202"/>
  <c r="B17" i="202"/>
  <c r="C16" i="202"/>
  <c r="B16" i="202"/>
  <c r="R15" i="202"/>
  <c r="Q15" i="202"/>
  <c r="N15" i="202"/>
  <c r="M15" i="202"/>
  <c r="L15" i="202"/>
  <c r="K15" i="202"/>
  <c r="C15" i="202"/>
  <c r="J15" i="202" s="1"/>
  <c r="B15" i="202"/>
  <c r="B14" i="202"/>
  <c r="C18" i="201"/>
  <c r="B18" i="201"/>
  <c r="C17" i="201"/>
  <c r="B17" i="201"/>
  <c r="C16" i="201"/>
  <c r="B16" i="201"/>
  <c r="R15" i="201"/>
  <c r="Q15" i="201"/>
  <c r="N15" i="201"/>
  <c r="M15" i="201"/>
  <c r="L15" i="201"/>
  <c r="K15" i="201"/>
  <c r="C15" i="201"/>
  <c r="J15" i="201" s="1"/>
  <c r="B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E3" i="199" l="1"/>
  <c r="E6" i="199" s="1"/>
  <c r="B16" i="200" s="1"/>
  <c r="N12" i="193"/>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E6" i="213" s="1"/>
  <c r="B16" i="214" s="1"/>
  <c r="I16" i="213"/>
  <c r="S21" i="213" s="1" a="1"/>
  <c r="S21" i="213" s="1"/>
  <c r="B25" i="214" s="1"/>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14"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47"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B14" i="214" l="1"/>
  <c r="E3" i="255"/>
  <c r="E6" i="255" s="1"/>
  <c r="B190" i="200" s="1"/>
  <c r="E3" i="201"/>
  <c r="E6" i="201" s="1"/>
  <c r="B80" i="200" s="1"/>
  <c r="E3" i="256"/>
  <c r="E6" i="256" s="1"/>
  <c r="B177" i="200" s="1"/>
  <c r="E3" i="203"/>
  <c r="E6" i="203" s="1"/>
  <c r="B144" i="200" s="1"/>
  <c r="E3" i="202"/>
  <c r="E6" i="202" s="1"/>
  <c r="B111" i="200" s="1"/>
  <c r="B14" i="200"/>
  <c r="S77" i="185"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<sst xmlns="http://schemas.openxmlformats.org/spreadsheetml/2006/main" count="7125" uniqueCount="2453">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</sst>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A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C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2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2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4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6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6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8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A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A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C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E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E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3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6.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7.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8.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9.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1.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2.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5.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4" Type="http://schemas.microsoft.com/office/2017/10/relationships/threadedComment" Target="../threadedComments/threadedComment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5.vml"/><Relationship Id="rId1" Type="http://schemas.openxmlformats.org/officeDocument/2006/relationships/printerSettings" Target="../printerSettings/printerSettings25.bin"/><Relationship Id="rId4" Type="http://schemas.microsoft.com/office/2017/10/relationships/threadedComment" Target="../threadedComments/threadedComment7.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8.vml"/><Relationship Id="rId1" Type="http://schemas.openxmlformats.org/officeDocument/2006/relationships/printerSettings" Target="../printerSettings/printerSettings28.bin"/><Relationship Id="rId4" Type="http://schemas.microsoft.com/office/2017/10/relationships/threadedComment" Target="../threadedComments/threadedComment8.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9.vml"/><Relationship Id="rId1" Type="http://schemas.openxmlformats.org/officeDocument/2006/relationships/printerSettings" Target="../printerSettings/printerSettings41.bin"/><Relationship Id="rId4" Type="http://schemas.microsoft.com/office/2017/10/relationships/threadedComment" Target="../threadedComments/threadedComment11.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6.vml"/><Relationship Id="rId1" Type="http://schemas.openxmlformats.org/officeDocument/2006/relationships/printerSettings" Target="../printerSettings/printerSettings48.bin"/><Relationship Id="rId4" Type="http://schemas.microsoft.com/office/2017/10/relationships/threadedComment" Target="../threadedComments/threadedComment13.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2077</v>
      </c>
      <c r="J7" s="119" t="s">
        <v>2078</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1981</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1982</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1931</v>
      </c>
      <c r="C16" s="11" t="s">
        <v>1932</v>
      </c>
      <c r="D16" s="11" t="s">
        <v>1933</v>
      </c>
      <c r="E16" s="11">
        <v>0</v>
      </c>
      <c r="F16" s="11">
        <v>1</v>
      </c>
      <c r="G16" s="67" t="s">
        <v>1987</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1934</v>
      </c>
      <c r="C17" s="11" t="s">
        <v>1935</v>
      </c>
      <c r="D17" s="11" t="s">
        <v>1936</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2084</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1939</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1940</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1941</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1942</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1943</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1944</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1945</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1946</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1947</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1948</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1949</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1950</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1951</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1952</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1953</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1954</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1937</v>
      </c>
      <c r="C36" s="12" t="s">
        <v>1955</v>
      </c>
      <c r="D36" s="67" t="s">
        <v>1956</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1938</v>
      </c>
      <c r="C37" s="12" t="s">
        <v>1957</v>
      </c>
      <c r="D37" s="67" t="s">
        <v>1958</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1959</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1983</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1984</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1960</v>
      </c>
      <c r="C41" s="11" t="s">
        <v>1961</v>
      </c>
      <c r="D41" s="12" t="s">
        <v>2083</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2085</v>
      </c>
      <c r="C42" s="11" t="s">
        <v>1962</v>
      </c>
      <c r="D42" s="11" t="s">
        <v>1962</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2086</v>
      </c>
      <c r="C43" s="11" t="s">
        <v>1963</v>
      </c>
      <c r="D43" s="11" t="s">
        <v>1963</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2087</v>
      </c>
      <c r="C44" s="11" t="s">
        <v>1964</v>
      </c>
      <c r="D44" s="11" t="s">
        <v>1964</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2088</v>
      </c>
      <c r="C45" s="11" t="s">
        <v>1965</v>
      </c>
      <c r="D45" s="11" t="s">
        <v>1965</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2089</v>
      </c>
      <c r="C46" s="11" t="s">
        <v>1966</v>
      </c>
      <c r="D46" s="11" t="s">
        <v>1966</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2090</v>
      </c>
      <c r="C47" s="11" t="s">
        <v>1967</v>
      </c>
      <c r="D47" s="11" t="s">
        <v>1980</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2091</v>
      </c>
      <c r="C48" s="11" t="s">
        <v>1968</v>
      </c>
      <c r="D48" s="11" t="s">
        <v>1968</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2092</v>
      </c>
      <c r="C49" s="11" t="s">
        <v>1969</v>
      </c>
      <c r="D49" s="11" t="s">
        <v>1969</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2093</v>
      </c>
      <c r="C50" s="11" t="s">
        <v>1970</v>
      </c>
      <c r="D50" s="11" t="s">
        <v>1970</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2094</v>
      </c>
      <c r="C51" s="11" t="s">
        <v>1971</v>
      </c>
      <c r="D51" s="11" t="s">
        <v>1971</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2095</v>
      </c>
      <c r="C52" s="11" t="s">
        <v>1972</v>
      </c>
      <c r="D52" s="11" t="s">
        <v>1972</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1973</v>
      </c>
      <c r="C53" s="11" t="s">
        <v>1974</v>
      </c>
      <c r="D53" s="11" t="s">
        <v>2082</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1975</v>
      </c>
      <c r="C54" s="11" t="s">
        <v>1976</v>
      </c>
      <c r="D54" s="11" t="s">
        <v>1976</v>
      </c>
      <c r="E54" s="11">
        <v>1</v>
      </c>
      <c r="F54" s="11">
        <v>1</v>
      </c>
      <c r="G54" s="11" t="s">
        <v>1468</v>
      </c>
      <c r="H54" s="120" t="s">
        <v>1985</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1977</v>
      </c>
      <c r="C55" s="11" t="s">
        <v>1978</v>
      </c>
      <c r="D55" s="11" t="s">
        <v>1979</v>
      </c>
      <c r="E55" s="11">
        <v>1</v>
      </c>
      <c r="F55" s="11">
        <v>1</v>
      </c>
      <c r="G55" s="11" t="s">
        <v>1988</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3" t="s">
        <v>1554</v>
      </c>
      <c r="F4" s="154"/>
      <c r="G4" s="154"/>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1554</v>
      </c>
      <c r="F7" s="154"/>
      <c r="G7" s="154"/>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1537</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1543</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1545</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1986</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1986</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1547</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2283</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1989</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2282</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1990</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2275</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2276</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2277</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2278</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2281</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2280</v>
      </c>
      <c r="E102" s="12"/>
      <c r="F102" s="49" t="s">
        <v>1317</v>
      </c>
      <c r="G102" s="135" t="s">
        <v>2279</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30" t="s">
        <v>1910</v>
      </c>
      <c r="L4" s="16" t="str">
        <f>CONCATENATE("Logical: ",B4)</f>
        <v>Logical: HospitalPatientRecordsI4rc</v>
      </c>
    </row>
    <row r="5" spans="1:18" ht="15.5" thickBot="1" x14ac:dyDescent="0.9">
      <c r="A5" s="14" t="s">
        <v>16</v>
      </c>
      <c r="B5" s="30" t="s">
        <v>1835</v>
      </c>
      <c r="L5" s="16" t="str">
        <f>CONCATENATE("Id: ",B5)</f>
        <v>Id: HospitalPatientRecords</v>
      </c>
    </row>
    <row r="6" spans="1:18" ht="15.5" thickBot="1" x14ac:dyDescent="0.9">
      <c r="A6" s="14" t="s">
        <v>10</v>
      </c>
      <c r="B6" s="30" t="s">
        <v>1836</v>
      </c>
      <c r="L6" s="17" t="str">
        <f>CONCATENATE("Title: ##34#",B6,"##34#")</f>
        <v>Title: ##34#Hospital Patient Records##34#</v>
      </c>
    </row>
    <row r="7" spans="1:18" x14ac:dyDescent="0.75">
      <c r="A7" s="26" t="s">
        <v>2</v>
      </c>
      <c r="B7" s="96" t="s">
        <v>1836</v>
      </c>
      <c r="C7" s="9" t="s">
        <v>3</v>
      </c>
      <c r="D7" s="1" t="s">
        <v>4</v>
      </c>
      <c r="E7" s="3" t="s">
        <v>5</v>
      </c>
      <c r="F7" s="3" t="s">
        <v>6</v>
      </c>
      <c r="G7" s="3" t="s">
        <v>7</v>
      </c>
      <c r="H7" s="64" t="s">
        <v>1384</v>
      </c>
      <c r="I7" s="119" t="s">
        <v>2077</v>
      </c>
      <c r="J7" s="119" t="s">
        <v>2078</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1825</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1826</v>
      </c>
      <c r="C9" s="11" t="s">
        <v>1827</v>
      </c>
      <c r="D9" s="11" t="s">
        <v>1828</v>
      </c>
      <c r="E9" s="11">
        <v>1</v>
      </c>
      <c r="F9" s="11">
        <v>1</v>
      </c>
      <c r="G9" s="73" t="s">
        <v>1</v>
      </c>
      <c r="H9" s="11" t="s">
        <v>1829</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1834</v>
      </c>
      <c r="C10" s="11" t="s">
        <v>1823</v>
      </c>
      <c r="D10" s="11" t="s">
        <v>1824</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1830</v>
      </c>
      <c r="C11" s="11" t="s">
        <v>1831</v>
      </c>
      <c r="D11" s="11" t="s">
        <v>1832</v>
      </c>
      <c r="E11" s="11">
        <v>1</v>
      </c>
      <c r="F11" s="11">
        <v>1</v>
      </c>
      <c r="G11" s="11" t="s">
        <v>43</v>
      </c>
      <c r="H11" s="11" t="s">
        <v>1833</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1837</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1919</v>
      </c>
      <c r="D3" s="47" t="s">
        <v>1473</v>
      </c>
      <c r="E3" s="71" t="str">
        <f>$C$1&amp;B14</f>
        <v>http://hl7.eu/fhir/ig/idea4rc/StructureDefinition/HospitalPatientRecords</v>
      </c>
    </row>
    <row r="4" spans="1:19" x14ac:dyDescent="0.75">
      <c r="B4" s="47" t="s">
        <v>16</v>
      </c>
      <c r="C4" s="28" t="s">
        <v>1919</v>
      </c>
      <c r="D4" s="47" t="s">
        <v>1474</v>
      </c>
      <c r="E4" s="153" t="s">
        <v>1922</v>
      </c>
      <c r="F4" s="154"/>
      <c r="G4" s="154"/>
    </row>
    <row r="5" spans="1:19" x14ac:dyDescent="0.75">
      <c r="B5" s="47" t="s">
        <v>10</v>
      </c>
      <c r="C5" s="7" t="s">
        <v>1920</v>
      </c>
      <c r="D5" s="47"/>
      <c r="E5" s="7"/>
    </row>
    <row r="6" spans="1:19" x14ac:dyDescent="0.75">
      <c r="B6" s="47" t="s">
        <v>18</v>
      </c>
      <c r="C6" s="41"/>
      <c r="D6" s="47" t="s">
        <v>1475</v>
      </c>
      <c r="E6" s="153" t="str">
        <f>E3</f>
        <v>http://hl7.eu/fhir/ig/idea4rc/StructureDefinition/HospitalPatientRecords</v>
      </c>
      <c r="F6" s="154"/>
      <c r="G6" s="154"/>
    </row>
    <row r="7" spans="1:19" x14ac:dyDescent="0.75">
      <c r="B7" s="47" t="s">
        <v>15</v>
      </c>
      <c r="C7" s="72"/>
      <c r="D7" s="47" t="s">
        <v>1476</v>
      </c>
      <c r="E7" s="153" t="str">
        <f>E4</f>
        <v>http://hl7.eu/fhir/ig/idea4rc/StructureDefinition/episodeOfCare-eu-i4rc</v>
      </c>
      <c r="F7" s="154"/>
      <c r="G7" s="154"/>
    </row>
    <row r="8" spans="1:19" ht="45" thickBot="1" x14ac:dyDescent="0.9">
      <c r="B8" s="47" t="s">
        <v>1477</v>
      </c>
      <c r="C8" t="s">
        <v>1920</v>
      </c>
      <c r="D8" s="47"/>
      <c r="E8" s="7"/>
      <c r="I8" s="12" t="s">
        <v>1289</v>
      </c>
      <c r="J8" s="12" t="s">
        <v>1290</v>
      </c>
      <c r="K8" s="12" t="s">
        <v>1291</v>
      </c>
      <c r="L8" s="12" t="s">
        <v>1292</v>
      </c>
      <c r="M8" s="11" t="s">
        <v>1293</v>
      </c>
      <c r="P8" s="34" t="s">
        <v>1328</v>
      </c>
      <c r="Q8" s="34">
        <v>6</v>
      </c>
    </row>
    <row r="9" spans="1:19" ht="30.25" thickBot="1" x14ac:dyDescent="0.9">
      <c r="B9" s="47" t="s">
        <v>1478</v>
      </c>
      <c r="C9" s="12" t="s">
        <v>1921</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1923</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1924</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1925</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1926</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1858</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PatientFollowUpI4rc</v>
      </c>
    </row>
    <row r="5" spans="1:18" ht="15.5" thickBot="1" x14ac:dyDescent="0.9">
      <c r="A5" s="14" t="s">
        <v>16</v>
      </c>
      <c r="B5" s="30" t="s">
        <v>1854</v>
      </c>
      <c r="L5" s="16" t="str">
        <f>CONCATENATE("Id: ",B5)</f>
        <v>Id: PatientFollowUp</v>
      </c>
    </row>
    <row r="6" spans="1:18" ht="15.5" thickBot="1" x14ac:dyDescent="0.9">
      <c r="A6" s="14" t="s">
        <v>10</v>
      </c>
      <c r="B6" s="30" t="s">
        <v>1855</v>
      </c>
      <c r="L6" s="17" t="str">
        <f>CONCATENATE("Title: ##34#",B6,"##34#")</f>
        <v>Title: ##34#Patient Follow Up##34#</v>
      </c>
    </row>
    <row r="7" spans="1:18" x14ac:dyDescent="0.75">
      <c r="A7" s="26" t="s">
        <v>2</v>
      </c>
      <c r="B7" s="30" t="s">
        <v>1855</v>
      </c>
      <c r="C7" s="9" t="s">
        <v>3</v>
      </c>
      <c r="D7" s="1" t="s">
        <v>4</v>
      </c>
      <c r="E7" s="3" t="s">
        <v>5</v>
      </c>
      <c r="F7" s="3" t="s">
        <v>6</v>
      </c>
      <c r="G7" s="3" t="s">
        <v>7</v>
      </c>
      <c r="H7" s="64" t="s">
        <v>1384</v>
      </c>
      <c r="I7" s="119" t="s">
        <v>2077</v>
      </c>
      <c r="J7" s="119" t="s">
        <v>2078</v>
      </c>
      <c r="L7" s="17" t="str">
        <f>CONCATENATE("Description: "," ##334#",B7,"##334#",)</f>
        <v>Description:  ##334#Patient Follow Up##334#</v>
      </c>
    </row>
    <row r="8" spans="1:18" ht="29.5" x14ac:dyDescent="0.75">
      <c r="A8" s="59">
        <v>0</v>
      </c>
      <c r="B8" s="11" t="s">
        <v>1487</v>
      </c>
      <c r="C8" s="11" t="s">
        <v>14</v>
      </c>
      <c r="D8" s="11" t="s">
        <v>1838</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1839</v>
      </c>
      <c r="C9" s="11" t="s">
        <v>1840</v>
      </c>
      <c r="D9" s="11" t="s">
        <v>1841</v>
      </c>
      <c r="E9" s="11">
        <v>1</v>
      </c>
      <c r="F9" s="11">
        <v>1</v>
      </c>
      <c r="G9" s="73" t="s">
        <v>1468</v>
      </c>
      <c r="H9" s="150" t="s">
        <v>2444</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1842</v>
      </c>
      <c r="C10" s="11" t="s">
        <v>1843</v>
      </c>
      <c r="D10" s="11" t="s">
        <v>1844</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1845</v>
      </c>
      <c r="C11" s="11" t="s">
        <v>1846</v>
      </c>
      <c r="D11" s="11" t="s">
        <v>1847</v>
      </c>
      <c r="E11" s="11">
        <v>1</v>
      </c>
      <c r="F11" s="11">
        <v>1</v>
      </c>
      <c r="G11" s="11" t="s">
        <v>1468</v>
      </c>
      <c r="H11" s="11" t="s">
        <v>2445</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1848</v>
      </c>
      <c r="C12" s="11" t="s">
        <v>1849</v>
      </c>
      <c r="D12" s="11" t="s">
        <v>1850</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1851</v>
      </c>
      <c r="C13" s="11" t="s">
        <v>1852</v>
      </c>
      <c r="D13" s="11" t="s">
        <v>1853</v>
      </c>
      <c r="E13" s="11">
        <v>1</v>
      </c>
      <c r="F13" s="11">
        <v>1</v>
      </c>
      <c r="G13" s="11" t="s">
        <v>1468</v>
      </c>
      <c r="H13" s="12" t="s">
        <v>2308</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1856</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1927</v>
      </c>
      <c r="D3" s="47" t="s">
        <v>1473</v>
      </c>
      <c r="E3" s="71" t="str">
        <f>$C$1&amp;B14</f>
        <v>http://hl7.eu/fhir/ig/idea4rc/StructureDefinition/PatientFollowUp</v>
      </c>
    </row>
    <row r="4" spans="1:19" x14ac:dyDescent="0.75">
      <c r="B4" s="47" t="s">
        <v>16</v>
      </c>
      <c r="C4" s="28" t="s">
        <v>1927</v>
      </c>
      <c r="D4" s="47" t="s">
        <v>1474</v>
      </c>
      <c r="E4" s="153" t="str">
        <f>C1&amp;"/"&amp;H4</f>
        <v>http://hl7.eu/fhir/ig/idea4rc/StructureDefinition//Bundle-eu-i4rc</v>
      </c>
      <c r="F4" s="154"/>
      <c r="G4" s="154"/>
      <c r="H4" t="s">
        <v>2448</v>
      </c>
      <c r="I4" s="80"/>
    </row>
    <row r="5" spans="1:19" x14ac:dyDescent="0.75">
      <c r="B5" s="47" t="s">
        <v>10</v>
      </c>
      <c r="C5" s="7" t="s">
        <v>1928</v>
      </c>
      <c r="D5" s="47"/>
      <c r="E5" s="7"/>
    </row>
    <row r="6" spans="1:19" x14ac:dyDescent="0.75">
      <c r="B6" s="47" t="s">
        <v>18</v>
      </c>
      <c r="C6" s="41"/>
      <c r="D6" s="47" t="s">
        <v>1475</v>
      </c>
      <c r="E6" s="153" t="str">
        <f>E3</f>
        <v>http://hl7.eu/fhir/ig/idea4rc/StructureDefinition/PatientFollowUp</v>
      </c>
      <c r="F6" s="154"/>
      <c r="G6" s="154"/>
    </row>
    <row r="7" spans="1:19" x14ac:dyDescent="0.75">
      <c r="B7" s="47" t="s">
        <v>15</v>
      </c>
      <c r="C7" s="72"/>
      <c r="D7" s="47" t="s">
        <v>1476</v>
      </c>
      <c r="E7" s="153" t="str">
        <f>C1&amp;"Encounter-eu-i4rc"</f>
        <v>http://hl7.eu/fhir/ig/idea4rc/StructureDefinition/Encounter-eu-i4rc</v>
      </c>
      <c r="F7" s="154"/>
      <c r="G7" s="154"/>
    </row>
    <row r="8" spans="1:19" ht="45" thickBot="1" x14ac:dyDescent="0.9">
      <c r="B8" s="47" t="s">
        <v>1477</v>
      </c>
      <c r="C8" s="7" t="s">
        <v>1928</v>
      </c>
      <c r="D8" s="47"/>
      <c r="E8" s="7"/>
      <c r="I8" s="12" t="s">
        <v>1289</v>
      </c>
      <c r="J8" s="12" t="s">
        <v>1290</v>
      </c>
      <c r="K8" s="12" t="s">
        <v>1291</v>
      </c>
      <c r="L8" s="12" t="s">
        <v>1292</v>
      </c>
      <c r="M8" s="11" t="s">
        <v>1293</v>
      </c>
      <c r="P8" s="34" t="s">
        <v>1328</v>
      </c>
      <c r="Q8" s="34">
        <v>6</v>
      </c>
    </row>
    <row r="9" spans="1:19" ht="30.25" thickBot="1" x14ac:dyDescent="0.9">
      <c r="B9" s="47" t="s">
        <v>1478</v>
      </c>
      <c r="C9" s="12" t="s">
        <v>1929</v>
      </c>
      <c r="D9" s="93"/>
      <c r="E9" s="155"/>
      <c r="F9" s="156"/>
      <c r="G9" s="157"/>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1930</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2284</v>
      </c>
      <c r="E16" s="12"/>
      <c r="F16" s="49" t="s">
        <v>1294</v>
      </c>
      <c r="G16" s="77" t="s">
        <v>2447</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1926</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2284</v>
      </c>
      <c r="E18" s="12"/>
      <c r="F18" s="49" t="s">
        <v>1294</v>
      </c>
      <c r="G18" s="77" t="s">
        <v>2286</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2284</v>
      </c>
      <c r="E19" s="12"/>
      <c r="F19" s="49" t="s">
        <v>1294</v>
      </c>
      <c r="G19" s="77" t="s">
        <v>2286</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2284</v>
      </c>
      <c r="E20" s="12"/>
      <c r="F20" s="49" t="s">
        <v>1294</v>
      </c>
      <c r="G20" s="77" t="s">
        <v>2286</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1927</v>
      </c>
      <c r="D3" s="47" t="s">
        <v>1473</v>
      </c>
      <c r="E3" s="71" t="str">
        <f>$C$1&amp;B14</f>
        <v>http://hl7.eu/fhir/ig/idea4rc/StructureDefinition/PatientFollowUp</v>
      </c>
    </row>
    <row r="4" spans="1:19" x14ac:dyDescent="0.75">
      <c r="B4" s="47" t="s">
        <v>16</v>
      </c>
      <c r="C4" s="28" t="s">
        <v>1927</v>
      </c>
      <c r="D4" s="47" t="s">
        <v>1474</v>
      </c>
      <c r="E4" s="153" t="str">
        <f>'PatientFollowUp-ConceptMap-1'!E4</f>
        <v>http://hl7.eu/fhir/ig/idea4rc/StructureDefinition//Bundle-eu-i4rc</v>
      </c>
      <c r="F4" s="154"/>
      <c r="G4" s="154"/>
    </row>
    <row r="5" spans="1:19" x14ac:dyDescent="0.75">
      <c r="B5" s="47" t="s">
        <v>10</v>
      </c>
      <c r="C5" s="7" t="s">
        <v>1928</v>
      </c>
      <c r="D5" s="47"/>
      <c r="E5" s="7"/>
    </row>
    <row r="6" spans="1:19" x14ac:dyDescent="0.75">
      <c r="B6" s="47" t="s">
        <v>18</v>
      </c>
      <c r="C6" s="41"/>
      <c r="D6" s="47" t="s">
        <v>1475</v>
      </c>
      <c r="E6" s="153" t="str">
        <f>E3</f>
        <v>http://hl7.eu/fhir/ig/idea4rc/StructureDefinition/PatientFollowUp</v>
      </c>
      <c r="F6" s="154"/>
      <c r="G6" s="154"/>
    </row>
    <row r="7" spans="1:19" x14ac:dyDescent="0.75">
      <c r="B7" s="47" t="s">
        <v>15</v>
      </c>
      <c r="C7" s="72"/>
      <c r="D7" s="47" t="s">
        <v>1476</v>
      </c>
      <c r="E7" s="153" t="str">
        <f>C1&amp;"Condition-primaryCancer-eu-i4rc"</f>
        <v>http://hl7.eu/fhir/ig/idea4rc/StructureDefinition/Condition-primaryCancer-eu-i4rc</v>
      </c>
      <c r="F7" s="154"/>
      <c r="G7" s="154"/>
    </row>
    <row r="8" spans="1:19" ht="45" thickBot="1" x14ac:dyDescent="0.9">
      <c r="B8" s="47" t="s">
        <v>1477</v>
      </c>
      <c r="C8" s="7" t="s">
        <v>1928</v>
      </c>
      <c r="D8" s="47"/>
      <c r="E8" s="7"/>
      <c r="I8" s="12" t="s">
        <v>1289</v>
      </c>
      <c r="J8" s="12" t="s">
        <v>1290</v>
      </c>
      <c r="K8" s="12" t="s">
        <v>1291</v>
      </c>
      <c r="L8" s="12" t="s">
        <v>1292</v>
      </c>
      <c r="M8" s="11" t="s">
        <v>1293</v>
      </c>
      <c r="P8" s="34" t="s">
        <v>1328</v>
      </c>
      <c r="Q8" s="34">
        <v>6</v>
      </c>
    </row>
    <row r="9" spans="1:19" ht="30.25" thickBot="1" x14ac:dyDescent="0.9">
      <c r="B9" s="47" t="s">
        <v>1478</v>
      </c>
      <c r="C9" s="12" t="s">
        <v>1929</v>
      </c>
      <c r="D9" s="93"/>
      <c r="E9" s="155"/>
      <c r="F9" s="156"/>
      <c r="G9" s="157"/>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2447</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2285</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2297</v>
      </c>
      <c r="E19" s="12"/>
      <c r="F19" s="49" t="s">
        <v>1316</v>
      </c>
      <c r="G19" s="77" t="s">
        <v>2298</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2285</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1927</v>
      </c>
      <c r="D3" s="47" t="s">
        <v>1473</v>
      </c>
      <c r="E3" s="71" t="str">
        <f>$C$1&amp;B14</f>
        <v>http://hl7.eu/fhir/ig/idea4rc/StructureDefinition/PatientFollowUp</v>
      </c>
    </row>
    <row r="4" spans="1:19" x14ac:dyDescent="0.75">
      <c r="B4" s="47" t="s">
        <v>16</v>
      </c>
      <c r="C4" s="28" t="s">
        <v>1927</v>
      </c>
      <c r="D4" s="47" t="s">
        <v>1474</v>
      </c>
      <c r="E4" s="153" t="str">
        <f>'PatientFollowUp-ConceptMap-1'!E4</f>
        <v>http://hl7.eu/fhir/ig/idea4rc/StructureDefinition//Bundle-eu-i4rc</v>
      </c>
      <c r="F4" s="154"/>
      <c r="G4" s="154"/>
    </row>
    <row r="5" spans="1:19" x14ac:dyDescent="0.75">
      <c r="B5" s="47" t="s">
        <v>10</v>
      </c>
      <c r="C5" s="7" t="s">
        <v>1928</v>
      </c>
      <c r="D5" s="47"/>
      <c r="E5" s="7"/>
    </row>
    <row r="6" spans="1:19" x14ac:dyDescent="0.75">
      <c r="B6" s="47" t="s">
        <v>18</v>
      </c>
      <c r="C6" s="41"/>
      <c r="D6" s="47" t="s">
        <v>1475</v>
      </c>
      <c r="E6" s="153" t="str">
        <f>E3</f>
        <v>http://hl7.eu/fhir/ig/idea4rc/StructureDefinition/PatientFollowUp</v>
      </c>
      <c r="F6" s="154"/>
      <c r="G6" s="154"/>
    </row>
    <row r="7" spans="1:19" x14ac:dyDescent="0.75">
      <c r="B7" s="47" t="s">
        <v>15</v>
      </c>
      <c r="C7" s="72"/>
      <c r="D7" s="47" t="s">
        <v>1476</v>
      </c>
      <c r="E7" s="153" t="str">
        <f>C1&amp;"observation-lastFollowupStatus-eu-i4rc"</f>
        <v>http://hl7.eu/fhir/ig/idea4rc/StructureDefinition/observation-lastFollowupStatus-eu-i4rc</v>
      </c>
      <c r="F7" s="154"/>
      <c r="G7" s="154"/>
    </row>
    <row r="8" spans="1:19" ht="45" thickBot="1" x14ac:dyDescent="0.9">
      <c r="B8" s="47" t="s">
        <v>1477</v>
      </c>
      <c r="C8" s="7" t="s">
        <v>1928</v>
      </c>
      <c r="D8" s="47"/>
      <c r="E8" s="7"/>
      <c r="I8" s="12" t="s">
        <v>1289</v>
      </c>
      <c r="J8" s="12" t="s">
        <v>1290</v>
      </c>
      <c r="K8" s="12" t="s">
        <v>1291</v>
      </c>
      <c r="L8" s="12" t="s">
        <v>1292</v>
      </c>
      <c r="M8" s="11" t="s">
        <v>1293</v>
      </c>
      <c r="P8" s="34" t="s">
        <v>1328</v>
      </c>
      <c r="Q8" s="34">
        <v>6</v>
      </c>
    </row>
    <row r="9" spans="1:19" ht="30.25" thickBot="1" x14ac:dyDescent="0.9">
      <c r="B9" s="47" t="s">
        <v>1478</v>
      </c>
      <c r="C9" s="12" t="s">
        <v>1929</v>
      </c>
      <c r="D9" s="93"/>
      <c r="E9" s="155"/>
      <c r="F9" s="156"/>
      <c r="G9" s="157"/>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1857</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0" zoomScaleNormal="10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2077</v>
      </c>
      <c r="J7" s="119" t="s">
        <v>2078</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1991</v>
      </c>
      <c r="C10" t="s">
        <v>1992</v>
      </c>
      <c r="D10" s="2" t="s">
        <v>1993</v>
      </c>
      <c r="E10" s="11">
        <v>1</v>
      </c>
      <c r="F10" s="11">
        <v>1</v>
      </c>
      <c r="G10" s="12" t="s">
        <v>1468</v>
      </c>
      <c r="H10" s="2" t="s">
        <v>2071</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1994</v>
      </c>
      <c r="C13" t="s">
        <v>1995</v>
      </c>
      <c r="D13" s="2" t="s">
        <v>1996</v>
      </c>
      <c r="E13" s="11">
        <v>1</v>
      </c>
      <c r="F13" s="11">
        <v>1</v>
      </c>
      <c r="G13" s="12" t="s">
        <v>44</v>
      </c>
      <c r="H13" s="2" t="s">
        <v>2072</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2073</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2097</v>
      </c>
      <c r="C15" s="4" t="s">
        <v>2098</v>
      </c>
      <c r="D15" s="4" t="s">
        <v>2098</v>
      </c>
      <c r="E15" s="6">
        <v>1</v>
      </c>
      <c r="F15" s="6">
        <v>1</v>
      </c>
      <c r="G15" s="4" t="s">
        <v>1</v>
      </c>
      <c r="H15" s="4" t="s">
        <v>2074</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2099</v>
      </c>
      <c r="C16" s="12" t="s">
        <v>1354</v>
      </c>
      <c r="D16" s="12" t="s">
        <v>1355</v>
      </c>
      <c r="E16" s="11">
        <v>1</v>
      </c>
      <c r="F16" s="11">
        <v>1</v>
      </c>
      <c r="G16" s="12" t="s">
        <v>1468</v>
      </c>
      <c r="H16" s="2" t="s">
        <v>2052</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2100</v>
      </c>
      <c r="C17" s="12" t="s">
        <v>1356</v>
      </c>
      <c r="D17" s="12" t="s">
        <v>1357</v>
      </c>
      <c r="E17" s="11">
        <v>1</v>
      </c>
      <c r="F17" s="11">
        <v>1</v>
      </c>
      <c r="G17" s="12" t="s">
        <v>1468</v>
      </c>
      <c r="H17" s="2" t="s">
        <v>2053</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2101</v>
      </c>
      <c r="C18" s="12" t="s">
        <v>1358</v>
      </c>
      <c r="D18" s="12" t="s">
        <v>1359</v>
      </c>
      <c r="E18" s="11">
        <v>1</v>
      </c>
      <c r="F18" s="11">
        <v>1</v>
      </c>
      <c r="G18" s="12" t="s">
        <v>1468</v>
      </c>
      <c r="H18" s="2" t="s">
        <v>2054</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2102</v>
      </c>
      <c r="C19" s="12" t="s">
        <v>1360</v>
      </c>
      <c r="D19" s="12" t="s">
        <v>1361</v>
      </c>
      <c r="E19" s="11">
        <v>1</v>
      </c>
      <c r="F19" s="11">
        <v>1</v>
      </c>
      <c r="G19" s="12" t="s">
        <v>1468</v>
      </c>
      <c r="H19" s="2" t="s">
        <v>2055</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2103</v>
      </c>
      <c r="C20" s="117" t="s">
        <v>1362</v>
      </c>
      <c r="D20" s="117" t="s">
        <v>1363</v>
      </c>
      <c r="E20" s="3">
        <v>1</v>
      </c>
      <c r="F20" s="3">
        <v>1</v>
      </c>
      <c r="G20" s="117" t="s">
        <v>1468</v>
      </c>
      <c r="H20" s="2" t="s">
        <v>2056</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2104</v>
      </c>
      <c r="C21" s="11" t="s">
        <v>1997</v>
      </c>
      <c r="D21" s="12" t="s">
        <v>1998</v>
      </c>
      <c r="E21" s="11">
        <v>1</v>
      </c>
      <c r="F21" s="11">
        <v>1</v>
      </c>
      <c r="G21" s="12" t="s">
        <v>1468</v>
      </c>
      <c r="H21" s="12" t="s">
        <v>2057</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2105</v>
      </c>
      <c r="C22" s="11" t="s">
        <v>1999</v>
      </c>
      <c r="D22" s="73" t="s">
        <v>1999</v>
      </c>
      <c r="E22" s="11">
        <v>1</v>
      </c>
      <c r="F22" s="11">
        <v>1</v>
      </c>
      <c r="G22" s="12" t="s">
        <v>1468</v>
      </c>
      <c r="H22" s="12" t="s">
        <v>2058</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2106</v>
      </c>
      <c r="C23" s="11" t="s">
        <v>2000</v>
      </c>
      <c r="D23" s="11" t="s">
        <v>2000</v>
      </c>
      <c r="E23" s="11">
        <v>1</v>
      </c>
      <c r="F23" s="11">
        <v>1</v>
      </c>
      <c r="G23" s="12" t="s">
        <v>1468</v>
      </c>
      <c r="H23" s="12" t="s">
        <v>2059</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2287</v>
      </c>
      <c r="B24" s="6" t="s">
        <v>2096</v>
      </c>
      <c r="C24" s="6" t="s">
        <v>2107</v>
      </c>
      <c r="D24" s="6" t="s">
        <v>2107</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2108</v>
      </c>
      <c r="C25" s="11" t="s">
        <v>2001</v>
      </c>
      <c r="D25" s="11" t="s">
        <v>2001</v>
      </c>
      <c r="E25" s="11">
        <v>1</v>
      </c>
      <c r="F25" s="11">
        <v>1</v>
      </c>
      <c r="G25" s="12" t="s">
        <v>1468</v>
      </c>
      <c r="H25" s="2" t="s">
        <v>2060</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2109</v>
      </c>
      <c r="C26" s="11" t="s">
        <v>2002</v>
      </c>
      <c r="D26" s="11" t="s">
        <v>2002</v>
      </c>
      <c r="E26" s="11">
        <v>1</v>
      </c>
      <c r="F26" s="11">
        <v>1</v>
      </c>
      <c r="G26" s="12" t="s">
        <v>1468</v>
      </c>
      <c r="H26" s="2" t="s">
        <v>2061</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2110</v>
      </c>
      <c r="C27" s="11" t="s">
        <v>2003</v>
      </c>
      <c r="D27" s="11" t="s">
        <v>2003</v>
      </c>
      <c r="E27" s="11">
        <v>1</v>
      </c>
      <c r="F27" s="11">
        <v>1</v>
      </c>
      <c r="G27" s="12" t="s">
        <v>1468</v>
      </c>
      <c r="H27" s="2" t="s">
        <v>2062</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2111</v>
      </c>
      <c r="C28" s="11" t="s">
        <v>2004</v>
      </c>
      <c r="D28" s="11" t="s">
        <v>2004</v>
      </c>
      <c r="E28" s="11">
        <v>1</v>
      </c>
      <c r="F28" s="11">
        <v>1</v>
      </c>
      <c r="G28" s="12" t="s">
        <v>1468</v>
      </c>
      <c r="H28" s="12" t="s">
        <v>2063</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2112</v>
      </c>
      <c r="C29" s="11" t="s">
        <v>2005</v>
      </c>
      <c r="D29" s="11" t="s">
        <v>2005</v>
      </c>
      <c r="E29" s="11">
        <v>1</v>
      </c>
      <c r="F29" s="11">
        <v>1</v>
      </c>
      <c r="G29" s="12" t="s">
        <v>1468</v>
      </c>
      <c r="H29" s="12" t="s">
        <v>2064</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2113</v>
      </c>
      <c r="C30" s="11" t="s">
        <v>2006</v>
      </c>
      <c r="D30" s="11" t="s">
        <v>2006</v>
      </c>
      <c r="E30" s="11">
        <v>1</v>
      </c>
      <c r="F30" s="11">
        <v>1</v>
      </c>
      <c r="G30" s="12" t="s">
        <v>1468</v>
      </c>
      <c r="H30" s="12" t="s">
        <v>2065</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2114</v>
      </c>
      <c r="C31" s="11" t="s">
        <v>2007</v>
      </c>
      <c r="D31" s="11" t="s">
        <v>2007</v>
      </c>
      <c r="E31" s="11">
        <v>1</v>
      </c>
      <c r="F31" s="11">
        <v>1</v>
      </c>
      <c r="G31" s="12" t="s">
        <v>1468</v>
      </c>
      <c r="H31" s="12" t="s">
        <v>2066</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2115</v>
      </c>
      <c r="C32" s="11" t="s">
        <v>2008</v>
      </c>
      <c r="D32" s="11" t="s">
        <v>2008</v>
      </c>
      <c r="E32" s="11">
        <v>1</v>
      </c>
      <c r="F32" s="11">
        <v>1</v>
      </c>
      <c r="G32" s="12" t="s">
        <v>1468</v>
      </c>
      <c r="H32" s="12" t="s">
        <v>2067</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2116</v>
      </c>
      <c r="C33" s="11" t="s">
        <v>2009</v>
      </c>
      <c r="D33" s="11" t="s">
        <v>2009</v>
      </c>
      <c r="E33" s="11">
        <v>1</v>
      </c>
      <c r="F33" s="11">
        <v>1</v>
      </c>
      <c r="G33" s="12" t="s">
        <v>1468</v>
      </c>
      <c r="H33" s="12" t="s">
        <v>2068</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2117</v>
      </c>
      <c r="C34" s="11" t="s">
        <v>2010</v>
      </c>
      <c r="D34" s="11" t="s">
        <v>2010</v>
      </c>
      <c r="E34" s="11">
        <v>1</v>
      </c>
      <c r="F34" s="11">
        <v>1</v>
      </c>
      <c r="G34" s="12" t="s">
        <v>1468</v>
      </c>
      <c r="H34" s="12" t="s">
        <v>2069</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2118</v>
      </c>
      <c r="C35" s="11" t="s">
        <v>2011</v>
      </c>
      <c r="D35" s="11" t="s">
        <v>2011</v>
      </c>
      <c r="E35" s="11">
        <v>1</v>
      </c>
      <c r="F35" s="11">
        <v>1</v>
      </c>
      <c r="G35" s="12" t="s">
        <v>1468</v>
      </c>
      <c r="H35" s="12" t="s">
        <v>2070</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2030</v>
      </c>
      <c r="C36" s="11" t="s">
        <v>2030</v>
      </c>
      <c r="D36" s="11" t="s">
        <v>2030</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2120</v>
      </c>
      <c r="C37" s="12" t="s">
        <v>1364</v>
      </c>
      <c r="D37" s="12" t="s">
        <v>1365</v>
      </c>
      <c r="E37" s="11">
        <v>1</v>
      </c>
      <c r="F37" s="11">
        <v>1</v>
      </c>
      <c r="G37" s="12" t="s">
        <v>1468</v>
      </c>
      <c r="H37" s="12" t="s">
        <v>2036</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2121</v>
      </c>
      <c r="C38" s="12" t="s">
        <v>1366</v>
      </c>
      <c r="D38" s="12" t="s">
        <v>1367</v>
      </c>
      <c r="E38" s="11">
        <v>1</v>
      </c>
      <c r="F38" s="11">
        <v>1</v>
      </c>
      <c r="G38" s="12" t="s">
        <v>1468</v>
      </c>
      <c r="H38" s="12" t="s">
        <v>2037</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2122</v>
      </c>
      <c r="C39" s="116" t="s">
        <v>1368</v>
      </c>
      <c r="D39" s="116" t="s">
        <v>1369</v>
      </c>
      <c r="E39" s="46">
        <v>1</v>
      </c>
      <c r="F39" s="46">
        <v>1</v>
      </c>
      <c r="G39" s="116" t="s">
        <v>1468</v>
      </c>
      <c r="H39" s="116" t="s">
        <v>2038</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2123</v>
      </c>
      <c r="C40" s="12" t="s">
        <v>1370</v>
      </c>
      <c r="D40" s="12" t="s">
        <v>1371</v>
      </c>
      <c r="E40" s="11">
        <v>1</v>
      </c>
      <c r="F40" s="11">
        <v>1</v>
      </c>
      <c r="G40" s="12" t="s">
        <v>1468</v>
      </c>
      <c r="H40" s="12" t="s">
        <v>2039</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2124</v>
      </c>
      <c r="C41" s="12" t="s">
        <v>1372</v>
      </c>
      <c r="D41" s="12" t="s">
        <v>1373</v>
      </c>
      <c r="E41" s="11">
        <v>1</v>
      </c>
      <c r="F41" s="11">
        <v>1</v>
      </c>
      <c r="G41" s="12" t="s">
        <v>1468</v>
      </c>
      <c r="H41" s="12" t="s">
        <v>2040</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2125</v>
      </c>
      <c r="C42" s="12" t="s">
        <v>1374</v>
      </c>
      <c r="D42" s="12" t="s">
        <v>1375</v>
      </c>
      <c r="E42" s="11">
        <v>1</v>
      </c>
      <c r="F42" s="11">
        <v>1</v>
      </c>
      <c r="G42" s="12" t="s">
        <v>1468</v>
      </c>
      <c r="H42" s="12" t="s">
        <v>2041</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2126</v>
      </c>
      <c r="C43" s="12" t="s">
        <v>1376</v>
      </c>
      <c r="D43" s="12" t="s">
        <v>1377</v>
      </c>
      <c r="E43" s="11">
        <v>1</v>
      </c>
      <c r="F43" s="11">
        <v>1</v>
      </c>
      <c r="G43" s="12" t="s">
        <v>1468</v>
      </c>
      <c r="H43" s="12" t="s">
        <v>2042</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2127</v>
      </c>
      <c r="C44" s="11" t="s">
        <v>2012</v>
      </c>
      <c r="D44" s="12" t="s">
        <v>2013</v>
      </c>
      <c r="E44" s="11">
        <v>1</v>
      </c>
      <c r="F44" s="11">
        <v>1</v>
      </c>
      <c r="G44" s="12" t="s">
        <v>1468</v>
      </c>
      <c r="H44" s="12" t="s">
        <v>2043</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2031</v>
      </c>
      <c r="C45" s="11" t="s">
        <v>2014</v>
      </c>
      <c r="D45" s="12" t="s">
        <v>2013</v>
      </c>
      <c r="E45" s="11">
        <v>1</v>
      </c>
      <c r="F45" s="11">
        <v>1</v>
      </c>
      <c r="G45" s="12" t="s">
        <v>1468</v>
      </c>
      <c r="H45" s="12" t="s">
        <v>2044</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2032</v>
      </c>
      <c r="C46" s="11" t="s">
        <v>2015</v>
      </c>
      <c r="D46" s="12" t="s">
        <v>2013</v>
      </c>
      <c r="E46" s="11">
        <v>1</v>
      </c>
      <c r="F46" s="11">
        <v>1</v>
      </c>
      <c r="G46" s="12" t="s">
        <v>1468</v>
      </c>
      <c r="H46" s="12" t="s">
        <v>2045</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2033</v>
      </c>
      <c r="C47" s="11" t="s">
        <v>2016</v>
      </c>
      <c r="D47" s="12" t="s">
        <v>2013</v>
      </c>
      <c r="E47" s="11">
        <v>1</v>
      </c>
      <c r="F47" s="11">
        <v>1</v>
      </c>
      <c r="G47" s="12" t="s">
        <v>1468</v>
      </c>
      <c r="H47" s="12" t="s">
        <v>2046</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2034</v>
      </c>
      <c r="C48" s="11" t="s">
        <v>2017</v>
      </c>
      <c r="D48" s="12" t="s">
        <v>2013</v>
      </c>
      <c r="E48" s="11">
        <v>1</v>
      </c>
      <c r="F48" s="11">
        <v>1</v>
      </c>
      <c r="G48" s="12" t="s">
        <v>1468</v>
      </c>
      <c r="H48" s="12" t="s">
        <v>2442</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2035</v>
      </c>
      <c r="C49" s="11" t="s">
        <v>2018</v>
      </c>
      <c r="D49" s="12" t="s">
        <v>2013</v>
      </c>
      <c r="E49" s="11">
        <v>1</v>
      </c>
      <c r="F49" s="11">
        <v>1</v>
      </c>
      <c r="G49" s="12" t="s">
        <v>1468</v>
      </c>
      <c r="H49" s="12" t="s">
        <v>2047</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2288</v>
      </c>
      <c r="C50" s="11" t="s">
        <v>2019</v>
      </c>
      <c r="D50" s="12" t="s">
        <v>2013</v>
      </c>
      <c r="E50" s="11">
        <v>1</v>
      </c>
      <c r="F50" s="11">
        <v>1</v>
      </c>
      <c r="G50" s="12" t="s">
        <v>1468</v>
      </c>
      <c r="H50" s="12" t="s">
        <v>2048</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2119</v>
      </c>
      <c r="C51" s="11" t="s">
        <v>2020</v>
      </c>
      <c r="D51" s="12" t="s">
        <v>2013</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2021</v>
      </c>
      <c r="C52" s="11" t="s">
        <v>2022</v>
      </c>
      <c r="D52" s="12" t="s">
        <v>2023</v>
      </c>
      <c r="E52" s="11">
        <v>1</v>
      </c>
      <c r="F52" s="11">
        <v>1</v>
      </c>
      <c r="G52" s="12" t="s">
        <v>1987</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2024</v>
      </c>
      <c r="C53" s="11" t="s">
        <v>2025</v>
      </c>
      <c r="D53" s="12" t="s">
        <v>2026</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2027</v>
      </c>
      <c r="C54" s="11" t="s">
        <v>2028</v>
      </c>
      <c r="D54" s="12" t="s">
        <v>2029</v>
      </c>
      <c r="E54" s="11">
        <v>1</v>
      </c>
      <c r="F54" s="11">
        <v>1</v>
      </c>
      <c r="G54" s="12" t="s">
        <v>1987</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2049</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2050</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1803</v>
      </c>
      <c r="D57" s="12" t="s">
        <v>1382</v>
      </c>
      <c r="E57" s="11">
        <v>0</v>
      </c>
      <c r="F57" s="11">
        <v>1</v>
      </c>
      <c r="G57" s="12" t="s">
        <v>1468</v>
      </c>
      <c r="H57" s="12" t="s">
        <v>2051</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3" t="s">
        <v>1486</v>
      </c>
      <c r="F4" s="154"/>
      <c r="G4" s="154"/>
    </row>
    <row r="5" spans="1:19" x14ac:dyDescent="0.75">
      <c r="B5" s="47" t="s">
        <v>10</v>
      </c>
      <c r="C5" s="7" t="s">
        <v>1483</v>
      </c>
      <c r="D5" s="47"/>
      <c r="E5" s="7"/>
    </row>
    <row r="6" spans="1:19" x14ac:dyDescent="0.75">
      <c r="B6" s="47" t="s">
        <v>18</v>
      </c>
      <c r="C6" s="41"/>
      <c r="D6" s="47" t="s">
        <v>1475</v>
      </c>
      <c r="E6" s="153" t="str">
        <f>E3</f>
        <v>http://hl7.eu/fhir/ig/idea4rc/StructureDefinition/CancerEpisode</v>
      </c>
      <c r="F6" s="154"/>
      <c r="G6" s="154"/>
    </row>
    <row r="7" spans="1:19" x14ac:dyDescent="0.75">
      <c r="B7" s="47" t="s">
        <v>15</v>
      </c>
      <c r="C7" s="72"/>
      <c r="D7" s="47" t="s">
        <v>1476</v>
      </c>
      <c r="E7" s="153" t="s">
        <v>1486</v>
      </c>
      <c r="F7" s="154"/>
      <c r="G7" s="154"/>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2296</v>
      </c>
      <c r="E16" s="11"/>
      <c r="F16" s="49" t="s">
        <v>1294</v>
      </c>
      <c r="G16" s="74" t="s">
        <v>2411</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2407</v>
      </c>
      <c r="E17" s="11"/>
      <c r="F17" s="49" t="s">
        <v>1294</v>
      </c>
      <c r="G17" s="74" t="s">
        <v>2295</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2407</v>
      </c>
      <c r="E18" s="11"/>
      <c r="F18" s="49" t="s">
        <v>1294</v>
      </c>
      <c r="G18" s="74" t="s">
        <v>2295</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2407</v>
      </c>
      <c r="E19" s="11"/>
      <c r="F19" s="49" t="s">
        <v>1294</v>
      </c>
      <c r="G19" s="74" t="s">
        <v>2295</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2408</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2294</v>
      </c>
      <c r="E21" s="11"/>
      <c r="F21" s="49" t="s">
        <v>1316</v>
      </c>
      <c r="G21" s="144" t="s">
        <v>2409</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2410</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2410</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2412</v>
      </c>
      <c r="E60" s="12"/>
      <c r="F60" s="49" t="s">
        <v>1316</v>
      </c>
      <c r="G60" s="145" t="s">
        <v>2414</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2293</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2415</v>
      </c>
      <c r="E62" s="12"/>
      <c r="F62" s="49" t="s">
        <v>1294</v>
      </c>
      <c r="G62" s="91" t="s">
        <v>2290</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2413</v>
      </c>
      <c r="E63" s="12"/>
      <c r="F63" s="49" t="s">
        <v>1294</v>
      </c>
      <c r="G63" s="91" t="s">
        <v>2289</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2413</v>
      </c>
      <c r="E64" s="12"/>
      <c r="F64" s="49" t="s">
        <v>1294</v>
      </c>
      <c r="G64" s="91" t="s">
        <v>2291</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2413</v>
      </c>
      <c r="E65" s="12"/>
      <c r="F65" s="49" t="s">
        <v>1294</v>
      </c>
      <c r="G65" s="91" t="s">
        <v>2292</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3" t="str">
        <f>E3</f>
        <v>http://hl7.eu/fhir/ig/idea4rc/StructureDefinition/CancerEpisode</v>
      </c>
      <c r="F6" s="154"/>
      <c r="G6" s="154"/>
    </row>
    <row r="7" spans="1:19" x14ac:dyDescent="0.75">
      <c r="B7" s="47" t="s">
        <v>15</v>
      </c>
      <c r="C7" s="72"/>
      <c r="D7" s="47" t="s">
        <v>1476</v>
      </c>
      <c r="E7" s="153" t="s">
        <v>1551</v>
      </c>
      <c r="F7" s="154"/>
      <c r="G7" s="154"/>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2299</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5.5" thickBot="1" x14ac:dyDescent="0.9">
      <c r="L3" s="24" t="str">
        <f>L1</f>
        <v>//===================================================</v>
      </c>
      <c r="N3" s="24" t="str">
        <f>N1</f>
        <v>// -------------------------------------------------------------------------------</v>
      </c>
      <c r="P3" s="24" t="str">
        <f>P1</f>
        <v>// -------------------------------------------------------------------------------</v>
      </c>
      <c r="R3" s="24" t="str">
        <f>R1</f>
        <v>// -------------------------------------------------------------------------------</v>
      </c>
    </row>
    <row r="4" spans="1:18" x14ac:dyDescent="0.75">
      <c r="A4" s="5" t="s">
        <v>11</v>
      </c>
      <c r="B4" s="30" t="s">
        <v>1915</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2077</v>
      </c>
      <c r="J7" s="119" t="s">
        <v>2078</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9" t="s">
        <v>2420</v>
      </c>
      <c r="D19" s="149" t="s">
        <v>2437</v>
      </c>
      <c r="I19" s="12"/>
      <c r="J19" s="12"/>
      <c r="P19" s="12"/>
      <c r="R19" s="12"/>
    </row>
    <row r="20" spans="2:18" x14ac:dyDescent="0.75">
      <c r="B20" s="147" t="s">
        <v>2416</v>
      </c>
      <c r="C20" s="148" t="s">
        <v>2421</v>
      </c>
      <c r="D20" s="148" t="s">
        <v>2443</v>
      </c>
      <c r="I20" s="12"/>
      <c r="J20" s="12"/>
      <c r="P20" s="12"/>
      <c r="R20" s="12"/>
    </row>
    <row r="21" spans="2:18" x14ac:dyDescent="0.75">
      <c r="B21" s="147" t="s">
        <v>2417</v>
      </c>
      <c r="C21" s="148" t="s">
        <v>2441</v>
      </c>
      <c r="D21" s="148" t="s">
        <v>2440</v>
      </c>
      <c r="I21" s="12"/>
      <c r="J21" s="12"/>
      <c r="P21" s="12"/>
      <c r="R21" s="12"/>
    </row>
    <row r="22" spans="2:18" x14ac:dyDescent="0.75">
      <c r="B22" s="147" t="s">
        <v>2418</v>
      </c>
      <c r="C22" s="148" t="s">
        <v>2441</v>
      </c>
      <c r="D22" s="148" t="s">
        <v>2439</v>
      </c>
      <c r="I22" s="12"/>
      <c r="J22" s="12"/>
      <c r="P22" s="12"/>
      <c r="R22" s="12"/>
    </row>
    <row r="23" spans="2:18" x14ac:dyDescent="0.75">
      <c r="B23" s="147" t="s">
        <v>2419</v>
      </c>
      <c r="C23" s="148" t="s">
        <v>2438</v>
      </c>
      <c r="D23" s="148" t="s">
        <v>2430</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2422</v>
      </c>
      <c r="C28" s="2" t="s">
        <v>2423</v>
      </c>
      <c r="F28" s="2"/>
      <c r="G28" s="12"/>
      <c r="H28" s="12"/>
      <c r="I28"/>
      <c r="L28"/>
      <c r="M28" s="2"/>
      <c r="N28" s="12"/>
      <c r="O28"/>
      <c r="P28" s="12"/>
    </row>
    <row r="29" spans="2:18" ht="44.25" x14ac:dyDescent="0.75">
      <c r="B29" t="s">
        <v>2424</v>
      </c>
      <c r="C29" s="2" t="s">
        <v>2425</v>
      </c>
      <c r="F29" s="2"/>
      <c r="G29" s="12"/>
      <c r="H29" s="12"/>
      <c r="I29"/>
      <c r="L29"/>
      <c r="M29" s="2"/>
      <c r="N29" s="12"/>
      <c r="O29"/>
      <c r="P29" s="12"/>
    </row>
    <row r="30" spans="2:18" ht="59" x14ac:dyDescent="0.75">
      <c r="B30" t="s">
        <v>2426</v>
      </c>
      <c r="C30" s="2" t="s">
        <v>2427</v>
      </c>
      <c r="F30" s="2"/>
      <c r="G30" s="12"/>
      <c r="H30" s="12"/>
      <c r="I30"/>
      <c r="L30"/>
      <c r="M30" s="2"/>
      <c r="N30" s="12"/>
      <c r="O30"/>
      <c r="P30" s="12"/>
    </row>
    <row r="31" spans="2:18" ht="88.5" x14ac:dyDescent="0.75">
      <c r="B31" t="s">
        <v>2428</v>
      </c>
      <c r="C31" s="2" t="s">
        <v>2429</v>
      </c>
      <c r="F31" s="2"/>
      <c r="G31" s="12"/>
      <c r="H31" s="12"/>
      <c r="I31"/>
      <c r="L31"/>
      <c r="M31" s="2"/>
      <c r="N31" s="12"/>
      <c r="O31"/>
      <c r="P31" s="12"/>
    </row>
    <row r="32" spans="2:18" ht="44.25" x14ac:dyDescent="0.75">
      <c r="B32" t="s">
        <v>2431</v>
      </c>
      <c r="C32" s="2" t="s">
        <v>2432</v>
      </c>
      <c r="F32" s="2"/>
      <c r="G32" s="12"/>
      <c r="H32" s="12"/>
      <c r="I32"/>
      <c r="L32"/>
      <c r="M32" s="2"/>
      <c r="N32" s="12"/>
      <c r="O32"/>
      <c r="P32" s="12"/>
    </row>
    <row r="33" spans="2:18" ht="44.25" x14ac:dyDescent="0.75">
      <c r="B33" t="s">
        <v>2433</v>
      </c>
      <c r="C33" s="2" t="s">
        <v>2434</v>
      </c>
      <c r="F33" s="2"/>
      <c r="G33" s="12"/>
      <c r="H33" s="12"/>
      <c r="I33"/>
      <c r="L33"/>
      <c r="M33" s="2"/>
      <c r="N33" s="12"/>
      <c r="O33"/>
      <c r="P33" s="12"/>
    </row>
    <row r="34" spans="2:18" ht="44.25" x14ac:dyDescent="0.75">
      <c r="B34" t="s">
        <v>2435</v>
      </c>
      <c r="C34" s="2" t="s">
        <v>2436</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6"/>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3" t="s">
        <v>1486</v>
      </c>
      <c r="F4" s="154"/>
      <c r="G4" s="154"/>
    </row>
    <row r="5" spans="1:19" x14ac:dyDescent="0.75">
      <c r="B5" s="47" t="s">
        <v>10</v>
      </c>
      <c r="C5" s="7" t="s">
        <v>1615</v>
      </c>
      <c r="D5" s="47"/>
      <c r="E5" s="7"/>
    </row>
    <row r="6" spans="1:19" x14ac:dyDescent="0.75">
      <c r="B6" s="47" t="s">
        <v>18</v>
      </c>
      <c r="C6" s="41"/>
      <c r="D6" s="47" t="s">
        <v>1475</v>
      </c>
      <c r="E6" s="153" t="str">
        <f>E3</f>
        <v>http://hl7.eu/fhir/ig/idea4rc/StructureDefinition/EpisodeEvent</v>
      </c>
      <c r="F6" s="154"/>
      <c r="G6" s="154"/>
    </row>
    <row r="7" spans="1:19" x14ac:dyDescent="0.75">
      <c r="B7" s="47" t="s">
        <v>15</v>
      </c>
      <c r="C7" s="72"/>
      <c r="D7" s="47" t="s">
        <v>1476</v>
      </c>
      <c r="E7" s="153" t="s">
        <v>1486</v>
      </c>
      <c r="F7" s="154"/>
      <c r="G7" s="154"/>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2446</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2364</v>
      </c>
      <c r="E18" s="12"/>
      <c r="F18" s="49" t="s">
        <v>1294</v>
      </c>
      <c r="G18" s="76" t="s">
        <v>2365</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2300</v>
      </c>
      <c r="E19" s="12"/>
      <c r="F19" s="49" t="s">
        <v>1317</v>
      </c>
      <c r="G19" s="76" t="s">
        <v>2301</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GeneticTestExpressionI4rc</v>
      </c>
    </row>
    <row r="5" spans="1:18" ht="15.5" thickBot="1" x14ac:dyDescent="0.9">
      <c r="A5" s="14" t="s">
        <v>16</v>
      </c>
      <c r="B5" s="30" t="s">
        <v>1882</v>
      </c>
      <c r="L5" s="16" t="str">
        <f>CONCATENATE("Id: ",B5)</f>
        <v>Id: GeneticTestExpression</v>
      </c>
    </row>
    <row r="6" spans="1:18" ht="15.5" thickBot="1" x14ac:dyDescent="0.9">
      <c r="A6" s="14" t="s">
        <v>10</v>
      </c>
      <c r="B6" s="30" t="s">
        <v>1883</v>
      </c>
      <c r="L6" s="17" t="str">
        <f>CONCATENATE("Title: ##34#",B6,"##34#")</f>
        <v>Title: ##34#Genetic Test Expression##34#</v>
      </c>
    </row>
    <row r="7" spans="1:18" x14ac:dyDescent="0.75">
      <c r="A7" s="26" t="s">
        <v>2</v>
      </c>
      <c r="B7" s="96" t="s">
        <v>1883</v>
      </c>
      <c r="C7" s="9" t="s">
        <v>3</v>
      </c>
      <c r="D7" s="1" t="s">
        <v>4</v>
      </c>
      <c r="E7" s="3" t="s">
        <v>5</v>
      </c>
      <c r="F7" s="3" t="s">
        <v>6</v>
      </c>
      <c r="G7" s="3" t="s">
        <v>7</v>
      </c>
      <c r="H7" s="64" t="s">
        <v>1384</v>
      </c>
      <c r="I7" s="119" t="s">
        <v>2077</v>
      </c>
      <c r="J7" s="119" t="s">
        <v>2078</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1884</v>
      </c>
      <c r="C9" s="143" t="s">
        <v>2389</v>
      </c>
      <c r="D9" t="s">
        <v>1885</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1886</v>
      </c>
      <c r="C10" s="143" t="s">
        <v>1887</v>
      </c>
      <c r="D10" t="s">
        <v>1887</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1888</v>
      </c>
      <c r="C11" s="143" t="s">
        <v>2390</v>
      </c>
      <c r="D11" t="s">
        <v>1889</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1890</v>
      </c>
      <c r="C12" s="143" t="s">
        <v>1891</v>
      </c>
      <c r="D12" t="s">
        <v>1891</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1892</v>
      </c>
      <c r="C13" s="143" t="s">
        <v>2391</v>
      </c>
      <c r="D13" t="s">
        <v>1893</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1894</v>
      </c>
      <c r="C14" s="143" t="s">
        <v>1895</v>
      </c>
      <c r="D14" t="s">
        <v>1895</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2128</v>
      </c>
      <c r="C15" s="143" t="s">
        <v>2392</v>
      </c>
      <c r="D15" t="s">
        <v>1896</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1897</v>
      </c>
      <c r="C16" s="143" t="s">
        <v>1898</v>
      </c>
      <c r="D16" t="s">
        <v>1898</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2129</v>
      </c>
      <c r="C17" s="143" t="s">
        <v>2393</v>
      </c>
      <c r="D17" t="s">
        <v>1899</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1900</v>
      </c>
      <c r="C18" s="143" t="s">
        <v>1901</v>
      </c>
      <c r="D18" t="s">
        <v>1901</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1902</v>
      </c>
      <c r="C19" s="143" t="s">
        <v>2394</v>
      </c>
      <c r="D19" t="s">
        <v>1903</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1904</v>
      </c>
      <c r="C20" s="143" t="s">
        <v>1905</v>
      </c>
      <c r="D20" t="s">
        <v>1905</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2130</v>
      </c>
      <c r="C21" s="143" t="s">
        <v>2395</v>
      </c>
      <c r="D21" t="s">
        <v>1906</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1907</v>
      </c>
      <c r="C22" s="143" t="s">
        <v>1908</v>
      </c>
      <c r="D22" t="s">
        <v>1908</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1909</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2386</v>
      </c>
      <c r="D3" s="47" t="s">
        <v>1473</v>
      </c>
      <c r="E3" s="71" t="str">
        <f>$C$1&amp;B14</f>
        <v>http://hl7.eu/fhir/ig/idea4rc/StructureDefinition/GeneticTestExpressionI4rc</v>
      </c>
    </row>
    <row r="4" spans="1:19" x14ac:dyDescent="0.75">
      <c r="B4" s="47" t="s">
        <v>16</v>
      </c>
      <c r="C4" s="28" t="s">
        <v>2385</v>
      </c>
      <c r="D4" s="47" t="s">
        <v>1474</v>
      </c>
      <c r="E4" s="153" t="s">
        <v>1486</v>
      </c>
      <c r="F4" s="154"/>
      <c r="G4" s="154"/>
    </row>
    <row r="5" spans="1:19" x14ac:dyDescent="0.75">
      <c r="B5" s="47" t="s">
        <v>10</v>
      </c>
      <c r="C5" s="7" t="s">
        <v>2387</v>
      </c>
      <c r="D5" s="47"/>
      <c r="E5" s="7"/>
    </row>
    <row r="6" spans="1:19" x14ac:dyDescent="0.75">
      <c r="B6" s="47" t="s">
        <v>18</v>
      </c>
      <c r="C6" s="41"/>
      <c r="D6" s="47" t="s">
        <v>1475</v>
      </c>
      <c r="E6" s="153" t="str">
        <f>E3</f>
        <v>http://hl7.eu/fhir/ig/idea4rc/StructureDefinition/GeneticTestExpressionI4rc</v>
      </c>
      <c r="F6" s="154"/>
      <c r="G6" s="154"/>
    </row>
    <row r="7" spans="1:19" x14ac:dyDescent="0.75">
      <c r="B7" s="47" t="s">
        <v>15</v>
      </c>
      <c r="C7" s="72"/>
      <c r="D7" s="47" t="s">
        <v>1476</v>
      </c>
      <c r="E7" s="153" t="s">
        <v>1486</v>
      </c>
      <c r="F7" s="154"/>
      <c r="G7" s="154"/>
    </row>
    <row r="8" spans="1:19" ht="45" thickBot="1" x14ac:dyDescent="0.9">
      <c r="B8" s="47" t="s">
        <v>1477</v>
      </c>
      <c r="C8" s="7" t="s">
        <v>2387</v>
      </c>
      <c r="D8" s="47"/>
      <c r="E8" s="7"/>
      <c r="I8" s="12" t="s">
        <v>1289</v>
      </c>
      <c r="J8" s="12" t="s">
        <v>1290</v>
      </c>
      <c r="K8" s="12" t="s">
        <v>1291</v>
      </c>
      <c r="L8" s="12" t="s">
        <v>1292</v>
      </c>
      <c r="M8" s="11" t="s">
        <v>1293</v>
      </c>
      <c r="P8" s="34" t="s">
        <v>1328</v>
      </c>
      <c r="Q8" s="34">
        <v>6</v>
      </c>
    </row>
    <row r="9" spans="1:19" ht="15.5" thickBot="1" x14ac:dyDescent="0.9">
      <c r="B9" s="47" t="s">
        <v>1478</v>
      </c>
      <c r="C9" s="12" t="s">
        <v>2388</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2396</v>
      </c>
      <c r="E16" s="12"/>
      <c r="F16" s="49" t="s">
        <v>1316</v>
      </c>
      <c r="G16" s="77" t="s">
        <v>2398</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2397</v>
      </c>
      <c r="E17" s="12"/>
      <c r="F17" s="49" t="s">
        <v>1316</v>
      </c>
      <c r="G17" s="77" t="s">
        <v>2399</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2396</v>
      </c>
      <c r="E18" s="12"/>
      <c r="F18" s="49" t="s">
        <v>1316</v>
      </c>
      <c r="G18" s="77" t="s">
        <v>2400</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2397</v>
      </c>
      <c r="E19" s="12"/>
      <c r="F19" s="49" t="s">
        <v>1316</v>
      </c>
      <c r="G19" s="77" t="s">
        <v>2400</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2396</v>
      </c>
      <c r="E20" s="12"/>
      <c r="F20" s="49" t="s">
        <v>1316</v>
      </c>
      <c r="G20" s="77" t="s">
        <v>2401</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2397</v>
      </c>
      <c r="E21" s="12"/>
      <c r="F21" s="49" t="s">
        <v>1316</v>
      </c>
      <c r="G21" s="77" t="s">
        <v>2401</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2396</v>
      </c>
      <c r="E22" s="12"/>
      <c r="F22" s="49" t="s">
        <v>1316</v>
      </c>
      <c r="G22" s="77" t="s">
        <v>2402</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2397</v>
      </c>
      <c r="E23" s="12"/>
      <c r="F23" s="49" t="s">
        <v>1316</v>
      </c>
      <c r="G23" s="77" t="s">
        <v>2402</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2396</v>
      </c>
      <c r="E24" s="12"/>
      <c r="F24" s="49" t="s">
        <v>1316</v>
      </c>
      <c r="G24" s="77" t="s">
        <v>2403</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2397</v>
      </c>
      <c r="E25" s="12"/>
      <c r="F25" s="49" t="s">
        <v>1316</v>
      </c>
      <c r="G25" s="77" t="s">
        <v>2403</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2396</v>
      </c>
      <c r="E26" s="12"/>
      <c r="F26" s="49" t="s">
        <v>1316</v>
      </c>
      <c r="G26" s="77" t="s">
        <v>2404</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2397</v>
      </c>
      <c r="E27" s="12"/>
      <c r="F27" s="49" t="s">
        <v>1316</v>
      </c>
      <c r="G27" s="77" t="s">
        <v>2404</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2396</v>
      </c>
      <c r="E28" s="12"/>
      <c r="F28" s="49" t="s">
        <v>1316</v>
      </c>
      <c r="G28" s="77" t="s">
        <v>2405</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2397</v>
      </c>
      <c r="E29" s="12"/>
      <c r="F29" s="49" t="s">
        <v>1316</v>
      </c>
      <c r="G29" s="77" t="s">
        <v>2405</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2406</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2079</v>
      </c>
      <c r="R2" s="24" t="s">
        <v>2080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2173</v>
      </c>
      <c r="L4" s="16" t="str">
        <f>CONCATENATE("Logical: ",B4)</f>
        <v>Logical: StageI4rc</v>
      </c>
    </row>
    <row r="5" spans="1:18" ht="19.899999999999999" customHeight="1" x14ac:dyDescent="0.75">
      <c r="A5" s="14" t="s">
        <v>16</v>
      </c>
      <c r="B5" s="31" t="s">
        <v>2174</v>
      </c>
      <c r="L5" s="16" t="str">
        <f>CONCATENATE("Id: ",B5)</f>
        <v>Id: Stage</v>
      </c>
    </row>
    <row r="6" spans="1:18" ht="19.899999999999999" customHeight="1" x14ac:dyDescent="0.75">
      <c r="A6" s="14" t="s">
        <v>10</v>
      </c>
      <c r="B6" s="32" t="s">
        <v>2174</v>
      </c>
      <c r="L6" s="17" t="str">
        <f>CONCATENATE("Title: ##34#",B6,"##34#")</f>
        <v>Title: ##34#Stage##34#</v>
      </c>
    </row>
    <row r="7" spans="1:18" ht="19.899999999999999" customHeight="1" x14ac:dyDescent="0.75">
      <c r="A7" s="26" t="s">
        <v>2</v>
      </c>
      <c r="B7" s="63" t="s">
        <v>2174</v>
      </c>
      <c r="C7" s="9" t="s">
        <v>3</v>
      </c>
      <c r="D7" s="1" t="s">
        <v>4</v>
      </c>
      <c r="E7" s="3" t="s">
        <v>5</v>
      </c>
      <c r="F7" s="3" t="s">
        <v>6</v>
      </c>
      <c r="G7" s="3" t="s">
        <v>7</v>
      </c>
      <c r="H7" s="64" t="s">
        <v>1384</v>
      </c>
      <c r="I7" s="119" t="s">
        <v>2077</v>
      </c>
      <c r="J7" s="119" t="s">
        <v>2078</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1877</v>
      </c>
      <c r="C9" s="11" t="s">
        <v>2140</v>
      </c>
      <c r="D9" s="11" t="s">
        <v>2140</v>
      </c>
      <c r="E9" s="11">
        <v>1</v>
      </c>
      <c r="F9" s="11">
        <v>1</v>
      </c>
      <c r="G9" t="s">
        <v>1468</v>
      </c>
      <c r="H9" s="12" t="s">
        <v>2150</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2131</v>
      </c>
      <c r="C10" s="11" t="s">
        <v>292</v>
      </c>
      <c r="D10" s="11" t="s">
        <v>1388</v>
      </c>
      <c r="E10" s="11">
        <v>1</v>
      </c>
      <c r="F10" s="11">
        <v>1</v>
      </c>
      <c r="G10" t="s">
        <v>1468</v>
      </c>
      <c r="H10" s="12" t="s">
        <v>2151</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2132</v>
      </c>
      <c r="C11" s="11" t="s">
        <v>299</v>
      </c>
      <c r="D11" s="11" t="s">
        <v>1389</v>
      </c>
      <c r="E11" s="11">
        <v>1</v>
      </c>
      <c r="F11" s="11">
        <v>1</v>
      </c>
      <c r="G11" t="s">
        <v>1468</v>
      </c>
      <c r="H11" s="12" t="s">
        <v>2152</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2133</v>
      </c>
      <c r="C12" s="11" t="s">
        <v>306</v>
      </c>
      <c r="D12" s="11" t="s">
        <v>1390</v>
      </c>
      <c r="E12" s="11">
        <v>1</v>
      </c>
      <c r="F12" s="11">
        <v>1</v>
      </c>
      <c r="G12" t="s">
        <v>1468</v>
      </c>
      <c r="H12" s="12" t="s">
        <v>2153</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2134</v>
      </c>
      <c r="C13" s="11" t="s">
        <v>1558</v>
      </c>
      <c r="D13" s="11" t="s">
        <v>1559</v>
      </c>
      <c r="E13" s="11">
        <v>1</v>
      </c>
      <c r="F13" s="11">
        <v>1</v>
      </c>
      <c r="G13" t="s">
        <v>1468</v>
      </c>
      <c r="H13" s="12" t="s">
        <v>2154</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2135</v>
      </c>
      <c r="C14" s="11" t="s">
        <v>2141</v>
      </c>
      <c r="D14" s="11" t="s">
        <v>2142</v>
      </c>
      <c r="E14" s="11">
        <v>1</v>
      </c>
      <c r="F14" s="11">
        <v>1</v>
      </c>
      <c r="G14" t="s">
        <v>1468</v>
      </c>
      <c r="H14" s="4" t="s">
        <v>2157</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2136</v>
      </c>
      <c r="C15" s="11" t="s">
        <v>2143</v>
      </c>
      <c r="D15" s="11" t="s">
        <v>2144</v>
      </c>
      <c r="E15" s="11">
        <v>1</v>
      </c>
      <c r="F15" s="11">
        <v>1</v>
      </c>
      <c r="G15" t="s">
        <v>1468</v>
      </c>
      <c r="H15" s="12" t="s">
        <v>2158</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2137</v>
      </c>
      <c r="C16" s="11" t="s">
        <v>2145</v>
      </c>
      <c r="D16" s="11" t="s">
        <v>2146</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2155</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2138</v>
      </c>
      <c r="C18" s="11" t="s">
        <v>2147</v>
      </c>
      <c r="D18" s="11" t="s">
        <v>2148</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2159</v>
      </c>
      <c r="C19" s="6" t="s">
        <v>2159</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2160</v>
      </c>
      <c r="C20" s="11" t="s">
        <v>1394</v>
      </c>
      <c r="D20" s="11" t="s">
        <v>2307</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2161</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2162</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2163</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2164</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2165</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2166</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2167</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2168</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2169</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2139</v>
      </c>
      <c r="C30" s="11" t="s">
        <v>2149</v>
      </c>
      <c r="D30" s="11" t="s">
        <v>1391</v>
      </c>
      <c r="E30" s="11">
        <v>1</v>
      </c>
      <c r="F30" s="11">
        <v>1</v>
      </c>
      <c r="G30" t="s">
        <v>1468</v>
      </c>
      <c r="H30" s="12" t="s">
        <v>2156</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2316</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48"/>
  <sheetViews>
    <sheetView topLeftCell="J74" workbookViewId="0">
      <selection activeCell="P15" sqref="P15:S14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2312</v>
      </c>
      <c r="D3" s="47" t="s">
        <v>1473</v>
      </c>
      <c r="E3" s="71" t="str">
        <f>$C$1&amp;B14</f>
        <v>http://hl7.eu/fhir/ig/idea4rc/StructureDefinition/Stage</v>
      </c>
    </row>
    <row r="4" spans="1:19" x14ac:dyDescent="0.75">
      <c r="B4" s="47" t="s">
        <v>16</v>
      </c>
      <c r="C4" s="28" t="s">
        <v>2313</v>
      </c>
      <c r="D4" s="47" t="s">
        <v>1474</v>
      </c>
      <c r="E4" s="151" t="str">
        <f>C1&amp;G4</f>
        <v>http://hl7.eu/fhir/ig/idea4rc/StructureDefinition/Bundle-eu-i4rc</v>
      </c>
      <c r="G4" s="152" t="s">
        <v>2448</v>
      </c>
    </row>
    <row r="5" spans="1:19" x14ac:dyDescent="0.75">
      <c r="B5" s="47" t="s">
        <v>10</v>
      </c>
      <c r="C5" s="7" t="s">
        <v>2314</v>
      </c>
      <c r="D5" s="47"/>
      <c r="E5" s="7"/>
    </row>
    <row r="6" spans="1:19" x14ac:dyDescent="0.75">
      <c r="B6" s="47" t="s">
        <v>18</v>
      </c>
      <c r="C6" s="41"/>
      <c r="D6" s="47" t="s">
        <v>1475</v>
      </c>
      <c r="E6" s="153" t="str">
        <f>E3</f>
        <v>http://hl7.eu/fhir/ig/idea4rc/StructureDefinition/Stage</v>
      </c>
      <c r="F6" s="154"/>
      <c r="G6" s="154"/>
    </row>
    <row r="7" spans="1:19" x14ac:dyDescent="0.75">
      <c r="B7" s="47" t="s">
        <v>15</v>
      </c>
      <c r="C7" s="72"/>
      <c r="D7" s="47" t="s">
        <v>1476</v>
      </c>
      <c r="E7" s="153" t="s">
        <v>1625</v>
      </c>
      <c r="F7" s="154"/>
      <c r="G7" s="154"/>
    </row>
    <row r="8" spans="1:19" ht="44.25" x14ac:dyDescent="0.75">
      <c r="B8" s="47" t="s">
        <v>1477</v>
      </c>
      <c r="C8" s="73" t="s">
        <v>2314</v>
      </c>
      <c r="D8" s="47"/>
      <c r="E8" s="7"/>
      <c r="I8" s="12" t="s">
        <v>1289</v>
      </c>
      <c r="J8" s="12" t="s">
        <v>1290</v>
      </c>
      <c r="K8" s="12" t="s">
        <v>1291</v>
      </c>
      <c r="L8" s="12" t="s">
        <v>1292</v>
      </c>
      <c r="M8" s="11" t="s">
        <v>1293</v>
      </c>
      <c r="P8" s="34" t="s">
        <v>1328</v>
      </c>
      <c r="Q8" s="34">
        <v>6</v>
      </c>
    </row>
    <row r="9" spans="1:19" x14ac:dyDescent="0.75">
      <c r="B9" s="47" t="s">
        <v>1478</v>
      </c>
      <c r="C9" s="12" t="s">
        <v>2315</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2305</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INDEX('Stage-ConceptMap-1'!$I$15:$N$109,Q15+1,R15)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2" si="7">"* group[=].element[+].code = #"&amp;$B$14&amp;"."&amp;B16</f>
        <v>* group[=].element[+].code = #Stage.type</v>
      </c>
      <c r="J16" s="12" t="str">
        <f t="shared" ref="J16:J22" si="8">"* group[=].element[=].display = ##34#"&amp;C16&amp;"##34#"</f>
        <v>* group[=].element[=].display = ##34#Type of stage##34#</v>
      </c>
      <c r="K16" s="12" t="str">
        <f t="shared" ref="K16:K22" si="9">IF(F16="unmatched","//-- unmatched","* group[=].element[=].target.code = #"&amp;$D$14&amp;"."&amp;D16)</f>
        <v>* group[=].element[=].target.code = #Observation.code</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INDEX('Stage-ConceptMap-1'!$I$15:$N$109,Q16+1,R16)</f>
        <v>* group[=].element[=].display = ##34#Episode Event Reference##34#</v>
      </c>
    </row>
    <row r="17" spans="1:20" ht="88.5" x14ac:dyDescent="0.75">
      <c r="A17" s="44"/>
      <c r="B17" s="11" t="str">
        <f>Stage!B10</f>
        <v>t</v>
      </c>
      <c r="C17" s="11" t="str">
        <f>Stage!C10</f>
        <v>T</v>
      </c>
      <c r="D17" s="12" t="s">
        <v>2302</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INDEX('Stage-ConceptMap-1'!$I$15:$N$109,Q17+1,R17)</f>
        <v>* group[=].element[=].target.code = #Observation.focus</v>
      </c>
    </row>
    <row r="18" spans="1:20" ht="88.5" x14ac:dyDescent="0.75">
      <c r="A18" s="44"/>
      <c r="B18" s="11" t="str">
        <f>Stage!B11</f>
        <v>n</v>
      </c>
      <c r="C18" s="11" t="str">
        <f>Stage!C11</f>
        <v>N</v>
      </c>
      <c r="D18" s="12" t="s">
        <v>2303</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INDEX('Stage-ConceptMap-1'!$I$15:$N$109,Q18+1,R18)</f>
        <v>* group[=].element[=].target.display = ##34###34#</v>
      </c>
    </row>
    <row r="19" spans="1:20" ht="88.5" x14ac:dyDescent="0.75">
      <c r="A19" s="44"/>
      <c r="B19" s="11" t="str">
        <f>Stage!B12</f>
        <v>m</v>
      </c>
      <c r="C19" s="11" t="str">
        <f>Stage!C12</f>
        <v>M</v>
      </c>
      <c r="D19" s="12" t="s">
        <v>2304</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INDEX('Stage-ConceptMap-1'!$I$15:$N$109,Q19+1,R19)</f>
        <v>* group[=].element[=].target.equivalence = #relatedto</v>
      </c>
    </row>
    <row r="20" spans="1:20" ht="88.5" x14ac:dyDescent="0.75">
      <c r="B20" s="11" t="str">
        <f>Stage!B13</f>
        <v>rENE</v>
      </c>
      <c r="C20" s="11" t="str">
        <f>Stage!C13</f>
        <v>Radiological Extra-nodal extension (rENE)</v>
      </c>
      <c r="D20" s="12" t="s">
        <v>2449</v>
      </c>
      <c r="E20" s="12"/>
      <c r="F20" s="49" t="s">
        <v>1294</v>
      </c>
      <c r="G20" s="76" t="s">
        <v>2450</v>
      </c>
      <c r="H20" s="43"/>
      <c r="I20" s="12" t="str">
        <f t="shared" si="7"/>
        <v>* group[=].element[+].code = #Stage.rENE</v>
      </c>
      <c r="J20" s="12" t="str">
        <f t="shared" si="8"/>
        <v>* group[=].element[=].display = ##34#Radiological Extra-nodal extension (rENE)##34#</v>
      </c>
      <c r="K20" s="12" t="str">
        <f t="shared" si="9"/>
        <v>* group[=].element[=].target.code = #Observation.hasMember:extraNodalExtension.valueCodeableConcept</v>
      </c>
      <c r="L20" s="12" t="str">
        <f t="shared" si="10"/>
        <v>* group[=].element[=].target.display = ##34###34#</v>
      </c>
      <c r="M20" s="12" t="str">
        <f t="shared" si="11"/>
        <v>* group[=].element[=].target.equivalence = #relatedto</v>
      </c>
      <c r="N20" s="12" t="str">
        <f t="shared" si="12"/>
        <v>* group[=].element[=].target.comment = ##34#check the used 2960001000004100  Status of extranodal extension of nodal tumour code##34#</v>
      </c>
      <c r="P20" s="11">
        <v>6</v>
      </c>
      <c r="Q20" s="11">
        <f t="shared" si="13"/>
        <v>0</v>
      </c>
      <c r="R20" s="11">
        <f t="shared" si="14"/>
        <v>6</v>
      </c>
      <c r="S20" s="12" t="str" cm="1">
        <f t="array" ref="S20">INDEX('Stage-ConceptMap-1'!$I$15:$N$109,Q20+1,R20)</f>
        <v/>
      </c>
    </row>
    <row r="21" spans="1:20" ht="29.5" customHeight="1" x14ac:dyDescent="0.75">
      <c r="A21" s="44"/>
      <c r="B21" s="11" t="str">
        <f>Stage!B17</f>
        <v>ajccEdition</v>
      </c>
      <c r="C21" s="11" t="str">
        <f>Stage!C17</f>
        <v>Ajcc edition</v>
      </c>
      <c r="D21" s="12" t="s">
        <v>1631</v>
      </c>
      <c r="E21" s="11"/>
      <c r="F21" s="49" t="s">
        <v>1294</v>
      </c>
      <c r="G21" s="76" t="s">
        <v>2310</v>
      </c>
      <c r="H21" s="43"/>
      <c r="I21" s="12" t="str">
        <f t="shared" si="7"/>
        <v>* group[=].element[+].code = #Stage.ajccEdition</v>
      </c>
      <c r="J21" s="12" t="str">
        <f t="shared" si="8"/>
        <v>* group[=].element[=].display = ##34#Ajcc edition##34#</v>
      </c>
      <c r="K21" s="12" t="str">
        <f t="shared" si="9"/>
        <v>* group[=].element[=].target.code = #Observation.valueCodeableConcept.coding.system</v>
      </c>
      <c r="L21" s="12" t="str">
        <f t="shared" si="10"/>
        <v>* group[=].element[=].target.display = ##34###34#</v>
      </c>
      <c r="M21" s="12" t="str">
        <f t="shared" si="11"/>
        <v>* group[=].element[=].target.equivalence = #relatedto</v>
      </c>
      <c r="N21" s="12" t="str">
        <f t="shared" si="12"/>
        <v>* group[=].element[=].target.comment = ##34#if the ajcc system is used for the classification (to be checked)##34#</v>
      </c>
      <c r="P21" s="11">
        <v>7</v>
      </c>
      <c r="Q21" s="11">
        <f t="shared" si="13"/>
        <v>1</v>
      </c>
      <c r="R21" s="11">
        <f t="shared" si="14"/>
        <v>1</v>
      </c>
      <c r="S21" s="12" t="str" cm="1">
        <f t="array" ref="S21">INDEX('Stage-ConceptMap-1'!$I$15:$N$109,Q21+1,R21)</f>
        <v>* group[=].element[+].code = #Stage.type</v>
      </c>
    </row>
    <row r="22" spans="1:20" ht="73.75" x14ac:dyDescent="0.75">
      <c r="B22" s="11" t="str">
        <f>Stage!B30</f>
        <v>stagingClassification</v>
      </c>
      <c r="C22" s="11" t="str">
        <f>Stage!C30</f>
        <v>Staging classification</v>
      </c>
      <c r="D22" s="12" t="s">
        <v>1630</v>
      </c>
      <c r="E22" s="12"/>
      <c r="F22" s="49" t="s">
        <v>1316</v>
      </c>
      <c r="G22" s="77"/>
      <c r="H22" s="43"/>
      <c r="I22" s="12" t="str">
        <f t="shared" si="7"/>
        <v>* group[=].element[+].code = #Stage.stagingClassification</v>
      </c>
      <c r="J22" s="12" t="str">
        <f t="shared" si="8"/>
        <v>* group[=].element[=].display = ##34#Staging classification##34#</v>
      </c>
      <c r="K22" s="12" t="str">
        <f t="shared" si="9"/>
        <v>* group[=].element[=].target.code = #Observation.valueCodeableConcept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INDEX('Stage-ConceptMap-1'!$I$15:$N$109,Q22+1,R22)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INDEX('Stage-ConceptMap-1'!$I$15:$N$109,Q23+1,R23)</f>
        <v>* group[=].element[=].target.code = #Observation.code</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INDEX('Stage-ConceptMap-1'!$I$15:$N$109,Q27+1,R27)</f>
        <v>* group[=].element[+].code = #Stage.t</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INDEX('Stage-ConceptMap-1'!$I$15:$N$109,Q28+1,R28)</f>
        <v>* group[=].element[=].display = ##34#T##34#</v>
      </c>
      <c r="T28"/>
    </row>
    <row r="29" spans="1:20" s="2" customFormat="1" x14ac:dyDescent="0.75">
      <c r="A29"/>
      <c r="B29" s="11"/>
      <c r="C29" s="11"/>
      <c r="F29" s="43"/>
      <c r="G29" s="77"/>
      <c r="H29" s="43"/>
      <c r="J29" s="43"/>
      <c r="K29" s="43"/>
      <c r="L29" s="43"/>
      <c r="M29" s="51"/>
      <c r="N29" s="51"/>
      <c r="P29" s="11">
        <v>15</v>
      </c>
      <c r="Q29" s="11">
        <f t="shared" si="13"/>
        <v>2</v>
      </c>
      <c r="R29" s="11">
        <f t="shared" si="14"/>
        <v>3</v>
      </c>
      <c r="S29" s="12" t="str" cm="1">
        <f t="array" ref="S29">INDEX('Stage-ConceptMap-1'!$I$15:$N$109,Q29+1,R29)</f>
        <v>* group[=].element[=].target.code = #Observation.hasMember:tnmPrimaryTumorCategory.valueCodeableConcept</v>
      </c>
      <c r="T29"/>
    </row>
    <row r="30" spans="1:20" x14ac:dyDescent="0.75">
      <c r="B30" s="11"/>
      <c r="C30" s="11"/>
      <c r="G30" s="77"/>
      <c r="P30" s="11">
        <v>16</v>
      </c>
      <c r="Q30" s="11">
        <f t="shared" si="13"/>
        <v>2</v>
      </c>
      <c r="R30" s="11">
        <f t="shared" si="14"/>
        <v>4</v>
      </c>
      <c r="S30" s="12" t="str" cm="1">
        <f t="array" ref="S30">INDEX('Stage-ConceptMap-1'!$I$15:$N$109,Q30+1,R30)</f>
        <v>* group[=].element[=].target.display = ##34###34#</v>
      </c>
    </row>
    <row r="31" spans="1:20" x14ac:dyDescent="0.75">
      <c r="B31" s="11"/>
      <c r="C31" s="11"/>
      <c r="G31" s="77"/>
      <c r="P31" s="11">
        <v>17</v>
      </c>
      <c r="Q31" s="11">
        <f t="shared" si="13"/>
        <v>2</v>
      </c>
      <c r="R31" s="11">
        <f t="shared" si="14"/>
        <v>5</v>
      </c>
      <c r="S31" s="12" t="str" cm="1">
        <f t="array" ref="S31">INDEX('Stage-ConceptMap-1'!$I$15:$N$109,Q31+1,R31)</f>
        <v>* group[=].element[=].target.equivalence = #equivalent</v>
      </c>
    </row>
    <row r="32" spans="1:20" x14ac:dyDescent="0.75">
      <c r="G32" s="77"/>
      <c r="P32" s="11">
        <v>18</v>
      </c>
      <c r="Q32" s="11">
        <f t="shared" si="13"/>
        <v>2</v>
      </c>
      <c r="R32" s="11">
        <f t="shared" si="14"/>
        <v>6</v>
      </c>
      <c r="S32" s="12" t="str" cm="1">
        <f t="array" ref="S32">INDEX('Stage-ConceptMap-1'!$I$15:$N$109,Q32+1,R32)</f>
        <v/>
      </c>
    </row>
    <row r="33" spans="7:19" x14ac:dyDescent="0.75">
      <c r="G33" s="77"/>
      <c r="P33" s="11">
        <v>19</v>
      </c>
      <c r="Q33" s="11">
        <f t="shared" si="13"/>
        <v>3</v>
      </c>
      <c r="R33" s="11">
        <f t="shared" si="14"/>
        <v>1</v>
      </c>
      <c r="S33" s="12" t="str" cm="1">
        <f t="array" ref="S33">INDEX('Stage-ConceptMap-1'!$I$15:$N$109,Q33+1,R33)</f>
        <v>* group[=].element[+].code = #Stage.n</v>
      </c>
    </row>
    <row r="34" spans="7:19" x14ac:dyDescent="0.75">
      <c r="G34" s="77"/>
      <c r="P34" s="11">
        <v>20</v>
      </c>
      <c r="Q34" s="11">
        <f t="shared" si="13"/>
        <v>3</v>
      </c>
      <c r="R34" s="11">
        <f t="shared" si="14"/>
        <v>2</v>
      </c>
      <c r="S34" s="12" t="str" cm="1">
        <f t="array" ref="S34">INDEX('Stage-ConceptMap-1'!$I$15:$N$109,Q34+1,R34)</f>
        <v>* group[=].element[=].display = ##34#N##34#</v>
      </c>
    </row>
    <row r="35" spans="7:19" x14ac:dyDescent="0.75">
      <c r="G35" s="77"/>
      <c r="P35" s="11">
        <v>21</v>
      </c>
      <c r="Q35" s="11">
        <f t="shared" si="13"/>
        <v>3</v>
      </c>
      <c r="R35" s="11">
        <f t="shared" si="14"/>
        <v>3</v>
      </c>
      <c r="S35" s="12" t="str" cm="1">
        <f t="array" ref="S35">INDEX('Stage-ConceptMap-1'!$I$15:$N$109,Q35+1,R35)</f>
        <v>* group[=].element[=].target.code = #Observation.hasMember:tnmRegionalNodesCategory.valueCodeableConcept</v>
      </c>
    </row>
    <row r="36" spans="7:19" x14ac:dyDescent="0.75">
      <c r="G36" s="77"/>
      <c r="P36" s="11">
        <v>22</v>
      </c>
      <c r="Q36" s="11">
        <f t="shared" si="13"/>
        <v>3</v>
      </c>
      <c r="R36" s="11">
        <f t="shared" si="14"/>
        <v>4</v>
      </c>
      <c r="S36" s="12" t="str" cm="1">
        <f t="array" ref="S36">INDEX('Stage-ConceptMap-1'!$I$15:$N$109,Q36+1,R36)</f>
        <v>* group[=].element[=].target.display = ##34###34#</v>
      </c>
    </row>
    <row r="37" spans="7:19" x14ac:dyDescent="0.75">
      <c r="G37" s="77"/>
      <c r="P37" s="11">
        <v>23</v>
      </c>
      <c r="Q37" s="11">
        <f t="shared" si="13"/>
        <v>3</v>
      </c>
      <c r="R37" s="11">
        <f t="shared" si="14"/>
        <v>5</v>
      </c>
      <c r="S37" s="12" t="str" cm="1">
        <f t="array" ref="S37">INDEX('Stage-ConceptMap-1'!$I$15:$N$109,Q37+1,R37)</f>
        <v>* group[=].element[=].target.equivalence = #equivalent</v>
      </c>
    </row>
    <row r="38" spans="7:19" x14ac:dyDescent="0.75">
      <c r="G38" s="77"/>
      <c r="P38" s="11">
        <v>24</v>
      </c>
      <c r="Q38" s="11">
        <f t="shared" si="13"/>
        <v>3</v>
      </c>
      <c r="R38" s="11">
        <f t="shared" si="14"/>
        <v>6</v>
      </c>
      <c r="S38" s="12" t="str" cm="1">
        <f t="array" ref="S38">INDEX('Stage-ConceptMap-1'!$I$15:$N$109,Q38+1,R38)</f>
        <v/>
      </c>
    </row>
    <row r="39" spans="7:19" x14ac:dyDescent="0.75">
      <c r="G39" s="77"/>
      <c r="P39" s="11">
        <v>25</v>
      </c>
      <c r="Q39" s="11">
        <f t="shared" si="13"/>
        <v>4</v>
      </c>
      <c r="R39" s="11">
        <f t="shared" si="14"/>
        <v>1</v>
      </c>
      <c r="S39" s="12" t="str" cm="1">
        <f t="array" ref="S39">INDEX('Stage-ConceptMap-1'!$I$15:$N$109,Q39+1,R39)</f>
        <v>* group[=].element[+].code = #Stage.m</v>
      </c>
    </row>
    <row r="40" spans="7:19" x14ac:dyDescent="0.75">
      <c r="G40" s="77"/>
      <c r="P40" s="11">
        <v>26</v>
      </c>
      <c r="Q40" s="11">
        <f t="shared" si="13"/>
        <v>4</v>
      </c>
      <c r="R40" s="11">
        <f t="shared" si="14"/>
        <v>2</v>
      </c>
      <c r="S40" s="12" t="str" cm="1">
        <f t="array" ref="S40">INDEX('Stage-ConceptMap-1'!$I$15:$N$109,Q40+1,R40)</f>
        <v>* group[=].element[=].display = ##34#M##34#</v>
      </c>
    </row>
    <row r="41" spans="7:19" x14ac:dyDescent="0.75">
      <c r="G41" s="77"/>
      <c r="P41" s="11">
        <v>27</v>
      </c>
      <c r="Q41" s="11">
        <f t="shared" si="13"/>
        <v>4</v>
      </c>
      <c r="R41" s="11">
        <f t="shared" si="14"/>
        <v>3</v>
      </c>
      <c r="S41" s="12" t="str" cm="1">
        <f t="array" ref="S41">INDEX('Stage-ConceptMap-1'!$I$15:$N$109,Q41+1,R41)</f>
        <v>* group[=].element[=].target.code = #Observation.hasMember:tnmDistantMetastasesCategory.valueCodeableConcept</v>
      </c>
    </row>
    <row r="42" spans="7:19" x14ac:dyDescent="0.75">
      <c r="G42" s="77"/>
      <c r="P42" s="11">
        <v>28</v>
      </c>
      <c r="Q42" s="11">
        <f t="shared" si="13"/>
        <v>4</v>
      </c>
      <c r="R42" s="11">
        <f t="shared" si="14"/>
        <v>4</v>
      </c>
      <c r="S42" s="12" t="str" cm="1">
        <f t="array" ref="S42">INDEX('Stage-ConceptMap-1'!$I$15:$N$109,Q42+1,R42)</f>
        <v>* group[=].element[=].target.display = ##34###34#</v>
      </c>
    </row>
    <row r="43" spans="7:19" x14ac:dyDescent="0.75">
      <c r="G43" s="77"/>
      <c r="P43" s="11">
        <v>29</v>
      </c>
      <c r="Q43" s="11">
        <f t="shared" si="13"/>
        <v>4</v>
      </c>
      <c r="R43" s="11">
        <f t="shared" si="14"/>
        <v>5</v>
      </c>
      <c r="S43" s="12" t="str" cm="1">
        <f t="array" ref="S43">INDEX('Stage-ConceptMap-1'!$I$15:$N$109,Q43+1,R43)</f>
        <v>* group[=].element[=].target.equivalence = #equivalent</v>
      </c>
    </row>
    <row r="44" spans="7:19" x14ac:dyDescent="0.75">
      <c r="G44" s="77"/>
      <c r="P44" s="11">
        <v>30</v>
      </c>
      <c r="Q44" s="11">
        <f t="shared" si="13"/>
        <v>4</v>
      </c>
      <c r="R44" s="11">
        <f t="shared" si="14"/>
        <v>6</v>
      </c>
      <c r="S44" s="12" t="str" cm="1">
        <f t="array" ref="S44">INDEX('Stage-ConceptMap-1'!$I$15:$N$109,Q44+1,R44)</f>
        <v/>
      </c>
    </row>
    <row r="45" spans="7:19" x14ac:dyDescent="0.75">
      <c r="G45" s="77"/>
      <c r="P45" s="11">
        <v>31</v>
      </c>
      <c r="Q45" s="11">
        <f t="shared" si="13"/>
        <v>5</v>
      </c>
      <c r="R45" s="11">
        <f t="shared" si="14"/>
        <v>1</v>
      </c>
      <c r="S45" s="12" t="str" cm="1">
        <f t="array" ref="S45">INDEX('Stage-ConceptMap-1'!$I$15:$N$109,Q45+1,R45)</f>
        <v>* group[=].element[+].code = #Stage.rENE</v>
      </c>
    </row>
    <row r="46" spans="7:19" x14ac:dyDescent="0.75">
      <c r="G46" s="77"/>
      <c r="P46" s="11">
        <v>32</v>
      </c>
      <c r="Q46" s="11">
        <f t="shared" si="13"/>
        <v>5</v>
      </c>
      <c r="R46" s="11">
        <f t="shared" si="14"/>
        <v>2</v>
      </c>
      <c r="S46" s="12" t="str" cm="1">
        <f t="array" ref="S46">INDEX('Stage-ConceptMap-1'!$I$15:$N$109,Q46+1,R46)</f>
        <v>* group[=].element[=].display = ##34#Radiological Extra-nodal extension (rENE)##34#</v>
      </c>
    </row>
    <row r="47" spans="7:19" x14ac:dyDescent="0.75">
      <c r="G47" s="77"/>
      <c r="P47" s="11">
        <v>33</v>
      </c>
      <c r="Q47" s="11">
        <f t="shared" si="13"/>
        <v>5</v>
      </c>
      <c r="R47" s="11">
        <f t="shared" si="14"/>
        <v>3</v>
      </c>
      <c r="S47" s="12" t="str" cm="1">
        <f t="array" ref="S47">INDEX('Stage-ConceptMap-1'!$I$15:$N$109,Q47+1,R47)</f>
        <v>* group[=].element[=].target.code = #Observation.hasMember:extraNodalExtension.valueCodeableConcept</v>
      </c>
    </row>
    <row r="48" spans="7:19" x14ac:dyDescent="0.75">
      <c r="G48" s="77"/>
      <c r="P48" s="11">
        <v>34</v>
      </c>
      <c r="Q48" s="11">
        <f t="shared" si="13"/>
        <v>5</v>
      </c>
      <c r="R48" s="11">
        <f t="shared" si="14"/>
        <v>4</v>
      </c>
      <c r="S48" s="12" t="str" cm="1">
        <f t="array" ref="S48">INDEX('Stage-ConceptMap-1'!$I$15:$N$109,Q48+1,R48)</f>
        <v>* group[=].element[=].target.display = ##34###34#</v>
      </c>
    </row>
    <row r="49" spans="7:19" x14ac:dyDescent="0.75">
      <c r="G49" s="77"/>
      <c r="P49" s="11">
        <v>35</v>
      </c>
      <c r="Q49" s="11">
        <f t="shared" si="13"/>
        <v>5</v>
      </c>
      <c r="R49" s="11">
        <f t="shared" si="14"/>
        <v>5</v>
      </c>
      <c r="S49" s="12" t="str" cm="1">
        <f t="array" ref="S49">INDEX('Stage-ConceptMap-1'!$I$15:$N$109,Q49+1,R49)</f>
        <v>* group[=].element[=].target.equivalence = #relatedto</v>
      </c>
    </row>
    <row r="50" spans="7:19" x14ac:dyDescent="0.75">
      <c r="G50" s="77"/>
      <c r="P50" s="11">
        <v>36</v>
      </c>
      <c r="Q50" s="11">
        <f t="shared" si="13"/>
        <v>5</v>
      </c>
      <c r="R50" s="11">
        <f t="shared" si="14"/>
        <v>6</v>
      </c>
      <c r="S50" s="12" t="str" cm="1">
        <f t="array" ref="S50">INDEX('Stage-ConceptMap-1'!$I$15:$N$109,Q50+1,R50)</f>
        <v>* group[=].element[=].target.comment = ##34#check the used 2960001000004100  Status of extranodal extension of nodal tumour code##34#</v>
      </c>
    </row>
    <row r="51" spans="7:19" x14ac:dyDescent="0.75">
      <c r="G51" s="77"/>
      <c r="P51" s="11">
        <v>37</v>
      </c>
      <c r="Q51" s="11">
        <f t="shared" si="13"/>
        <v>6</v>
      </c>
      <c r="R51" s="11">
        <f t="shared" si="14"/>
        <v>1</v>
      </c>
      <c r="S51" s="12" t="str" cm="1">
        <f t="array" ref="S51">INDEX('Stage-ConceptMap-1'!$I$15:$N$109,Q51+1,R51)</f>
        <v>* group[=].element[+].code = #Stage.ajccEdition</v>
      </c>
    </row>
    <row r="52" spans="7:19" x14ac:dyDescent="0.75">
      <c r="G52" s="77"/>
      <c r="P52" s="11">
        <v>38</v>
      </c>
      <c r="Q52" s="11">
        <f t="shared" si="13"/>
        <v>6</v>
      </c>
      <c r="R52" s="11">
        <f t="shared" si="14"/>
        <v>2</v>
      </c>
      <c r="S52" s="12" t="str" cm="1">
        <f t="array" ref="S52">INDEX('Stage-ConceptMap-1'!$I$15:$N$109,Q52+1,R52)</f>
        <v>* group[=].element[=].display = ##34#Ajcc edition##34#</v>
      </c>
    </row>
    <row r="53" spans="7:19" x14ac:dyDescent="0.75">
      <c r="G53" s="77"/>
      <c r="P53" s="11">
        <v>39</v>
      </c>
      <c r="Q53" s="11">
        <f t="shared" si="13"/>
        <v>6</v>
      </c>
      <c r="R53" s="11">
        <f t="shared" si="14"/>
        <v>3</v>
      </c>
      <c r="S53" s="12" t="str" cm="1">
        <f t="array" ref="S53">INDEX('Stage-ConceptMap-1'!$I$15:$N$109,Q53+1,R53)</f>
        <v>* group[=].element[=].target.code = #Observation.valueCodeableConcept.coding.system</v>
      </c>
    </row>
    <row r="54" spans="7:19" x14ac:dyDescent="0.75">
      <c r="G54" s="77"/>
      <c r="P54" s="11">
        <v>40</v>
      </c>
      <c r="Q54" s="11">
        <f t="shared" si="13"/>
        <v>6</v>
      </c>
      <c r="R54" s="11">
        <f t="shared" si="14"/>
        <v>4</v>
      </c>
      <c r="S54" s="12" t="str" cm="1">
        <f t="array" ref="S54">INDEX('Stage-ConceptMap-1'!$I$15:$N$109,Q54+1,R54)</f>
        <v>* group[=].element[=].target.display = ##34###34#</v>
      </c>
    </row>
    <row r="55" spans="7:19" x14ac:dyDescent="0.75">
      <c r="G55" s="77"/>
      <c r="P55" s="11">
        <v>41</v>
      </c>
      <c r="Q55" s="11">
        <f t="shared" si="13"/>
        <v>6</v>
      </c>
      <c r="R55" s="11">
        <f t="shared" si="14"/>
        <v>5</v>
      </c>
      <c r="S55" s="12" t="str" cm="1">
        <f t="array" ref="S55">INDEX('Stage-ConceptMap-1'!$I$15:$N$109,Q55+1,R55)</f>
        <v>* group[=].element[=].target.equivalence = #relatedto</v>
      </c>
    </row>
    <row r="56" spans="7:19" x14ac:dyDescent="0.75">
      <c r="G56" s="77"/>
      <c r="P56" s="11">
        <v>42</v>
      </c>
      <c r="Q56" s="11">
        <f t="shared" si="13"/>
        <v>6</v>
      </c>
      <c r="R56" s="11">
        <f t="shared" si="14"/>
        <v>6</v>
      </c>
      <c r="S56" s="12" t="str" cm="1">
        <f t="array" ref="S56">INDEX('Stage-ConceptMap-1'!$I$15:$N$109,Q56+1,R56)</f>
        <v>* group[=].element[=].target.comment = ##34#if the ajcc system is used for the classification (to be checked)##34#</v>
      </c>
    </row>
    <row r="57" spans="7:19" x14ac:dyDescent="0.75">
      <c r="G57" s="77"/>
      <c r="P57" s="11">
        <v>43</v>
      </c>
      <c r="Q57" s="11">
        <f t="shared" si="13"/>
        <v>7</v>
      </c>
      <c r="R57" s="11">
        <f t="shared" si="14"/>
        <v>1</v>
      </c>
      <c r="S57" s="12" t="str" cm="1">
        <f t="array" ref="S57">INDEX('Stage-ConceptMap-1'!$I$15:$N$109,Q57+1,R57)</f>
        <v>* group[=].element[+].code = #Stage.stagingClassification</v>
      </c>
    </row>
    <row r="58" spans="7:19" x14ac:dyDescent="0.75">
      <c r="G58" s="77"/>
      <c r="P58" s="11">
        <v>44</v>
      </c>
      <c r="Q58" s="11">
        <f t="shared" si="13"/>
        <v>7</v>
      </c>
      <c r="R58" s="11">
        <f t="shared" si="14"/>
        <v>2</v>
      </c>
      <c r="S58" s="12" t="str" cm="1">
        <f t="array" ref="S58">INDEX('Stage-ConceptMap-1'!$I$15:$N$109,Q58+1,R58)</f>
        <v>* group[=].element[=].display = ##34#Staging classification##34#</v>
      </c>
    </row>
    <row r="59" spans="7:19" x14ac:dyDescent="0.75">
      <c r="G59" s="77"/>
      <c r="P59" s="11">
        <v>45</v>
      </c>
      <c r="Q59" s="11">
        <f t="shared" si="13"/>
        <v>7</v>
      </c>
      <c r="R59" s="11">
        <f t="shared" si="14"/>
        <v>3</v>
      </c>
      <c r="S59" s="12" t="str" cm="1">
        <f t="array" ref="S59">INDEX('Stage-ConceptMap-1'!$I$15:$N$109,Q59+1,R59)</f>
        <v>* group[=].element[=].target.code = #Observation.valueCodeableConcept</v>
      </c>
    </row>
    <row r="60" spans="7:19" x14ac:dyDescent="0.75">
      <c r="G60" s="77"/>
      <c r="P60" s="11">
        <v>46</v>
      </c>
      <c r="Q60" s="11">
        <f t="shared" si="13"/>
        <v>7</v>
      </c>
      <c r="R60" s="11">
        <f t="shared" si="14"/>
        <v>4</v>
      </c>
      <c r="S60" s="12" t="str" cm="1">
        <f t="array" ref="S60">INDEX('Stage-ConceptMap-1'!$I$15:$N$109,Q60+1,R60)</f>
        <v>* group[=].element[=].target.display = ##34###34#</v>
      </c>
    </row>
    <row r="61" spans="7:19" x14ac:dyDescent="0.75">
      <c r="G61" s="77"/>
      <c r="P61" s="11">
        <v>47</v>
      </c>
      <c r="Q61" s="11">
        <f t="shared" si="13"/>
        <v>7</v>
      </c>
      <c r="R61" s="11">
        <f t="shared" si="14"/>
        <v>5</v>
      </c>
      <c r="S61" s="12" t="str" cm="1">
        <f t="array" ref="S61">INDEX('Stage-ConceptMap-1'!$I$15:$N$109,Q61+1,R61)</f>
        <v>* group[=].element[=].target.equivalence = #equivalent</v>
      </c>
    </row>
    <row r="62" spans="7:19" x14ac:dyDescent="0.75">
      <c r="G62" s="77"/>
      <c r="P62" s="11">
        <v>48</v>
      </c>
      <c r="Q62" s="11">
        <f t="shared" si="13"/>
        <v>7</v>
      </c>
      <c r="R62" s="11">
        <f t="shared" si="14"/>
        <v>6</v>
      </c>
      <c r="S62" s="12" t="str" cm="1">
        <f t="array" ref="S62">INDEX('Stage-ConceptMap-1'!$I$15:$N$109,Q62+1,R62)</f>
        <v/>
      </c>
    </row>
    <row r="63" spans="7:19" x14ac:dyDescent="0.75">
      <c r="G63" s="77"/>
      <c r="P63" s="11">
        <v>49</v>
      </c>
      <c r="Q63" s="11">
        <f t="shared" si="13"/>
        <v>8</v>
      </c>
      <c r="R63" s="11">
        <f t="shared" si="14"/>
        <v>1</v>
      </c>
      <c r="S63" s="12" cm="1">
        <f t="array" ref="S63">INDEX('Stage-ConceptMap-1'!$I$15:$N$109,Q63+1,R63)</f>
        <v>0</v>
      </c>
    </row>
    <row r="64" spans="7:19" x14ac:dyDescent="0.75">
      <c r="G64" s="77"/>
      <c r="P64" s="11">
        <v>50</v>
      </c>
      <c r="Q64" s="11">
        <f t="shared" si="13"/>
        <v>8</v>
      </c>
      <c r="R64" s="11">
        <f t="shared" si="14"/>
        <v>2</v>
      </c>
      <c r="S64" s="12" cm="1">
        <f t="array" ref="S64">INDEX('Stage-ConceptMap-1'!$I$15:$N$109,Q64+1,R64)</f>
        <v>0</v>
      </c>
    </row>
    <row r="65" spans="7:19" x14ac:dyDescent="0.75">
      <c r="G65" s="77"/>
      <c r="P65" s="11">
        <v>51</v>
      </c>
      <c r="Q65" s="11">
        <f t="shared" si="13"/>
        <v>8</v>
      </c>
      <c r="R65" s="11">
        <f t="shared" si="14"/>
        <v>3</v>
      </c>
      <c r="S65" s="12" cm="1">
        <f t="array" ref="S65">INDEX('Stage-ConceptMap-1'!$I$15:$N$109,Q65+1,R65)</f>
        <v>0</v>
      </c>
    </row>
    <row r="66" spans="7:19" x14ac:dyDescent="0.75">
      <c r="G66" s="77"/>
      <c r="P66" s="11">
        <v>52</v>
      </c>
      <c r="Q66" s="11">
        <f t="shared" si="13"/>
        <v>8</v>
      </c>
      <c r="R66" s="11">
        <f t="shared" si="14"/>
        <v>4</v>
      </c>
      <c r="S66" s="12" cm="1">
        <f t="array" ref="S66">INDEX('Stage-ConceptMap-1'!$I$15:$N$109,Q66+1,R66)</f>
        <v>0</v>
      </c>
    </row>
    <row r="67" spans="7:19" x14ac:dyDescent="0.75">
      <c r="G67" s="77"/>
      <c r="P67" s="11">
        <v>53</v>
      </c>
      <c r="Q67" s="11">
        <f t="shared" si="13"/>
        <v>8</v>
      </c>
      <c r="R67" s="11">
        <f t="shared" si="14"/>
        <v>5</v>
      </c>
      <c r="S67" s="12" cm="1">
        <f t="array" ref="S67">INDEX('Stage-ConceptMap-1'!$I$15:$N$109,Q67+1,R67)</f>
        <v>0</v>
      </c>
    </row>
    <row r="68" spans="7:19" x14ac:dyDescent="0.75">
      <c r="G68" s="77"/>
      <c r="P68" s="11">
        <v>54</v>
      </c>
      <c r="Q68" s="11">
        <f t="shared" si="13"/>
        <v>8</v>
      </c>
      <c r="R68" s="11">
        <f t="shared" si="14"/>
        <v>6</v>
      </c>
      <c r="S68" s="12" cm="1">
        <f t="array" ref="S68">INDEX('Stage-ConceptMap-1'!$I$15:$N$109,Q68+1,R68)</f>
        <v>0</v>
      </c>
    </row>
    <row r="69" spans="7:19" x14ac:dyDescent="0.75">
      <c r="G69" s="77"/>
      <c r="P69" s="11">
        <v>55</v>
      </c>
      <c r="Q69" s="11">
        <f t="shared" si="13"/>
        <v>9</v>
      </c>
      <c r="R69" s="11">
        <f t="shared" si="14"/>
        <v>1</v>
      </c>
      <c r="S69" s="12" cm="1">
        <f t="array" ref="S69">INDEX('Stage-ConceptMap-1'!$I$15:$N$109,Q69+1,R69)</f>
        <v>0</v>
      </c>
    </row>
    <row r="70" spans="7:19" x14ac:dyDescent="0.75">
      <c r="G70" s="77"/>
      <c r="P70" s="11">
        <v>56</v>
      </c>
      <c r="Q70" s="11">
        <f t="shared" si="13"/>
        <v>9</v>
      </c>
      <c r="R70" s="11">
        <f t="shared" si="14"/>
        <v>2</v>
      </c>
      <c r="S70" s="12" cm="1">
        <f t="array" ref="S70">INDEX('Stage-ConceptMap-1'!$I$15:$N$109,Q70+1,R70)</f>
        <v>0</v>
      </c>
    </row>
    <row r="71" spans="7:19" x14ac:dyDescent="0.75">
      <c r="G71" s="77"/>
      <c r="P71" s="11">
        <v>57</v>
      </c>
      <c r="Q71" s="11">
        <f t="shared" si="13"/>
        <v>9</v>
      </c>
      <c r="R71" s="11">
        <f t="shared" si="14"/>
        <v>3</v>
      </c>
      <c r="S71" s="12" cm="1">
        <f t="array" ref="S71">INDEX('Stage-ConceptMap-1'!$I$15:$N$109,Q71+1,R71)</f>
        <v>0</v>
      </c>
    </row>
    <row r="72" spans="7:19" x14ac:dyDescent="0.75">
      <c r="G72" s="77"/>
      <c r="P72" s="11">
        <v>58</v>
      </c>
      <c r="Q72" s="11">
        <f t="shared" si="13"/>
        <v>9</v>
      </c>
      <c r="R72" s="11">
        <f t="shared" si="14"/>
        <v>4</v>
      </c>
      <c r="S72" s="12" cm="1">
        <f t="array" ref="S72">INDEX('Stage-ConceptMap-1'!$I$15:$N$109,Q72+1,R72)</f>
        <v>0</v>
      </c>
    </row>
    <row r="73" spans="7:19" x14ac:dyDescent="0.75">
      <c r="G73" s="77"/>
      <c r="P73" s="11">
        <v>59</v>
      </c>
      <c r="Q73" s="11">
        <f t="shared" si="13"/>
        <v>9</v>
      </c>
      <c r="R73" s="11">
        <f t="shared" si="14"/>
        <v>5</v>
      </c>
      <c r="S73" s="12" cm="1">
        <f t="array" ref="S73">INDEX('Stage-ConceptMap-1'!$I$15:$N$109,Q73+1,R73)</f>
        <v>0</v>
      </c>
    </row>
    <row r="74" spans="7:19" x14ac:dyDescent="0.75">
      <c r="G74" s="77"/>
      <c r="P74" s="11">
        <v>60</v>
      </c>
      <c r="Q74" s="11">
        <f t="shared" si="13"/>
        <v>9</v>
      </c>
      <c r="R74" s="11">
        <f t="shared" si="14"/>
        <v>6</v>
      </c>
      <c r="S74" s="12" cm="1">
        <f t="array" ref="S74">INDEX('Stage-ConceptMap-1'!$I$15:$N$109,Q74+1,R74)</f>
        <v>0</v>
      </c>
    </row>
    <row r="75" spans="7:19" x14ac:dyDescent="0.75">
      <c r="G75" s="77"/>
      <c r="P75" s="11">
        <v>61</v>
      </c>
      <c r="Q75" s="11">
        <f t="shared" si="13"/>
        <v>10</v>
      </c>
      <c r="R75" s="11">
        <f t="shared" si="14"/>
        <v>1</v>
      </c>
      <c r="S75" s="12" cm="1">
        <f t="array" ref="S75">INDEX('Stage-ConceptMap-1'!$I$15:$N$109,Q75+1,R75)</f>
        <v>0</v>
      </c>
    </row>
    <row r="76" spans="7:19" x14ac:dyDescent="0.75">
      <c r="G76" s="77"/>
      <c r="P76" s="11">
        <v>62</v>
      </c>
      <c r="Q76" s="11">
        <f t="shared" si="13"/>
        <v>10</v>
      </c>
      <c r="R76" s="11">
        <f t="shared" si="14"/>
        <v>2</v>
      </c>
      <c r="S76" s="12" cm="1">
        <f t="array" ref="S76">INDEX('Stage-ConceptMap-1'!$I$15:$N$109,Q76+1,R76)</f>
        <v>0</v>
      </c>
    </row>
    <row r="77" spans="7:19" x14ac:dyDescent="0.75">
      <c r="G77" s="77"/>
      <c r="P77" s="11">
        <v>63</v>
      </c>
      <c r="Q77" s="11">
        <f t="shared" si="13"/>
        <v>10</v>
      </c>
      <c r="R77" s="11">
        <f t="shared" si="14"/>
        <v>3</v>
      </c>
      <c r="S77" s="12" cm="1">
        <f t="array" ref="S77">INDEX('Stage-ConceptMap-1'!$I$15:$N$109,Q77+1,R77)</f>
        <v>0</v>
      </c>
    </row>
    <row r="78" spans="7:19" x14ac:dyDescent="0.75">
      <c r="G78" s="77"/>
      <c r="P78" s="11">
        <v>64</v>
      </c>
      <c r="Q78" s="11">
        <f t="shared" si="13"/>
        <v>10</v>
      </c>
      <c r="R78" s="11">
        <f t="shared" si="14"/>
        <v>4</v>
      </c>
      <c r="S78" s="12" cm="1">
        <f t="array" ref="S78">INDEX('Stage-ConceptMap-1'!$I$15:$N$109,Q78+1,R78)</f>
        <v>0</v>
      </c>
    </row>
    <row r="79" spans="7:19" x14ac:dyDescent="0.75">
      <c r="G79" s="77"/>
      <c r="P79" s="11">
        <v>65</v>
      </c>
      <c r="Q79" s="11">
        <f t="shared" si="13"/>
        <v>10</v>
      </c>
      <c r="R79" s="11">
        <f t="shared" si="14"/>
        <v>5</v>
      </c>
      <c r="S79" s="12" cm="1">
        <f t="array" ref="S79">INDEX('Stage-ConceptMap-1'!$I$15:$N$109,Q79+1,R79)</f>
        <v>0</v>
      </c>
    </row>
    <row r="80" spans="7:19" x14ac:dyDescent="0.75">
      <c r="G80" s="77"/>
      <c r="P80" s="11">
        <v>66</v>
      </c>
      <c r="Q80" s="11">
        <f t="shared" ref="Q80:Q143" si="15">IF(MOD(P80,$Q$8)=0,P80/$Q$8-1,INT(P80/$Q$8))</f>
        <v>10</v>
      </c>
      <c r="R80" s="11">
        <f t="shared" ref="R80:R143" si="16">IF(MOD(P80,$Q$8)=0,$Q$8,MOD(P80,$Q$8))</f>
        <v>6</v>
      </c>
      <c r="S80" s="12" cm="1">
        <f t="array" ref="S80">INDEX('Stage-ConceptMap-1'!$I$15:$N$109,Q80+1,R80)</f>
        <v>0</v>
      </c>
    </row>
    <row r="81" spans="7:19" x14ac:dyDescent="0.75">
      <c r="G81" s="77"/>
      <c r="P81" s="11">
        <v>67</v>
      </c>
      <c r="Q81" s="11">
        <f t="shared" si="15"/>
        <v>11</v>
      </c>
      <c r="R81" s="11">
        <f t="shared" si="16"/>
        <v>1</v>
      </c>
      <c r="S81" s="12" cm="1">
        <f t="array" ref="S81">INDEX('Stage-ConceptMap-1'!$I$15:$N$109,Q81+1,R81)</f>
        <v>0</v>
      </c>
    </row>
    <row r="82" spans="7:19" x14ac:dyDescent="0.75">
      <c r="G82" s="77"/>
      <c r="P82" s="11">
        <v>68</v>
      </c>
      <c r="Q82" s="11">
        <f t="shared" si="15"/>
        <v>11</v>
      </c>
      <c r="R82" s="11">
        <f t="shared" si="16"/>
        <v>2</v>
      </c>
      <c r="S82" s="12" cm="1">
        <f t="array" ref="S82">INDEX('Stage-ConceptMap-1'!$I$15:$N$109,Q82+1,R82)</f>
        <v>0</v>
      </c>
    </row>
    <row r="83" spans="7:19" x14ac:dyDescent="0.75">
      <c r="G83" s="77"/>
      <c r="P83" s="11">
        <v>69</v>
      </c>
      <c r="Q83" s="11">
        <f t="shared" si="15"/>
        <v>11</v>
      </c>
      <c r="R83" s="11">
        <f t="shared" si="16"/>
        <v>3</v>
      </c>
      <c r="S83" s="12" cm="1">
        <f t="array" ref="S83">INDEX('Stage-ConceptMap-1'!$I$15:$N$109,Q83+1,R83)</f>
        <v>0</v>
      </c>
    </row>
    <row r="84" spans="7:19" x14ac:dyDescent="0.75">
      <c r="G84" s="77"/>
      <c r="P84" s="11">
        <v>70</v>
      </c>
      <c r="Q84" s="11">
        <f t="shared" si="15"/>
        <v>11</v>
      </c>
      <c r="R84" s="11">
        <f t="shared" si="16"/>
        <v>4</v>
      </c>
      <c r="S84" s="12" cm="1">
        <f t="array" ref="S84">INDEX('Stage-ConceptMap-1'!$I$15:$N$109,Q84+1,R84)</f>
        <v>0</v>
      </c>
    </row>
    <row r="85" spans="7:19" x14ac:dyDescent="0.75">
      <c r="G85" s="77"/>
      <c r="P85" s="11">
        <v>71</v>
      </c>
      <c r="Q85" s="11">
        <f t="shared" si="15"/>
        <v>11</v>
      </c>
      <c r="R85" s="11">
        <f t="shared" si="16"/>
        <v>5</v>
      </c>
      <c r="S85" s="12" cm="1">
        <f t="array" ref="S85">INDEX('Stage-ConceptMap-1'!$I$15:$N$109,Q85+1,R85)</f>
        <v>0</v>
      </c>
    </row>
    <row r="86" spans="7:19" x14ac:dyDescent="0.75">
      <c r="G86" s="77"/>
      <c r="P86" s="11">
        <v>72</v>
      </c>
      <c r="Q86" s="11">
        <f t="shared" si="15"/>
        <v>11</v>
      </c>
      <c r="R86" s="11">
        <f t="shared" si="16"/>
        <v>6</v>
      </c>
      <c r="S86" s="12" cm="1">
        <f t="array" ref="S86">INDEX('Stage-ConceptMap-1'!$I$15:$N$109,Q86+1,R86)</f>
        <v>0</v>
      </c>
    </row>
    <row r="87" spans="7:19" x14ac:dyDescent="0.75">
      <c r="G87" s="77"/>
      <c r="P87" s="11">
        <v>73</v>
      </c>
      <c r="Q87" s="11">
        <f t="shared" si="15"/>
        <v>12</v>
      </c>
      <c r="R87" s="11">
        <f t="shared" si="16"/>
        <v>1</v>
      </c>
      <c r="S87" s="12" cm="1">
        <f t="array" ref="S87">INDEX('Stage-ConceptMap-1'!$I$15:$N$109,Q87+1,R87)</f>
        <v>0</v>
      </c>
    </row>
    <row r="88" spans="7:19" x14ac:dyDescent="0.75">
      <c r="G88" s="77"/>
      <c r="P88" s="11">
        <v>74</v>
      </c>
      <c r="Q88" s="11">
        <f t="shared" si="15"/>
        <v>12</v>
      </c>
      <c r="R88" s="11">
        <f t="shared" si="16"/>
        <v>2</v>
      </c>
      <c r="S88" s="12" cm="1">
        <f t="array" ref="S88">INDEX('Stage-ConceptMap-1'!$I$15:$N$109,Q88+1,R88)</f>
        <v>0</v>
      </c>
    </row>
    <row r="89" spans="7:19" x14ac:dyDescent="0.75">
      <c r="G89" s="77"/>
      <c r="P89" s="11">
        <v>75</v>
      </c>
      <c r="Q89" s="11">
        <f t="shared" si="15"/>
        <v>12</v>
      </c>
      <c r="R89" s="11">
        <f t="shared" si="16"/>
        <v>3</v>
      </c>
      <c r="S89" s="12" cm="1">
        <f t="array" ref="S89">INDEX('Stage-ConceptMap-1'!$I$15:$N$109,Q89+1,R89)</f>
        <v>0</v>
      </c>
    </row>
    <row r="90" spans="7:19" x14ac:dyDescent="0.75">
      <c r="G90" s="77"/>
      <c r="P90" s="11">
        <v>76</v>
      </c>
      <c r="Q90" s="11">
        <f t="shared" si="15"/>
        <v>12</v>
      </c>
      <c r="R90" s="11">
        <f t="shared" si="16"/>
        <v>4</v>
      </c>
      <c r="S90" s="12" cm="1">
        <f t="array" ref="S90">INDEX('Stage-ConceptMap-1'!$I$15:$N$109,Q90+1,R90)</f>
        <v>0</v>
      </c>
    </row>
    <row r="91" spans="7:19" x14ac:dyDescent="0.75">
      <c r="G91" s="77"/>
      <c r="P91" s="11">
        <v>77</v>
      </c>
      <c r="Q91" s="11">
        <f t="shared" si="15"/>
        <v>12</v>
      </c>
      <c r="R91" s="11">
        <f t="shared" si="16"/>
        <v>5</v>
      </c>
      <c r="S91" s="12" cm="1">
        <f t="array" ref="S91">INDEX('Stage-ConceptMap-1'!$I$15:$N$109,Q91+1,R91)</f>
        <v>0</v>
      </c>
    </row>
    <row r="92" spans="7:19" x14ac:dyDescent="0.75">
      <c r="G92" s="77"/>
      <c r="P92" s="11">
        <v>78</v>
      </c>
      <c r="Q92" s="11">
        <f t="shared" si="15"/>
        <v>12</v>
      </c>
      <c r="R92" s="11">
        <f t="shared" si="16"/>
        <v>6</v>
      </c>
      <c r="S92" s="12" cm="1">
        <f t="array" ref="S92">INDEX('Stage-ConceptMap-1'!$I$15:$N$109,Q92+1,R92)</f>
        <v>0</v>
      </c>
    </row>
    <row r="93" spans="7:19" x14ac:dyDescent="0.75">
      <c r="G93" s="77"/>
      <c r="P93" s="11">
        <v>79</v>
      </c>
      <c r="Q93" s="11">
        <f t="shared" si="15"/>
        <v>13</v>
      </c>
      <c r="R93" s="11">
        <f t="shared" si="16"/>
        <v>1</v>
      </c>
      <c r="S93" s="12" cm="1">
        <f t="array" ref="S93">INDEX('Stage-ConceptMap-1'!$I$15:$N$109,Q93+1,R93)</f>
        <v>0</v>
      </c>
    </row>
    <row r="94" spans="7:19" x14ac:dyDescent="0.75">
      <c r="G94" s="77"/>
      <c r="P94" s="11">
        <v>80</v>
      </c>
      <c r="Q94" s="11">
        <f t="shared" si="15"/>
        <v>13</v>
      </c>
      <c r="R94" s="11">
        <f t="shared" si="16"/>
        <v>2</v>
      </c>
      <c r="S94" s="12" cm="1">
        <f t="array" ref="S94">INDEX('Stage-ConceptMap-1'!$I$15:$N$109,Q94+1,R94)</f>
        <v>0</v>
      </c>
    </row>
    <row r="95" spans="7:19" x14ac:dyDescent="0.75">
      <c r="G95" s="77"/>
      <c r="P95" s="11">
        <v>81</v>
      </c>
      <c r="Q95" s="11">
        <f t="shared" si="15"/>
        <v>13</v>
      </c>
      <c r="R95" s="11">
        <f t="shared" si="16"/>
        <v>3</v>
      </c>
      <c r="S95" s="12" cm="1">
        <f t="array" ref="S95">INDEX('Stage-ConceptMap-1'!$I$15:$N$109,Q95+1,R95)</f>
        <v>0</v>
      </c>
    </row>
    <row r="96" spans="7:19" x14ac:dyDescent="0.75">
      <c r="G96" s="77"/>
      <c r="P96" s="11">
        <v>82</v>
      </c>
      <c r="Q96" s="11">
        <f t="shared" si="15"/>
        <v>13</v>
      </c>
      <c r="R96" s="11">
        <f t="shared" si="16"/>
        <v>4</v>
      </c>
      <c r="S96" s="12" cm="1">
        <f t="array" ref="S96">INDEX('Stage-ConceptMap-1'!$I$15:$N$109,Q96+1,R96)</f>
        <v>0</v>
      </c>
    </row>
    <row r="97" spans="7:19" x14ac:dyDescent="0.75">
      <c r="G97" s="77"/>
      <c r="P97" s="11">
        <v>83</v>
      </c>
      <c r="Q97" s="11">
        <f t="shared" si="15"/>
        <v>13</v>
      </c>
      <c r="R97" s="11">
        <f t="shared" si="16"/>
        <v>5</v>
      </c>
      <c r="S97" s="12" cm="1">
        <f t="array" ref="S97">INDEX('Stage-ConceptMap-1'!$I$15:$N$109,Q97+1,R97)</f>
        <v>0</v>
      </c>
    </row>
    <row r="98" spans="7:19" x14ac:dyDescent="0.75">
      <c r="G98" s="77"/>
      <c r="P98" s="11">
        <v>84</v>
      </c>
      <c r="Q98" s="11">
        <f t="shared" si="15"/>
        <v>13</v>
      </c>
      <c r="R98" s="11">
        <f t="shared" si="16"/>
        <v>6</v>
      </c>
      <c r="S98" s="12" cm="1">
        <f t="array" ref="S98">INDEX('Stage-ConceptMap-1'!$I$15:$N$109,Q98+1,R98)</f>
        <v>0</v>
      </c>
    </row>
    <row r="99" spans="7:19" x14ac:dyDescent="0.75">
      <c r="G99" s="77"/>
      <c r="P99" s="11">
        <v>85</v>
      </c>
      <c r="Q99" s="11">
        <f t="shared" si="15"/>
        <v>14</v>
      </c>
      <c r="R99" s="11">
        <f t="shared" si="16"/>
        <v>1</v>
      </c>
      <c r="S99" s="12" cm="1">
        <f t="array" ref="S99">INDEX('Stage-ConceptMap-1'!$I$15:$N$109,Q99+1,R99)</f>
        <v>0</v>
      </c>
    </row>
    <row r="100" spans="7:19" x14ac:dyDescent="0.75">
      <c r="G100" s="77"/>
      <c r="P100" s="11">
        <v>86</v>
      </c>
      <c r="Q100" s="11">
        <f t="shared" si="15"/>
        <v>14</v>
      </c>
      <c r="R100" s="11">
        <f t="shared" si="16"/>
        <v>2</v>
      </c>
      <c r="S100" s="12" cm="1">
        <f t="array" ref="S100">INDEX('Stage-ConceptMap-1'!$I$15:$N$109,Q100+1,R100)</f>
        <v>0</v>
      </c>
    </row>
    <row r="101" spans="7:19" x14ac:dyDescent="0.75">
      <c r="G101" s="77"/>
      <c r="P101" s="11">
        <v>87</v>
      </c>
      <c r="Q101" s="11">
        <f t="shared" si="15"/>
        <v>14</v>
      </c>
      <c r="R101" s="11">
        <f t="shared" si="16"/>
        <v>3</v>
      </c>
      <c r="S101" s="12" cm="1">
        <f t="array" ref="S101">INDEX('Stage-ConceptMap-1'!$I$15:$N$109,Q101+1,R101)</f>
        <v>0</v>
      </c>
    </row>
    <row r="102" spans="7:19" x14ac:dyDescent="0.75">
      <c r="G102" s="77"/>
      <c r="P102" s="11">
        <v>88</v>
      </c>
      <c r="Q102" s="11">
        <f t="shared" si="15"/>
        <v>14</v>
      </c>
      <c r="R102" s="11">
        <f t="shared" si="16"/>
        <v>4</v>
      </c>
      <c r="S102" s="12" cm="1">
        <f t="array" ref="S102">INDEX('Stage-ConceptMap-1'!$I$15:$N$109,Q102+1,R102)</f>
        <v>0</v>
      </c>
    </row>
    <row r="103" spans="7:19" x14ac:dyDescent="0.75">
      <c r="P103" s="11">
        <v>89</v>
      </c>
      <c r="Q103" s="11">
        <f t="shared" si="15"/>
        <v>14</v>
      </c>
      <c r="R103" s="11">
        <f t="shared" si="16"/>
        <v>5</v>
      </c>
      <c r="S103" s="12" cm="1">
        <f t="array" ref="S103">INDEX('Stage-ConceptMap-1'!$I$15:$N$109,Q103+1,R103)</f>
        <v>0</v>
      </c>
    </row>
    <row r="104" spans="7:19" x14ac:dyDescent="0.75">
      <c r="P104" s="11">
        <v>90</v>
      </c>
      <c r="Q104" s="11">
        <f t="shared" si="15"/>
        <v>14</v>
      </c>
      <c r="R104" s="11">
        <f t="shared" si="16"/>
        <v>6</v>
      </c>
      <c r="S104" s="12" cm="1">
        <f t="array" ref="S104">INDEX('Stage-ConceptMap-1'!$I$15:$N$109,Q104+1,R104)</f>
        <v>0</v>
      </c>
    </row>
    <row r="105" spans="7:19" x14ac:dyDescent="0.75">
      <c r="P105" s="11">
        <v>91</v>
      </c>
      <c r="Q105" s="11">
        <f t="shared" si="15"/>
        <v>15</v>
      </c>
      <c r="R105" s="11">
        <f t="shared" si="16"/>
        <v>1</v>
      </c>
      <c r="S105" s="12" cm="1">
        <f t="array" ref="S105">INDEX('Stage-ConceptMap-1'!$I$15:$N$109,Q105+1,R105)</f>
        <v>0</v>
      </c>
    </row>
    <row r="106" spans="7:19" x14ac:dyDescent="0.75">
      <c r="P106" s="11">
        <v>92</v>
      </c>
      <c r="Q106" s="11">
        <f t="shared" si="15"/>
        <v>15</v>
      </c>
      <c r="R106" s="11">
        <f t="shared" si="16"/>
        <v>2</v>
      </c>
      <c r="S106" s="12" cm="1">
        <f t="array" ref="S106">INDEX('Stage-ConceptMap-1'!$I$15:$N$109,Q106+1,R106)</f>
        <v>0</v>
      </c>
    </row>
    <row r="107" spans="7:19" x14ac:dyDescent="0.75">
      <c r="P107" s="11">
        <v>93</v>
      </c>
      <c r="Q107" s="11">
        <f t="shared" si="15"/>
        <v>15</v>
      </c>
      <c r="R107" s="11">
        <f t="shared" si="16"/>
        <v>3</v>
      </c>
      <c r="S107" s="12" cm="1">
        <f t="array" ref="S107">INDEX('Stage-ConceptMap-1'!$I$15:$N$109,Q107+1,R107)</f>
        <v>0</v>
      </c>
    </row>
    <row r="108" spans="7:19" x14ac:dyDescent="0.75">
      <c r="P108" s="11">
        <v>94</v>
      </c>
      <c r="Q108" s="11">
        <f t="shared" si="15"/>
        <v>15</v>
      </c>
      <c r="R108" s="11">
        <f t="shared" si="16"/>
        <v>4</v>
      </c>
      <c r="S108" s="12" cm="1">
        <f t="array" ref="S108">INDEX('Stage-ConceptMap-1'!$I$15:$N$109,Q108+1,R108)</f>
        <v>0</v>
      </c>
    </row>
    <row r="109" spans="7:19" x14ac:dyDescent="0.75">
      <c r="P109" s="11">
        <v>95</v>
      </c>
      <c r="Q109" s="11">
        <f t="shared" si="15"/>
        <v>15</v>
      </c>
      <c r="R109" s="11">
        <f t="shared" si="16"/>
        <v>5</v>
      </c>
      <c r="S109" s="12" cm="1">
        <f t="array" ref="S109">INDEX('Stage-ConceptMap-1'!$I$15:$N$109,Q109+1,R109)</f>
        <v>0</v>
      </c>
    </row>
    <row r="110" spans="7:19" x14ac:dyDescent="0.75">
      <c r="P110" s="11">
        <v>96</v>
      </c>
      <c r="Q110" s="11">
        <f t="shared" si="15"/>
        <v>15</v>
      </c>
      <c r="R110" s="11">
        <f t="shared" si="16"/>
        <v>6</v>
      </c>
      <c r="S110" s="12" cm="1">
        <f t="array" ref="S110">INDEX('Stage-ConceptMap-1'!$I$15:$N$109,Q110+1,R110)</f>
        <v>0</v>
      </c>
    </row>
    <row r="111" spans="7:19" x14ac:dyDescent="0.75">
      <c r="P111" s="11">
        <v>97</v>
      </c>
      <c r="Q111" s="11">
        <f t="shared" si="15"/>
        <v>16</v>
      </c>
      <c r="R111" s="11">
        <f t="shared" si="16"/>
        <v>1</v>
      </c>
      <c r="S111" s="12" cm="1">
        <f t="array" ref="S111">INDEX('Stage-ConceptMap-1'!$I$15:$N$109,Q111+1,R111)</f>
        <v>0</v>
      </c>
    </row>
    <row r="112" spans="7:19" x14ac:dyDescent="0.75">
      <c r="P112" s="11">
        <v>98</v>
      </c>
      <c r="Q112" s="11">
        <f t="shared" si="15"/>
        <v>16</v>
      </c>
      <c r="R112" s="11">
        <f t="shared" si="16"/>
        <v>2</v>
      </c>
      <c r="S112" s="12" cm="1">
        <f t="array" ref="S112">INDEX('Stage-ConceptMap-1'!$I$15:$N$109,Q112+1,R112)</f>
        <v>0</v>
      </c>
    </row>
    <row r="113" spans="16:19" x14ac:dyDescent="0.75">
      <c r="P113" s="11">
        <v>99</v>
      </c>
      <c r="Q113" s="11">
        <f t="shared" si="15"/>
        <v>16</v>
      </c>
      <c r="R113" s="11">
        <f t="shared" si="16"/>
        <v>3</v>
      </c>
      <c r="S113" s="12" cm="1">
        <f t="array" ref="S113">INDEX('Stage-ConceptMap-1'!$I$15:$N$109,Q113+1,R113)</f>
        <v>0</v>
      </c>
    </row>
    <row r="114" spans="16:19" x14ac:dyDescent="0.75">
      <c r="P114" s="11">
        <v>100</v>
      </c>
      <c r="Q114" s="11">
        <f t="shared" si="15"/>
        <v>16</v>
      </c>
      <c r="R114" s="11">
        <f t="shared" si="16"/>
        <v>4</v>
      </c>
      <c r="S114" s="12" cm="1">
        <f t="array" ref="S114">INDEX('Stage-ConceptMap-1'!$I$15:$N$109,Q114+1,R114)</f>
        <v>0</v>
      </c>
    </row>
    <row r="115" spans="16:19" x14ac:dyDescent="0.75">
      <c r="P115" s="11">
        <v>101</v>
      </c>
      <c r="Q115" s="11">
        <f t="shared" si="15"/>
        <v>16</v>
      </c>
      <c r="R115" s="11">
        <f t="shared" si="16"/>
        <v>5</v>
      </c>
      <c r="S115" s="12" cm="1">
        <f t="array" ref="S115">INDEX('Stage-ConceptMap-1'!$I$15:$N$109,Q115+1,R115)</f>
        <v>0</v>
      </c>
    </row>
    <row r="116" spans="16:19" x14ac:dyDescent="0.75">
      <c r="P116" s="11">
        <v>102</v>
      </c>
      <c r="Q116" s="11">
        <f t="shared" si="15"/>
        <v>16</v>
      </c>
      <c r="R116" s="11">
        <f t="shared" si="16"/>
        <v>6</v>
      </c>
      <c r="S116" s="12" cm="1">
        <f t="array" ref="S116">INDEX('Stage-ConceptMap-1'!$I$15:$N$109,Q116+1,R116)</f>
        <v>0</v>
      </c>
    </row>
    <row r="117" spans="16:19" x14ac:dyDescent="0.75">
      <c r="P117" s="11">
        <v>103</v>
      </c>
      <c r="Q117" s="11">
        <f t="shared" si="15"/>
        <v>17</v>
      </c>
      <c r="R117" s="11">
        <f t="shared" si="16"/>
        <v>1</v>
      </c>
      <c r="S117" s="12" cm="1">
        <f t="array" ref="S117">INDEX('Stage-ConceptMap-1'!$I$15:$N$109,Q117+1,R117)</f>
        <v>0</v>
      </c>
    </row>
    <row r="118" spans="16:19" x14ac:dyDescent="0.75">
      <c r="P118" s="11">
        <v>104</v>
      </c>
      <c r="Q118" s="11">
        <f t="shared" si="15"/>
        <v>17</v>
      </c>
      <c r="R118" s="11">
        <f t="shared" si="16"/>
        <v>2</v>
      </c>
      <c r="S118" s="12" cm="1">
        <f t="array" ref="S118">INDEX('Stage-ConceptMap-1'!$I$15:$N$109,Q118+1,R118)</f>
        <v>0</v>
      </c>
    </row>
    <row r="119" spans="16:19" x14ac:dyDescent="0.75">
      <c r="P119" s="11">
        <v>105</v>
      </c>
      <c r="Q119" s="11">
        <f t="shared" si="15"/>
        <v>17</v>
      </c>
      <c r="R119" s="11">
        <f t="shared" si="16"/>
        <v>3</v>
      </c>
      <c r="S119" s="12" cm="1">
        <f t="array" ref="S119">INDEX('Stage-ConceptMap-1'!$I$15:$N$109,Q119+1,R119)</f>
        <v>0</v>
      </c>
    </row>
    <row r="120" spans="16:19" x14ac:dyDescent="0.75">
      <c r="P120" s="11">
        <v>106</v>
      </c>
      <c r="Q120" s="11">
        <f t="shared" si="15"/>
        <v>17</v>
      </c>
      <c r="R120" s="11">
        <f t="shared" si="16"/>
        <v>4</v>
      </c>
      <c r="S120" s="12" cm="1">
        <f t="array" ref="S120">INDEX('Stage-ConceptMap-1'!$I$15:$N$109,Q120+1,R120)</f>
        <v>0</v>
      </c>
    </row>
    <row r="121" spans="16:19" x14ac:dyDescent="0.75">
      <c r="P121" s="11">
        <v>107</v>
      </c>
      <c r="Q121" s="11">
        <f t="shared" si="15"/>
        <v>17</v>
      </c>
      <c r="R121" s="11">
        <f t="shared" si="16"/>
        <v>5</v>
      </c>
      <c r="S121" s="12" cm="1">
        <f t="array" ref="S121">INDEX('Stage-ConceptMap-1'!$I$15:$N$109,Q121+1,R121)</f>
        <v>0</v>
      </c>
    </row>
    <row r="122" spans="16:19" x14ac:dyDescent="0.75">
      <c r="P122" s="11">
        <v>108</v>
      </c>
      <c r="Q122" s="11">
        <f t="shared" si="15"/>
        <v>17</v>
      </c>
      <c r="R122" s="11">
        <f t="shared" si="16"/>
        <v>6</v>
      </c>
      <c r="S122" s="12" cm="1">
        <f t="array" ref="S122">INDEX('Stage-ConceptMap-1'!$I$15:$N$109,Q122+1,R122)</f>
        <v>0</v>
      </c>
    </row>
    <row r="123" spans="16:19" x14ac:dyDescent="0.75">
      <c r="P123" s="11">
        <v>109</v>
      </c>
      <c r="Q123" s="11">
        <f t="shared" si="15"/>
        <v>18</v>
      </c>
      <c r="R123" s="11">
        <f t="shared" si="16"/>
        <v>1</v>
      </c>
      <c r="S123" s="12" cm="1">
        <f t="array" ref="S123">INDEX('Stage-ConceptMap-1'!$I$15:$N$109,Q123+1,R123)</f>
        <v>0</v>
      </c>
    </row>
    <row r="124" spans="16:19" x14ac:dyDescent="0.75">
      <c r="P124" s="11">
        <v>110</v>
      </c>
      <c r="Q124" s="11">
        <f t="shared" si="15"/>
        <v>18</v>
      </c>
      <c r="R124" s="11">
        <f t="shared" si="16"/>
        <v>2</v>
      </c>
      <c r="S124" s="12" cm="1">
        <f t="array" ref="S124">INDEX('Stage-ConceptMap-1'!$I$15:$N$109,Q124+1,R124)</f>
        <v>0</v>
      </c>
    </row>
    <row r="125" spans="16:19" x14ac:dyDescent="0.75">
      <c r="P125" s="11">
        <v>111</v>
      </c>
      <c r="Q125" s="11">
        <f t="shared" si="15"/>
        <v>18</v>
      </c>
      <c r="R125" s="11">
        <f t="shared" si="16"/>
        <v>3</v>
      </c>
      <c r="S125" s="12" cm="1">
        <f t="array" ref="S125">INDEX('Stage-ConceptMap-1'!$I$15:$N$109,Q125+1,R125)</f>
        <v>0</v>
      </c>
    </row>
    <row r="126" spans="16:19" x14ac:dyDescent="0.75">
      <c r="P126" s="11">
        <v>112</v>
      </c>
      <c r="Q126" s="11">
        <f t="shared" si="15"/>
        <v>18</v>
      </c>
      <c r="R126" s="11">
        <f t="shared" si="16"/>
        <v>4</v>
      </c>
      <c r="S126" s="12" cm="1">
        <f t="array" ref="S126">INDEX('Stage-ConceptMap-1'!$I$15:$N$109,Q126+1,R126)</f>
        <v>0</v>
      </c>
    </row>
    <row r="127" spans="16:19" x14ac:dyDescent="0.75">
      <c r="P127" s="11">
        <v>113</v>
      </c>
      <c r="Q127" s="11">
        <f t="shared" si="15"/>
        <v>18</v>
      </c>
      <c r="R127" s="11">
        <f t="shared" si="16"/>
        <v>5</v>
      </c>
      <c r="S127" s="12" cm="1">
        <f t="array" ref="S127">INDEX('Stage-ConceptMap-1'!$I$15:$N$109,Q127+1,R127)</f>
        <v>0</v>
      </c>
    </row>
    <row r="128" spans="16:19" x14ac:dyDescent="0.75">
      <c r="P128" s="11">
        <v>114</v>
      </c>
      <c r="Q128" s="11">
        <f t="shared" si="15"/>
        <v>18</v>
      </c>
      <c r="R128" s="11">
        <f t="shared" si="16"/>
        <v>6</v>
      </c>
      <c r="S128" s="12" cm="1">
        <f t="array" ref="S128">INDEX('Stage-ConceptMap-1'!$I$15:$N$109,Q128+1,R128)</f>
        <v>0</v>
      </c>
    </row>
    <row r="129" spans="16:19" x14ac:dyDescent="0.75">
      <c r="P129" s="11">
        <v>115</v>
      </c>
      <c r="Q129" s="11">
        <f t="shared" si="15"/>
        <v>19</v>
      </c>
      <c r="R129" s="11">
        <f t="shared" si="16"/>
        <v>1</v>
      </c>
      <c r="S129" s="12" cm="1">
        <f t="array" ref="S129">INDEX('Stage-ConceptMap-1'!$I$15:$N$109,Q129+1,R129)</f>
        <v>0</v>
      </c>
    </row>
    <row r="130" spans="16:19" x14ac:dyDescent="0.75">
      <c r="P130" s="11">
        <v>116</v>
      </c>
      <c r="Q130" s="11">
        <f t="shared" si="15"/>
        <v>19</v>
      </c>
      <c r="R130" s="11">
        <f t="shared" si="16"/>
        <v>2</v>
      </c>
      <c r="S130" s="12" cm="1">
        <f t="array" ref="S130">INDEX('Stage-ConceptMap-1'!$I$15:$N$109,Q130+1,R130)</f>
        <v>0</v>
      </c>
    </row>
    <row r="131" spans="16:19" x14ac:dyDescent="0.75">
      <c r="P131" s="11">
        <v>117</v>
      </c>
      <c r="Q131" s="11">
        <f t="shared" si="15"/>
        <v>19</v>
      </c>
      <c r="R131" s="11">
        <f t="shared" si="16"/>
        <v>3</v>
      </c>
      <c r="S131" s="12" cm="1">
        <f t="array" ref="S131">INDEX('Stage-ConceptMap-1'!$I$15:$N$109,Q131+1,R131)</f>
        <v>0</v>
      </c>
    </row>
    <row r="132" spans="16:19" x14ac:dyDescent="0.75">
      <c r="P132" s="11">
        <v>118</v>
      </c>
      <c r="Q132" s="11">
        <f t="shared" si="15"/>
        <v>19</v>
      </c>
      <c r="R132" s="11">
        <f t="shared" si="16"/>
        <v>4</v>
      </c>
      <c r="S132" s="12" cm="1">
        <f t="array" ref="S132">INDEX('Stage-ConceptMap-1'!$I$15:$N$109,Q132+1,R132)</f>
        <v>0</v>
      </c>
    </row>
    <row r="133" spans="16:19" x14ac:dyDescent="0.75">
      <c r="P133" s="11">
        <v>119</v>
      </c>
      <c r="Q133" s="11">
        <f t="shared" si="15"/>
        <v>19</v>
      </c>
      <c r="R133" s="11">
        <f t="shared" si="16"/>
        <v>5</v>
      </c>
      <c r="S133" s="12" cm="1">
        <f t="array" ref="S133">INDEX('Stage-ConceptMap-1'!$I$15:$N$109,Q133+1,R133)</f>
        <v>0</v>
      </c>
    </row>
    <row r="134" spans="16:19" x14ac:dyDescent="0.75">
      <c r="P134" s="11">
        <v>120</v>
      </c>
      <c r="Q134" s="11">
        <f t="shared" si="15"/>
        <v>19</v>
      </c>
      <c r="R134" s="11">
        <f t="shared" si="16"/>
        <v>6</v>
      </c>
      <c r="S134" s="12" cm="1">
        <f t="array" ref="S134">INDEX('Stage-ConceptMap-1'!$I$15:$N$109,Q134+1,R134)</f>
        <v>0</v>
      </c>
    </row>
    <row r="135" spans="16:19" x14ac:dyDescent="0.75">
      <c r="P135" s="11">
        <v>121</v>
      </c>
      <c r="Q135" s="11">
        <f t="shared" si="15"/>
        <v>20</v>
      </c>
      <c r="R135" s="11">
        <f t="shared" si="16"/>
        <v>1</v>
      </c>
      <c r="S135" s="12" cm="1">
        <f t="array" ref="S135">INDEX('Stage-ConceptMap-1'!$I$15:$N$109,Q135+1,R135)</f>
        <v>0</v>
      </c>
    </row>
    <row r="136" spans="16:19" x14ac:dyDescent="0.75">
      <c r="P136" s="11">
        <v>122</v>
      </c>
      <c r="Q136" s="11">
        <f t="shared" si="15"/>
        <v>20</v>
      </c>
      <c r="R136" s="11">
        <f t="shared" si="16"/>
        <v>2</v>
      </c>
      <c r="S136" s="12" cm="1">
        <f t="array" ref="S136">INDEX('Stage-ConceptMap-1'!$I$15:$N$109,Q136+1,R136)</f>
        <v>0</v>
      </c>
    </row>
    <row r="137" spans="16:19" x14ac:dyDescent="0.75">
      <c r="P137" s="11">
        <v>123</v>
      </c>
      <c r="Q137" s="11">
        <f t="shared" si="15"/>
        <v>20</v>
      </c>
      <c r="R137" s="11">
        <f t="shared" si="16"/>
        <v>3</v>
      </c>
      <c r="S137" s="12" cm="1">
        <f t="array" ref="S137">INDEX('Stage-ConceptMap-1'!$I$15:$N$109,Q137+1,R137)</f>
        <v>0</v>
      </c>
    </row>
    <row r="138" spans="16:19" x14ac:dyDescent="0.75">
      <c r="P138" s="11">
        <v>124</v>
      </c>
      <c r="Q138" s="11">
        <f t="shared" si="15"/>
        <v>20</v>
      </c>
      <c r="R138" s="11">
        <f t="shared" si="16"/>
        <v>4</v>
      </c>
      <c r="S138" s="12" cm="1">
        <f t="array" ref="S138">INDEX('Stage-ConceptMap-1'!$I$15:$N$109,Q138+1,R138)</f>
        <v>0</v>
      </c>
    </row>
    <row r="139" spans="16:19" x14ac:dyDescent="0.75">
      <c r="P139" s="11">
        <v>125</v>
      </c>
      <c r="Q139" s="11">
        <f t="shared" si="15"/>
        <v>20</v>
      </c>
      <c r="R139" s="11">
        <f t="shared" si="16"/>
        <v>5</v>
      </c>
      <c r="S139" s="12" cm="1">
        <f t="array" ref="S139">INDEX('Stage-ConceptMap-1'!$I$15:$N$109,Q139+1,R139)</f>
        <v>0</v>
      </c>
    </row>
    <row r="140" spans="16:19" x14ac:dyDescent="0.75">
      <c r="P140" s="11">
        <v>126</v>
      </c>
      <c r="Q140" s="11">
        <f t="shared" si="15"/>
        <v>20</v>
      </c>
      <c r="R140" s="11">
        <f t="shared" si="16"/>
        <v>6</v>
      </c>
      <c r="S140" s="12" cm="1">
        <f t="array" ref="S140">INDEX('Stage-ConceptMap-1'!$I$15:$N$109,Q140+1,R140)</f>
        <v>0</v>
      </c>
    </row>
    <row r="141" spans="16:19" x14ac:dyDescent="0.75">
      <c r="P141" s="11">
        <v>127</v>
      </c>
      <c r="Q141" s="11">
        <f t="shared" si="15"/>
        <v>21</v>
      </c>
      <c r="R141" s="11">
        <f t="shared" si="16"/>
        <v>1</v>
      </c>
      <c r="S141" s="12" cm="1">
        <f t="array" ref="S141">INDEX('Stage-ConceptMap-1'!$I$15:$N$109,Q141+1,R141)</f>
        <v>0</v>
      </c>
    </row>
    <row r="142" spans="16:19" x14ac:dyDescent="0.75">
      <c r="P142" s="11">
        <v>128</v>
      </c>
      <c r="Q142" s="11">
        <f t="shared" si="15"/>
        <v>21</v>
      </c>
      <c r="R142" s="11">
        <f t="shared" si="16"/>
        <v>2</v>
      </c>
      <c r="S142" s="12" cm="1">
        <f t="array" ref="S142">INDEX('Stage-ConceptMap-1'!$I$15:$N$109,Q142+1,R142)</f>
        <v>0</v>
      </c>
    </row>
    <row r="143" spans="16:19" x14ac:dyDescent="0.75">
      <c r="P143" s="11">
        <v>129</v>
      </c>
      <c r="Q143" s="11">
        <f t="shared" si="15"/>
        <v>21</v>
      </c>
      <c r="R143" s="11">
        <f t="shared" si="16"/>
        <v>3</v>
      </c>
      <c r="S143" s="12" cm="1">
        <f t="array" ref="S143">INDEX('Stage-ConceptMap-1'!$I$15:$N$109,Q143+1,R143)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INDEX('Stage-ConceptMap-1'!$I$15:$N$109,Q144+1,R144)</f>
        <v>0</v>
      </c>
    </row>
    <row r="145" spans="16:19" x14ac:dyDescent="0.75">
      <c r="P145" s="11">
        <v>131</v>
      </c>
      <c r="Q145" s="11">
        <f t="shared" si="17"/>
        <v>21</v>
      </c>
      <c r="R145" s="11">
        <f t="shared" si="18"/>
        <v>5</v>
      </c>
      <c r="S145" s="12" cm="1">
        <f t="array" ref="S145">INDEX('Stage-ConceptMap-1'!$I$15:$N$109,Q145+1,R145)</f>
        <v>0</v>
      </c>
    </row>
    <row r="146" spans="16:19" x14ac:dyDescent="0.75">
      <c r="P146" s="11">
        <v>132</v>
      </c>
      <c r="Q146" s="11">
        <f t="shared" si="17"/>
        <v>21</v>
      </c>
      <c r="R146" s="11">
        <f t="shared" si="18"/>
        <v>6</v>
      </c>
      <c r="S146" s="12" cm="1">
        <f t="array" ref="S146">INDEX('Stage-ConceptMap-1'!$I$15:$N$109,Q146+1,R146)</f>
        <v>0</v>
      </c>
    </row>
    <row r="147" spans="16:19" x14ac:dyDescent="0.75">
      <c r="P147" s="11">
        <v>133</v>
      </c>
      <c r="Q147" s="11">
        <f t="shared" si="17"/>
        <v>22</v>
      </c>
      <c r="R147" s="11">
        <f t="shared" si="18"/>
        <v>1</v>
      </c>
      <c r="S147" s="12" cm="1">
        <f t="array" ref="S147">INDEX('Stage-ConceptMap-1'!$I$15:$N$109,Q147+1,R147)</f>
        <v>0</v>
      </c>
    </row>
    <row r="148" spans="16:19" x14ac:dyDescent="0.75">
      <c r="P148" s="11">
        <v>134</v>
      </c>
      <c r="Q148" s="11">
        <f t="shared" si="17"/>
        <v>22</v>
      </c>
      <c r="R148" s="11">
        <f t="shared" si="18"/>
        <v>2</v>
      </c>
      <c r="S148" s="12" cm="1">
        <f t="array" ref="S148">INDEX('Stage-ConceptMap-1'!$I$15:$N$109,Q148+1,R148)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topLeftCell="H3" zoomScale="85" zoomScaleNormal="85"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3" t="str">
        <f>'Stage-ConceptMap-1'!E3</f>
        <v>http://hl7.eu/fhir/ig/idea4rc/StructureDefinition/Stage</v>
      </c>
      <c r="F3" s="154"/>
      <c r="G3" s="154"/>
    </row>
    <row r="4" spans="1:19" ht="15.5" thickBot="1" x14ac:dyDescent="0.9">
      <c r="B4" s="47" t="s">
        <v>16</v>
      </c>
      <c r="C4" s="28" t="str">
        <f>'Stage-ConceptMap-1'!C4</f>
        <v>stage2FHIR</v>
      </c>
      <c r="D4" s="47" t="s">
        <v>1474</v>
      </c>
      <c r="E4" s="153" t="str">
        <f>'Stage-ConceptMap-1'!E4</f>
        <v>http://hl7.eu/fhir/ig/idea4rc/StructureDefinition/Bundle-eu-i4rc</v>
      </c>
      <c r="F4" s="154"/>
      <c r="G4" s="154"/>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3" t="str">
        <f>E3</f>
        <v>http://hl7.eu/fhir/ig/idea4rc/StructureDefinition/Stage</v>
      </c>
      <c r="F6" s="154"/>
      <c r="G6" s="154"/>
    </row>
    <row r="7" spans="1:19" ht="15.5" thickBot="1" x14ac:dyDescent="0.9">
      <c r="B7" s="47" t="s">
        <v>15</v>
      </c>
      <c r="C7" s="28">
        <f>'Stage-ConceptMap-1'!C7</f>
        <v>0</v>
      </c>
      <c r="D7" s="47" t="s">
        <v>1476</v>
      </c>
      <c r="E7" s="153" t="s">
        <v>1636</v>
      </c>
      <c r="F7" s="154"/>
      <c r="G7" s="154"/>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D1" zoomScale="130" zoomScaleNormal="130"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3" t="str">
        <f>'Stage-ConceptMap-1'!E3</f>
        <v>http://hl7.eu/fhir/ig/idea4rc/StructureDefinition/Stage</v>
      </c>
      <c r="F3" s="154"/>
      <c r="G3" s="154"/>
    </row>
    <row r="4" spans="1:19" ht="15.5" thickBot="1" x14ac:dyDescent="0.9">
      <c r="B4" s="47" t="s">
        <v>16</v>
      </c>
      <c r="C4" s="28" t="str">
        <f>'Stage-ConceptMap-1'!C4</f>
        <v>stage2FHIR</v>
      </c>
      <c r="D4" s="47" t="s">
        <v>1474</v>
      </c>
      <c r="E4" s="153" t="str">
        <f>'Stage-ConceptMap-1'!E4</f>
        <v>http://hl7.eu/fhir/ig/idea4rc/StructureDefinition/Bundle-eu-i4rc</v>
      </c>
      <c r="F4" s="154"/>
      <c r="G4" s="154"/>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3" t="str">
        <f>E3</f>
        <v>http://hl7.eu/fhir/ig/idea4rc/StructureDefinition/Stage</v>
      </c>
      <c r="F6" s="154"/>
      <c r="G6" s="154"/>
    </row>
    <row r="7" spans="1:19" ht="15.5" thickBot="1" x14ac:dyDescent="0.9">
      <c r="B7" s="47" t="s">
        <v>15</v>
      </c>
      <c r="C7" s="28">
        <f>'Stage-ConceptMap-1'!C7</f>
        <v>0</v>
      </c>
      <c r="D7" s="47" t="s">
        <v>1476</v>
      </c>
      <c r="E7" s="153" t="s">
        <v>1637</v>
      </c>
      <c r="F7" s="154"/>
      <c r="G7" s="154"/>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 zoomScale="77"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3" t="str">
        <f>'Stage-ConceptMap-1'!E3</f>
        <v>http://hl7.eu/fhir/ig/idea4rc/StructureDefinition/Stage</v>
      </c>
      <c r="F3" s="154"/>
      <c r="G3" s="154"/>
    </row>
    <row r="4" spans="1:19" x14ac:dyDescent="0.75">
      <c r="B4" s="47" t="s">
        <v>16</v>
      </c>
      <c r="C4" s="28" t="s">
        <v>1620</v>
      </c>
      <c r="D4" s="47" t="s">
        <v>1474</v>
      </c>
      <c r="E4" s="153" t="str">
        <f>'Stage-ConceptMap-1'!E4</f>
        <v>http://hl7.eu/fhir/ig/idea4rc/StructureDefinition/Bundle-eu-i4rc</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v>
      </c>
      <c r="F6" s="154"/>
      <c r="G6" s="154"/>
    </row>
    <row r="7" spans="1:19" x14ac:dyDescent="0.75">
      <c r="B7" s="47" t="s">
        <v>15</v>
      </c>
      <c r="C7" s="72"/>
      <c r="D7" s="47" t="s">
        <v>1476</v>
      </c>
      <c r="E7" s="153" t="s">
        <v>1638</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G9" sqref="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3" t="str">
        <f>'Stage-ConceptMap-1'!E3</f>
        <v>http://hl7.eu/fhir/ig/idea4rc/StructureDefinition/Stage</v>
      </c>
      <c r="F3" s="154"/>
      <c r="G3" s="154"/>
    </row>
    <row r="4" spans="1:19" x14ac:dyDescent="0.75">
      <c r="B4" s="47" t="s">
        <v>16</v>
      </c>
      <c r="C4" s="28" t="s">
        <v>1620</v>
      </c>
      <c r="D4" s="47" t="s">
        <v>1474</v>
      </c>
      <c r="E4" s="153" t="str">
        <f>'Stage-ConceptMap-1'!E4</f>
        <v>http://hl7.eu/fhir/ig/idea4rc/StructureDefinition/Bundle-eu-i4rc</v>
      </c>
      <c r="F4" s="154"/>
      <c r="G4" s="154"/>
    </row>
    <row r="5" spans="1:19" x14ac:dyDescent="0.75">
      <c r="B5" s="47" t="s">
        <v>10</v>
      </c>
      <c r="C5" s="7" t="s">
        <v>1621</v>
      </c>
      <c r="D5" s="47"/>
      <c r="E5" s="7"/>
    </row>
    <row r="6" spans="1:19" x14ac:dyDescent="0.75">
      <c r="B6" s="47" t="s">
        <v>18</v>
      </c>
      <c r="C6" s="41"/>
      <c r="D6" s="47" t="s">
        <v>1475</v>
      </c>
      <c r="E6" s="154" t="str">
        <f>E3</f>
        <v>http://hl7.eu/fhir/ig/idea4rc/StructureDefinition/Stage</v>
      </c>
      <c r="F6" s="154"/>
      <c r="G6" s="154"/>
    </row>
    <row r="7" spans="1:19" x14ac:dyDescent="0.75">
      <c r="B7" s="47" t="s">
        <v>15</v>
      </c>
      <c r="C7" s="72"/>
      <c r="D7" s="47" t="s">
        <v>1476</v>
      </c>
      <c r="E7" s="154" t="s">
        <v>2318</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2309</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zoomScale="70" zoomScaleNormal="70" workbookViewId="0">
      <selection activeCell="D13" sqref="D1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153" t="str">
        <f>'Stage-ConceptMap-1'!E3</f>
        <v>http://hl7.eu/fhir/ig/idea4rc/StructureDefinition/Stage</v>
      </c>
      <c r="F3" s="154"/>
      <c r="G3" s="154"/>
    </row>
    <row r="4" spans="1:19" x14ac:dyDescent="0.75">
      <c r="B4" s="47" t="s">
        <v>16</v>
      </c>
      <c r="C4" s="73" t="str">
        <f>'Stage-ConceptMap-1'!C4</f>
        <v>stage2FHIR</v>
      </c>
      <c r="D4" s="47" t="s">
        <v>1474</v>
      </c>
      <c r="E4" s="153" t="str">
        <f>'Stage-ConceptMap-1'!E4</f>
        <v>http://hl7.eu/fhir/ig/idea4rc/StructureDefinition/Bundle-eu-i4rc</v>
      </c>
      <c r="F4" s="154"/>
      <c r="G4" s="154"/>
    </row>
    <row r="5" spans="1:19" x14ac:dyDescent="0.75">
      <c r="B5" s="47" t="s">
        <v>10</v>
      </c>
      <c r="C5" s="73" t="str">
        <f>'Stage-ConceptMap-1'!C5</f>
        <v>Stage Model to this guide Map</v>
      </c>
      <c r="D5" s="47"/>
      <c r="E5" s="7"/>
    </row>
    <row r="6" spans="1:19" x14ac:dyDescent="0.75">
      <c r="B6" s="47" t="s">
        <v>18</v>
      </c>
      <c r="C6" s="73">
        <f>'Stage-ConceptMap-1'!C6</f>
        <v>0</v>
      </c>
      <c r="D6" s="47" t="s">
        <v>1475</v>
      </c>
      <c r="E6" s="153" t="str">
        <f>E3</f>
        <v>http://hl7.eu/fhir/ig/idea4rc/StructureDefinition/Stage</v>
      </c>
      <c r="F6" s="154"/>
      <c r="G6" s="154"/>
    </row>
    <row r="7" spans="1:19" x14ac:dyDescent="0.75">
      <c r="B7" s="47" t="s">
        <v>15</v>
      </c>
      <c r="C7" s="73">
        <f>'Stage-ConceptMap-1'!C7</f>
        <v>0</v>
      </c>
      <c r="D7" s="47" t="s">
        <v>1476</v>
      </c>
      <c r="E7" s="153" t="s">
        <v>2306</v>
      </c>
      <c r="F7" s="154"/>
      <c r="G7" s="154"/>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1495</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2317</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2370</v>
      </c>
      <c r="E16" s="12"/>
      <c r="F16" s="49" t="s">
        <v>1294</v>
      </c>
      <c r="G16" s="76" t="s">
        <v>2372</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#Condition.bodySite.extension:qualifier.valueCodeableConcept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2370</v>
      </c>
      <c r="E17" s="12"/>
      <c r="F17" s="49" t="s">
        <v>1294</v>
      </c>
      <c r="G17" s="76" t="s">
        <v>2371</v>
      </c>
      <c r="H17" s="43"/>
      <c r="I17" s="12" t="str">
        <f t="shared" si="8"/>
        <v>* group[=].element[+].code = #Stage.locoRegional</v>
      </c>
      <c r="J17" s="12" t="str">
        <f t="shared" si="9"/>
        <v>* group[=].element[=].display = ##34#Loco-regional##34#</v>
      </c>
      <c r="K17" s="12" t="str">
        <f t="shared" si="10"/>
        <v>* group[=].element[=].target.code = #Condition.bodySite.extension:qualifier.valueCodeableConcept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#Condition.extension:relatedPrimaryCancerCondition</v>
      </c>
    </row>
    <row r="18" spans="1:19" ht="88.5" x14ac:dyDescent="0.75">
      <c r="A18" s="44"/>
      <c r="B18" s="11" t="str">
        <f>Stage!B16</f>
        <v>isMetastatic</v>
      </c>
      <c r="C18" s="11" t="str">
        <f>Stage!C16</f>
        <v>Is metastatic</v>
      </c>
      <c r="D18" s="12"/>
      <c r="E18" s="11"/>
      <c r="F18" s="49" t="s">
        <v>1294</v>
      </c>
      <c r="G18" s="76" t="s">
        <v>2373</v>
      </c>
      <c r="H18" s="43"/>
      <c r="I18" s="12" t="str">
        <f t="shared" si="8"/>
        <v>* group[=].element[+].code = #Stage.isMetastatic</v>
      </c>
      <c r="J18" s="12" t="str">
        <f t="shared" si="9"/>
        <v>* group[=].element[=].display = ##34#Is metastatic##34#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2374</v>
      </c>
      <c r="H19" s="43"/>
      <c r="I19" s="12" t="str">
        <f t="shared" si="8"/>
        <v>* group[=].element[+].code = #Stage.regionalNodalMetastases</v>
      </c>
      <c r="J19" s="12" t="str">
        <f t="shared" si="9"/>
        <v>* group[=].element[=].display = ##34#Regional nodal metastases##34#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#Condition.bodySite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2375</v>
      </c>
      <c r="H21" s="43"/>
      <c r="I21" s="12" t="str">
        <f t="shared" si="8"/>
        <v>* group[=].element[+].code = #Stage.sites.softTissue</v>
      </c>
      <c r="J21" s="12" t="str">
        <f t="shared" si="9"/>
        <v>* group[=].element[=].display = ##34#Soft tissue##34#</v>
      </c>
      <c r="K21" s="12" t="str">
        <f t="shared" si="10"/>
        <v>* group[=].element[=].target.code = #Condition.bodySite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2376</v>
      </c>
      <c r="H22" s="43"/>
      <c r="I22" s="12" t="str">
        <f t="shared" si="8"/>
        <v>* group[=].element[+].code = #Stage.sites.distantLymphNode</v>
      </c>
      <c r="J22" s="12" t="str">
        <f t="shared" si="9"/>
        <v>* group[=].element[=].display = ##34#distant lymph node##34#</v>
      </c>
      <c r="K22" s="12" t="str">
        <f t="shared" si="10"/>
        <v>* group[=].element[=].target.code = #Condition.bodySite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2377</v>
      </c>
      <c r="H23" s="43"/>
      <c r="I23" s="12" t="str">
        <f t="shared" si="8"/>
        <v>* group[=].element[+].code = #Stage.sites.lung</v>
      </c>
      <c r="J23" s="12" t="str">
        <f t="shared" si="9"/>
        <v>* group[=].element[=].display = ##34#lung##34#</v>
      </c>
      <c r="K23" s="12" t="str">
        <f t="shared" si="10"/>
        <v>* group[=].element[=].target.code = #Condition.bodySite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#Condition.bodySite.extension:qualifier.valueCodeableConcept</v>
      </c>
    </row>
    <row r="24" spans="1:19" ht="73.75" x14ac:dyDescent="0.75">
      <c r="B24" s="11" t="str">
        <f>Stage!B23</f>
        <v>sites.bone</v>
      </c>
      <c r="C24" s="11" t="str">
        <f>Stage!C23</f>
        <v>bone</v>
      </c>
      <c r="D24" s="12" t="s">
        <v>1613</v>
      </c>
      <c r="E24" s="12"/>
      <c r="F24" s="49" t="s">
        <v>1316</v>
      </c>
      <c r="G24" s="77" t="s">
        <v>2378</v>
      </c>
      <c r="H24" s="43"/>
      <c r="I24" s="12" t="str">
        <f t="shared" si="8"/>
        <v>* group[=].element[+].code = #Stage.sites.bone</v>
      </c>
      <c r="J24" s="12" t="str">
        <f t="shared" si="9"/>
        <v>* group[=].element[=].display = ##34#bone##34#</v>
      </c>
      <c r="K24" s="12" t="str">
        <f t="shared" si="10"/>
        <v>* group[=].element[=].target.code = #Condition.bodySite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2379</v>
      </c>
      <c r="H25" s="43"/>
      <c r="I25" s="12" t="str">
        <f t="shared" si="8"/>
        <v>* group[=].element[+].code = #Stage.sites.liver</v>
      </c>
      <c r="J25" s="12" t="str">
        <f t="shared" si="9"/>
        <v>* group[=].element[=].display = ##34#liver##34#</v>
      </c>
      <c r="K25" s="12" t="str">
        <f t="shared" si="10"/>
        <v>* group[=].element[=].target.code = #Condition.bodySite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2380</v>
      </c>
      <c r="H26" s="43"/>
      <c r="I26" s="12" t="str">
        <f t="shared" si="8"/>
        <v>* group[=].element[+].code = #Stage.sites.pleura</v>
      </c>
      <c r="J26" s="12" t="str">
        <f t="shared" si="9"/>
        <v>* group[=].element[=].display = ##34#pleura##34#</v>
      </c>
      <c r="K26" s="12" t="str">
        <f t="shared" si="10"/>
        <v>* group[=].element[=].target.code = #Condition.bodySite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2381</v>
      </c>
      <c r="H27" s="43"/>
      <c r="I27" s="12" t="str">
        <f t="shared" si="8"/>
        <v>* group[=].element[+].code = #Stage.sites.peritoneum</v>
      </c>
      <c r="J27" s="12" t="str">
        <f t="shared" si="9"/>
        <v>* group[=].element[=].display = ##34#peritoneum##34#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2382</v>
      </c>
      <c r="H28" s="43"/>
      <c r="I28" s="12" t="str">
        <f t="shared" si="8"/>
        <v>* group[=].element[+].code = #Stage.sites.brain</v>
      </c>
      <c r="J28" s="12" t="str">
        <f t="shared" si="9"/>
        <v>* group[=].element[=].display = ##34#brain##34#</v>
      </c>
      <c r="K28" s="12" t="str">
        <f t="shared" si="10"/>
        <v>* group[=].element[=].target.code = #Condition.bodySite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2383</v>
      </c>
      <c r="H29" s="43"/>
      <c r="I29" s="12" t="str">
        <f t="shared" si="8"/>
        <v>* group[=].element[+].code = #Stage.sites.otherViscera</v>
      </c>
      <c r="J29" s="12" t="str">
        <f t="shared" si="9"/>
        <v>* group[=].element[=].display = ##34#other viscera##34#</v>
      </c>
      <c r="K29" s="12" t="str">
        <f t="shared" si="10"/>
        <v>* group[=].element[=].target.code = #Condition.bodySite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#Condition.bodySite.extension:qualifier.valueCodeableConcept</v>
      </c>
    </row>
    <row r="30" spans="1:19" ht="73.75" x14ac:dyDescent="0.75">
      <c r="B30" s="11" t="str">
        <f>Stage!B29</f>
        <v>sites.unknown</v>
      </c>
      <c r="C30" s="11" t="str">
        <f>Stage!C29</f>
        <v>unknown</v>
      </c>
      <c r="D30" s="12" t="s">
        <v>1613</v>
      </c>
      <c r="E30" s="12"/>
      <c r="F30" s="49" t="s">
        <v>1316</v>
      </c>
      <c r="G30" s="77" t="s">
        <v>2384</v>
      </c>
      <c r="H30" s="43"/>
      <c r="I30" s="12" t="str">
        <f t="shared" si="8"/>
        <v>* group[=].element[+].code = #Stage.sites.unknown</v>
      </c>
      <c r="J30" s="12" t="str">
        <f t="shared" si="9"/>
        <v>* group[=].element[=].display = ##34#unknown##34#</v>
      </c>
      <c r="K30" s="12" t="str">
        <f t="shared" si="10"/>
        <v>* group[=].element[=].target.code = #Condition.bodySite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#Condition.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#Condition.bodySite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#Condition.bodySite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#Condition.bodySite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#Condition.bodySite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#Condition.bodySite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#Condition.bodySite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#Condition.bodySite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#Condition.bodySite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#Condition.bodySite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#Condition.bodySite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#Condition.bodySite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9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2311</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##34#http://hl7.eu/fhir/ig/idea4rc/StructureDefinition/Bundle-eu-i4rc##34#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#Observation.hasMember:extraNodalExtension.valueCodeableConcept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x14ac:dyDescent="0.75">
      <c r="B54" s="12" t="str">
        <f>IF('Stage-ConceptMap-1'!S50=0,"//---END",'Stage-ConceptMap-1'!S50)</f>
        <v>* group[=].element[=].target.comment = ##34#check the used 2960001000004100  Status of extranodal extension of nodal tumour code##34#</v>
      </c>
    </row>
    <row r="55" spans="2:2" x14ac:dyDescent="0.75">
      <c r="B55" s="12" t="str">
        <f>IF('Stage-ConceptMap-1'!S51=0,"//---END",'Stage-ConceptMap-1'!S51)</f>
        <v>* group[=].element[+].code = #Stage.ajccEdition</v>
      </c>
    </row>
    <row r="56" spans="2:2" x14ac:dyDescent="0.75">
      <c r="B56" s="12" t="str">
        <f>IF('Stage-ConceptMap-1'!S52=0,"//---END",'Stage-ConceptMap-1'!S52)</f>
        <v>* group[=].element[=].display = ##34#Ajcc edition##34#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##34#if the ajcc system is used for the classification (to be checked)##34#</v>
      </c>
    </row>
    <row r="61" spans="2:2" x14ac:dyDescent="0.75">
      <c r="B61" s="12" t="str">
        <f>IF('Stage-ConceptMap-1'!S57=0,"//---END",'Stage-ConceptMap-1'!S57)</f>
        <v>* group[=].element[+].code = #Stage.stagingClassification</v>
      </c>
    </row>
    <row r="62" spans="2:2" x14ac:dyDescent="0.75">
      <c r="B62" s="12" t="str">
        <f>IF('Stage-ConceptMap-1'!S58=0,"//---END",'Stage-ConceptMap-1'!S58)</f>
        <v>* group[=].element[=].display = ##34#Staging classification##34#</v>
      </c>
    </row>
    <row r="63" spans="2:2" x14ac:dyDescent="0.75">
      <c r="B63" s="12" t="str">
        <f>IF('Stage-ConceptMap-1'!S59=0,"//---END",'Stage-ConceptMap-1'!S59)</f>
        <v>* group[=].element[=].target.code = #Observation.valueCodeableConcept</v>
      </c>
    </row>
    <row r="64" spans="2:2" x14ac:dyDescent="0.75">
      <c r="B64" s="12" t="str">
        <f>IF('Stage-ConceptMap-1'!S60=0,"//---END",'Stage-ConceptMap-1'!S60)</f>
        <v>* group[=].element[=].target.display = ##34###34#</v>
      </c>
    </row>
    <row r="65" spans="2:2" x14ac:dyDescent="0.75">
      <c r="B65" s="12" t="str">
        <f>IF('Stage-ConceptMap-1'!S61=0,"//---END",'Stage-ConceptMap-1'!S61)</f>
        <v>* group[=].element[=].target.equivalence = #equivalent</v>
      </c>
    </row>
    <row r="66" spans="2:2" x14ac:dyDescent="0.75">
      <c r="B66" s="12" t="str">
        <f>IF('Stage-ConceptMap-1'!S62=0,"//---END",'Stage-ConceptMap-1'!S62)</f>
        <v/>
      </c>
    </row>
    <row r="67" spans="2:2" x14ac:dyDescent="0.75">
      <c r="B67" s="12" t="str">
        <f>IF('Stage-ConceptMap-1'!S63=0,"//---END",'Stage-ConceptMap-1'!S63)</f>
        <v>//---END</v>
      </c>
    </row>
    <row r="68" spans="2:2" x14ac:dyDescent="0.75">
      <c r="B68" s="12" t="str">
        <f>IF('Stage-ConceptMap-1'!S64=0,"//---END",'Stage-ConceptMap-1'!S64)</f>
        <v>//---END</v>
      </c>
    </row>
    <row r="69" spans="2:2" x14ac:dyDescent="0.75">
      <c r="B69" s="12" t="str">
        <f>IF('Stage-ConceptMap-1'!S65=0,"//---END",'Stage-ConceptMap-1'!S65)</f>
        <v>//---END</v>
      </c>
    </row>
    <row r="70" spans="2:2" x14ac:dyDescent="0.75">
      <c r="B70" s="12" t="str">
        <f>IF('Stage-ConceptMap-1'!S66=0,"//---END",'Stage-ConceptMap-1'!S66)</f>
        <v>//---END</v>
      </c>
    </row>
    <row r="71" spans="2:2" x14ac:dyDescent="0.75">
      <c r="B71" s="12" t="str">
        <f>IF('Stage-ConceptMap-1'!S67=0,"//---END",'Stage-ConceptMap-1'!S67)</f>
        <v>//---END</v>
      </c>
    </row>
    <row r="72" spans="2:2" x14ac:dyDescent="0.75">
      <c r="B72" s="12" t="str">
        <f>IF('Stage-ConceptMap-1'!S68=0,"//---END",'Stage-ConceptMap-1'!S68)</f>
        <v>//---END</v>
      </c>
    </row>
    <row r="73" spans="2:2" x14ac:dyDescent="0.75">
      <c r="B73" s="12" t="str">
        <f>IF('Stage-ConceptMap-1'!S69=0,"//---END",'Stage-ConceptMap-1'!S69)</f>
        <v>//---END</v>
      </c>
    </row>
    <row r="74" spans="2:2" x14ac:dyDescent="0.75">
      <c r="B74" s="12" t="str">
        <f>IF('Stage-ConceptMap-1'!S70=0,"//---END",'Stage-ConceptMap-1'!S70)</f>
        <v>//---END</v>
      </c>
    </row>
    <row r="75" spans="2:2" x14ac:dyDescent="0.75">
      <c r="B75" s="12" t="str">
        <f>IF('Stage-ConceptMap-1'!S71=0,"//---END",'Stage-ConceptMap-1'!S71)</f>
        <v>//---END</v>
      </c>
    </row>
    <row r="76" spans="2:2" x14ac:dyDescent="0.75">
      <c r="B76" s="12"/>
    </row>
    <row r="77" spans="2:2" x14ac:dyDescent="0.75">
      <c r="B77" s="12"/>
    </row>
    <row r="79" spans="2:2" x14ac:dyDescent="0.75">
      <c r="B79" s="83"/>
    </row>
    <row r="80" spans="2:2" x14ac:dyDescent="0.75">
      <c r="B80" s="53" t="str">
        <f>"* group[+].source = ##34#"&amp;'Stage-ConceptMap-2'!E6&amp;"##34#"</f>
        <v>* group[+].source = ##34#http://hl7.eu/fhir/ig/idea4rc/StructureDefinition/Stage##34#</v>
      </c>
    </row>
    <row r="81" spans="2:2" x14ac:dyDescent="0.75">
      <c r="B81" s="84" t="str">
        <f>"* group[=].target = ##34#"&amp;'Stage-ConceptMap-2'!E7&amp;"##34#"</f>
        <v>* group[=].target = ##34#http://hl7.eu/fhir/ig/idea4rc/StructureDefinition/mcode-tnm-primary-tumor-category##34#</v>
      </c>
    </row>
    <row r="82" spans="2:2" x14ac:dyDescent="0.75">
      <c r="B82" s="85"/>
    </row>
    <row r="83" spans="2:2" x14ac:dyDescent="0.75">
      <c r="B83" s="11" t="str">
        <f>IF('Stage-ConceptMap-2'!S15=0,"//---END",'Stage-ConceptMap-2'!S15)</f>
        <v>* group[=].element[+].code = #Stage.type</v>
      </c>
    </row>
    <row r="84" spans="2:2" x14ac:dyDescent="0.75">
      <c r="B84" s="11" t="str">
        <f>IF('Stage-ConceptMap-2'!S16=0,"//---END",'Stage-ConceptMap-2'!S16)</f>
        <v>* group[=].element[=].display = ##34#Type of stage##34#</v>
      </c>
    </row>
    <row r="85" spans="2:2" x14ac:dyDescent="0.75">
      <c r="B85" s="11" t="str">
        <f>IF('Stage-ConceptMap-2'!S17=0,"//---END",'Stage-ConceptMap-2'!S17)</f>
        <v>* group[=].element[=].target.code = #Observation.code</v>
      </c>
    </row>
    <row r="86" spans="2:2" x14ac:dyDescent="0.75">
      <c r="B86" s="11" t="str">
        <f>IF('Stage-ConceptMap-2'!S18=0,"//---END",'Stage-ConceptMap-2'!S18)</f>
        <v>* group[=].element[=].target.display = ##34###34#</v>
      </c>
    </row>
    <row r="87" spans="2:2" x14ac:dyDescent="0.75">
      <c r="B87" s="11" t="str">
        <f>IF('Stage-ConceptMap-2'!S19=0,"//---END",'Stage-ConceptMap-2'!S19)</f>
        <v>* group[=].element[=].target.equivalence = #equivalent</v>
      </c>
    </row>
    <row r="88" spans="2:2" x14ac:dyDescent="0.75">
      <c r="B88" s="11" t="str">
        <f>IF('Stage-ConceptMap-2'!S20=0,"//---END",'Stage-ConceptMap-2'!S20)</f>
        <v/>
      </c>
    </row>
    <row r="89" spans="2:2" x14ac:dyDescent="0.75">
      <c r="B89" s="11" t="str">
        <f>IF('Stage-ConceptMap-2'!S21=0,"//---END",'Stage-ConceptMap-2'!S21)</f>
        <v>* group[=].element[+].code = #Stage.t</v>
      </c>
    </row>
    <row r="90" spans="2:2" x14ac:dyDescent="0.75">
      <c r="B90" s="11" t="str">
        <f>IF('Stage-ConceptMap-2'!S22=0,"//---END",'Stage-ConceptMap-2'!S22)</f>
        <v>* group[=].element[=].display = ##34#T##34#</v>
      </c>
    </row>
    <row r="91" spans="2:2" x14ac:dyDescent="0.75">
      <c r="B91" s="11" t="str">
        <f>IF('Stage-ConceptMap-2'!S23=0,"//---END",'Stage-ConceptMap-2'!S23)</f>
        <v>* group[=].element[=].target.code = #Observation.valueCodeableConcept</v>
      </c>
    </row>
    <row r="92" spans="2:2" x14ac:dyDescent="0.75">
      <c r="B92" s="11" t="str">
        <f>IF('Stage-ConceptMap-2'!S24=0,"//---END",'Stage-ConceptMap-2'!S24)</f>
        <v>* group[=].element[=].target.display = ##34###34#</v>
      </c>
    </row>
    <row r="93" spans="2:2" x14ac:dyDescent="0.75">
      <c r="B93" s="11" t="str">
        <f>IF('Stage-ConceptMap-2'!S25=0,"//---END",'Stage-ConceptMap-2'!S25)</f>
        <v>* group[=].element[=].target.equivalence = #equivalent</v>
      </c>
    </row>
    <row r="94" spans="2:2" x14ac:dyDescent="0.75">
      <c r="B94" s="11" t="str">
        <f>IF('Stage-ConceptMap-2'!S26=0,"//---END",'Stage-ConceptMap-2'!S26)</f>
        <v/>
      </c>
    </row>
    <row r="95" spans="2:2" x14ac:dyDescent="0.75">
      <c r="B95" s="11" t="str">
        <f>IF('Stage-ConceptMap-2'!S27=0,"//---END",'Stage-ConceptMap-2'!S27)</f>
        <v>* group[=].element[+].code = #Stage.n</v>
      </c>
    </row>
    <row r="96" spans="2:2" x14ac:dyDescent="0.75">
      <c r="B96" s="11" t="str">
        <f>IF('Stage-ConceptMap-2'!S28=0,"//---END",'Stage-ConceptMap-2'!S28)</f>
        <v>* group[=].element[=].display = ##34#N##34#</v>
      </c>
    </row>
    <row r="97" spans="2:7" x14ac:dyDescent="0.75">
      <c r="B97" s="11" t="str">
        <f>IF('Stage-ConceptMap-2'!S29=0,"//---END",'Stage-ConceptMap-2'!S29)</f>
        <v>//-- unmatched</v>
      </c>
    </row>
    <row r="98" spans="2:7" x14ac:dyDescent="0.75">
      <c r="B98" s="11" t="str">
        <f>IF('Stage-ConceptMap-2'!S30=0,"//---END",'Stage-ConceptMap-2'!S30)</f>
        <v>//-- unmatched</v>
      </c>
    </row>
    <row r="99" spans="2:7" x14ac:dyDescent="0.75">
      <c r="B99" s="11" t="str">
        <f>IF('Stage-ConceptMap-2'!S31=0,"//---END",'Stage-ConceptMap-2'!S31)</f>
        <v>* group[=].element[=].target.equivalence = #unmatched</v>
      </c>
    </row>
    <row r="100" spans="2:7" x14ac:dyDescent="0.75">
      <c r="B100" s="11" t="str">
        <f>IF('Stage-ConceptMap-2'!S32=0,"//---END",'Stage-ConceptMap-2'!S32)</f>
        <v/>
      </c>
    </row>
    <row r="101" spans="2:7" x14ac:dyDescent="0.75">
      <c r="B101" s="11" t="str">
        <f>IF('Stage-ConceptMap-2'!S33=0,"//---END",'Stage-ConceptMap-2'!S33)</f>
        <v>* group[=].element[+].code = #Stage.m</v>
      </c>
    </row>
    <row r="102" spans="2:7" x14ac:dyDescent="0.75">
      <c r="B102" s="11" t="str">
        <f>IF('Stage-ConceptMap-2'!S34=0,"//---END",'Stage-ConceptMap-2'!S34)</f>
        <v>* group[=].element[=].display = ##34#M##34#</v>
      </c>
    </row>
    <row r="103" spans="2:7" x14ac:dyDescent="0.75">
      <c r="B103" s="11" t="str">
        <f>IF('Stage-ConceptMap-2'!S35=0,"//---END",'Stage-ConceptMap-2'!S35)</f>
        <v>//-- unmatched</v>
      </c>
    </row>
    <row r="104" spans="2:7" x14ac:dyDescent="0.75">
      <c r="B104" s="11" t="str">
        <f>IF('Stage-ConceptMap-2'!S36=0,"//---END",'Stage-ConceptMap-2'!S36)</f>
        <v>//-- unmatched</v>
      </c>
    </row>
    <row r="105" spans="2:7" x14ac:dyDescent="0.75">
      <c r="B105" s="11" t="str">
        <f>IF('Stage-ConceptMap-2'!S37=0,"//---END",'Stage-ConceptMap-2'!S37)</f>
        <v>* group[=].element[=].target.equivalence = #unmatched</v>
      </c>
    </row>
    <row r="106" spans="2:7" x14ac:dyDescent="0.75">
      <c r="B106" s="11" t="str">
        <f>IF('Stage-ConceptMap-2'!S38=0,"//---END",'Stage-ConceptMap-2'!S38)</f>
        <v/>
      </c>
    </row>
    <row r="107" spans="2:7" x14ac:dyDescent="0.75">
      <c r="B107" s="11" t="str">
        <f>IF('Stage-ConceptMap-2'!S39=0,"//---END",'Stage-ConceptMap-2'!S39)</f>
        <v>//---END</v>
      </c>
    </row>
    <row r="108" spans="2:7" x14ac:dyDescent="0.75">
      <c r="B108" s="11" t="str">
        <f>IF('Stage-ConceptMap-2'!S40=0,"//---END",'Stage-ConceptMap-2'!S40)</f>
        <v>//---END</v>
      </c>
    </row>
    <row r="109" spans="2:7" x14ac:dyDescent="0.75">
      <c r="B109" s="11" t="str">
        <f>IF('Stage-ConceptMap-2'!S41=0,"//---END",'Stage-ConceptMap-2'!S41)</f>
        <v>//---END</v>
      </c>
    </row>
    <row r="110" spans="2:7" x14ac:dyDescent="0.75">
      <c r="B110" s="83"/>
      <c r="C110" s="7"/>
      <c r="D110" s="7"/>
      <c r="E110" s="7"/>
      <c r="F110" s="7"/>
      <c r="G110" s="7"/>
    </row>
    <row r="111" spans="2:7" x14ac:dyDescent="0.75">
      <c r="B111" s="53" t="str">
        <f>"* group[+].source = ##34#"&amp;'Stage-ConceptMap-3'!E6&amp;"##34#"</f>
        <v>* group[+].source = ##34#http://hl7.eu/fhir/ig/idea4rc/StructureDefinition/Stage##34#</v>
      </c>
      <c r="C111" s="7"/>
      <c r="D111" s="7"/>
      <c r="E111" s="7"/>
      <c r="F111" s="7"/>
      <c r="G111" s="7"/>
    </row>
    <row r="112" spans="2:7" x14ac:dyDescent="0.75">
      <c r="B112" s="84" t="str">
        <f>"* group[=].target = ##34#"&amp;'Stage-ConceptMap-3'!E7&amp;"##34#"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IF('Stage-ConceptMap-3'!S15=0,"//---END",'Stage-ConceptMap-3'!S15)</f>
        <v>* group[=].element[+].code = #Stage.type</v>
      </c>
      <c r="C114" s="7"/>
      <c r="D114" s="7"/>
      <c r="E114" s="7"/>
      <c r="F114" s="7"/>
      <c r="G114" s="7"/>
    </row>
    <row r="115" spans="2:7" x14ac:dyDescent="0.75">
      <c r="B115" s="73" t="str">
        <f>IF('Stage-ConceptMap-3'!S16=0,"//---END",'Stage-ConceptMap-3'!S16)</f>
        <v>* group[=].element[=].display = ##34#Type of stage##34#</v>
      </c>
      <c r="C115" s="7"/>
      <c r="D115" s="7"/>
      <c r="E115" s="7"/>
      <c r="F115" s="7"/>
      <c r="G115" s="7"/>
    </row>
    <row r="116" spans="2:7" x14ac:dyDescent="0.75">
      <c r="B116" s="73" t="str">
        <f>IF('Stage-ConceptMap-3'!S17=0,"//---END",'Stage-ConceptMap-3'!S17)</f>
        <v>* group[=].element[=].target.code = #Observation.code</v>
      </c>
      <c r="C116" s="7"/>
      <c r="D116" s="7"/>
      <c r="E116" s="7"/>
      <c r="F116" s="7"/>
      <c r="G116" s="7"/>
    </row>
    <row r="117" spans="2:7" x14ac:dyDescent="0.75">
      <c r="B117" s="73" t="str">
        <f>IF('Stage-ConceptMap-3'!S18=0,"//---END",'Stage-ConceptMap-3'!S18)</f>
        <v>* group[=].element[=].target.display = ##34###34#</v>
      </c>
      <c r="C117" s="7"/>
      <c r="D117" s="7"/>
      <c r="E117" s="7"/>
      <c r="F117" s="7"/>
      <c r="G117" s="7"/>
    </row>
    <row r="118" spans="2:7" x14ac:dyDescent="0.75">
      <c r="B118" s="73" t="str">
        <f>IF('Stage-ConceptMap-3'!S19=0,"//---END",'Stage-ConceptMap-3'!S19)</f>
        <v>* group[=].element[=].target.equivalence = #equivalent</v>
      </c>
      <c r="C118" s="7"/>
      <c r="D118" s="7"/>
      <c r="E118" s="7"/>
      <c r="F118" s="7"/>
      <c r="G118" s="7"/>
    </row>
    <row r="119" spans="2:7" x14ac:dyDescent="0.75">
      <c r="B119" s="73" t="str">
        <f>IF('Stage-ConceptMap-3'!S20=0,"//---END",'Stage-ConceptMap-3'!S20)</f>
        <v/>
      </c>
      <c r="C119" s="7"/>
      <c r="D119" s="7"/>
      <c r="E119" s="7"/>
      <c r="F119" s="7"/>
      <c r="G119" s="7"/>
    </row>
    <row r="120" spans="2:7" x14ac:dyDescent="0.75">
      <c r="B120" s="73" t="str">
        <f>IF('Stage-ConceptMap-3'!S21=0,"//---END",'Stage-ConceptMap-3'!S21)</f>
        <v>* group[=].element[+].code = #Stage.t</v>
      </c>
      <c r="C120" s="7"/>
      <c r="D120" s="7"/>
      <c r="E120" s="7"/>
      <c r="F120" s="7"/>
      <c r="G120" s="7"/>
    </row>
    <row r="121" spans="2:7" x14ac:dyDescent="0.75">
      <c r="B121" s="73" t="str">
        <f>IF('Stage-ConceptMap-3'!S22=0,"//---END",'Stage-ConceptMap-3'!S22)</f>
        <v>* group[=].element[=].display = ##34#T##34#</v>
      </c>
      <c r="C121" s="7"/>
      <c r="D121" s="7"/>
      <c r="E121" s="7"/>
      <c r="F121" s="7"/>
      <c r="G121" s="7"/>
    </row>
    <row r="122" spans="2:7" x14ac:dyDescent="0.75">
      <c r="B122" s="73" t="str">
        <f>IF('Stage-ConceptMap-3'!S23=0,"//---END",'Stage-ConceptMap-3'!S23)</f>
        <v>//-- unmatched</v>
      </c>
      <c r="C122" s="7"/>
      <c r="D122" s="7"/>
      <c r="E122" s="7"/>
      <c r="F122" s="7"/>
      <c r="G122" s="7"/>
    </row>
    <row r="123" spans="2:7" x14ac:dyDescent="0.75">
      <c r="B123" s="73" t="str">
        <f>IF('Stage-ConceptMap-3'!S24=0,"//---END",'Stage-ConceptMap-3'!S24)</f>
        <v>//-- unmatched</v>
      </c>
      <c r="C123" s="7"/>
      <c r="D123" s="7"/>
      <c r="E123" s="7"/>
      <c r="F123" s="7"/>
      <c r="G123" s="7"/>
    </row>
    <row r="124" spans="2:7" x14ac:dyDescent="0.75">
      <c r="B124" s="73" t="str">
        <f>IF('Stage-ConceptMap-3'!S25=0,"//---END",'Stage-ConceptMap-3'!S25)</f>
        <v>* group[=].element[=].target.equivalence = #unmatched</v>
      </c>
      <c r="C124" s="7"/>
      <c r="D124" s="7"/>
      <c r="E124" s="7"/>
      <c r="F124" s="7"/>
      <c r="G124" s="7"/>
    </row>
    <row r="125" spans="2:7" x14ac:dyDescent="0.75">
      <c r="B125" s="73" t="str">
        <f>IF('Stage-ConceptMap-3'!S26=0,"//---END",'Stage-ConceptMap-3'!S26)</f>
        <v/>
      </c>
      <c r="C125" s="7"/>
      <c r="D125" s="7"/>
      <c r="E125" s="7"/>
      <c r="F125" s="7"/>
      <c r="G125" s="7"/>
    </row>
    <row r="126" spans="2:7" x14ac:dyDescent="0.75">
      <c r="B126" s="73" t="str">
        <f>IF('Stage-ConceptMap-3'!S27=0,"//---END",'Stage-ConceptMap-3'!S27)</f>
        <v>* group[=].element[+].code = #Stage.n</v>
      </c>
      <c r="C126" s="7"/>
      <c r="D126" s="7"/>
      <c r="E126" s="7"/>
      <c r="F126" s="7"/>
      <c r="G126" s="7"/>
    </row>
    <row r="127" spans="2:7" x14ac:dyDescent="0.75">
      <c r="B127" s="73" t="str">
        <f>IF('Stage-ConceptMap-3'!S28=0,"//---END",'Stage-ConceptMap-3'!S28)</f>
        <v>* group[=].element[=].display = ##34#N##34#</v>
      </c>
      <c r="C127" s="7"/>
      <c r="D127" s="7"/>
      <c r="E127" s="7"/>
      <c r="F127" s="7"/>
      <c r="G127" s="7"/>
    </row>
    <row r="128" spans="2:7" x14ac:dyDescent="0.75">
      <c r="B128" s="73" t="str">
        <f>IF('Stage-ConceptMap-3'!S29=0,"//---END",'Stage-ConceptMap-3'!S29)</f>
        <v>* group[=].element[=].target.code = #Observation.valueCodeableConcept</v>
      </c>
      <c r="C128" s="7"/>
      <c r="D128" s="7"/>
      <c r="E128" s="7"/>
      <c r="F128" s="7"/>
      <c r="G128" s="7"/>
    </row>
    <row r="129" spans="2:7" x14ac:dyDescent="0.75">
      <c r="B129" s="73" t="str">
        <f>IF('Stage-ConceptMap-3'!S30=0,"//---END",'Stage-ConceptMap-3'!S30)</f>
        <v>* group[=].element[=].target.display = ##34###34#</v>
      </c>
      <c r="C129" s="7"/>
      <c r="D129" s="7"/>
      <c r="E129" s="7"/>
      <c r="F129" s="7"/>
      <c r="G129" s="7"/>
    </row>
    <row r="130" spans="2:7" x14ac:dyDescent="0.75">
      <c r="B130" s="73" t="str">
        <f>IF('Stage-ConceptMap-3'!S31=0,"//---END",'Stage-ConceptMap-3'!S31)</f>
        <v>* group[=].element[=].target.equivalence = #equivalent</v>
      </c>
      <c r="C130" s="7"/>
      <c r="D130" s="7"/>
      <c r="E130" s="7"/>
      <c r="F130" s="7"/>
      <c r="G130" s="7"/>
    </row>
    <row r="131" spans="2:7" x14ac:dyDescent="0.75">
      <c r="B131" s="73" t="str">
        <f>IF('Stage-ConceptMap-3'!S32=0,"//---END",'Stage-ConceptMap-3'!S32)</f>
        <v/>
      </c>
      <c r="C131" s="7"/>
      <c r="D131" s="7"/>
      <c r="E131" s="7"/>
      <c r="F131" s="7"/>
      <c r="G131" s="7"/>
    </row>
    <row r="132" spans="2:7" x14ac:dyDescent="0.75">
      <c r="B132" s="73" t="str">
        <f>IF('Stage-ConceptMap-3'!S33=0,"//---END",'Stage-ConceptMap-3'!S33)</f>
        <v>* group[=].element[+].code = #Stage.m</v>
      </c>
      <c r="C132" s="7"/>
      <c r="D132" s="7"/>
      <c r="E132" s="7"/>
      <c r="F132" s="7"/>
      <c r="G132" s="7"/>
    </row>
    <row r="133" spans="2:7" x14ac:dyDescent="0.75">
      <c r="B133" s="73" t="str">
        <f>IF('Stage-ConceptMap-3'!S34=0,"//---END",'Stage-ConceptMap-3'!S34)</f>
        <v>* group[=].element[=].display = ##34#M##34#</v>
      </c>
      <c r="C133" s="7"/>
      <c r="D133" s="7"/>
      <c r="E133" s="7"/>
      <c r="F133" s="7"/>
      <c r="G133" s="7"/>
    </row>
    <row r="134" spans="2:7" x14ac:dyDescent="0.75">
      <c r="B134" s="73" t="str">
        <f>IF('Stage-ConceptMap-3'!S35=0,"//---END",'Stage-ConceptMap-3'!S35)</f>
        <v>//-- unmatched</v>
      </c>
      <c r="C134" s="7"/>
      <c r="D134" s="7"/>
      <c r="E134" s="7"/>
      <c r="F134" s="7"/>
      <c r="G134" s="7"/>
    </row>
    <row r="135" spans="2:7" x14ac:dyDescent="0.75">
      <c r="B135" s="73" t="str">
        <f>IF('Stage-ConceptMap-3'!S36=0,"//---END",'Stage-ConceptMap-3'!S36)</f>
        <v>//-- unmatched</v>
      </c>
      <c r="C135" s="7"/>
      <c r="D135" s="7"/>
      <c r="E135" s="7"/>
      <c r="F135" s="7"/>
      <c r="G135" s="7"/>
    </row>
    <row r="136" spans="2:7" x14ac:dyDescent="0.75">
      <c r="B136" s="73" t="str">
        <f>IF('Stage-ConceptMap-3'!S37=0,"//---END",'Stage-ConceptMap-3'!S37)</f>
        <v>* group[=].element[=].target.equivalence = #unmatched</v>
      </c>
      <c r="C136" s="7"/>
      <c r="D136" s="7"/>
      <c r="E136" s="7"/>
      <c r="F136" s="7"/>
      <c r="G136" s="7"/>
    </row>
    <row r="137" spans="2:7" x14ac:dyDescent="0.75">
      <c r="B137" s="73" t="str">
        <f>IF('Stage-ConceptMap-3'!S38=0,"//---END",'Stage-ConceptMap-3'!S38)</f>
        <v/>
      </c>
      <c r="C137" s="7"/>
      <c r="D137" s="7"/>
      <c r="E137" s="7"/>
      <c r="F137" s="7"/>
      <c r="G137" s="7"/>
    </row>
    <row r="138" spans="2:7" x14ac:dyDescent="0.75">
      <c r="B138" s="73" t="str">
        <f>IF('Stage-ConceptMap-3'!S39=0,"//---END",'Stage-ConceptMap-3'!S39)</f>
        <v>//---END</v>
      </c>
      <c r="C138" s="7"/>
      <c r="D138" s="7"/>
      <c r="E138" s="7"/>
      <c r="F138" s="7"/>
      <c r="G138" s="7"/>
    </row>
    <row r="139" spans="2:7" x14ac:dyDescent="0.75">
      <c r="B139" s="73" t="str">
        <f>IF('Stage-ConceptMap-3'!S40=0,"//---END",'Stage-ConceptMap-3'!S40)</f>
        <v>//---END</v>
      </c>
      <c r="C139" s="7"/>
      <c r="D139" s="7"/>
      <c r="E139" s="7"/>
      <c r="F139" s="7"/>
      <c r="G139" s="7"/>
    </row>
    <row r="140" spans="2:7" x14ac:dyDescent="0.75">
      <c r="B140" s="73" t="str">
        <f>IF('Stage-ConceptMap-3'!S41=0,"//---END",'Stage-ConceptMap-3'!S41)</f>
        <v>//---END</v>
      </c>
      <c r="C140" s="7"/>
      <c r="D140" s="7"/>
      <c r="E140" s="7"/>
      <c r="F140" s="7"/>
      <c r="G140" s="7"/>
    </row>
    <row r="141" spans="2:7" x14ac:dyDescent="0.75">
      <c r="B141" s="73" t="str">
        <f>IF('Stage-ConceptMap-3'!S42=0,"//---END",'Stage-ConceptMap-3'!S42)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##34#"&amp;'Stage-ConceptMap-4'!E6&amp;"##34#"</f>
        <v>* group[+].source = ##34#http://hl7.eu/fhir/ig/idea4rc/StructureDefinition/Stage##34#</v>
      </c>
      <c r="C144" s="7"/>
      <c r="D144" s="7"/>
      <c r="E144" s="7"/>
      <c r="F144" s="7"/>
      <c r="G144" s="7"/>
    </row>
    <row r="145" spans="2:7" x14ac:dyDescent="0.75">
      <c r="B145" s="84" t="str">
        <f>"* group[=].target = ##34#"&amp;'Stage-ConceptMap-4'!E7&amp;"##34#"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IF('Stage-ConceptMap-4'!S15=0,"//---END",'Stage-ConceptMap-4'!S15)</f>
        <v>* group[=].element[+].code = #Stage.type</v>
      </c>
      <c r="C147" s="7"/>
      <c r="D147" s="7"/>
      <c r="E147" s="7"/>
      <c r="F147" s="7"/>
      <c r="G147" s="7"/>
    </row>
    <row r="148" spans="2:7" x14ac:dyDescent="0.75">
      <c r="B148" s="7" t="str">
        <f>IF('Stage-ConceptMap-4'!S16=0,"//---END",'Stage-ConceptMap-4'!S16)</f>
        <v>* group[=].element[=].display = ##34#Type of stage##34#</v>
      </c>
      <c r="C148" s="7"/>
      <c r="D148" s="7"/>
      <c r="E148" s="7"/>
      <c r="F148" s="7"/>
      <c r="G148" s="7"/>
    </row>
    <row r="149" spans="2:7" x14ac:dyDescent="0.75">
      <c r="B149" s="7" t="str">
        <f>IF('Stage-ConceptMap-4'!S17=0,"//---END",'Stage-ConceptMap-4'!S17)</f>
        <v>* group[=].element[=].target.code = #Observation.code</v>
      </c>
      <c r="C149" s="7"/>
      <c r="D149" s="7"/>
      <c r="E149" s="7"/>
      <c r="F149" s="7"/>
      <c r="G149" s="7"/>
    </row>
    <row r="150" spans="2:7" x14ac:dyDescent="0.75">
      <c r="B150" s="7" t="str">
        <f>IF('Stage-ConceptMap-4'!S18=0,"//---END",'Stage-ConceptMap-4'!S18)</f>
        <v>* group[=].element[=].target.display = ##34###34#</v>
      </c>
      <c r="C150" s="7"/>
      <c r="D150" s="7"/>
      <c r="E150" s="7"/>
      <c r="F150" s="7"/>
      <c r="G150" s="7"/>
    </row>
    <row r="151" spans="2:7" x14ac:dyDescent="0.75">
      <c r="B151" s="7" t="str">
        <f>IF('Stage-ConceptMap-4'!S19=0,"//---END",'Stage-ConceptMap-4'!S19)</f>
        <v>* group[=].element[=].target.equivalence = #equivalent</v>
      </c>
      <c r="C151" s="7"/>
      <c r="D151" s="7"/>
      <c r="E151" s="7"/>
      <c r="F151" s="7"/>
      <c r="G151" s="7"/>
    </row>
    <row r="152" spans="2:7" x14ac:dyDescent="0.75">
      <c r="B152" s="7" t="str">
        <f>IF('Stage-ConceptMap-4'!S20=0,"//---END",'Stage-ConceptMap-4'!S20)</f>
        <v/>
      </c>
      <c r="C152" s="7"/>
      <c r="D152" s="7"/>
      <c r="E152" s="7"/>
      <c r="F152" s="7"/>
      <c r="G152" s="7"/>
    </row>
    <row r="153" spans="2:7" x14ac:dyDescent="0.75">
      <c r="B153" s="7" t="str">
        <f>IF('Stage-ConceptMap-4'!S21=0,"//---END",'Stage-ConceptMap-4'!S21)</f>
        <v>* group[=].element[+].code = #Stage.t</v>
      </c>
      <c r="C153" s="7"/>
      <c r="D153" s="7"/>
      <c r="E153" s="7"/>
      <c r="F153" s="7"/>
      <c r="G153" s="7"/>
    </row>
    <row r="154" spans="2:7" x14ac:dyDescent="0.75">
      <c r="B154" s="7" t="str">
        <f>IF('Stage-ConceptMap-4'!S22=0,"//---END",'Stage-ConceptMap-4'!S22)</f>
        <v>* group[=].element[=].display = ##34#T##34#</v>
      </c>
      <c r="C154" s="7"/>
      <c r="D154" s="7"/>
      <c r="E154" s="7"/>
      <c r="F154" s="7"/>
      <c r="G154" s="7"/>
    </row>
    <row r="155" spans="2:7" x14ac:dyDescent="0.75">
      <c r="B155" s="7" t="str">
        <f>IF('Stage-ConceptMap-4'!S23=0,"//---END",'Stage-ConceptMap-4'!S23)</f>
        <v>//-- unmatched</v>
      </c>
      <c r="C155" s="7"/>
      <c r="D155" s="7"/>
      <c r="E155" s="7"/>
      <c r="F155" s="7"/>
      <c r="G155" s="7"/>
    </row>
    <row r="156" spans="2:7" x14ac:dyDescent="0.75">
      <c r="B156" s="7" t="str">
        <f>IF('Stage-ConceptMap-4'!S24=0,"//---END",'Stage-ConceptMap-4'!S24)</f>
        <v>//-- unmatched</v>
      </c>
      <c r="C156" s="7"/>
      <c r="D156" s="7"/>
      <c r="E156" s="7"/>
      <c r="F156" s="7"/>
      <c r="G156" s="7"/>
    </row>
    <row r="157" spans="2:7" x14ac:dyDescent="0.75">
      <c r="B157" s="7" t="str">
        <f>IF('Stage-ConceptMap-4'!S25=0,"//---END",'Stage-ConceptMap-4'!S25)</f>
        <v>* group[=].element[=].target.equivalence = #unmatched</v>
      </c>
    </row>
    <row r="158" spans="2:7" x14ac:dyDescent="0.75">
      <c r="B158" s="7" t="str">
        <f>IF('Stage-ConceptMap-4'!S26=0,"//---END",'Stage-ConceptMap-4'!S26)</f>
        <v/>
      </c>
    </row>
    <row r="159" spans="2:7" x14ac:dyDescent="0.75">
      <c r="B159" s="7" t="str">
        <f>IF('Stage-ConceptMap-4'!S27=0,"//---END",'Stage-ConceptMap-4'!S27)</f>
        <v>* group[=].element[+].code = #Stage.n</v>
      </c>
    </row>
    <row r="160" spans="2:7" x14ac:dyDescent="0.75">
      <c r="B160" s="7" t="str">
        <f>IF('Stage-ConceptMap-4'!S28=0,"//---END",'Stage-ConceptMap-4'!S28)</f>
        <v>* group[=].element[=].display = ##34#N##34#</v>
      </c>
    </row>
    <row r="161" spans="2:2" x14ac:dyDescent="0.75">
      <c r="B161" s="7" t="str">
        <f>IF('Stage-ConceptMap-4'!S29=0,"//---END",'Stage-ConceptMap-4'!S29)</f>
        <v>//-- unmatched</v>
      </c>
    </row>
    <row r="162" spans="2:2" x14ac:dyDescent="0.75">
      <c r="B162" s="7" t="str">
        <f>IF('Stage-ConceptMap-4'!S30=0,"//---END",'Stage-ConceptMap-4'!S30)</f>
        <v>//-- unmatched</v>
      </c>
    </row>
    <row r="163" spans="2:2" x14ac:dyDescent="0.75">
      <c r="B163" s="7" t="str">
        <f>IF('Stage-ConceptMap-4'!S31=0,"//---END",'Stage-ConceptMap-4'!S31)</f>
        <v>* group[=].element[=].target.equivalence = #unmatched</v>
      </c>
    </row>
    <row r="164" spans="2:2" x14ac:dyDescent="0.75">
      <c r="B164" s="7" t="str">
        <f>IF('Stage-ConceptMap-4'!S32=0,"//---END",'Stage-ConceptMap-4'!S32)</f>
        <v/>
      </c>
    </row>
    <row r="165" spans="2:2" x14ac:dyDescent="0.75">
      <c r="B165" s="7" t="str">
        <f>IF('Stage-ConceptMap-4'!S33=0,"//---END",'Stage-ConceptMap-4'!S33)</f>
        <v>* group[=].element[+].code = #Stage.m</v>
      </c>
    </row>
    <row r="166" spans="2:2" x14ac:dyDescent="0.75">
      <c r="B166" s="7" t="str">
        <f>IF('Stage-ConceptMap-4'!S34=0,"//---END",'Stage-ConceptMap-4'!S34)</f>
        <v>* group[=].element[=].display = ##34#M##34#</v>
      </c>
    </row>
    <row r="167" spans="2:2" x14ac:dyDescent="0.75">
      <c r="B167" s="7" t="str">
        <f>IF('Stage-ConceptMap-4'!S35=0,"//---END",'Stage-ConceptMap-4'!S35)</f>
        <v>* group[=].element[=].target.code = #Observation.valueCodeableConcept</v>
      </c>
    </row>
    <row r="168" spans="2:2" x14ac:dyDescent="0.75">
      <c r="B168" s="7" t="str">
        <f>IF('Stage-ConceptMap-4'!S36=0,"//---END",'Stage-ConceptMap-4'!S36)</f>
        <v>* group[=].element[=].target.display = ##34###34#</v>
      </c>
    </row>
    <row r="169" spans="2:2" x14ac:dyDescent="0.75">
      <c r="B169" s="7" t="str">
        <f>IF('Stage-ConceptMap-4'!S37=0,"//---END",'Stage-ConceptMap-4'!S37)</f>
        <v>* group[=].element[=].target.equivalence = #equivalent</v>
      </c>
    </row>
    <row r="170" spans="2:2" x14ac:dyDescent="0.75">
      <c r="B170" s="7" t="str">
        <f>IF('Stage-ConceptMap-4'!S38=0,"//---END",'Stage-ConceptMap-4'!S38)</f>
        <v/>
      </c>
    </row>
    <row r="171" spans="2:2" x14ac:dyDescent="0.75">
      <c r="B171" s="7" t="str">
        <f>IF('Stage-ConceptMap-4'!S39=0,"//---END",'Stage-ConceptMap-4'!S39)</f>
        <v>//---END</v>
      </c>
    </row>
    <row r="172" spans="2:2" x14ac:dyDescent="0.75">
      <c r="B172" s="7" t="str">
        <f>IF('Stage-ConceptMap-4'!S40=0,"//---END",'Stage-ConceptMap-4'!S40)</f>
        <v>//---END</v>
      </c>
    </row>
    <row r="173" spans="2:2" x14ac:dyDescent="0.75">
      <c r="B173" s="7" t="str">
        <f>IF('Stage-ConceptMap-4'!S41=0,"//---END",'Stage-ConceptMap-4'!S41)</f>
        <v>//---END</v>
      </c>
    </row>
    <row r="174" spans="2:2" x14ac:dyDescent="0.75">
      <c r="B174" s="7" t="str">
        <f>IF('Stage-ConceptMap-4'!S42=0,"//---END",'Stage-ConceptMap-4'!S42)</f>
        <v>//---END</v>
      </c>
    </row>
    <row r="175" spans="2:2" x14ac:dyDescent="0.75">
      <c r="B175" s="7" t="str">
        <f>IF('Stage-ConceptMap-4'!S43=0,"//---END",'Stage-ConceptMap-4'!S43)</f>
        <v>//---END</v>
      </c>
    </row>
    <row r="176" spans="2:2" x14ac:dyDescent="0.75">
      <c r="B176" s="83"/>
    </row>
    <row r="177" spans="2:2" x14ac:dyDescent="0.75">
      <c r="B177" s="53" t="str">
        <f>"* group[+].source = ##34#"&amp;'Stage-ConceptMap-5'!E6&amp;"##34#"</f>
        <v>* group[+].source = ##34#http://hl7.eu/fhir/ig/idea4rc/StructureDefinition/Stage##34#</v>
      </c>
    </row>
    <row r="178" spans="2:2" x14ac:dyDescent="0.75">
      <c r="B178" s="84" t="str">
        <f>"* group[=].target = ##34#"&amp;'Stage-ConceptMap-5'!E7&amp;"##34#"</f>
        <v>* group[=].target = ##34#http://hl7.eu/fhir/ig/idea4rc/StructureDefinition/observation-extraNodalExtension-eu-i4rc##34#</v>
      </c>
    </row>
    <row r="179" spans="2:2" x14ac:dyDescent="0.75">
      <c r="B179" s="85"/>
    </row>
    <row r="180" spans="2:2" x14ac:dyDescent="0.75">
      <c r="B180" t="str">
        <f>IF('Stage-ConceptMap-5'!S15=0,"//---END",'Stage-ConceptMap-5'!S15)</f>
        <v>* group[=].element[+].code = #Stage.rENE</v>
      </c>
    </row>
    <row r="181" spans="2:2" x14ac:dyDescent="0.75">
      <c r="B181" t="str">
        <f>IF('Stage-ConceptMap-5'!S16=0,"//---END",'Stage-ConceptMap-5'!S16)</f>
        <v>* group[=].element[=].display = ##34#Radiological Extra-nodal extension (rENE)##34#</v>
      </c>
    </row>
    <row r="182" spans="2:2" x14ac:dyDescent="0.75">
      <c r="B182" t="str">
        <f>IF('Stage-ConceptMap-5'!S17=0,"//---END",'Stage-ConceptMap-5'!S17)</f>
        <v>* group[=].element[=].target.code = #Observation.valueCodeableConcept</v>
      </c>
    </row>
    <row r="183" spans="2:2" x14ac:dyDescent="0.75">
      <c r="B183" t="str">
        <f>IF('Stage-ConceptMap-5'!S18=0,"//---END",'Stage-ConceptMap-5'!S18)</f>
        <v>* group[=].element[=].target.display = ##34###34#</v>
      </c>
    </row>
    <row r="184" spans="2:2" x14ac:dyDescent="0.75">
      <c r="B184" t="str">
        <f>IF('Stage-ConceptMap-5'!S19=0,"//---END",'Stage-ConceptMap-5'!S19)</f>
        <v>* group[=].element[=].target.equivalence = #equivalent</v>
      </c>
    </row>
    <row r="185" spans="2:2" x14ac:dyDescent="0.75">
      <c r="B185" t="str">
        <f>IF('Stage-ConceptMap-5'!S20=0,"//---END",'Stage-ConceptMap-5'!S20)</f>
        <v>* group[=].element[=].target.comment = ##34#check if this should be a new has member observation with obs.code = 2960001000004100  Status of extranodal extension of nodal tumour##34#</v>
      </c>
    </row>
    <row r="186" spans="2:2" x14ac:dyDescent="0.75">
      <c r="B186" t="str">
        <f>IF('Stage-ConceptMap-5'!S21=0,"//---END",'Stage-ConceptMap-5'!S21)</f>
        <v>//---END</v>
      </c>
    </row>
    <row r="187" spans="2:2" x14ac:dyDescent="0.75">
      <c r="B187" t="str">
        <f>IF('Stage-ConceptMap-5'!S22=0,"//---END",'Stage-ConceptMap-5'!S22)</f>
        <v>//---END</v>
      </c>
    </row>
    <row r="188" spans="2:2" x14ac:dyDescent="0.75">
      <c r="B188" t="str">
        <f>IF('Stage-ConceptMap-5'!S23=0,"//---END",'Stage-ConceptMap-5'!S23)</f>
        <v>//---END</v>
      </c>
    </row>
    <row r="189" spans="2:2" x14ac:dyDescent="0.75">
      <c r="B189" s="83"/>
    </row>
    <row r="190" spans="2:2" x14ac:dyDescent="0.75">
      <c r="B190" s="53" t="str">
        <f>"* group[+].source = ##34#"&amp;'Stage-ConceptMap-6'!E6&amp;"##34#"</f>
        <v>* group[+].source = ##34#http://hl7.eu/fhir/ig/idea4rc/StructureDefinition/Stage##34#</v>
      </c>
    </row>
    <row r="191" spans="2:2" x14ac:dyDescent="0.75">
      <c r="B191" s="84" t="str">
        <f>"* group[=].target = ##34#"&amp;'Stage-ConceptMap-6'!E7&amp;"##34#"</f>
        <v>* group[=].target = ##34#http://hl7.eu/fhir/ig/idea4rc/StructureDefinition/Condition-secondaryCancer-eu-i4rc##34#</v>
      </c>
    </row>
    <row r="192" spans="2:2" x14ac:dyDescent="0.75">
      <c r="B192" s="85"/>
    </row>
    <row r="193" spans="2:2" x14ac:dyDescent="0.75">
      <c r="B193" t="str">
        <f>IF('Stage-ConceptMap-6'!S15=0,"//---END",'Stage-ConceptMap-6'!S15)</f>
        <v>* group[=].element[+].code = #Stage.episodeEvent</v>
      </c>
    </row>
    <row r="194" spans="2:2" x14ac:dyDescent="0.75">
      <c r="B194" t="str">
        <f>IF('Stage-ConceptMap-6'!S16=0,"//---END",'Stage-ConceptMap-6'!S16)</f>
        <v>* group[=].element[=].display = ##34#Episode Event Reference##34#</v>
      </c>
    </row>
    <row r="195" spans="2:2" x14ac:dyDescent="0.75">
      <c r="B195" t="str">
        <f>IF('Stage-ConceptMap-6'!S17=0,"//---END",'Stage-ConceptMap-6'!S17)</f>
        <v>* group[=].element[=].target.code = #Condition.extension:relatedPrimaryCancerCondition</v>
      </c>
    </row>
    <row r="196" spans="2:2" x14ac:dyDescent="0.75">
      <c r="B196" t="str">
        <f>IF('Stage-ConceptMap-6'!S18=0,"//---END",'Stage-ConceptMap-6'!S18)</f>
        <v>* group[=].element[=].target.display = ##34###34#</v>
      </c>
    </row>
    <row r="197" spans="2:2" x14ac:dyDescent="0.75">
      <c r="B197" t="str">
        <f>IF('Stage-ConceptMap-6'!S19=0,"//---END",'Stage-ConceptMap-6'!S19)</f>
        <v>* group[=].element[=].target.equivalence = #equivalent</v>
      </c>
    </row>
    <row r="198" spans="2:2" x14ac:dyDescent="0.75">
      <c r="B198" t="str">
        <f>IF('Stage-ConceptMap-6'!S20=0,"//---END",'Stage-ConceptMap-6'!S20)</f>
        <v/>
      </c>
    </row>
    <row r="199" spans="2:2" x14ac:dyDescent="0.75">
      <c r="B199" t="str">
        <f>IF('Stage-ConceptMap-6'!S21=0,"//---END",'Stage-ConceptMap-6'!S21)</f>
        <v>* group[=].element[+].code = #Stage.localised</v>
      </c>
    </row>
    <row r="200" spans="2:2" x14ac:dyDescent="0.75">
      <c r="B200" t="str">
        <f>IF('Stage-ConceptMap-6'!S22=0,"//---END",'Stage-ConceptMap-6'!S22)</f>
        <v>* group[=].element[=].display = ##34#Localised##34#</v>
      </c>
    </row>
    <row r="201" spans="2:2" x14ac:dyDescent="0.75">
      <c r="B201" t="str">
        <f>IF('Stage-ConceptMap-6'!S23=0,"//---END",'Stage-ConceptMap-6'!S23)</f>
        <v>* group[=].element[=].target.code = #Condition.bodySite.extension:qualifier.valueCodeableConcept</v>
      </c>
    </row>
    <row r="202" spans="2:2" x14ac:dyDescent="0.75">
      <c r="B202" t="str">
        <f>IF('Stage-ConceptMap-6'!S24=0,"//---END",'Stage-ConceptMap-6'!S24)</f>
        <v>* group[=].element[=].target.display = ##34###34#</v>
      </c>
    </row>
    <row r="203" spans="2:2" x14ac:dyDescent="0.75">
      <c r="B203" t="str">
        <f>IF('Stage-ConceptMap-6'!S25=0,"//---END",'Stage-ConceptMap-6'!S25)</f>
        <v>* group[=].element[=].target.equivalence = #relatedto</v>
      </c>
    </row>
    <row r="204" spans="2:2" x14ac:dyDescent="0.75">
      <c r="B204" t="str">
        <f>IF('Stage-ConceptMap-6'!S26=0,"//---END",'Stage-ConceptMap-6'!S26)</f>
        <v>* group[=].element[=].target.comment = ##34#Where the qualifier is the SNOEMD CT concept 255471002 Localized##34#</v>
      </c>
    </row>
    <row r="205" spans="2:2" x14ac:dyDescent="0.75">
      <c r="B205" t="str">
        <f>IF('Stage-ConceptMap-6'!S27=0,"//---END",'Stage-ConceptMap-6'!S27)</f>
        <v>* group[=].element[+].code = #Stage.locoRegional</v>
      </c>
    </row>
    <row r="206" spans="2:2" x14ac:dyDescent="0.75">
      <c r="B206" t="str">
        <f>IF('Stage-ConceptMap-6'!S28=0,"//---END",'Stage-ConceptMap-6'!S28)</f>
        <v>* group[=].element[=].display = ##34#Loco-regional##34#</v>
      </c>
    </row>
    <row r="207" spans="2:2" x14ac:dyDescent="0.75">
      <c r="B207" t="str">
        <f>IF('Stage-ConceptMap-6'!S29=0,"//---END",'Stage-ConceptMap-6'!S29)</f>
        <v>* group[=].element[=].target.code = #Condition.bodySite.extension:qualifier.valueCodeableConcept</v>
      </c>
    </row>
    <row r="208" spans="2:2" x14ac:dyDescent="0.75">
      <c r="B208" t="str">
        <f>IF('Stage-ConceptMap-6'!S30=0,"//---END",'Stage-ConceptMap-6'!S30)</f>
        <v>* group[=].element[=].target.display = ##34###34#</v>
      </c>
    </row>
    <row r="209" spans="2:2" x14ac:dyDescent="0.75">
      <c r="B209" t="str">
        <f>IF('Stage-ConceptMap-6'!S31=0,"//---END",'Stage-ConceptMap-6'!S31)</f>
        <v>* group[=].element[=].target.equivalence = #relatedto</v>
      </c>
    </row>
    <row r="210" spans="2:2" x14ac:dyDescent="0.75">
      <c r="B210" t="str">
        <f>IF('Stage-ConceptMap-6'!S32=0,"//---END",'Stage-ConceptMap-6'!S32)</f>
        <v>* group[=].element[=].target.comment = ##34#Where the qualifier is the SNOEMD CT concept 410674003 Regional##34#</v>
      </c>
    </row>
    <row r="211" spans="2:2" x14ac:dyDescent="0.75">
      <c r="B211" t="str">
        <f>IF('Stage-ConceptMap-6'!S33=0,"//---END",'Stage-ConceptMap-6'!S33)</f>
        <v>* group[=].element[+].code = #Stage.isMetastatic</v>
      </c>
    </row>
    <row r="212" spans="2:2" x14ac:dyDescent="0.75">
      <c r="B212" t="str">
        <f>IF('Stage-ConceptMap-6'!S34=0,"//---END",'Stage-ConceptMap-6'!S34)</f>
        <v>* group[=].element[=].display = ##34#Is metastatic##34#</v>
      </c>
    </row>
    <row r="213" spans="2:2" x14ac:dyDescent="0.75">
      <c r="B213" t="str">
        <f>IF('Stage-ConceptMap-6'!S35=0,"//---END",'Stage-ConceptMap-6'!S35)</f>
        <v>* group[=].element[=].target.code = #Condition.</v>
      </c>
    </row>
    <row r="214" spans="2:2" x14ac:dyDescent="0.75">
      <c r="B214" t="str">
        <f>IF('Stage-ConceptMap-6'!S36=0,"//---END",'Stage-ConceptMap-6'!S36)</f>
        <v>* group[=].element[=].target.display = ##34###34#</v>
      </c>
    </row>
    <row r="215" spans="2:2" x14ac:dyDescent="0.75">
      <c r="B215" t="str">
        <f>IF('Stage-ConceptMap-6'!S37=0,"//---END",'Stage-ConceptMap-6'!S37)</f>
        <v>* group[=].element[=].target.equivalence = #relatedto</v>
      </c>
    </row>
    <row r="216" spans="2:2" x14ac:dyDescent="0.75">
      <c r="B216" t="str">
        <f>IF('Stage-ConceptMap-6'!S38=0,"//---END",'Stage-ConceptMap-6'!S38)</f>
        <v>* group[=].element[=].target.comment = ##34#A condition describing metastases exists, this should be however determined by the stage M##34#</v>
      </c>
    </row>
    <row r="217" spans="2:2" x14ac:dyDescent="0.75">
      <c r="B217" t="str">
        <f>IF('Stage-ConceptMap-6'!S39=0,"//---END",'Stage-ConceptMap-6'!S39)</f>
        <v>* group[=].element[+].code = #Stage.regionalNodalMetastases</v>
      </c>
    </row>
    <row r="218" spans="2:2" x14ac:dyDescent="0.75">
      <c r="B218" t="str">
        <f>IF('Stage-ConceptMap-6'!S40=0,"//---END",'Stage-ConceptMap-6'!S40)</f>
        <v>* group[=].element[=].display = ##34#Regional nodal metastases##34#</v>
      </c>
    </row>
    <row r="219" spans="2:2" x14ac:dyDescent="0.75">
      <c r="B219" t="str">
        <f>IF('Stage-ConceptMap-6'!S41=0,"//---END",'Stage-ConceptMap-6'!S41)</f>
        <v>* group[=].element[=].target.code = #Condition.</v>
      </c>
    </row>
    <row r="220" spans="2:2" x14ac:dyDescent="0.75">
      <c r="B220" t="str">
        <f>IF('Stage-ConceptMap-6'!S42=0,"//---END",'Stage-ConceptMap-6'!S42)</f>
        <v>* group[=].element[=].target.display = ##34###34#</v>
      </c>
    </row>
    <row r="221" spans="2:2" x14ac:dyDescent="0.75">
      <c r="B221" t="str">
        <f>IF('Stage-ConceptMap-6'!S43=0,"//---END",'Stage-ConceptMap-6'!S43)</f>
        <v>* group[=].element[=].target.equivalence = #relatedto</v>
      </c>
    </row>
    <row r="222" spans="2:2" x14ac:dyDescent="0.75">
      <c r="B222" t="str">
        <f>IF('Stage-ConceptMap-6'!S44=0,"//---END",'Stage-ConceptMap-6'!S44)</f>
        <v>* group[=].element[=].target.comment = ##34#A condition describing regional nodal metastases exists, this should be however determined by the stage N##34#</v>
      </c>
    </row>
    <row r="223" spans="2:2" x14ac:dyDescent="0.75">
      <c r="B223" t="str">
        <f>IF('Stage-ConceptMap-6'!S45=0,"//---END",'Stage-ConceptMap-6'!S45)</f>
        <v>* group[=].element[+].code = #Stage.sites</v>
      </c>
    </row>
    <row r="224" spans="2:2" x14ac:dyDescent="0.75">
      <c r="B224" t="str">
        <f>IF('Stage-ConceptMap-6'!S46=0,"//---END",'Stage-ConceptMap-6'!S46)</f>
        <v>* group[=].element[=].display = ##34#sites##34#</v>
      </c>
    </row>
    <row r="225" spans="2:2" x14ac:dyDescent="0.75">
      <c r="B225" t="str">
        <f>IF('Stage-ConceptMap-6'!S47=0,"//---END",'Stage-ConceptMap-6'!S47)</f>
        <v>* group[=].element[=].target.code = #Condition.bodySite</v>
      </c>
    </row>
    <row r="226" spans="2:2" x14ac:dyDescent="0.75">
      <c r="B226" t="str">
        <f>IF('Stage-ConceptMap-6'!S48=0,"//---END",'Stage-ConceptMap-6'!S48)</f>
        <v>* group[=].element[=].target.display = ##34###34#</v>
      </c>
    </row>
    <row r="227" spans="2:2" x14ac:dyDescent="0.75">
      <c r="B227" t="str">
        <f>IF('Stage-ConceptMap-6'!S49=0,"//---END",'Stage-ConceptMap-6'!S49)</f>
        <v>* group[=].element[=].target.equivalence = #equivalent</v>
      </c>
    </row>
    <row r="228" spans="2:2" x14ac:dyDescent="0.75">
      <c r="B228" t="str">
        <f>IF('Stage-ConceptMap-6'!S50=0,"//---END",'Stage-ConceptMap-6'!S50)</f>
        <v/>
      </c>
    </row>
    <row r="229" spans="2:2" x14ac:dyDescent="0.75">
      <c r="B229" t="str">
        <f>IF('Stage-ConceptMap-6'!S51=0,"//---END",'Stage-ConceptMap-6'!S51)</f>
        <v>* group[=].element[+].code = #Stage.sites.softTissue</v>
      </c>
    </row>
    <row r="230" spans="2:2" x14ac:dyDescent="0.75">
      <c r="B230" t="str">
        <f>IF('Stage-ConceptMap-6'!S52=0,"//---END",'Stage-ConceptMap-6'!S52)</f>
        <v>* group[=].element[=].display = ##34#Soft tissue##34#</v>
      </c>
    </row>
    <row r="231" spans="2:2" x14ac:dyDescent="0.75">
      <c r="B231" t="str">
        <f>IF('Stage-ConceptMap-6'!S53=0,"//---END",'Stage-ConceptMap-6'!S53)</f>
        <v>* group[=].element[=].target.code = #Condition.bodySite</v>
      </c>
    </row>
    <row r="232" spans="2:2" x14ac:dyDescent="0.75">
      <c r="B232" t="str">
        <f>IF('Stage-ConceptMap-6'!S54=0,"//---END",'Stage-ConceptMap-6'!S54)</f>
        <v>* group[=].element[=].target.display = ##34###34#</v>
      </c>
    </row>
    <row r="233" spans="2:2" x14ac:dyDescent="0.75">
      <c r="B233" t="str">
        <f>IF('Stage-ConceptMap-6'!S55=0,"//---END",'Stage-ConceptMap-6'!S55)</f>
        <v>* group[=].element[=].target.equivalence = #equivalent</v>
      </c>
    </row>
    <row r="234" spans="2:2" x14ac:dyDescent="0.75">
      <c r="B234" t="str">
        <f>IF('Stage-ConceptMap-6'!S56=0,"//---END",'Stage-ConceptMap-6'!S56)</f>
        <v>* group[=].element[=].target.comment = ##34#where bodySite is the Athena concept 87784001 'soft tissue'##34#</v>
      </c>
    </row>
    <row r="235" spans="2:2" x14ac:dyDescent="0.75">
      <c r="B235" t="str">
        <f>IF('Stage-ConceptMap-6'!S57=0,"//---END",'Stage-ConceptMap-6'!S57)</f>
        <v>* group[=].element[+].code = #Stage.sites.distantLymphNode</v>
      </c>
    </row>
    <row r="236" spans="2:2" x14ac:dyDescent="0.75">
      <c r="B236" t="str">
        <f>IF('Stage-ConceptMap-6'!S58=0,"//---END",'Stage-ConceptMap-6'!S58)</f>
        <v>* group[=].element[=].display = ##34#distant lymph node##34#</v>
      </c>
    </row>
    <row r="237" spans="2:2" x14ac:dyDescent="0.75">
      <c r="B237" t="str">
        <f>IF('Stage-ConceptMap-6'!S59=0,"//---END",'Stage-ConceptMap-6'!S59)</f>
        <v>* group[=].element[=].target.code = #Condition.bodySite</v>
      </c>
    </row>
    <row r="238" spans="2:2" x14ac:dyDescent="0.75">
      <c r="B238" t="str">
        <f>IF('Stage-ConceptMap-6'!S60=0,"//---END",'Stage-ConceptMap-6'!S60)</f>
        <v>* group[=].element[=].target.display = ##34###34#</v>
      </c>
    </row>
    <row r="239" spans="2:2" x14ac:dyDescent="0.75">
      <c r="B239" t="str">
        <f>IF('Stage-ConceptMap-6'!S61=0,"//---END",'Stage-ConceptMap-6'!S61)</f>
        <v>* group[=].element[=].target.equivalence = #equivalent</v>
      </c>
    </row>
    <row r="240" spans="2:2" x14ac:dyDescent="0.75">
      <c r="B240" t="str">
        <f>IF('Stage-ConceptMap-6'!S62=0,"//---END",'Stage-ConceptMap-6'!S62)</f>
        <v>* group[=].element[=].target.comment = ##34#where bodySite is the Athena concept 59441001 'distant lymph node'##34#</v>
      </c>
    </row>
    <row r="241" spans="2:2" x14ac:dyDescent="0.75">
      <c r="B241" t="str">
        <f>IF('Stage-ConceptMap-6'!S63=0,"//---END",'Stage-ConceptMap-6'!S63)</f>
        <v>* group[=].element[+].code = #Stage.sites.lung</v>
      </c>
    </row>
    <row r="242" spans="2:2" x14ac:dyDescent="0.75">
      <c r="B242" t="str">
        <f>IF('Stage-ConceptMap-6'!S64=0,"//---END",'Stage-ConceptMap-6'!S64)</f>
        <v>* group[=].element[=].display = ##34#lung##34#</v>
      </c>
    </row>
    <row r="243" spans="2:2" x14ac:dyDescent="0.75">
      <c r="B243" t="str">
        <f>IF('Stage-ConceptMap-6'!S65=0,"//---END",'Stage-ConceptMap-6'!S65)</f>
        <v>* group[=].element[=].target.code = #Condition.bodySite</v>
      </c>
    </row>
    <row r="244" spans="2:2" x14ac:dyDescent="0.75">
      <c r="B244" t="str">
        <f>IF('Stage-ConceptMap-6'!S66=0,"//---END",'Stage-ConceptMap-6'!S66)</f>
        <v>* group[=].element[=].target.display = ##34###34#</v>
      </c>
    </row>
    <row r="245" spans="2:2" x14ac:dyDescent="0.75">
      <c r="B245" t="str">
        <f>IF('Stage-ConceptMap-6'!S67=0,"//---END",'Stage-ConceptMap-6'!S67)</f>
        <v>* group[=].element[=].target.equivalence = #equivalent</v>
      </c>
    </row>
    <row r="246" spans="2:2" x14ac:dyDescent="0.75">
      <c r="B246" t="str">
        <f>IF('Stage-ConceptMap-6'!S68=0,"//---END",'Stage-ConceptMap-6'!S68)</f>
        <v>* group[=].element[=].target.comment = ##34#where bodySite is the Athena concept 39607008 'lung'##34#</v>
      </c>
    </row>
    <row r="247" spans="2:2" x14ac:dyDescent="0.75">
      <c r="B247" t="str">
        <f>IF('Stage-ConceptMap-6'!S69=0,"//---END",'Stage-ConceptMap-6'!S69)</f>
        <v>* group[=].element[+].code = #Stage.sites.bone</v>
      </c>
    </row>
    <row r="248" spans="2:2" x14ac:dyDescent="0.75">
      <c r="B248" t="str">
        <f>IF('Stage-ConceptMap-6'!S70=0,"//---END",'Stage-ConceptMap-6'!S70)</f>
        <v>* group[=].element[=].display = ##34#bone##34#</v>
      </c>
    </row>
    <row r="249" spans="2:2" x14ac:dyDescent="0.75">
      <c r="B249" t="str">
        <f>IF('Stage-ConceptMap-6'!S71=0,"//---END",'Stage-ConceptMap-6'!S71)</f>
        <v>* group[=].element[=].target.code = #Condition.bodySite</v>
      </c>
    </row>
    <row r="250" spans="2:2" x14ac:dyDescent="0.75">
      <c r="B250" t="str">
        <f>IF('Stage-ConceptMap-6'!S72=0,"//---END",'Stage-ConceptMap-6'!S72)</f>
        <v>* group[=].element[=].target.display = ##34###34#</v>
      </c>
    </row>
    <row r="251" spans="2:2" x14ac:dyDescent="0.75">
      <c r="B251" t="str">
        <f>IF('Stage-ConceptMap-6'!S73=0,"//---END",'Stage-ConceptMap-6'!S73)</f>
        <v>* group[=].element[=].target.equivalence = #equivalent</v>
      </c>
    </row>
    <row r="252" spans="2:2" x14ac:dyDescent="0.75">
      <c r="B252" t="str">
        <f>IF('Stage-ConceptMap-6'!S74=0,"//---END",'Stage-ConceptMap-6'!S74)</f>
        <v>* group[=].element[=].target.comment = ##34#where bodySite is the Athena concept 119186007 'bone'##34#</v>
      </c>
    </row>
    <row r="253" spans="2:2" x14ac:dyDescent="0.75">
      <c r="B253" t="str">
        <f>IF('Stage-ConceptMap-6'!S75=0,"//---END",'Stage-ConceptMap-6'!S75)</f>
        <v>* group[=].element[+].code = #Stage.sites.liver</v>
      </c>
    </row>
    <row r="254" spans="2:2" x14ac:dyDescent="0.75">
      <c r="B254" t="str">
        <f>IF('Stage-ConceptMap-6'!S76=0,"//---END",'Stage-ConceptMap-6'!S76)</f>
        <v>* group[=].element[=].display = ##34#liver##34#</v>
      </c>
    </row>
    <row r="255" spans="2:2" x14ac:dyDescent="0.75">
      <c r="B255" t="str">
        <f>IF('Stage-ConceptMap-6'!S77=0,"//---END",'Stage-ConceptMap-6'!S77)</f>
        <v>* group[=].element[=].target.code = #Condition.bodySite</v>
      </c>
    </row>
    <row r="256" spans="2:2" x14ac:dyDescent="0.75">
      <c r="B256" t="str">
        <f>IF('Stage-ConceptMap-6'!S78=0,"//---END",'Stage-ConceptMap-6'!S78)</f>
        <v>* group[=].element[=].target.display = ##34###34#</v>
      </c>
    </row>
    <row r="257" spans="2:2" x14ac:dyDescent="0.75">
      <c r="B257" t="str">
        <f>IF('Stage-ConceptMap-6'!S79=0,"//---END",'Stage-ConceptMap-6'!S79)</f>
        <v>* group[=].element[=].target.equivalence = #equivalent</v>
      </c>
    </row>
    <row r="258" spans="2:2" x14ac:dyDescent="0.75">
      <c r="B258" t="str">
        <f>IF('Stage-ConceptMap-6'!S80=0,"//---END",'Stage-ConceptMap-6'!S80)</f>
        <v>* group[=].element[=].target.comment = ##34#where bodySite is the Athena concept 10200004 'liver'##34#</v>
      </c>
    </row>
    <row r="259" spans="2:2" x14ac:dyDescent="0.75">
      <c r="B259" t="str">
        <f>IF('Stage-ConceptMap-6'!S81=0,"//---END",'Stage-ConceptMap-6'!S81)</f>
        <v>* group[=].element[+].code = #Stage.sites.pleura</v>
      </c>
    </row>
    <row r="260" spans="2:2" x14ac:dyDescent="0.75">
      <c r="B260" t="str">
        <f>IF('Stage-ConceptMap-6'!S82=0,"//---END",'Stage-ConceptMap-6'!S82)</f>
        <v>* group[=].element[=].display = ##34#pleura##34#</v>
      </c>
    </row>
    <row r="261" spans="2:2" x14ac:dyDescent="0.75">
      <c r="B261" t="str">
        <f>IF('Stage-ConceptMap-6'!S83=0,"//---END",'Stage-ConceptMap-6'!S83)</f>
        <v>* group[=].element[=].target.code = #Condition.bodySite</v>
      </c>
    </row>
    <row r="262" spans="2:2" x14ac:dyDescent="0.75">
      <c r="B262" t="str">
        <f>IF('Stage-ConceptMap-6'!S84=0,"//---END",'Stage-ConceptMap-6'!S84)</f>
        <v>* group[=].element[=].target.display = ##34###34#</v>
      </c>
    </row>
    <row r="263" spans="2:2" x14ac:dyDescent="0.75">
      <c r="B263" t="str">
        <f>IF('Stage-ConceptMap-6'!S85=0,"//---END",'Stage-ConceptMap-6'!S85)</f>
        <v>* group[=].element[=].target.equivalence = #equivalent</v>
      </c>
    </row>
    <row r="264" spans="2:2" x14ac:dyDescent="0.75">
      <c r="B264" t="str">
        <f>IF('Stage-ConceptMap-6'!S86=0,"//---END",'Stage-ConceptMap-6'!S86)</f>
        <v>* group[=].element[=].target.comment = ##34#where bodySite is the Athena concept 3120008 'pleura'##34#</v>
      </c>
    </row>
    <row r="265" spans="2:2" x14ac:dyDescent="0.75">
      <c r="B265" t="str">
        <f>IF('Stage-ConceptMap-6'!S87=0,"//---END",'Stage-ConceptMap-6'!S87)</f>
        <v>* group[=].element[+].code = #Stage.sites.peritoneum</v>
      </c>
    </row>
    <row r="266" spans="2:2" x14ac:dyDescent="0.75">
      <c r="B266" t="str">
        <f>IF('Stage-ConceptMap-6'!S88=0,"//---END",'Stage-ConceptMap-6'!S88)</f>
        <v>* group[=].element[=].display = ##34#peritoneum##34#</v>
      </c>
    </row>
    <row r="267" spans="2:2" x14ac:dyDescent="0.75">
      <c r="B267" t="str">
        <f>IF('Stage-ConceptMap-6'!S89=0,"//---END",'Stage-ConceptMap-6'!S89)</f>
        <v>* group[=].element[=].target.code = #Condition.bodySite</v>
      </c>
    </row>
    <row r="268" spans="2:2" x14ac:dyDescent="0.75">
      <c r="B268" t="str">
        <f>IF('Stage-ConceptMap-6'!S90=0,"//---END",'Stage-ConceptMap-6'!S90)</f>
        <v>* group[=].element[=].target.display = ##34###34#</v>
      </c>
    </row>
    <row r="269" spans="2:2" x14ac:dyDescent="0.75">
      <c r="B269" t="str">
        <f>IF('Stage-ConceptMap-6'!S91=0,"//---END",'Stage-ConceptMap-6'!S91)</f>
        <v>* group[=].element[=].target.equivalence = #equivalent</v>
      </c>
    </row>
    <row r="270" spans="2:2" x14ac:dyDescent="0.75">
      <c r="B270" t="str">
        <f>IF('Stage-ConceptMap-6'!S92=0,"//---END",'Stage-ConceptMap-6'!S92)</f>
        <v>* group[=].element[=].target.comment = ##34#where bodySite is the Athena concept 15425007 'peritoneum'##34#</v>
      </c>
    </row>
    <row r="271" spans="2:2" x14ac:dyDescent="0.75">
      <c r="B271" t="str">
        <f>IF('Stage-ConceptMap-6'!S93=0,"//---END",'Stage-ConceptMap-6'!S93)</f>
        <v>* group[=].element[+].code = #Stage.sites.brain</v>
      </c>
    </row>
    <row r="272" spans="2:2" x14ac:dyDescent="0.75">
      <c r="B272" t="str">
        <f>IF('Stage-ConceptMap-6'!S94=0,"//---END",'Stage-ConceptMap-6'!S94)</f>
        <v>* group[=].element[=].display = ##34#brain##34#</v>
      </c>
    </row>
    <row r="273" spans="2:2" x14ac:dyDescent="0.75">
      <c r="B273" t="str">
        <f>IF('Stage-ConceptMap-6'!S95=0,"//---END",'Stage-ConceptMap-6'!S95)</f>
        <v>* group[=].element[=].target.code = #Condition.bodySite</v>
      </c>
    </row>
    <row r="274" spans="2:2" x14ac:dyDescent="0.75">
      <c r="B274" t="str">
        <f>IF('Stage-ConceptMap-6'!S96=0,"//---END",'Stage-ConceptMap-6'!S96)</f>
        <v>* group[=].element[=].target.display = ##34###34#</v>
      </c>
    </row>
    <row r="275" spans="2:2" x14ac:dyDescent="0.75">
      <c r="B275" t="str">
        <f>IF('Stage-ConceptMap-6'!S97=0,"//---END",'Stage-ConceptMap-6'!S97)</f>
        <v>* group[=].element[=].target.equivalence = #equivalent</v>
      </c>
    </row>
    <row r="276" spans="2:2" x14ac:dyDescent="0.75">
      <c r="B276" t="str">
        <f>IF('Stage-ConceptMap-6'!S98=0,"//---END",'Stage-ConceptMap-6'!S98)</f>
        <v>* group[=].element[=].target.comment = ##34#where bodySite is the Athena concept 12738006 'brain'##34#</v>
      </c>
    </row>
    <row r="277" spans="2:2" x14ac:dyDescent="0.75">
      <c r="B277" t="str">
        <f>IF('Stage-ConceptMap-6'!S99=0,"//---END",'Stage-ConceptMap-6'!S99)</f>
        <v>* group[=].element[+].code = #Stage.sites.otherViscera</v>
      </c>
    </row>
    <row r="278" spans="2:2" x14ac:dyDescent="0.75">
      <c r="B278" t="str">
        <f>IF('Stage-ConceptMap-6'!S100=0,"//---END",'Stage-ConceptMap-6'!S100)</f>
        <v>* group[=].element[=].display = ##34#other viscera##34#</v>
      </c>
    </row>
    <row r="279" spans="2:2" x14ac:dyDescent="0.75">
      <c r="B279" t="str">
        <f>IF('Stage-ConceptMap-6'!S101=0,"//---END",'Stage-ConceptMap-6'!S101)</f>
        <v>* group[=].element[=].target.code = #Condition.bodySite</v>
      </c>
    </row>
    <row r="280" spans="2:2" x14ac:dyDescent="0.75">
      <c r="B280" t="str">
        <f>IF('Stage-ConceptMap-6'!S102=0,"//---END",'Stage-ConceptMap-6'!S102)</f>
        <v>* group[=].element[=].target.display = ##34###34#</v>
      </c>
    </row>
    <row r="281" spans="2:2" x14ac:dyDescent="0.75">
      <c r="B281" t="str">
        <f>IF('Stage-ConceptMap-6'!S103=0,"//---END",'Stage-ConceptMap-6'!S103)</f>
        <v>* group[=].element[=].target.equivalence = #equivalent</v>
      </c>
    </row>
    <row r="282" spans="2:2" x14ac:dyDescent="0.75">
      <c r="B282" t="str">
        <f>IF('Stage-ConceptMap-6'!S104=0,"//---END",'Stage-ConceptMap-6'!S104)</f>
        <v>* group[=].element[=].target.comment = ##34#where bodySite is the Athena concept 4159589 'Abdominal viscera'  // TO BE checked the original concept was OTHER VISCERA##34#</v>
      </c>
    </row>
    <row r="283" spans="2:2" x14ac:dyDescent="0.75">
      <c r="B283" t="str">
        <f>IF('Stage-ConceptMap-6'!S105=0,"//---END",'Stage-ConceptMap-6'!S105)</f>
        <v>* group[=].element[+].code = #Stage.sites.unknown</v>
      </c>
    </row>
    <row r="284" spans="2:2" x14ac:dyDescent="0.75">
      <c r="B284" t="str">
        <f>IF('Stage-ConceptMap-6'!S106=0,"//---END",'Stage-ConceptMap-6'!S106)</f>
        <v>* group[=].element[=].display = ##34#unknown##34#</v>
      </c>
    </row>
    <row r="285" spans="2:2" x14ac:dyDescent="0.75">
      <c r="B285" t="str">
        <f>IF('Stage-ConceptMap-6'!S107=0,"//---END",'Stage-ConceptMap-6'!S107)</f>
        <v>* group[=].element[=].target.code = #Condition.bodySite</v>
      </c>
    </row>
    <row r="286" spans="2:2" x14ac:dyDescent="0.75">
      <c r="B286" t="str">
        <f>IF('Stage-ConceptMap-6'!S108=0,"//---END",'Stage-ConceptMap-6'!S108)</f>
        <v>* group[=].element[=].target.display = ##34###34#</v>
      </c>
    </row>
    <row r="287" spans="2:2" x14ac:dyDescent="0.75">
      <c r="B287" t="str">
        <f>IF('Stage-ConceptMap-6'!S109=0,"//---END",'Stage-ConceptMap-6'!S109)</f>
        <v>* group[=].element[=].target.equivalence = #equivalent</v>
      </c>
    </row>
    <row r="288" spans="2:2" x14ac:dyDescent="0.75">
      <c r="B288" t="str">
        <f>IF('Stage-ConceptMap-6'!S110=0,"//---END",'Stage-ConceptMap-6'!S110)</f>
        <v>* group[=].element[=].target.comment = ##34#where bodySite is the Athena concept 261665006 'unknown'##34#</v>
      </c>
    </row>
    <row r="289" spans="2:2" x14ac:dyDescent="0.75">
      <c r="B289" t="str">
        <f>IF('Stage-ConceptMap-6'!S111=0,"//---END",'Stage-ConceptMap-6'!S111)</f>
        <v>//---END</v>
      </c>
    </row>
    <row r="290" spans="2:2" x14ac:dyDescent="0.75">
      <c r="B290" t="str">
        <f>IF('Stage-ConceptMap-6'!S112=0,"//---END",'Stage-ConceptMap-6'!S112)</f>
        <v>//---END</v>
      </c>
    </row>
    <row r="291" spans="2:2" x14ac:dyDescent="0.75">
      <c r="B291"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30" t="s">
        <v>2170</v>
      </c>
      <c r="L4" s="16" t="str">
        <f>CONCATENATE("Logical: ",B4)</f>
        <v>Logical: PathologicalReportInfoI4rc</v>
      </c>
    </row>
    <row r="5" spans="1:18" ht="15.5" thickBot="1" x14ac:dyDescent="0.9">
      <c r="A5" s="14" t="s">
        <v>16</v>
      </c>
      <c r="B5" s="30" t="s">
        <v>2171</v>
      </c>
      <c r="L5" s="16" t="str">
        <f>CONCATENATE("Id: ",B5)</f>
        <v>Id: PathologicalReportInfo</v>
      </c>
    </row>
    <row r="6" spans="1:18" ht="15.5" thickBot="1" x14ac:dyDescent="0.9">
      <c r="A6" s="14" t="s">
        <v>10</v>
      </c>
      <c r="B6" s="30" t="s">
        <v>2172</v>
      </c>
      <c r="L6" s="17" t="str">
        <f>CONCATENATE("Title: ##34#",B6,"##34#")</f>
        <v>Title: ##34#Pathological Report Info##34#</v>
      </c>
    </row>
    <row r="7" spans="1:18" x14ac:dyDescent="0.75">
      <c r="A7" s="26" t="s">
        <v>2</v>
      </c>
      <c r="B7" s="96" t="s">
        <v>2172</v>
      </c>
      <c r="C7" s="9" t="s">
        <v>3</v>
      </c>
      <c r="D7" s="1" t="s">
        <v>4</v>
      </c>
      <c r="E7" s="3" t="s">
        <v>5</v>
      </c>
      <c r="F7" s="3" t="s">
        <v>6</v>
      </c>
      <c r="G7" s="117" t="s">
        <v>7</v>
      </c>
      <c r="H7" s="64" t="s">
        <v>1384</v>
      </c>
      <c r="I7" s="119" t="s">
        <v>2077</v>
      </c>
      <c r="J7" s="119" t="s">
        <v>2078</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2243</v>
      </c>
      <c r="C9" s="11" t="s">
        <v>2251</v>
      </c>
      <c r="D9" s="11" t="s">
        <v>2252</v>
      </c>
      <c r="E9" s="11">
        <v>0</v>
      </c>
      <c r="F9" s="11">
        <v>1</v>
      </c>
      <c r="G9" s="12" t="s">
        <v>1468</v>
      </c>
      <c r="H9" s="12" t="s">
        <v>2253</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2244</v>
      </c>
      <c r="C10" s="11" t="s">
        <v>2254</v>
      </c>
      <c r="D10" s="11" t="s">
        <v>2254</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2245</v>
      </c>
      <c r="C11" s="11" t="s">
        <v>2255</v>
      </c>
      <c r="D11" s="11" t="s">
        <v>2255</v>
      </c>
      <c r="E11" s="11">
        <v>0</v>
      </c>
      <c r="F11" s="11">
        <v>1</v>
      </c>
      <c r="G11" s="12" t="s">
        <v>1987</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2246</v>
      </c>
      <c r="C12" s="11" t="s">
        <v>2256</v>
      </c>
      <c r="D12" s="11" t="s">
        <v>2256</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2247</v>
      </c>
      <c r="C13" s="11" t="s">
        <v>2257</v>
      </c>
      <c r="D13" s="11" t="s">
        <v>2257</v>
      </c>
      <c r="E13" s="11">
        <v>0</v>
      </c>
      <c r="F13" s="11">
        <v>1</v>
      </c>
      <c r="G13" s="12" t="s">
        <v>1468</v>
      </c>
      <c r="H13" s="12" t="s">
        <v>2258</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2248</v>
      </c>
      <c r="C14" s="11" t="s">
        <v>2259</v>
      </c>
      <c r="D14" s="11" t="s">
        <v>2259</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2249</v>
      </c>
      <c r="C15" s="11" t="s">
        <v>2260</v>
      </c>
      <c r="D15" s="11" t="s">
        <v>2260</v>
      </c>
      <c r="E15" s="11">
        <v>0</v>
      </c>
      <c r="F15" s="11">
        <v>1</v>
      </c>
      <c r="G15" s="12" t="s">
        <v>44</v>
      </c>
      <c r="H15" s="12" t="s">
        <v>2261</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2250</v>
      </c>
      <c r="C16" s="11" t="s">
        <v>2262</v>
      </c>
      <c r="D16" s="11" t="s">
        <v>2262</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2263</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1919</v>
      </c>
      <c r="D3" s="47" t="s">
        <v>1473</v>
      </c>
      <c r="E3" s="71" t="str">
        <f>$C$1&amp;B14</f>
        <v>http://hl7.eu/fhir/ig/idea4rc/StructureDefinition/PathologicalReportInfo</v>
      </c>
    </row>
    <row r="4" spans="1:19" x14ac:dyDescent="0.75">
      <c r="B4" s="47" t="s">
        <v>16</v>
      </c>
      <c r="C4" s="28" t="s">
        <v>1919</v>
      </c>
      <c r="D4" s="47" t="s">
        <v>1474</v>
      </c>
      <c r="E4" s="153" t="s">
        <v>1922</v>
      </c>
      <c r="F4" s="154"/>
      <c r="G4" s="154"/>
    </row>
    <row r="5" spans="1:19" x14ac:dyDescent="0.75">
      <c r="B5" s="47" t="s">
        <v>10</v>
      </c>
      <c r="C5" s="7" t="s">
        <v>1920</v>
      </c>
      <c r="D5" s="47"/>
      <c r="E5" s="7"/>
    </row>
    <row r="6" spans="1:19" x14ac:dyDescent="0.75">
      <c r="B6" s="47" t="s">
        <v>18</v>
      </c>
      <c r="C6" s="41"/>
      <c r="D6" s="47" t="s">
        <v>1475</v>
      </c>
      <c r="E6" s="153" t="str">
        <f>E3</f>
        <v>http://hl7.eu/fhir/ig/idea4rc/StructureDefinition/PathologicalReportInfo</v>
      </c>
      <c r="F6" s="154"/>
      <c r="G6" s="154"/>
    </row>
    <row r="7" spans="1:19" x14ac:dyDescent="0.75">
      <c r="B7" s="47" t="s">
        <v>15</v>
      </c>
      <c r="C7" s="72"/>
      <c r="D7" s="47" t="s">
        <v>1476</v>
      </c>
      <c r="E7" s="153" t="str">
        <f>E4</f>
        <v>http://hl7.eu/fhir/ig/idea4rc/StructureDefinition/episodeOfCare-eu-i4rc</v>
      </c>
      <c r="F7" s="154"/>
      <c r="G7" s="154"/>
    </row>
    <row r="8" spans="1:19" ht="45" thickBot="1" x14ac:dyDescent="0.9">
      <c r="B8" s="47" t="s">
        <v>1477</v>
      </c>
      <c r="C8" t="s">
        <v>1920</v>
      </c>
      <c r="D8" s="47"/>
      <c r="E8" s="7"/>
      <c r="I8" s="12" t="s">
        <v>1289</v>
      </c>
      <c r="J8" s="12" t="s">
        <v>1290</v>
      </c>
      <c r="K8" s="12" t="s">
        <v>1291</v>
      </c>
      <c r="L8" s="12" t="s">
        <v>1292</v>
      </c>
      <c r="M8" s="11" t="s">
        <v>1293</v>
      </c>
      <c r="P8" s="34" t="s">
        <v>1328</v>
      </c>
      <c r="Q8" s="34">
        <v>6</v>
      </c>
    </row>
    <row r="9" spans="1:19" ht="30.25" thickBot="1" x14ac:dyDescent="0.9">
      <c r="B9" s="47" t="s">
        <v>1478</v>
      </c>
      <c r="C9" s="12" t="s">
        <v>1921</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1923</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1924</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1925</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1926</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1858</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30" t="s">
        <v>1917</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2077</v>
      </c>
      <c r="J7" s="119" t="s">
        <v>2078</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1877</v>
      </c>
      <c r="C9" s="11" t="s">
        <v>2179</v>
      </c>
      <c r="D9" s="11" t="s">
        <v>2180</v>
      </c>
      <c r="E9" s="11">
        <v>1</v>
      </c>
      <c r="F9" s="11">
        <v>1</v>
      </c>
      <c r="G9" s="11" t="s">
        <v>1468</v>
      </c>
      <c r="H9" s="12" t="s">
        <v>2187</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2175</v>
      </c>
      <c r="C10" s="11" t="s">
        <v>2181</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2194</v>
      </c>
      <c r="C12" s="11" t="s">
        <v>1662</v>
      </c>
      <c r="D12" s="12" t="s">
        <v>1663</v>
      </c>
      <c r="E12" s="11">
        <v>1</v>
      </c>
      <c r="F12" s="11">
        <v>1</v>
      </c>
      <c r="G12" s="11" t="s">
        <v>1468</v>
      </c>
      <c r="H12" s="12" t="s">
        <v>2188</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2195</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2189</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2176</v>
      </c>
      <c r="C15" s="11" t="s">
        <v>2182</v>
      </c>
      <c r="D15" s="11" t="s">
        <v>2183</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2196</v>
      </c>
      <c r="C16" s="11" t="s">
        <v>2184</v>
      </c>
      <c r="D16" s="11" t="s">
        <v>2184</v>
      </c>
      <c r="E16" s="11">
        <v>1</v>
      </c>
      <c r="F16" s="11">
        <v>1</v>
      </c>
      <c r="G16" s="11" t="s">
        <v>1987</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2197</v>
      </c>
      <c r="C17" s="11" t="s">
        <v>2185</v>
      </c>
      <c r="D17" s="11" t="s">
        <v>2185</v>
      </c>
      <c r="E17" s="11">
        <v>1</v>
      </c>
      <c r="F17" s="11">
        <v>1</v>
      </c>
      <c r="G17" s="11" t="s">
        <v>1468</v>
      </c>
      <c r="H17" s="12" t="s">
        <v>2190</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2177</v>
      </c>
      <c r="C18" s="11" t="s">
        <v>2186</v>
      </c>
      <c r="D18" s="11" t="s">
        <v>2186</v>
      </c>
      <c r="E18" s="11">
        <v>1</v>
      </c>
      <c r="F18" s="11">
        <v>1</v>
      </c>
      <c r="G18" s="11" t="s">
        <v>1468</v>
      </c>
      <c r="H18" s="12" t="s">
        <v>2191</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2192</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2198</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2199</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2200</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2201</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2202</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2203</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2204</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2205</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2206</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2207</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2208</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2178</v>
      </c>
      <c r="C36" s="11" t="s">
        <v>1710</v>
      </c>
      <c r="D36" s="11" t="s">
        <v>1711</v>
      </c>
      <c r="E36">
        <v>1</v>
      </c>
      <c r="F36">
        <v>1</v>
      </c>
      <c r="G36" s="11" t="s">
        <v>1468</v>
      </c>
      <c r="H36" s="12" t="s">
        <v>2193</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13" zoomScale="76" zoomScaleNormal="40" workbookViewId="0">
      <selection activeCell="G21" sqref="G21"/>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v>
      </c>
    </row>
    <row r="4" spans="1:19" x14ac:dyDescent="0.75">
      <c r="B4" s="47" t="s">
        <v>16</v>
      </c>
      <c r="C4" s="28" t="s">
        <v>1787</v>
      </c>
      <c r="D4" s="47" t="s">
        <v>1474</v>
      </c>
      <c r="E4" s="153" t="s">
        <v>1790</v>
      </c>
      <c r="F4" s="154"/>
      <c r="G4" s="154"/>
    </row>
    <row r="5" spans="1:19" x14ac:dyDescent="0.75">
      <c r="B5" s="47" t="s">
        <v>10</v>
      </c>
      <c r="C5" s="7" t="s">
        <v>1788</v>
      </c>
      <c r="D5" s="47"/>
      <c r="E5" s="7"/>
    </row>
    <row r="6" spans="1:19" x14ac:dyDescent="0.75">
      <c r="B6" s="47" t="s">
        <v>18</v>
      </c>
      <c r="C6" s="41"/>
      <c r="D6" s="47" t="s">
        <v>1475</v>
      </c>
      <c r="E6" s="153" t="str">
        <f>E3</f>
        <v>http://hl7.eu/fhir/ig/idea4rc/StructureDefinition/Surgery</v>
      </c>
      <c r="F6" s="154"/>
      <c r="G6" s="154"/>
    </row>
    <row r="7" spans="1:19" x14ac:dyDescent="0.75">
      <c r="B7" s="47" t="s">
        <v>15</v>
      </c>
      <c r="C7" s="72"/>
      <c r="D7" s="47" t="s">
        <v>1476</v>
      </c>
      <c r="E7" s="153" t="str">
        <f>E4</f>
        <v>http://hl7.eu/fhir/ig/idea4rc/StructureDefinition/Procedure-surgery-eu-i4rc</v>
      </c>
      <c r="F7" s="154"/>
      <c r="G7" s="154"/>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103.25" x14ac:dyDescent="0.75">
      <c r="A16" s="44"/>
      <c r="B16" s="11" t="str">
        <f>Surgery!B9</f>
        <v>type</v>
      </c>
      <c r="C16" s="11" t="str">
        <f>Surgery!C9</f>
        <v>Surgery type</v>
      </c>
      <c r="D16" s="12" t="s">
        <v>2451</v>
      </c>
      <c r="E16" s="12"/>
      <c r="F16" s="49" t="s">
        <v>1294</v>
      </c>
      <c r="G16" s="76"/>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2366</v>
      </c>
      <c r="H17" s="43"/>
      <c r="I17" s="12" t="str">
        <f t="shared" ref="I17:I24" si="15">"* group[=].element[+].code = #"&amp;$B$14&amp;"."&amp;B17</f>
        <v>* group[=].element[+].code = #Surgery.surgeryHospital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2367</v>
      </c>
      <c r="E18" s="12"/>
      <c r="F18" s="49" t="s">
        <v>1294</v>
      </c>
      <c r="G18" s="76" t="s">
        <v>2365</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2319</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2452</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1793</v>
      </c>
      <c r="E21" s="12"/>
      <c r="F21" s="49" t="s">
        <v>1294</v>
      </c>
      <c r="G21" s="76" t="s">
        <v>1794</v>
      </c>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1795</v>
      </c>
      <c r="E22" s="12"/>
      <c r="F22" s="49" t="s">
        <v>1294</v>
      </c>
      <c r="G22" s="76" t="s">
        <v>2320</v>
      </c>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2321</v>
      </c>
      <c r="E23" s="12"/>
      <c r="F23" s="49" t="s">
        <v>1294</v>
      </c>
      <c r="G23" s="76" t="s">
        <v>2323</v>
      </c>
      <c r="H23" s="43"/>
      <c r="I23" s="12" t="str">
        <f t="shared" si="15"/>
        <v>* group[=].element[+].code = #Surgery.tumorRupture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#Procedure.extension:ProcedureCategoryR5/type</v>
      </c>
    </row>
    <row r="24" spans="1:19" ht="132.75" x14ac:dyDescent="0.75">
      <c r="A24" s="44"/>
      <c r="B24" s="11" t="str">
        <f>Surgery!B16</f>
        <v>SpecimenMitoticCount</v>
      </c>
      <c r="C24" s="11" t="str">
        <f>Surgery!C16</f>
        <v>Surgical specimen Mitotic count</v>
      </c>
      <c r="D24" s="12" t="s">
        <v>2321</v>
      </c>
      <c r="E24" s="11"/>
      <c r="F24" s="49" t="s">
        <v>1294</v>
      </c>
      <c r="G24" s="76" t="s">
        <v>2322</v>
      </c>
      <c r="H24" s="43"/>
      <c r="I24" s="12" t="str">
        <f t="shared" si="15"/>
        <v>* group[=].element[+].code = #Surgery.SpecimenMitoticCount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1796</v>
      </c>
      <c r="E25" s="11"/>
      <c r="F25" s="49" t="s">
        <v>1294</v>
      </c>
      <c r="G25" s="76" t="s">
        <v>2308</v>
      </c>
      <c r="H25" s="43"/>
      <c r="I25" s="12" t="str">
        <f t="shared" ref="I25:I39" si="25">"* group[=].element[+].code = #"&amp;$B$14&amp;"."&amp;B25</f>
        <v>* group[=].element[+].code = #Surgery.SpecimenGradingOnlyInUntreatedTumours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2308</v>
      </c>
      <c r="H26" s="43"/>
      <c r="I26" s="12" t="str">
        <f t="shared" si="25"/>
        <v>* group[=].element[+].code = #Surgery.isolatedLimbPerfusion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c>
    </row>
    <row r="27" spans="1:19" ht="44.25" x14ac:dyDescent="0.75">
      <c r="A27" s="44"/>
      <c r="B27" s="11" t="str">
        <f>Surgery!B19</f>
        <v>reconstruction</v>
      </c>
      <c r="C27" s="11" t="str">
        <f>Surgery!C19</f>
        <v>Reconstruction</v>
      </c>
      <c r="D27" s="12"/>
      <c r="E27" s="12"/>
      <c r="F27" s="49" t="s">
        <v>1294</v>
      </c>
      <c r="G27" s="76" t="s">
        <v>2308</v>
      </c>
      <c r="H27" s="43"/>
      <c r="I27" s="12" t="str">
        <f t="shared" si="25"/>
        <v>* group[=].element[+].code = #Surgery.reconstruction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12"/>
      <c r="E28" s="12"/>
      <c r="F28" s="49" t="s">
        <v>1294</v>
      </c>
      <c r="G28" s="76" t="s">
        <v>2324</v>
      </c>
      <c r="H28" s="43"/>
      <c r="I28" s="12" t="str">
        <f t="shared" si="25"/>
        <v>* group[=].element[+].code = #Surgery.neckSurgery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2319</v>
      </c>
      <c r="E29" s="12"/>
      <c r="F29" s="49" t="s">
        <v>1316</v>
      </c>
      <c r="G29" s="76" t="s">
        <v>2325</v>
      </c>
      <c r="H29" s="43"/>
      <c r="I29" s="12" t="str">
        <f t="shared" si="25"/>
        <v>* group[=].element[+].code = #Surgery.dateOfNeckSurgey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2327</v>
      </c>
      <c r="E30" s="12"/>
      <c r="F30" s="49" t="s">
        <v>1316</v>
      </c>
      <c r="G30" s="76" t="s">
        <v>2326</v>
      </c>
      <c r="H30" s="43"/>
      <c r="I30" s="12" t="str">
        <f t="shared" si="25"/>
        <v>* group[=].element[+].code = #Surgery.lateralityOfTheDissection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1797</v>
      </c>
      <c r="H31" s="43"/>
      <c r="I31" s="12" t="str">
        <f t="shared" si="25"/>
        <v>* group[=].element[+].code = #Surgery.surgeryOnM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2319</v>
      </c>
      <c r="E32" s="12"/>
      <c r="F32" s="49" t="s">
        <v>1316</v>
      </c>
      <c r="G32" s="76" t="s">
        <v>2328</v>
      </c>
      <c r="H32" s="43"/>
      <c r="I32" s="12" t="str">
        <f t="shared" si="25"/>
        <v>* group[=].element[+].code = #Surgery.dateOfSurgeryOnM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2328</v>
      </c>
      <c r="H33" s="43"/>
      <c r="I33" s="12" t="str">
        <f t="shared" si="25"/>
        <v>* group[=].element[+].code = #Surgery.siteOnMetastasis.softTissue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2328</v>
      </c>
      <c r="H34" s="43"/>
      <c r="I34" s="12" t="str">
        <f t="shared" si="25"/>
        <v>* group[=].element[+].code = #Surgery.siteOnMetastasis.distantLymphNodes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2328</v>
      </c>
      <c r="H35" s="43"/>
      <c r="I35" s="12" t="str">
        <f t="shared" si="25"/>
        <v>* group[=].element[+].code = #Surgery.siteOnMetastasis.lung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2328</v>
      </c>
      <c r="H36" s="43"/>
      <c r="I36" s="12" t="str">
        <f t="shared" si="25"/>
        <v>* group[=].element[+].code = #Surgery.siteOnMetastasis.bone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2328</v>
      </c>
      <c r="H37" s="43"/>
      <c r="I37" s="12" t="str">
        <f t="shared" si="25"/>
        <v>* group[=].element[+].code = #Surgery.siteOnMetastasis.liver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2328</v>
      </c>
      <c r="H38" s="43"/>
      <c r="I38" s="12" t="str">
        <f t="shared" si="25"/>
        <v>* group[=].element[+].code = #Surgery.siteOnMetastasis.pleura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2328</v>
      </c>
      <c r="H39" s="43"/>
      <c r="I39" s="12" t="str">
        <f t="shared" si="25"/>
        <v>* group[=].element[+].code = #Surgery.siteOnMetastasis.peritoneum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#Procedure.extension:ProcedureCategoryR5/intent</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c>
    </row>
    <row r="51" spans="16:19" x14ac:dyDescent="0.75">
      <c r="P51" s="11">
        <v>37</v>
      </c>
      <c r="Q51" s="11">
        <f t="shared" si="23"/>
        <v>6</v>
      </c>
      <c r="R51" s="11">
        <f t="shared" si="24"/>
        <v>1</v>
      </c>
      <c r="S51" s="12" t="str" cm="1">
        <f t="array" ref="S51">INDEX('Surgery-ConceptMap-1'!$I$15:$N$125,Q51+1,R51)</f>
        <v>* group[=].element[+].code = #Surgery.typeOfApproach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x14ac:dyDescent="0.75">
      <c r="P75" s="11">
        <v>61</v>
      </c>
      <c r="Q75" s="11">
        <f t="shared" si="23"/>
        <v>10</v>
      </c>
      <c r="R75" s="11">
        <f t="shared" si="24"/>
        <v>1</v>
      </c>
      <c r="S75" s="12" t="str" cm="1">
        <f t="array" ref="S75">INDEX('Surgery-ConceptMap-1'!$I$15:$N$125,Q75+1,R75)</f>
        <v>* group[=].element[+].code = #Surgery.SpecimenGradingOnlyInUntreatedTumours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tabSelected="1"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1798</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5.5" thickBot="1" x14ac:dyDescent="0.9">
      <c r="L3" s="24" t="str">
        <f>L1</f>
        <v>//===================================================</v>
      </c>
      <c r="N3" s="24" t="str">
        <f>N1</f>
        <v>// -------------------------------------------------------------------------------</v>
      </c>
      <c r="P3" s="24" t="str">
        <f>P1</f>
        <v>// -------------------------------------------------------------------------------</v>
      </c>
      <c r="R3" s="24" t="str">
        <f>R1</f>
        <v>// -------------------------------------------------------------------------------</v>
      </c>
    </row>
    <row r="4" spans="1:18" ht="15.5" thickBot="1" x14ac:dyDescent="0.9">
      <c r="A4" s="5" t="s">
        <v>11</v>
      </c>
      <c r="B4" s="30" t="s">
        <v>2272</v>
      </c>
      <c r="L4" s="16" t="str">
        <f>CONCATENATE("Logical: ",B4)</f>
        <v>Logical: OtherTreatmentI4rc</v>
      </c>
    </row>
    <row r="5" spans="1:18" ht="15.5" thickBot="1" x14ac:dyDescent="0.9">
      <c r="A5" s="14" t="s">
        <v>16</v>
      </c>
      <c r="B5" s="30" t="s">
        <v>2273</v>
      </c>
      <c r="L5" s="16" t="str">
        <f>CONCATENATE("Id: ",B5)</f>
        <v>Id: OtherTreatment</v>
      </c>
    </row>
    <row r="6" spans="1:18" ht="15.5" thickBot="1" x14ac:dyDescent="0.9">
      <c r="A6" s="14" t="s">
        <v>10</v>
      </c>
      <c r="B6" s="30" t="s">
        <v>2346</v>
      </c>
      <c r="L6" s="17" t="str">
        <f>CONCATENATE("Title: ##34#",B6,"##34#")</f>
        <v>Title: ##34#Other Treatment##34#</v>
      </c>
    </row>
    <row r="7" spans="1:18" x14ac:dyDescent="0.75">
      <c r="A7" s="26" t="s">
        <v>2</v>
      </c>
      <c r="B7" s="30" t="s">
        <v>2346</v>
      </c>
      <c r="C7" s="9" t="s">
        <v>3</v>
      </c>
      <c r="D7" s="1" t="s">
        <v>4</v>
      </c>
      <c r="E7" s="3" t="s">
        <v>5</v>
      </c>
      <c r="F7" s="3" t="s">
        <v>6</v>
      </c>
      <c r="G7" s="3" t="s">
        <v>7</v>
      </c>
      <c r="H7" s="64" t="s">
        <v>1384</v>
      </c>
      <c r="I7" s="119" t="s">
        <v>2077</v>
      </c>
      <c r="J7" s="119" t="s">
        <v>2078</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2347</v>
      </c>
      <c r="C9" s="12" t="s">
        <v>2348</v>
      </c>
      <c r="D9" s="12" t="s">
        <v>2349</v>
      </c>
      <c r="E9" s="11">
        <v>1</v>
      </c>
      <c r="F9" s="11">
        <v>1</v>
      </c>
      <c r="G9" s="86" t="s">
        <v>1468</v>
      </c>
      <c r="H9" s="12" t="s">
        <v>1645</v>
      </c>
      <c r="I9" s="12" t="b">
        <v>1</v>
      </c>
      <c r="J9" s="12" t="b">
        <v>1</v>
      </c>
      <c r="K9" s="25" t="s">
        <v>2347</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2350</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2351</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2209</v>
      </c>
      <c r="C12" s="11" t="s">
        <v>2215</v>
      </c>
      <c r="D12" s="11" t="s">
        <v>2216</v>
      </c>
      <c r="E12" s="11">
        <v>0</v>
      </c>
      <c r="F12" s="11">
        <v>1</v>
      </c>
      <c r="G12" t="s">
        <v>1468</v>
      </c>
      <c r="H12" s="2" t="s">
        <v>2217</v>
      </c>
      <c r="I12" s="12" t="b">
        <v>0</v>
      </c>
      <c r="J12" s="12" t="b">
        <v>1</v>
      </c>
      <c r="K12" s="25" t="s">
        <v>2209</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2352</v>
      </c>
      <c r="C13" s="12" t="s">
        <v>2353</v>
      </c>
      <c r="D13" s="12" t="s">
        <v>2354</v>
      </c>
      <c r="E13" s="11">
        <v>1</v>
      </c>
      <c r="F13" s="11">
        <v>1</v>
      </c>
      <c r="G13" s="86" t="s">
        <v>43</v>
      </c>
      <c r="H13" s="12"/>
      <c r="I13" s="12" t="b">
        <v>1</v>
      </c>
      <c r="J13" s="12" t="b">
        <v>1</v>
      </c>
      <c r="K13" s="25" t="s">
        <v>2352</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2355</v>
      </c>
      <c r="C14" s="12" t="s">
        <v>2356</v>
      </c>
      <c r="D14" s="12" t="s">
        <v>2357</v>
      </c>
      <c r="E14" s="11">
        <v>1</v>
      </c>
      <c r="F14" s="11">
        <v>1</v>
      </c>
      <c r="G14" s="86" t="s">
        <v>43</v>
      </c>
      <c r="H14" s="12"/>
      <c r="I14" s="12" t="b">
        <v>1</v>
      </c>
      <c r="J14" s="12" t="b">
        <v>1</v>
      </c>
      <c r="K14" s="25" t="s">
        <v>2355</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2210</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2211</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2212</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2358</v>
      </c>
      <c r="E20" s="11">
        <v>1</v>
      </c>
      <c r="F20" s="11">
        <v>1</v>
      </c>
      <c r="G20" s="86" t="s">
        <v>43</v>
      </c>
      <c r="H20" s="12"/>
      <c r="I20" s="12" t="b">
        <v>1</v>
      </c>
      <c r="J20" s="12" t="b">
        <v>0</v>
      </c>
      <c r="K20" t="s">
        <v>2213</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2359</v>
      </c>
      <c r="E21" s="11">
        <v>1</v>
      </c>
      <c r="F21" s="11">
        <v>1</v>
      </c>
      <c r="G21" s="86" t="s">
        <v>43</v>
      </c>
      <c r="H21" s="12"/>
      <c r="I21" s="12" t="b">
        <v>1</v>
      </c>
      <c r="J21" s="12" t="b">
        <v>0</v>
      </c>
      <c r="K21" t="s">
        <v>2214</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1860</v>
      </c>
      <c r="C23" s="11" t="s">
        <v>1653</v>
      </c>
      <c r="D23" s="11" t="s">
        <v>1654</v>
      </c>
      <c r="E23" s="11">
        <v>1</v>
      </c>
      <c r="F23" s="11">
        <v>1</v>
      </c>
      <c r="G23" t="s">
        <v>1468</v>
      </c>
      <c r="H23" s="12" t="s">
        <v>1655</v>
      </c>
      <c r="I23" s="12" t="b">
        <v>1</v>
      </c>
      <c r="J23" s="12" t="b">
        <v>1</v>
      </c>
      <c r="K23" t="s">
        <v>1860</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2360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2361</v>
      </c>
      <c r="D3" s="47" t="s">
        <v>1473</v>
      </c>
      <c r="E3" s="71" t="str">
        <f>$C$1&amp;B14</f>
        <v>http://hl7.eu/fhir/ig/idea4rc/StructureDefinition/OtherTreatment</v>
      </c>
    </row>
    <row r="4" spans="1:19" x14ac:dyDescent="0.75">
      <c r="B4" s="47" t="s">
        <v>16</v>
      </c>
      <c r="C4" s="28" t="s">
        <v>2361</v>
      </c>
      <c r="D4" s="47" t="s">
        <v>1474</v>
      </c>
      <c r="E4" s="153" t="s">
        <v>1820</v>
      </c>
      <c r="F4" s="161"/>
      <c r="G4" s="161"/>
    </row>
    <row r="5" spans="1:19" x14ac:dyDescent="0.75">
      <c r="B5" s="47" t="s">
        <v>10</v>
      </c>
      <c r="C5" s="7" t="s">
        <v>2362</v>
      </c>
      <c r="D5" s="47"/>
      <c r="E5" s="7"/>
    </row>
    <row r="6" spans="1:19" x14ac:dyDescent="0.75">
      <c r="B6" s="47" t="s">
        <v>18</v>
      </c>
      <c r="C6" s="41"/>
      <c r="D6" s="47" t="s">
        <v>1475</v>
      </c>
      <c r="E6" s="153" t="str">
        <f>E3</f>
        <v>http://hl7.eu/fhir/ig/idea4rc/StructureDefinition/OtherTreatment</v>
      </c>
      <c r="F6" s="154"/>
      <c r="G6" s="154"/>
    </row>
    <row r="7" spans="1:19" x14ac:dyDescent="0.75">
      <c r="B7" s="47" t="s">
        <v>15</v>
      </c>
      <c r="C7" s="72"/>
      <c r="D7" s="47" t="s">
        <v>1476</v>
      </c>
      <c r="E7" s="153" t="str">
        <f>E4</f>
        <v>http://hl7.eu/fhir/ig/idea4rc/StructureDefinition/MedicationAdministration-eu-i4rc</v>
      </c>
      <c r="F7" s="154"/>
      <c r="G7" s="154"/>
    </row>
    <row r="8" spans="1:19" ht="45" thickBot="1" x14ac:dyDescent="0.9">
      <c r="B8" s="47" t="s">
        <v>1477</v>
      </c>
      <c r="C8" s="7" t="s">
        <v>2362</v>
      </c>
      <c r="D8" s="47"/>
      <c r="E8" s="7"/>
      <c r="I8" s="12" t="s">
        <v>1289</v>
      </c>
      <c r="J8" s="12" t="s">
        <v>1290</v>
      </c>
      <c r="K8" s="12" t="s">
        <v>1291</v>
      </c>
      <c r="L8" s="12" t="s">
        <v>1292</v>
      </c>
      <c r="M8" s="11" t="s">
        <v>1293</v>
      </c>
      <c r="P8" s="34" t="s">
        <v>1328</v>
      </c>
      <c r="Q8" s="34">
        <v>6</v>
      </c>
    </row>
    <row r="9" spans="1:19" ht="30.25" thickBot="1" x14ac:dyDescent="0.9">
      <c r="B9" s="47" t="s">
        <v>1478</v>
      </c>
      <c r="C9" s="12" t="s">
        <v>2363</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1814</v>
      </c>
      <c r="E16" s="12"/>
      <c r="F16" s="49" t="s">
        <v>1316</v>
      </c>
      <c r="G16" s="77" t="s">
        <v>2329</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1814</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1814</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1815</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2308</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1816</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1816</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1816</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1817</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1818</v>
      </c>
      <c r="E29" s="12"/>
      <c r="F29" s="49" t="s">
        <v>1294</v>
      </c>
      <c r="G29" s="76" t="s">
        <v>1819</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1821</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30" t="s">
        <v>1918</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2077</v>
      </c>
      <c r="J7" s="119" t="s">
        <v>2078</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2369</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2218</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2219</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2220</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2221</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2222</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2223</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2224</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2225</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2226</v>
      </c>
      <c r="C35" s="11" t="s">
        <v>2230</v>
      </c>
      <c r="D35" s="12" t="s">
        <v>2230</v>
      </c>
      <c r="E35" s="11">
        <v>1</v>
      </c>
      <c r="F35" s="11">
        <v>1</v>
      </c>
      <c r="G35" s="98" t="s">
        <v>1</v>
      </c>
      <c r="H35" s="6"/>
      <c r="I35" s="12" t="b">
        <v>0</v>
      </c>
      <c r="J35" s="12" t="b">
        <v>1</v>
      </c>
      <c r="K35" t="s">
        <v>2226</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2236</v>
      </c>
      <c r="C36" s="11" t="s">
        <v>2230</v>
      </c>
      <c r="D36" s="12" t="s">
        <v>2231</v>
      </c>
      <c r="E36" s="11">
        <v>0</v>
      </c>
      <c r="F36" s="11">
        <v>1</v>
      </c>
      <c r="G36" s="98" t="s">
        <v>43</v>
      </c>
      <c r="H36" s="11"/>
      <c r="I36" s="12" t="b">
        <v>0</v>
      </c>
      <c r="J36" s="12" t="b">
        <v>1</v>
      </c>
      <c r="K36" t="s">
        <v>2227</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2237</v>
      </c>
      <c r="C37" s="11" t="s">
        <v>2230</v>
      </c>
      <c r="D37" s="12" t="s">
        <v>2232</v>
      </c>
      <c r="E37" s="11">
        <v>0</v>
      </c>
      <c r="F37" s="11">
        <v>1</v>
      </c>
      <c r="G37" s="98" t="s">
        <v>43</v>
      </c>
      <c r="H37" s="11"/>
      <c r="I37" s="12" t="b">
        <v>0</v>
      </c>
      <c r="J37" s="12" t="b">
        <v>1</v>
      </c>
      <c r="K37" t="s">
        <v>2228</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2229</v>
      </c>
      <c r="C38" s="11" t="s">
        <v>2233</v>
      </c>
      <c r="D38" s="12" t="s">
        <v>2234</v>
      </c>
      <c r="E38" s="11">
        <v>0</v>
      </c>
      <c r="F38" s="11">
        <v>1</v>
      </c>
      <c r="G38" s="11" t="s">
        <v>1468</v>
      </c>
      <c r="H38" s="12" t="s">
        <v>2235</v>
      </c>
      <c r="I38" s="12" t="b">
        <v>0</v>
      </c>
      <c r="J38" s="12" t="b">
        <v>1</v>
      </c>
      <c r="K38" t="s">
        <v>2229</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1799</v>
      </c>
      <c r="D3" s="47" t="s">
        <v>1473</v>
      </c>
      <c r="E3" s="71" t="str">
        <f>$C$1&amp;B14</f>
        <v>http://hl7.eu/fhir/ig/idea4rc/StructureDefinition/RadiotherapyI4rc</v>
      </c>
    </row>
    <row r="4" spans="1:19" x14ac:dyDescent="0.75">
      <c r="B4" s="47" t="s">
        <v>16</v>
      </c>
      <c r="C4" s="28" t="s">
        <v>1799</v>
      </c>
      <c r="D4" s="47" t="s">
        <v>1474</v>
      </c>
      <c r="E4" s="153" t="s">
        <v>1822</v>
      </c>
      <c r="F4" s="154"/>
      <c r="G4" s="154"/>
    </row>
    <row r="5" spans="1:19" x14ac:dyDescent="0.75">
      <c r="B5" s="47" t="s">
        <v>10</v>
      </c>
      <c r="C5" s="7" t="s">
        <v>1800</v>
      </c>
      <c r="D5" s="47"/>
      <c r="E5" s="7"/>
    </row>
    <row r="6" spans="1:19" x14ac:dyDescent="0.75">
      <c r="B6" s="47" t="s">
        <v>18</v>
      </c>
      <c r="C6" s="41"/>
      <c r="D6" s="47" t="s">
        <v>1475</v>
      </c>
      <c r="E6" s="153" t="str">
        <f>E3</f>
        <v>http://hl7.eu/fhir/ig/idea4rc/StructureDefinition/RadiotherapyI4rc</v>
      </c>
      <c r="F6" s="154"/>
      <c r="G6" s="154"/>
    </row>
    <row r="7" spans="1:19" x14ac:dyDescent="0.75">
      <c r="B7" s="47" t="s">
        <v>15</v>
      </c>
      <c r="C7" s="72"/>
      <c r="D7" s="47" t="s">
        <v>1476</v>
      </c>
      <c r="E7" s="153" t="str">
        <f>E4</f>
        <v>http://hl7.eu/fhir/ig/idea4rc/StructureDefinition/Procedure-radiotheraphy-eu-i4rc</v>
      </c>
      <c r="F7" s="154"/>
      <c r="G7" s="154"/>
    </row>
    <row r="8" spans="1:19" ht="15.5" thickBot="1" x14ac:dyDescent="0.9">
      <c r="B8" s="47" t="s">
        <v>1477</v>
      </c>
      <c r="C8" s="7" t="s">
        <v>1800</v>
      </c>
      <c r="D8" s="47"/>
      <c r="E8" s="7"/>
      <c r="I8" s="12"/>
      <c r="J8" s="12"/>
      <c r="K8" s="12"/>
      <c r="L8" s="12"/>
      <c r="M8" s="11"/>
      <c r="P8" s="34" t="s">
        <v>1328</v>
      </c>
      <c r="Q8" s="34">
        <v>6</v>
      </c>
    </row>
    <row r="9" spans="1:19" ht="30.25" thickBot="1" x14ac:dyDescent="0.9">
      <c r="B9" s="47" t="s">
        <v>1478</v>
      </c>
      <c r="C9" s="12" t="s">
        <v>1801</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2368</v>
      </c>
      <c r="E16" s="12"/>
      <c r="F16" s="49" t="s">
        <v>1294</v>
      </c>
      <c r="G16" s="76" t="s">
        <v>2365</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2330</v>
      </c>
      <c r="E17" s="12"/>
      <c r="F17" s="49" t="s">
        <v>1294</v>
      </c>
      <c r="G17" s="76" t="s">
        <v>2331</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1812</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1808</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1809</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1804</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1805</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2332</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1806</v>
      </c>
      <c r="E24" s="11"/>
      <c r="F24" s="49" t="s">
        <v>1294</v>
      </c>
      <c r="G24" s="76" t="s">
        <v>1807</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1804</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1810</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1811</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2333</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2333</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2333</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2333</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2333</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2335</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2333</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2333</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2333</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2333</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2333</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1806</v>
      </c>
      <c r="E40" s="11"/>
      <c r="F40" s="49" t="s">
        <v>1294</v>
      </c>
      <c r="G40" s="76" t="s">
        <v>2334</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1813</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5.5" thickBot="1" x14ac:dyDescent="0.9">
      <c r="L3" s="24" t="str">
        <f>L1</f>
        <v>//===================================================</v>
      </c>
      <c r="N3" s="24" t="str">
        <f>N1</f>
        <v>// -------------------------------------------------------------------------------</v>
      </c>
      <c r="P3" s="24" t="str">
        <f>P1</f>
        <v>// -------------------------------------------------------------------------------</v>
      </c>
      <c r="R3" s="24" t="str">
        <f>R1</f>
        <v>// -------------------------------------------------------------------------------</v>
      </c>
    </row>
    <row r="4" spans="1:18" ht="15.5" thickBot="1" x14ac:dyDescent="0.9">
      <c r="A4" s="5" t="s">
        <v>11</v>
      </c>
      <c r="B4" s="30" t="s">
        <v>2272</v>
      </c>
      <c r="L4" s="16" t="str">
        <f>CONCATENATE("Logical: ",B4)</f>
        <v>Logical: OtherTreatmentI4rc</v>
      </c>
    </row>
    <row r="5" spans="1:18" ht="15.5" thickBot="1" x14ac:dyDescent="0.9">
      <c r="A5" s="14" t="s">
        <v>16</v>
      </c>
      <c r="B5" s="30" t="s">
        <v>2273</v>
      </c>
      <c r="L5" s="16" t="str">
        <f>CONCATENATE("Id: ",B5)</f>
        <v>Id: OtherTreatment</v>
      </c>
    </row>
    <row r="6" spans="1:18" ht="15.5" thickBot="1" x14ac:dyDescent="0.9">
      <c r="A6" s="14" t="s">
        <v>10</v>
      </c>
      <c r="B6" s="30" t="s">
        <v>2274</v>
      </c>
      <c r="L6" s="17" t="str">
        <f>CONCATENATE("Title: ##34#",B6,"##34#")</f>
        <v>Title: ##34#Other Local Treatment##34#</v>
      </c>
    </row>
    <row r="7" spans="1:18" x14ac:dyDescent="0.75">
      <c r="A7" s="26" t="s">
        <v>2</v>
      </c>
      <c r="B7" s="30" t="s">
        <v>2274</v>
      </c>
      <c r="C7" s="9" t="s">
        <v>3</v>
      </c>
      <c r="D7" s="1" t="s">
        <v>4</v>
      </c>
      <c r="E7" s="3" t="s">
        <v>5</v>
      </c>
      <c r="F7" s="3" t="s">
        <v>6</v>
      </c>
      <c r="G7" s="3" t="s">
        <v>7</v>
      </c>
      <c r="H7" s="64" t="s">
        <v>1384</v>
      </c>
      <c r="I7" s="119" t="s">
        <v>2077</v>
      </c>
      <c r="J7" s="119" t="s">
        <v>2078</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1877</v>
      </c>
      <c r="C9" s="12" t="s">
        <v>2264</v>
      </c>
      <c r="D9" s="12" t="s">
        <v>2265</v>
      </c>
      <c r="E9" s="12">
        <v>1</v>
      </c>
      <c r="F9" s="12">
        <v>1</v>
      </c>
      <c r="G9" s="12" t="s">
        <v>1468</v>
      </c>
      <c r="H9" s="12" t="s">
        <v>2266</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2267</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2268</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1860</v>
      </c>
      <c r="C12" s="12" t="s">
        <v>2269</v>
      </c>
      <c r="D12" s="12" t="s">
        <v>1654</v>
      </c>
      <c r="E12" s="12">
        <v>0</v>
      </c>
      <c r="F12" s="12">
        <v>1</v>
      </c>
      <c r="G12" s="12" t="s">
        <v>1468</v>
      </c>
      <c r="H12" s="12" t="s">
        <v>2270</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2345</v>
      </c>
      <c r="D3" s="47" t="s">
        <v>1473</v>
      </c>
      <c r="E3" s="71" t="str">
        <f>$C$1&amp;B14</f>
        <v>http://hl7.eu/fhir/ig/idea4rc/StructureDefinition/OtherTreatment</v>
      </c>
    </row>
    <row r="4" spans="1:19" x14ac:dyDescent="0.75">
      <c r="B4" s="47" t="s">
        <v>16</v>
      </c>
      <c r="C4" s="28" t="s">
        <v>2345</v>
      </c>
      <c r="D4" s="47" t="s">
        <v>1474</v>
      </c>
      <c r="E4" s="162" t="s">
        <v>2343</v>
      </c>
      <c r="F4" s="154"/>
      <c r="G4" s="154"/>
    </row>
    <row r="5" spans="1:19" x14ac:dyDescent="0.75">
      <c r="B5" s="47" t="s">
        <v>10</v>
      </c>
      <c r="C5" s="7" t="s">
        <v>2362</v>
      </c>
      <c r="D5" s="47"/>
      <c r="E5" s="7"/>
    </row>
    <row r="6" spans="1:19" x14ac:dyDescent="0.75">
      <c r="B6" s="47" t="s">
        <v>18</v>
      </c>
      <c r="C6" s="41"/>
      <c r="D6" s="47" t="s">
        <v>1475</v>
      </c>
      <c r="E6" s="153" t="str">
        <f>E3</f>
        <v>http://hl7.eu/fhir/ig/idea4rc/StructureDefinition/OtherTreatment</v>
      </c>
      <c r="F6" s="154"/>
      <c r="G6" s="154"/>
    </row>
    <row r="7" spans="1:19" x14ac:dyDescent="0.75">
      <c r="B7" s="47" t="s">
        <v>15</v>
      </c>
      <c r="C7" s="72"/>
      <c r="D7" s="47" t="s">
        <v>1476</v>
      </c>
      <c r="E7" s="153" t="str">
        <f>E4</f>
        <v>http://hl7.eu/fhir/ig/idea4rc/StructureDefinition/Procedure-otherTreatment-eu-i4rc</v>
      </c>
      <c r="F7" s="154"/>
      <c r="G7" s="154"/>
    </row>
    <row r="8" spans="1:19" ht="45" thickBot="1" x14ac:dyDescent="0.9">
      <c r="B8" s="47" t="s">
        <v>1477</v>
      </c>
      <c r="C8" s="7" t="s">
        <v>2362</v>
      </c>
      <c r="D8" s="47"/>
      <c r="E8" s="7"/>
      <c r="I8" s="12" t="s">
        <v>1289</v>
      </c>
      <c r="J8" s="12" t="s">
        <v>1290</v>
      </c>
      <c r="K8" s="12" t="s">
        <v>1291</v>
      </c>
      <c r="L8" s="12" t="s">
        <v>1292</v>
      </c>
      <c r="M8" s="11" t="s">
        <v>1293</v>
      </c>
      <c r="P8" s="34" t="s">
        <v>1328</v>
      </c>
      <c r="Q8" s="34">
        <v>6</v>
      </c>
    </row>
    <row r="9" spans="1:19" ht="30.25" thickBot="1" x14ac:dyDescent="0.9">
      <c r="B9" s="47" t="s">
        <v>1478</v>
      </c>
      <c r="C9" s="12" t="s">
        <v>2363</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2336</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1810</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1811</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1795</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2344</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142" t="s">
        <v>1913</v>
      </c>
      <c r="L4" s="16" t="str">
        <f>CONCATENATE("Logical: ",B4)</f>
        <v>Logical: TreatmentResponseI4rc</v>
      </c>
    </row>
    <row r="5" spans="1:18" ht="15.5" thickBot="1" x14ac:dyDescent="0.9">
      <c r="A5" s="14" t="s">
        <v>16</v>
      </c>
      <c r="B5" s="30" t="s">
        <v>1859</v>
      </c>
      <c r="L5" s="16" t="str">
        <f>CONCATENATE("Id: ",B5)</f>
        <v>Id: TreatmentResponse</v>
      </c>
    </row>
    <row r="6" spans="1:18" ht="15.5" thickBot="1" x14ac:dyDescent="0.9">
      <c r="A6" s="14" t="s">
        <v>10</v>
      </c>
      <c r="B6" s="30" t="s">
        <v>1861</v>
      </c>
      <c r="L6" s="17" t="str">
        <f>CONCATENATE("Title: ##34#",B6,"##34#")</f>
        <v>Title: ##34#Treatment Response##34#</v>
      </c>
    </row>
    <row r="7" spans="1:18" x14ac:dyDescent="0.75">
      <c r="A7" s="26" t="s">
        <v>2</v>
      </c>
      <c r="B7" s="30" t="s">
        <v>1861</v>
      </c>
      <c r="C7" s="9" t="s">
        <v>3</v>
      </c>
      <c r="D7" s="1" t="s">
        <v>4</v>
      </c>
      <c r="E7" s="3" t="s">
        <v>5</v>
      </c>
      <c r="F7" s="3" t="s">
        <v>6</v>
      </c>
      <c r="G7" s="3" t="s">
        <v>7</v>
      </c>
      <c r="H7" s="64" t="s">
        <v>1384</v>
      </c>
      <c r="I7" s="119" t="s">
        <v>2077</v>
      </c>
      <c r="J7" s="119" t="s">
        <v>2078</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1860</v>
      </c>
      <c r="C9" s="11" t="s">
        <v>1653</v>
      </c>
      <c r="D9" s="11" t="s">
        <v>1862</v>
      </c>
      <c r="E9" s="11">
        <v>1</v>
      </c>
      <c r="F9" s="11">
        <v>1</v>
      </c>
      <c r="G9" s="11" t="s">
        <v>1468</v>
      </c>
      <c r="H9" s="12" t="s">
        <v>2239</v>
      </c>
      <c r="I9" s="12" t="b">
        <v>1</v>
      </c>
      <c r="J9" s="12" t="b">
        <v>1</v>
      </c>
      <c r="K9" s="25" t="s">
        <v>1860</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2238</v>
      </c>
      <c r="C10" s="11" t="s">
        <v>1863</v>
      </c>
      <c r="D10" s="11" t="s">
        <v>1864</v>
      </c>
      <c r="E10" s="11">
        <v>1</v>
      </c>
      <c r="F10" s="11">
        <v>1</v>
      </c>
      <c r="G10" s="11" t="s">
        <v>1468</v>
      </c>
      <c r="H10" s="11" t="s">
        <v>1865</v>
      </c>
      <c r="I10" s="12" t="b">
        <v>1</v>
      </c>
      <c r="J10" s="12" t="b">
        <v>1</v>
      </c>
      <c r="K10" s="25" t="s">
        <v>2238</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1866</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1867</v>
      </c>
      <c r="D3" s="47" t="s">
        <v>1473</v>
      </c>
      <c r="E3" s="71" t="str">
        <f>$C$1&amp;B14</f>
        <v>http://hl7.eu/fhir/ig/idea4rc/StructureDefinition/TreatmentResponseI4rc</v>
      </c>
    </row>
    <row r="4" spans="1:19" x14ac:dyDescent="0.75">
      <c r="B4" s="47" t="s">
        <v>16</v>
      </c>
      <c r="C4" s="28" t="s">
        <v>1867</v>
      </c>
      <c r="D4" s="47" t="s">
        <v>1474</v>
      </c>
      <c r="E4" s="153" t="s">
        <v>1822</v>
      </c>
      <c r="F4" s="154"/>
      <c r="G4" s="154"/>
    </row>
    <row r="5" spans="1:19" x14ac:dyDescent="0.75">
      <c r="B5" s="47" t="s">
        <v>10</v>
      </c>
      <c r="C5" s="7" t="s">
        <v>1800</v>
      </c>
      <c r="D5" s="47"/>
      <c r="E5" s="7"/>
    </row>
    <row r="6" spans="1:19" x14ac:dyDescent="0.75">
      <c r="B6" s="47" t="s">
        <v>18</v>
      </c>
      <c r="C6" s="41"/>
      <c r="D6" s="47" t="s">
        <v>1475</v>
      </c>
      <c r="E6" s="153" t="str">
        <f>E3</f>
        <v>http://hl7.eu/fhir/ig/idea4rc/StructureDefinition/TreatmentResponseI4rc</v>
      </c>
      <c r="F6" s="154"/>
      <c r="G6" s="154"/>
    </row>
    <row r="7" spans="1:19" x14ac:dyDescent="0.75">
      <c r="B7" s="47" t="s">
        <v>15</v>
      </c>
      <c r="C7" s="72"/>
      <c r="D7" s="47" t="s">
        <v>1476</v>
      </c>
      <c r="E7" s="153" t="str">
        <f>E4</f>
        <v>http://hl7.eu/fhir/ig/idea4rc/StructureDefinition/Procedure-radiotheraphy-eu-i4rc</v>
      </c>
      <c r="F7" s="154"/>
      <c r="G7" s="154"/>
    </row>
    <row r="8" spans="1:19" ht="45" thickBot="1" x14ac:dyDescent="0.9">
      <c r="B8" s="47" t="s">
        <v>1477</v>
      </c>
      <c r="C8" s="7" t="s">
        <v>1800</v>
      </c>
      <c r="D8" s="47"/>
      <c r="E8" s="7"/>
      <c r="I8" s="12" t="s">
        <v>1289</v>
      </c>
      <c r="J8" s="12" t="s">
        <v>1290</v>
      </c>
      <c r="K8" s="12" t="s">
        <v>1291</v>
      </c>
      <c r="L8" s="12" t="s">
        <v>1292</v>
      </c>
      <c r="M8" s="11" t="s">
        <v>1293</v>
      </c>
      <c r="P8" s="34" t="s">
        <v>1328</v>
      </c>
      <c r="Q8" s="34">
        <v>6</v>
      </c>
    </row>
    <row r="9" spans="1:19" ht="30.25" thickBot="1" x14ac:dyDescent="0.9">
      <c r="B9" s="47" t="s">
        <v>1478</v>
      </c>
      <c r="C9" s="12" t="s">
        <v>1801</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1868</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2079</v>
      </c>
      <c r="R2" s="24" t="s">
        <v>2080</v>
      </c>
    </row>
    <row r="3" spans="1:18" ht="17.75" customHeight="1" thickBot="1" x14ac:dyDescent="0.9">
      <c r="L3" s="24" t="str">
        <f>L1</f>
        <v>//===================================================</v>
      </c>
      <c r="N3" s="24" t="str">
        <f>N1</f>
        <v>// -------------------------------------------------------------------------------</v>
      </c>
      <c r="P3" s="24" t="str">
        <f>P1</f>
        <v>// -------------------------------------------------------------------------------</v>
      </c>
      <c r="R3" s="24" t="str">
        <f>R1</f>
        <v>// -------------------------------------------------------------------------------</v>
      </c>
    </row>
    <row r="4" spans="1:18" ht="15.5" thickBot="1" x14ac:dyDescent="0.9">
      <c r="A4" s="5" t="s">
        <v>11</v>
      </c>
      <c r="B4" s="30" t="s">
        <v>1911</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1876</v>
      </c>
      <c r="L6" s="17" t="str">
        <f>CONCATENATE("Title: ##34#",B6,"##34#")</f>
        <v>Title: ##34#Adverse Event##34#</v>
      </c>
    </row>
    <row r="7" spans="1:18" x14ac:dyDescent="0.75">
      <c r="A7" s="26" t="s">
        <v>2</v>
      </c>
      <c r="B7" s="30" t="s">
        <v>1876</v>
      </c>
      <c r="C7" s="9" t="s">
        <v>3</v>
      </c>
      <c r="D7" s="1" t="s">
        <v>4</v>
      </c>
      <c r="E7" s="3" t="s">
        <v>5</v>
      </c>
      <c r="F7" s="3" t="s">
        <v>6</v>
      </c>
      <c r="G7" s="3" t="s">
        <v>7</v>
      </c>
      <c r="H7" s="64" t="s">
        <v>1384</v>
      </c>
      <c r="I7" s="119" t="s">
        <v>2077</v>
      </c>
      <c r="J7" s="119" t="s">
        <v>2078</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1877</v>
      </c>
      <c r="C9" s="11" t="s">
        <v>1869</v>
      </c>
      <c r="D9" s="11" t="s">
        <v>1870</v>
      </c>
      <c r="E9" s="11">
        <v>1</v>
      </c>
      <c r="F9" s="11">
        <v>1</v>
      </c>
      <c r="G9" s="11" t="s">
        <v>1468</v>
      </c>
      <c r="H9" s="11"/>
      <c r="I9" s="12" t="b">
        <v>1</v>
      </c>
      <c r="J9" s="12" t="b">
        <v>0</v>
      </c>
      <c r="K9" s="25" t="s">
        <v>2240</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1878</v>
      </c>
      <c r="C10" s="11" t="s">
        <v>1871</v>
      </c>
      <c r="D10" s="11" t="s">
        <v>1872</v>
      </c>
      <c r="E10" s="11">
        <v>1</v>
      </c>
      <c r="F10" s="11">
        <v>1</v>
      </c>
      <c r="G10" s="11" t="s">
        <v>43</v>
      </c>
      <c r="H10" s="11"/>
      <c r="I10" s="12" t="b">
        <v>1</v>
      </c>
      <c r="J10" s="12" t="b">
        <v>0</v>
      </c>
      <c r="K10" s="25" t="s">
        <v>2241</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1879</v>
      </c>
      <c r="C11" s="11" t="s">
        <v>1873</v>
      </c>
      <c r="D11" s="11" t="s">
        <v>1874</v>
      </c>
      <c r="E11" s="11">
        <v>1</v>
      </c>
      <c r="F11" s="11">
        <v>1</v>
      </c>
      <c r="G11" s="11" t="s">
        <v>1468</v>
      </c>
      <c r="H11" s="62" t="s">
        <v>1875</v>
      </c>
      <c r="I11" s="12" t="b">
        <v>1</v>
      </c>
      <c r="J11" s="12" t="b">
        <v>0</v>
      </c>
      <c r="K11" s="25" t="s">
        <v>2242</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1880</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1867</v>
      </c>
      <c r="D3" s="47" t="s">
        <v>1473</v>
      </c>
      <c r="E3" s="71" t="str">
        <f>$C$1&amp;B14</f>
        <v>http://hl7.eu/fhir/ig/idea4rc/StructureDefinition/AdverseEventI4rc</v>
      </c>
    </row>
    <row r="4" spans="1:19" x14ac:dyDescent="0.75">
      <c r="B4" s="47" t="s">
        <v>16</v>
      </c>
      <c r="C4" s="28" t="s">
        <v>1867</v>
      </c>
      <c r="D4" s="47" t="s">
        <v>1474</v>
      </c>
      <c r="E4" s="163" t="s">
        <v>2337</v>
      </c>
      <c r="F4" s="164"/>
      <c r="G4" s="164"/>
    </row>
    <row r="5" spans="1:19" x14ac:dyDescent="0.75">
      <c r="B5" s="47" t="s">
        <v>10</v>
      </c>
      <c r="C5" s="7" t="s">
        <v>1800</v>
      </c>
      <c r="D5" s="47"/>
      <c r="E5" s="7"/>
    </row>
    <row r="6" spans="1:19" x14ac:dyDescent="0.75">
      <c r="B6" s="47" t="s">
        <v>18</v>
      </c>
      <c r="C6" s="41"/>
      <c r="D6" s="47" t="s">
        <v>1475</v>
      </c>
      <c r="E6" s="153" t="str">
        <f>E3</f>
        <v>http://hl7.eu/fhir/ig/idea4rc/StructureDefinition/AdverseEventI4rc</v>
      </c>
      <c r="F6" s="154"/>
      <c r="G6" s="154"/>
    </row>
    <row r="7" spans="1:19" x14ac:dyDescent="0.75">
      <c r="B7" s="47" t="s">
        <v>15</v>
      </c>
      <c r="C7" s="72"/>
      <c r="D7" s="47" t="s">
        <v>1476</v>
      </c>
      <c r="E7" s="153" t="str">
        <f>E4</f>
        <v>http://hl7.eu/fhir/ig/idea4rc/StructureDefinition/AdverseEvent-eu-i4rc</v>
      </c>
      <c r="F7" s="154"/>
      <c r="G7" s="154"/>
    </row>
    <row r="8" spans="1:19" ht="45" thickBot="1" x14ac:dyDescent="0.9">
      <c r="B8" s="47" t="s">
        <v>1477</v>
      </c>
      <c r="C8" s="7" t="s">
        <v>1800</v>
      </c>
      <c r="D8" s="47"/>
      <c r="E8" s="7"/>
      <c r="I8" s="12" t="s">
        <v>1289</v>
      </c>
      <c r="J8" s="12" t="s">
        <v>1290</v>
      </c>
      <c r="K8" s="12" t="s">
        <v>1291</v>
      </c>
      <c r="L8" s="12" t="s">
        <v>1292</v>
      </c>
      <c r="M8" s="11" t="s">
        <v>1293</v>
      </c>
      <c r="P8" s="34" t="s">
        <v>1328</v>
      </c>
      <c r="Q8" s="34">
        <v>6</v>
      </c>
    </row>
    <row r="9" spans="1:19" ht="30.25" thickBot="1" x14ac:dyDescent="0.9">
      <c r="B9" s="47" t="s">
        <v>1478</v>
      </c>
      <c r="C9" s="12" t="s">
        <v>1801</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2338</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2339</v>
      </c>
      <c r="E16" s="12"/>
      <c r="F16" s="49" t="s">
        <v>1294</v>
      </c>
      <c r="G16" s="76" t="s">
        <v>2340</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2341</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2342</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1881</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1916</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3" t="s">
        <v>1625</v>
      </c>
      <c r="F4" s="154"/>
      <c r="G4" s="154"/>
    </row>
    <row r="5" spans="1:19" x14ac:dyDescent="0.75">
      <c r="B5" s="47" t="s">
        <v>10</v>
      </c>
      <c r="C5" s="7" t="s">
        <v>1640</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1625</v>
      </c>
      <c r="F7" s="154"/>
      <c r="G7" s="154"/>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1802</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1802</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1802</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1802</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3" t="s">
        <v>1636</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1636</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3" t="s">
        <v>1637</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1637</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3" t="s">
        <v>1638</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1638</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2024-03-04T16:42:01Z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