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9E535EEE-B23E-42E8-9E2B-1406F2107937}" xr6:coauthVersionLast="47" xr6:coauthVersionMax="47" xr10:uidLastSave="{00000000-0000-0000-0000-000000000000}"/>
  <bookViews>
    <workbookView xWindow="-90" yWindow="-21710" windowWidth="38620" windowHeight="21100" tabRatio="819" firstSheet="14" activeTab="22"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6" i="178" l="1"/>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26" i="200"/>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299" i="178" l="1"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7" i="195"/>
  <c r="C58" i="195"/>
  <c r="C54" i="195"/>
  <c r="C40" i="195"/>
  <c r="C42" i="195"/>
  <c r="C43" i="195"/>
  <c r="C39" i="195"/>
  <c r="C52" i="195"/>
  <c r="C53" i="195"/>
  <c r="C51" i="195"/>
  <c r="C37" i="195"/>
  <c r="C38" i="195"/>
  <c r="C36" i="195"/>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R22" i="241" l="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L11" i="193"/>
  <c r="C11" i="195" s="1"/>
  <c r="L12" i="193"/>
  <c r="N12" i="193" s="1"/>
  <c r="C31" i="195" s="1"/>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E3" i="196"/>
  <c r="B14" i="198" s="1"/>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16" i="178" l="1"/>
  <c r="E3" i="213"/>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39" i="200" s="1"/>
  <c r="S16" i="205" a="1"/>
  <c r="S16" i="205" s="1"/>
  <c r="B153" i="208" s="1"/>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<sst xmlns="http://schemas.openxmlformats.org/spreadsheetml/2006/main" count="7074" uniqueCount="2428">
  <si>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</si>
  <si>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</si>
  <si>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</si>
  <si>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</si>
  <si>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</si>
  <si>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</si>
  <si>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</si>
  <si>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</si>
  <si>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</si>
  <si>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</si>
  <si>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</si>
  <si>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</si>
  <si>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</si>
  <si>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</si>
  <si>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</si>
  <si>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</si>
  <si>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</si>
  <si>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</si>
  <si>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</si>
  <si>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</si>
  <si>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</si>
  <si>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</si>
  <si>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</si>
  <si>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</si>
  <si>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</si>
  <si>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</si>
  <si>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</si>
  <si>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</si>
  <si>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</si>
  <si>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</si>
  <si>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</si>
  <si>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</si>
  <si>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</si>
  <si>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</si>
  <si>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</si>
  <si>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</si>
  <si>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</si>
  <si>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</si>
  <si>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</si>
  <si>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</si>
  <si>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</si>
  <si>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</si>
  <si>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</si>
  <si>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</si>
  <si>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</si>
  <si>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</si>
  <si>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</si>
  <si>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</si>
  <si>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</si>
  <si>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</si>
  <si>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</si>
  <si>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</si>
  <si>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</si>
  <si>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</si>
  <si>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</si>
  <si>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</si>
  <si>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</si>
  <si>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</si>
  <si>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</si>
  <si>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</si>
  <si>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</si>
  <si>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</si>
  <si>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</si>
  <si>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</si>
  <si>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</si>
  <si>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</si>
  <si>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</si>
  <si>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</si>
  <si>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</si>
  <si>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</si>
  <si>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</si>
  <si>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</si>
  <si>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</si>
  <si>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</si>
  <si>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</si>
  <si>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</si>
  <si>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</si>
  <si>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</si>
  <si>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</si>
  <si>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</si>
  <si>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</si>
  <si>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</si>
  <si>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</si>
  <si>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</si>
  <si>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</si>
  <si>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</si>
  <si>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</si>
  <si>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</si>
  <si>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</si>
  <si>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</si>
  <si>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</si>
  <si>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</si>
  <si>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</si>
  <si>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</si>
  <si>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</si>
  <si>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</si>
  <si>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</si>
  <si>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</si>
  <si>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</si>
  <si>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</si>
  <si>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</si>
  <si>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</si>
  <si>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</si>
  <si>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</si>
  <si>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</si>
  <si>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</si>
  <si>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</si>
  <si>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</si>
  <si>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</si>
  <si>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</si>
  <si>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</si>
  <si>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</si>
  <si>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</si>
  <si>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</si>
  <si>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</si>
  <si>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</si>
  <si>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</si>
  <si>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</si>
  <si>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</si>
  <si>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</si>
  <si>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</si>
  <si>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</si>
  <si>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</si>
  <si>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</si>
  <si>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</si>
  <si>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</si>
  <si>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</si>
  <si>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</si>
  <si>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</si>
  <si>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</si>
  <si>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</si>
  <si>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</si>
  <si>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</si>
  <si>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</si>
  <si>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</si>
  <si>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</si>
  <si>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</si>
  <si>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</si>
  <si>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</si>
  <si>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</si>
  <si>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</si>
  <si>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</si>
  <si>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</si>
  <si>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</si>
  <si>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</si>
  <si>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</si>
  <si>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</si>
  <si>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</si>
  <si>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</si>
  <si>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</si>
  <si>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</si>
  <si>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</si>
  <si>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</si>
  <si>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</si>
  <si>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</si>
  <si>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</si>
  <si>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</si>
  <si>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</si>
  <si>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</si>
  <si>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</si>
  <si>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</si>
  <si>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</si>
  <si>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</si>
  <si>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</si>
  <si>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</si>
  <si>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</si>
  <si>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</si>
  <si>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</si>
  <si>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</si>
  <si>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</si>
  <si>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</si>
  <si>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</si>
  <si>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</si>
  <si>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</si>
  <si>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</si>
  <si>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</si>
  <si>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</si>
  <si>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</si>
  <si>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</si>
  <si>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</si>
  <si>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</si>
  <si>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</si>
  <si>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</si>
  <si>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</si>
  <si>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</si>
  <si>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</si>
  <si>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</si>
  <si>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</si>
  <si>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</si>
  <si>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</si>
  <si>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</si>
  <si>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</si>
  <si>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</si>
  <si>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</si>
  <si>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</si>
  <si>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</si>
  <si>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</si>
  <si>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</si>
  <si>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</si>
  <si>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</si>
  <si>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</si>
  <si>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</si>
  <si>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</si>
  <si>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</si>
  <si>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</si>
  <si>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</si>
  <si>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</si>
  <si>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</si>
  <si>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</si>
  <si>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</si>
  <si>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</si>
  <si>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</si>
  <si>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</si>
  <si>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</si>
  <si>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</si>
  <si>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</si>
  <si>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</si>
  <si>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</si>
  <si>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</si>
  <si>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</si>
  <si>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</si>
  <si>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</si>
  <si>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</si>
  <si>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</si>
  <si>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</si>
  <si>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</si>
  <si>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</si>
  <si>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</si>
  <si>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</si>
  <si>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</si>
  <si>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</si>
  <si>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</si>
  <si>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</si>
  <si>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</si>
  <si>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</si>
  <si>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</si>
  <si>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</si>
  <si>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</si>
  <si>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</si>
  <si>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</si>
  <si>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</si>
  <si>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</si>
  <si>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</si>
  <si>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</si>
  <si>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</si>
  <si>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</si>
  <si>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</si>
  <si>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</si>
  <si>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</si>
  <si>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</si>
  <si>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</si>
  <si>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</si>
  <si>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</si>
  <si>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</si>
  <si>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</si>
  <si>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</si>
  <si>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</si>
  <si>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</si>
  <si>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</si>
  <si>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</si>
  <si>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</si>
  <si>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</si>
  <si>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</si>
  <si>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</si>
  <si>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</si>
  <si>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</si>
  <si>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</si>
  <si>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</si>
  <si>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</si>
  <si>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</si>
  <si>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</si>
  <si>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</si>
  <si>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</si>
  <si>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</si>
  <si>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</si>
  <si>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</si>
  <si>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</si>
  <si>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</si>
  <si>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</si>
  <si>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</si>
  <si>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</si>
  <si>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</si>
  <si>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</si>
  <si>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</si>
  <si>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</si>
  <si>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</si>
  <si>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</si>
  <si>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</si>
  <si>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</si>
  <si>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</si>
  <si>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</si>
  <si>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</si>
  <si>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</si>
  <si>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</si>
  <si>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</si>
  <si>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</si>
  <si>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</si>
  <si>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</si>
  <si>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</si>
  <si>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</si>
  <si>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</si>
  <si>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</si>
  <si>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</si>
  <si>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</si>
  <si>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</si>
  <si>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</si>
  <si>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</si>
  <si>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</si>
  <si>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</si>
  <si>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</si>
  <si>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</si>
  <si>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</si>
  <si>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</si>
  <si>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</si>
  <si>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</si>
  <si>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</si>
  <si>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</si>
  <si>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</si>
  <si>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</si>
  <si>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</si>
  <si>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</si>
  <si>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</si>
  <si>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</si>
  <si>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</si>
  <si>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</si>
  <si>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</si>
  <si>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</si>
  <si>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</si>
  <si>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</si>
  <si>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</si>
  <si>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</si>
  <si>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</si>
  <si>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</si>
  <si>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</si>
  <si>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</si>
  <si>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</si>
  <si>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</si>
  <si>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</si>
  <si>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</si>
  <si>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</si>
  <si>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</si>
  <si>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</si>
  <si>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</si>
  <si>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</si>
  <si>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</si>
  <si>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</si>
  <si>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</si>
  <si>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</si>
  <si>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</si>
  <si>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</si>
  <si>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</si>
  <si>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</si>
  <si>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</si>
  <si>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</si>
  <si>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</si>
  <si>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</si>
  <si>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</si>
  <si>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</si>
  <si>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</si>
  <si>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</si>
  <si>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</si>
  <si>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</si>
  <si>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</si>
  <si>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</si>
  <si>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</si>
  <si>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</si>
  <si>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</si>
  <si>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</si>
  <si>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</si>
  <si>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</si>
  <si>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</si>
  <si>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</si>
  <si>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</si>
  <si>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</si>
  <si>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</si>
  <si>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</si>
  <si>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</si>
  <si>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</si>
  <si>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</si>
  <si>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</si>
  <si>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</si>
  <si>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</si>
  <si>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</si>
  <si>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</si>
  <si>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</si>
  <si>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</si>
  <si>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</si>
  <si>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</si>
  <si>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</si>
  <si>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</si>
  <si>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</si>
  <si>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</si>
  <si>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</si>
  <si>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</si>
  <si>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</si>
  <si>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</si>
  <si>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</si>
  <si>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</si>
  <si>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</si>
  <si>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</si>
  <si>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</si>
  <si>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</si>
  <si>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</si>
  <si>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</si>
  <si>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</si>
  <si>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</si>
  <si>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</si>
  <si>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</si>
  <si>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</si>
  <si>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</si>
  <si>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</si>
  <si>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</si>
  <si>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</si>
  <si>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</si>
  <si>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</si>
  <si>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</si>
  <si>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</si>
  <si>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</si>
  <si>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</si>
  <si>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</si>
  <si>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</si>
  <si>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</si>
  <si>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</si>
  <si>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</si>
  <si>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</si>
  <si>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</si>
  <si>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</si>
  <si>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</si>
  <si>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</si>
  <si>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</si>
  <si>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</si>
  <si>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</si>
  <si>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</si>
  <si>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</si>
  <si>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</si>
  <si>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</si>
  <si>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</si>
  <si>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</si>
  <si>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</si>
  <si>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</si>
  <si>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</si>
  <si>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</si>
  <si>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</si>
  <si>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</si>
  <si>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</si>
  <si>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</si>
  <si>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</si>
  <si>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</si>
  <si>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</si>
  <si>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</si>
  <si>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</si>
  <si>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</si>
  <si>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</si>
  <si>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</si>
  <si>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</si>
  <si>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</si>
  <si>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</si>
  <si>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</si>
  <si>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</si>
  <si>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</si>
  <si>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</si>
  <si>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</si>
  <si>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</si>
  <si>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</si>
  <si>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</si>
  <si>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</si>
  <si>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</si>
  <si>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</si>
  <si>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</si>
  <si>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</si>
  <si>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</si>
  <si>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</si>
  <si>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</si>
  <si>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</si>
  <si>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</si>
  <si>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</si>
  <si>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</si>
  <si>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</si>
  <si>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</si>
  <si>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</si>
  <si>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</si>
  <si>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</si>
  <si>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</si>
  <si>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</si>
  <si>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</si>
  <si>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</si>
  <si>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</si>
  <si>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</si>
  <si>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</si>
  <si>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</si>
  <si>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</si>
  <si>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</si>
  <si>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</si>
  <si>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</si>
  <si>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</si>
  <si>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</si>
  <si>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</si>
  <si>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</si>
  <si>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</si>
  <si>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</si>
  <si>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</si>
  <si>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</si>
  <si>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</si>
  <si>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</si>
  <si>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</si>
  <si>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</si>
  <si>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</si>
  <si>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</si>
  <si>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</si>
  <si>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</si>
  <si>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</si>
  <si>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</si>
  <si>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</si>
  <si>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</si>
  <si>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</si>
  <si>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</si>
  <si>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</si>
  <si>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</si>
  <si>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</si>
  <si>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</si>
  <si>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</si>
  <si>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</si>
  <si>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</si>
  <si>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</si>
  <si>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</si>
  <si>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</si>
  <si>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</si>
  <si>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</si>
  <si>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</si>
  <si>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</si>
  <si>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</si>
  <si>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</si>
  <si>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</si>
  <si>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</si>
  <si>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</si>
  <si>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</si>
  <si>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</si>
  <si>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</si>
  <si>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</si>
  <si>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</si>
  <si>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</si>
  <si>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</si>
  <si>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</si>
  <si>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</si>
  <si>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</si>
  <si>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</si>
  <si>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</si>
  <si>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</si>
  <si>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</si>
  <si>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</si>
  <si>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</si>
  <si>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</si>
  <si>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</si>
  <si>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</si>
  <si>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</si>
  <si>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</si>
  <si>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</si>
  <si>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</si>
  <si>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</si>
  <si>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</si>
  <si>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</si>
  <si>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</si>
  <si>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</si>
  <si>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</si>
  <si>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</si>
  <si>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</si>
  <si>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</si>
  <si>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</si>
  <si>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</si>
  <si>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</si>
  <si>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</si>
  <si>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</si>
  <si>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</si>
  <si>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</si>
  <si>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</si>
  <si>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</si>
  <si>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</si>
  <si>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</si>
  <si>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</si>
  <si>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</si>
  <si>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</si>
  <si>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</si>
  <si>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</si>
  <si>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</si>
  <si>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</si>
  <si>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</si>
  <si>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</si>
  <si>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</si>
  <si>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</si>
  <si>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</si>
  <si>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</si>
  <si>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</si>
  <si>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</si>
  <si>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</si>
  <si>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</si>
  <si>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</si>
  <si>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</si>
  <si>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</si>
  <si>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</si>
  <si>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</si>
  <si>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</si>
  <si>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</si>
  <si>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</si>
  <si>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</si>
  <si>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</si>
  <si>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</si>
  <si>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</si>
  <si>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</si>
  <si>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</si>
  <si>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</si>
  <si>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</si>
  <si>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</si>
  <si>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</si>
  <si>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</si>
  <si>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</si>
  <si>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</si>
  <si>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</si>
  <si>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</si>
  <si>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</si>
  <si>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</si>
  <si>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</si>
  <si>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</si>
  <si>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</si>
  <si>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</si>
  <si>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</si>
  <si>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</si>
  <si>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</si>
  <si>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</si>
  <si>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</si>
  <si>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</si>
  <si>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</si>
  <si>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</si>
  <si>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</si>
  <si>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</si>
  <si>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</si>
  <si>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</si>
  <si>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</si>
  <si>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</si>
  <si>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</si>
  <si>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</si>
  <si>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</si>
  <si>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</si>
  <si>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</si>
  <si>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</si>
  <si>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</si>
  <si>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</si>
  <si>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</si>
  <si>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</si>
  <si>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</si>
  <si>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</si>
  <si>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</si>
  <si>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</si>
  <si>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</si>
  <si>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</si>
  <si>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</si>
  <si>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</si>
  <si>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</si>
  <si>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</si>
  <si>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</si>
  <si>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</si>
  <si>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</si>
  <si>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</si>
  <si>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</si>
  <si>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</si>
  <si>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</si>
  <si>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</si>
  <si>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</si>
  <si>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</si>
  <si>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</si>
  <si>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</si>
  <si>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</si>
  <si>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</si>
  <si>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</si>
  <si>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</si>
  <si>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</si>
  <si>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</si>
  <si>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</si>
  <si>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</si>
  <si>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</si>
  <si>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</si>
  <si>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</si>
  <si>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</si>
  <si>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</si>
  <si>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</si>
  <si>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</si>
  <si>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</si>
  <si>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</si>
  <si>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</si>
  <si>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</si>
  <si>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</si>
  <si>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</si>
  <si>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</si>
  <si>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</si>
  <si>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</si>
  <si>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</si>
  <si>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</si>
  <si>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</si>
  <si>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</si>
  <si>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</si>
  <si>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</si>
  <si>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</si>
  <si>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</si>
  <si>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</si>
  <si>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</si>
  <si>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</si>
  <si>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</si>
  <si>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</si>
  <si>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</si>
  <si>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</si>
  <si>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</si>
  <si>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</si>
  <si>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</si>
  <si>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</si>
  <si>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</si>
  <si>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</si>
  <si>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</si>
  <si>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</si>
  <si>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</si>
  <si>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</si>
  <si>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</si>
  <si>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</si>
  <si>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</si>
  <si>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</si>
  <si>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</si>
  <si>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</si>
  <si>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</si>
  <si>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</si>
  <si>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</si>
  <si>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</si>
  <si>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</si>
  <si>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</si>
  <si>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</si>
  <si>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</si>
  <si>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</si>
  <si>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</si>
  <si>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</si>
  <si>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</si>
  <si>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</si>
  <si>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</si>
  <si>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</si>
  <si>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</si>
  <si>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</si>
  <si>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</si>
  <si>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</si>
  <si>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</si>
  <si>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</si>
  <si>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</si>
  <si>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</si>
  <si>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</si>
  <si>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</si>
  <si>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</si>
  <si>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</si>
  <si>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</si>
  <si>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</si>
  <si>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</si>
  <si>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</si>
  <si>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</si>
  <si>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</si>
  <si>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</si>
  <si>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</si>
  <si>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</si>
  <si>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</si>
  <si>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</si>
  <si>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</si>
  <si>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</si>
  <si>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</si>
  <si>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</si>
  <si>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</si>
  <si>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</si>
  <si>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</si>
  <si>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</si>
  <si>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</si>
  <si>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</si>
  <si>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</si>
  <si>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</si>
  <si>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</si>
  <si>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</si>
  <si>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</si>
  <si>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</si>
  <si>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</si>
  <si>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</si>
  <si>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</si>
  <si>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</si>
  <si>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</si>
  <si>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</si>
  <si>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</si>
  <si>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</si>
  <si>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</si>
  <si>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</si>
  <si>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</si>
  <si>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</si>
  <si>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</si>
  <si>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</si>
  <si>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</si>
  <si>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</si>
  <si>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</si>
  <si>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</si>
  <si>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</si>
  <si>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</si>
  <si>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</si>
  <si>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</si>
  <si>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</si>
  <si>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</si>
  <si>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</si>
  <si>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</si>
  <si>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</si>
  <si>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</si>
  <si>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</si>
  <si>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</si>
  <si>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</si>
  <si>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</si>
  <si>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</si>
  <si>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</si>
  <si>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</si>
  <si>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</si>
  <si>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</si>
  <si>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</si>
  <si>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</si>
  <si>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</si>
  <si>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</si>
  <si>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</si>
  <si>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</si>
  <si>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</si>
  <si>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</si>
  <si>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</si>
  <si>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</si>
  <si>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</si>
  <si>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</si>
  <si>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</si>
  <si>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</si>
  <si>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</si>
  <si>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</si>
  <si>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</si>
  <si>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</si>
  <si>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</si>
  <si>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</si>
  <si>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</si>
  <si>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</si>
  <si>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</si>
  <si>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</si>
  <si>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</si>
  <si>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</si>
  <si>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</si>
  <si>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</si>
  <si>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</si>
  <si>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</si>
  <si>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</si>
  <si>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</si>
  <si>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</si>
  <si>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</si>
  <si>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</si>
  <si>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</si>
  <si>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</si>
  <si>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</si>
  <si>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</si>
  <si>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</si>
  <si>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</si>
  <si>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</si>
  <si>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</si>
  <si>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</si>
  <si>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</si>
  <si>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</si>
  <si>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</si>
  <si>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</si>
  <si>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</si>
  <si>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</si>
  <si>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</si>
  <si>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</si>
  <si>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</si>
  <si>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</si>
  <si>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</si>
  <si>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</si>
  <si>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</si>
  <si>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</si>
  <si>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</si>
  <si>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</si>
  <si>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</si>
  <si>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</si>
  <si>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</si>
  <si>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</si>
  <si>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</si>
  <si>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</si>
  <si>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</si>
  <si>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</si>
  <si>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</si>
  <si>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</si>
  <si>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</si>
  <si>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</si>
  <si>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</si>
  <si>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</si>
  <si>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</si>
  <si>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</si>
  <si>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</si>
  <si>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</si>
  <si>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</si>
  <si>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</si>
  <si>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</si>
  <si>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</si>
  <si>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</si>
  <si>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</si>
  <si>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</si>
  <si>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</si>
  <si>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</si>
  <si>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</si>
  <si>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</si>
  <si>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</si>
  <si>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</si>
  <si>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</si>
  <si>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</si>
  <si>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</si>
  <si>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</si>
  <si>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</si>
  <si>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</si>
  <si>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</si>
  <si>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</si>
  <si>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</si>
  <si>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</si>
  <si>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</si>
  <si>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</si>
  <si>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</si>
  <si>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</si>
  <si>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</si>
  <si>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</si>
  <si>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</si>
  <si>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</si>
  <si>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</si>
  <si>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</si>
  <si>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</si>
  <si>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</si>
  <si>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</si>
  <si>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</si>
  <si>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</si>
  <si>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</si>
  <si>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</si>
  <si>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</si>
  <si>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</si>
  <si>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</si>
  <si>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</si>
  <si>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</si>
  <si>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</si>
  <si>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</si>
  <si>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</si>
  <si>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</si>
  <si>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</si>
  <si>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</si>
  <si>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</si>
  <si>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</si>
  <si>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</si>
  <si>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</si>
  <si>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</si>
  <si>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</si>
  <si>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</si>
  <si>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</si>
  <si>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</si>
  <si>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</si>
  <si>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</si>
  <si>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</si>
  <si>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</si>
  <si>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</si>
  <si>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</si>
  <si>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</si>
  <si>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</si>
  <si>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</si>
  <si>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</si>
  <si>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</si>
  <si>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</si>
  <si>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</si>
  <si>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</si>
  <si>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</si>
  <si>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</si>
  <si>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</si>
  <si>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</si>
  <si>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</si>
  <si>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</si>
  <si>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</si>
  <si>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</si>
  <si>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</si>
  <si>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</si>
  <si>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</si>
  <si>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</si>
  <si>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</si>
  <si>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</si>
  <si>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</si>
  <si>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</si>
  <si>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</si>
  <si>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</si>
  <si>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</si>
  <si>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</si>
  <si>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</si>
  <si>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</si>
  <si>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</si>
  <si>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</si>
  <si>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</si>
  <si>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</si>
  <si>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</si>
  <si>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</si>
  <si>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</si>
  <si>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</si>
  <si>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</si>
  <si>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</si>
  <si>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</si>
  <si>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</si>
  <si>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</si>
  <si>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</si>
  <si>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</si>
  <si>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</si>
  <si>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</si>
  <si>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</si>
  <si>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</si>
  <si>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</si>
  <si>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</si>
  <si>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</si>
  <si>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</si>
  <si>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</si>
  <si>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</si>
  <si>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</si>
  <si>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</si>
  <si>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</si>
  <si>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</si>
  <si>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</si>
  <si>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</si>
  <si>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</si>
  <si>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</si>
  <si>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</si>
  <si>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</si>
  <si>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</si>
  <si>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</si>
  <si>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</si>
  <si>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</si>
  <si>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</si>
  <si>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</si>
  <si>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</si>
  <si>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</si>
  <si>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</si>
  <si>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</si>
  <si>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</si>
  <si>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</si>
  <si>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</si>
  <si>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</si>
  <si>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</si>
  <si>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</si>
  <si>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</si>
  <si>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</si>
  <si>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</si>
  <si>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</si>
  <si>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</si>
  <si>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</si>
  <si>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</si>
  <si>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</si>
  <si>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</si>
  <si>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</si>
  <si>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</si>
  <si>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</si>
  <si>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</si>
  <si>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</si>
  <si>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</si>
  <si>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</si>
  <si>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</si>
  <si>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</si>
  <si>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</si>
  <si>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</si>
  <si>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</si>
  <si>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</si>
  <si>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</si>
  <si>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</si>
  <si>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</si>
  <si>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</si>
  <si>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</si>
  <si>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</si>
  <si>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</si>
  <si>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</si>
  <si>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</si>
  <si>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</si>
  <si>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</si>
  <si>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</si>
  <si>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</si>
  <si>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</si>
  <si>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</si>
  <si>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</si>
  <si>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</si>
  <si>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</si>
  <si>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</si>
  <si>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</si>
  <si>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</si>
  <si>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</si>
  <si>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</si>
  <si>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</si>
  <si>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</si>
  <si>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</si>
  <si>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</si>
  <si>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</si>
  <si>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</si>
  <si>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</si>
  <si>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</si>
  <si>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</si>
  <si>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</si>
  <si>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</si>
  <si>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</si>
  <si>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</si>
  <si>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</si>
  <si>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</si>
  <si>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</si>
  <si>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</si>
  <si>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</si>
  <si>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</si>
  <si>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</si>
  <si>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</si>
  <si>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</si>
  <si>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</si>
  <si>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</si>
  <si>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</si>
  <si>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</si>
  <si>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</si>
  <si>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</si>
  <si>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</si>
  <si>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</si>
  <si>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</si>
  <si>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</si>
  <si>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</si>
  <si>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</si>
  <si>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</si>
  <si>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</si>
  <si>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</si>
  <si>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</si>
  <si>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</si>
  <si>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</si>
  <si>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</si>
  <si>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</si>
  <si>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</si>
  <si>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</si>
  <si>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</si>
  <si>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</si>
  <si>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</si>
  <si>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</si>
  <si>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</si>
  <si>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</si>
  <si>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</si>
  <si>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</si>
  <si>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</si>
  <si>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</si>
  <si>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</si>
  <si>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</si>
  <si>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</si>
  <si>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</si>
  <si>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</si>
  <si>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</si>
  <si>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</si>
  <si>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</si>
  <si>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</si>
  <si>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</si>
  <si>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</si>
  <si>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</si>
  <si>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</si>
  <si>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</si>
  <si>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</si>
  <si>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</si>
  <si>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</si>
  <si>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</si>
  <si>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</si>
  <si>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</si>
  <si>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</si>
  <si>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</si>
  <si>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</si>
  <si>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</si>
  <si>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</si>
  <si>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</si>
  <si>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</si>
  <si>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</si>
  <si>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</si>
  <si>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</si>
  <si>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</si>
  <si>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</si>
  <si>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</si>
  <si>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</si>
  <si>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</si>
  <si>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</si>
  <si>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</si>
  <si>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</si>
  <si>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</si>
  <si>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</si>
  <si>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</si>
  <si>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</si>
  <si>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</si>
  <si>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</si>
  <si>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</si>
  <si>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</si>
  <si>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</si>
  <si>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</si>
  <si>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</si>
  <si>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</si>
  <si>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</si>
  <si>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</si>
  <si>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</si>
  <si>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</si>
  <si>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</si>
  <si>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</si>
  <si>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</si>
  <si>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</si>
  <si>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</si>
  <si>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</si>
  <si>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</si>
  <si>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</si>
  <si>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</si>
  <si>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</si>
  <si>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</si>
  <si>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</si>
  <si>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</si>
  <si>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</si>
  <si>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</si>
  <si>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</si>
  <si>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</si>
  <si>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</si>
  <si>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</si>
  <si>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</si>
  <si>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</si>
  <si>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</si>
  <si>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</si>
  <si>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</si>
  <si>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</si>
  <si>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</si>
  <si>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</si>
  <si>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</si>
  <si>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</si>
  <si>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</si>
  <si>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</si>
  <si>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</si>
  <si>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</si>
  <si>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</si>
  <si>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</si>
  <si>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</si>
  <si>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</si>
  <si>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</si>
  <si>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</si>
  <si>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</si>
  <si>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</si>
  <si>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</si>
  <si>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</si>
  <si>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</si>
  <si>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</si>
  <si>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</si>
  <si>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</si>
  <si>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</si>
  <si>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</si>
  <si>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</si>
  <si>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</si>
  <si>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</si>
  <si>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</si>
  <si>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</si>
  <si>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</si>
  <si>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</si>
  <si>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</si>
  <si>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</si>
  <si>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</si>
  <si>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</si>
  <si>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</si>
  <si>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</si>
  <si>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</si>
  <si>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</si>
  <si>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</si>
  <si>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</si>
  <si>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</si>
  <si>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</si>
  <si>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</si>
  <si>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</si>
  <si>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</si>
  <si>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</si>
  <si>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</si>
  <si>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</si>
  <si>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</si>
  <si>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</si>
  <si>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</si>
  <si>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</si>
  <si>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</si>
  <si>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</si>
  <si>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</si>
  <si>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</si>
  <si>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</si>
  <si>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</si>
  <si>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</si>
  <si>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</si>
  <si>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</si>
  <si>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</si>
  <si>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</si>
  <si>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</si>
  <si>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</si>
  <si>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</si>
  <si>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</si>
  <si>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</si>
  <si>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</si>
  <si>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</si>
  <si>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</si>
  <si>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</si>
  <si>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</si>
  <si>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</si>
  <si>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</si>
  <si>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</si>
  <si>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</si>
  <si>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</si>
  <si>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</si>
  <si>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</si>
  <si>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</si>
  <si>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</si>
  <si>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</si>
  <si>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</si>
  <si>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</si>
  <si>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</si>
  <si>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</si>
  <si>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</si>
  <si>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</si>
  <si>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</si>
  <si>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</si>
  <si>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</si>
  <si>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</si>
  <si>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</si>
  <si>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</si>
  <si>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</si>
  <si>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</si>
  <si>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</si>
  <si>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</si>
  <si>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</si>
  <si>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</si>
  <si>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</si>
  <si>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</si>
  <si>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</si>
  <si>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</si>
  <si>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</si>
  <si>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</si>
  <si>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</si>
  <si>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</si>
  <si>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</si>
  <si>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</si>
  <si>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</si>
  <si>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</si>
  <si>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</si>
  <si>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</si>
  <si>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</si>
  <si>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</si>
  <si>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</si>
  <si>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</si>
  <si>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</si>
  <si>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</si>
  <si>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</si>
  <si>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</si>
  <si>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</si>
  <si>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</si>
  <si>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</si>
  <si>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</si>
  <si>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</si>
  <si>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</si>
  <si>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</si>
  <si>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</si>
  <si>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</si>
  <si>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</si>
  <si>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</si>
  <si>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</si>
  <si>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</si>
  <si>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</si>
  <si>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</si>
  <si>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</si>
  <si>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</si>
  <si>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</si>
  <si>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</si>
  <si>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</si>
  <si>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</si>
  <si>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</si>
  <si>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</si>
  <si>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</si>
  <si>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</si>
  <si>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</si>
  <si>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</si>
  <si>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</si>
  <si>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</si>
  <si>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</si>
  <si>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</si>
  <si>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</si>
  <si>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</si>
  <si>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</si>
  <si>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</si>
  <si>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</si>
  <si>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</si>
  <si>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</si>
  <si>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</si>
  <si>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</si>
  <si>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</si>
  <si>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</si>
  <si>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</si>
  <si>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</si>
  <si>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</si>
  <si>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</si>
  <si>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</si>
  <si>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</si>
  <si>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</si>
  <si>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</si>
  <si>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</si>
  <si>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</si>
  <si>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</si>
  <si>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</si>
  <si>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</si>
  <si>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</si>
  <si>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</si>
  <si>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</si>
  <si>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</si>
  <si>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</si>
  <si>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</si>
  <si>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</si>
  <si>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</si>
  <si>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</si>
  <si>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</si>
  <si>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</si>
  <si>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</si>
  <si>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</si>
  <si>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</si>
  <si>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</si>
  <si>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</si>
  <si>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</si>
  <si>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</si>
  <si>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</si>
  <si>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</si>
  <si>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</si>
  <si>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</si>
  <si>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</si>
  <si>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</si>
  <si>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</si>
  <si>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</si>
  <si>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</si>
  <si>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</si>
  <si>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</si>
  <si>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</si>
  <si>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</si>
  <si>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</si>
  <si>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</si>
  <si>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</si>
  <si>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</si>
  <si>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</si>
  <si>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</si>
  <si>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</si>
  <si>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</si>
  <si>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</si>
  <si>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</si>
  <si>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</si>
  <si>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</si>
  <si>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</si>
  <si>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</si>
  <si>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</si>
  <si>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</si>
  <si>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</si>
  <si>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</si>
  <si>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</si>
  <si>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</si>
  <si>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</si>
  <si>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</si>
  <si>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</si>
  <si>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</si>
  <si>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</si>
  <si>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</si>
  <si>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</si>
  <si>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</si>
  <si>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</si>
  <si>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</si>
  <si>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</si>
  <si>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</si>
  <si>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</si>
  <si>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</si>
  <si>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</si>
  <si>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</si>
  <si>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</si>
  <si>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</si>
  <si>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</si>
  <si>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</si>
  <si>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</si>
  <si>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</si>
  <si>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</si>
  <si>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</si>
  <si>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</si>
  <si>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</si>
  <si>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</si>
  <si>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</si>
  <si>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</si>
  <si>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</si>
  <si>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</si>
  <si>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</si>
  <si>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</si>
  <si>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</si>
  <si>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</si>
  <si>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</si>
  <si>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</si>
  <si>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</si>
  <si>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</si>
  <si>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</si>
  <si>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</si>
  <si>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</si>
  <si>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</si>
  <si>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</si>
  <si>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</si>
  <si>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</si>
  <si>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</si>
  <si>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</si>
  <si>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</si>
  <si>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</si>
  <si>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</si>
  <si>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</si>
  <si>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</si>
  <si>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</si>
  <si>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</si>
  <si>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</si>
  <si>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</si>
  <si>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</si>
  <si>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</si>
  <si>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</si>
  <si>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</si>
  <si>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</si>
  <si>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</si>
  <si>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</si>
  <si>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</si>
  <si>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</si>
  <si>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</si>
  <si>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</si>
  <si>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</si>
  <si>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</si>
  <si>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</si>
  <si>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</si>
  <si>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</si>
  <si>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</si>
  <si>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</si>
  <si>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</si>
  <si>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</si>
  <si>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</si>
  <si>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</si>
  <si>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</si>
  <si>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</si>
  <si>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</si>
  <si>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</si>
  <si>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</si>
  <si>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</si>
  <si>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</si>
  <si>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</si>
  <si>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</si>
  <si>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</si>
  <si>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</si>
  <si>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</si>
  <si>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</si>
  <si>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</si>
  <si>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</si>
  <si>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</si>
  <si>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</si>
  <si>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</si>
  <si>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</si>
  <si>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</si>
  <si>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</si>
  <si>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</si>
  <si>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</si>
  <si>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</si>
  <si>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</si>
  <si>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</si>
  <si>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</si>
  <si>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</si>
  <si>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</si>
  <si>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</si>
  <si>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</si>
  <si>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</si>
  <si>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</si>
  <si>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</si>
  <si>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</si>
  <si>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</si>
  <si>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</si>
  <si>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</si>
  <si>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</si>
  <si>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</si>
  <si>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</si>
  <si>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</si>
  <si>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</si>
  <si>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</si>
  <si>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</si>
  <si>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</si>
  <si>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</si>
  <si>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</si>
  <si>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</si>
  <si>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</si>
  <si>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</si>
  <si>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</si>
  <si>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</si>
  <si>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</si>
  <si>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</si>
  <si>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</si>
  <si>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</si>
  <si>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</si>
  <si>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</si>
  <si>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</si>
  <si>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</si>
  <si>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</si>
  <si>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</si>
  <si>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</si>
  <si>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</si>
  <si>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</si>
  <si>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</si>
  <si>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</si>
  <si>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</si>
  <si>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</si>
  <si>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</si>
  <si>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</si>
  <si>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</si>
  <si>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</si>
  <si>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</si>
  <si>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</si>
  <si>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</si>
  <si>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</si>
  <si>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</si>
  <si>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</si>
  <si>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</si>
  <si>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</si>
  <si>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</si>
  <si>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</si>
  <si>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</si>
  <si>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</si>
  <si>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</si>
  <si>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</si>
  <si>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</si>
  <si>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</si>
  <si>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</si>
  <si>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</si>
  <si>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</si>
  <si>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</si>
  <si>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</si>
  <si>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</si>
  <si>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</si>
  <si>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</si>
  <si>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</si>
  <si>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</si>
  <si>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</si>
  <si>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</si>
  <si>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</si>
  <si>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</si>
  <si>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</si>
  <si>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</si>
  <si>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</si>
  <si>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</si>
  <si>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</si>
  <si>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</si>
  <si>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</si>
  <si>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</si>
  <si>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</si>
  <si>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</si>
  <si>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</si>
  <si>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</si>
  <si>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</si>
  <si>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</si>
  <si>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</si>
  <si>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</si>
  <si>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</si>
  <si>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</si>
  <si>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</si>
  <si>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</si>
  <si>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</si>
  <si>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</si>
  <si>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</si>
  <si>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</si>
  <si>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</si>
  <si>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</si>
  <si>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</si>
  <si>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</si>
  <si>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</si>
  <si>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</si>
  <si>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</si>
  <si>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</si>
  <si>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</si>
  <si>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</si>
  <si>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</si>
  <si>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</si>
  <si>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</si>
  <si>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</si>
  <si>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</si>
  <si>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</si>
  <si>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</si>
  <si>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</si>
  <si>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</si>
  <si>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</si>
  <si>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</si>
  <si>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</si>
  <si>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</si>
  <si>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</si>
  <si>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</si>
  <si>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</si>
  <si>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</si>
  <si>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</si>
  <si>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</si>
  <si>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</si>
  <si>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</si>
  <si>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</si>
  <si>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</si>
  <si>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</si>
  <si>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</si>
  <si>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</si>
  <si>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</si>
  <si>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</si>
  <si>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</si>
  <si>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</si>
  <si>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</si>
  <si>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</si>
  <si>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</si>
  <si>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</si>
  <si>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</si>
  <si>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</si>
  <si>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</si>
  <si>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</si>
  <si>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</si>
  <si>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</si>
  <si>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</si>
  <si>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</si>
  <si>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</si>
  <si>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</si>
  <si>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</si>
  <si>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</si>
  <si>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</si>
  <si>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</si>
  <si>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</si>
  <si>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</si>
  <si>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</si>
  <si>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</si>
  <si>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</si>
  <si>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</si>
  <si>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</si>
  <si>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</si>
  <si>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</si>
  <si>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</si>
  <si>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</si>
  <si>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</si>
  <si>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</si>
  <si>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</si>
  <si>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</si>
  <si>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</si>
  <si>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</si>
  <si>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</si>
  <si>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</si>
  <si>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</si>
  <si>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</si>
  <si>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</si>
  <si>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</si>
  <si>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</si>
  <si>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</si>
  <si>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</si>
  <si>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</si>
  <si>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</si>
  <si>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</si>
  <si>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</si>
  <si>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</si>
  <si>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</si>
  <si>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</si>
  <si>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</si>
  <si>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</si>
  <si>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</si>
  <si>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</si>
  <si>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</si>
  <si>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</si>
  <si>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</si>
  <si>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</si>
  <si>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</si>
  <si>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</si>
  <si>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</si>
  <si>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</si>
  <si>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</si>
  <si>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</si>
  <si>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</si>
  <si>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</si>
  <si>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</si>
  <si>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</si>
  <si>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</si>
  <si>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</si>
  <si>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</si>
  <si>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</si>
  <si>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</si>
  <si>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</si>
  <si>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</si>
  <si>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</si>
  <si>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</si>
  <si>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</si>
  <si>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</si>
  <si>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</si>
  <si>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</si>
  <si>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</si>
  <si>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</si>
  <si>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</si>
  <si>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</si>
  <si>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</si>
  <si>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</si>
  <si>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</si>
  <si>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</si>
  <si>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</si>
  <si>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</si>
  <si>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</si>
  <si>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</si>
  <si>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</si>
  <si>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</si>
  <si>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</si>
  <si>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</si>
  <si>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</si>
  <si>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</si>
  <si>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</si>
  <si>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</si>
  <si>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</si>
  <si>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</si>
  <si>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</si>
  <si>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</si>
  <si>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</si>
  <si>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</si>
  <si>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</si>
  <si>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</si>
  <si>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</si>
  <si>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</si>
  <si>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</si>
  <si>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</si>
  <si>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</si>
  <si>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</si>
  <si>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</si>
  <si>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</si>
  <si>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</si>
  <si>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</si>
  <si>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</si>
  <si>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</si>
  <si>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</si>
  <si>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</si>
  <si>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</si>
  <si>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</si>
  <si>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</si>
  <si>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</si>
  <si>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</si>
  <si>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</si>
  <si>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</si>
  <si>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</si>
  <si>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</si>
  <si>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</si>
  <si>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</si>
  <si>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</si>
  <si>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</si>
  <si>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</si>
  <si>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</si>
  <si>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</si>
  <si>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</si>
  <si>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</si>
  <si>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</si>
  <si>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</si>
  <si>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</si>
  <si>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</si>
  <si>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</si>
  <si>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</si>
  <si>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</si>
  <si>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</si>
  <si>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</si>
  <si>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</si>
  <si>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</si>
  <si>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</si>
  <si>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</si>
  <si>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</si>
  <si>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</si>
  <si>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</si>
  <si>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</si>
  <si>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</si>
  <si>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</si>
  <si>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</si>
  <si>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</si>
  <si>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</si>
  <si>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</si>
  <si>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</si>
  <si>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</si>
  <si>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</si>
  <si>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</si>
  <si>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</si>
  <si>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</si>
  <si>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</si>
  <si>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</si>
  <si>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</si>
  <si>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</si>
  <si>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</si>
  <si>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</si>
  <si>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</si>
  <si>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</si>
  <si>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</si>
  <si>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</si>
  <si>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</si>
  <si>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</si>
  <si>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</si>
  <si>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</si>
  <si>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</si>
  <si>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</si>
  <si>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</si>
  <si>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</si>
  <si>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</si>
  <si>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</si>
  <si>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</si>
  <si>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</si>
  <si>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</si>
  <si>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</si>
  <si>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</si>
  <si>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</si>
  <si>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</si>
  <si>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</si>
  <si>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</si>
  <si>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</si>
  <si>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</si>
  <si>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</si>
  <si>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</si>
  <si>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</si>
  <si>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</si>
  <si>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</si>
  <si>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</si>
  <si>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</si>
  <si>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</si>
  <si>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</si>
  <si>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</si>
  <si>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</si>
  <si>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</si>
  <si>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</si>
  <si>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</si>
  <si>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</si>
  <si>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</si>
  <si>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</si>
  <si>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</si>
  <si>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</si>
  <si>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</si>
  <si>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</si>
  <si>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</si>
  <si>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</si>
  <si>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</si>
  <si>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</si>
  <si>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</si>
  <si>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</si>
  <si>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</si>
  <si>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</si>
  <si>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</si>
  <si>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</si>
  <si>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</si>
  <si>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</si>
  <si>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</si>
  <si>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</si>
  <si>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</si>
  <si>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</si>
  <si>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</si>
  <si>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</si>
  <si>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</si>
  <si>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</si>
  <si>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</si>
  <si>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</si>
  <si>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</si>
  <si>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</si>
  <si>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</si>
  <si>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</si>
  <si>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</si>
  <si>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</si>
  <si>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</si>
  <si>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</si>
  <si>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</si>
  <si>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</si>
  <si>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</si>
  <si>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</si>
  <si>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</si>
  <si>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</si>
  <si>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</si>
  <si>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</si>
  <si>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</si>
  <si>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</si>
  <si>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</si>
  <si>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</si>
  <si>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</si>
  <si>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</si>
  <si>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</si>
  <si>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</si>
  <si>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</si>
  <si>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</si>
  <si>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</si>
  <si>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</si>
  <si>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</si>
  <si>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</si>
  <si>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</si>
  <si>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</si>
  <si>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</si>
  <si>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</si>
  <si>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</si>
  <si>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</si>
  <si>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</si>
  <si>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</si>
  <si>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</si>
  <si>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</si>
  <si>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</si>
  <si>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</si>
  <si>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</si>
  <si>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</si>
  <si>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</si>
  <si>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</si>
  <si>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</si>
  <si>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</si>
  <si>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</si>
  <si>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</si>
  <si>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</si>
  <si>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</si>
  <si>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</si>
  <si>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</si>
  <si>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</si>
  <si>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</si>
  <si>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</si>
  <si>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</si>
  <si>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</si>
  <si>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</si>
  <si>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</si>
  <si>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</si>
  <si>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</si>
  <si>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</si>
  <si>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</si>
  <si>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</si>
  <si>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</si>
  <si>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</si>
  <si>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</si>
  <si>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</si>
  <si>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</si>
  <si>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</si>
  <si>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</si>
  <si>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</si>
  <si>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</si>
  <si>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</si>
  <si>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</si>
  <si>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</si>
  <si>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</si>
  <si>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</si>
  <si>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</si>
  <si>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</si>
  <si>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</si>
  <si>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</si>
  <si>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</si>
  <si>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</si>
  <si>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</si>
  <si>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</si>
  <si>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</si>
  <si>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</si>
  <si>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</si>
  <si>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</si>
  <si>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</si>
  <si>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</si>
  <si>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</si>
  <si>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</si>
  <si>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</si>
  <si>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</si>
  <si>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</si>
  <si>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</si>
  <si>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</si>
  <si>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</si>
  <si>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</si>
  <si>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</si>
  <si>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</si>
  <si>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</si>
  <si>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</si>
  <si>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</si>
  <si>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</si>
  <si>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</si>
  <si>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</si>
  <si>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</si>
  <si>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</si>
  <si>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</si>
  <si>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</si>
  <si>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</si>
  <si>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</si>
  <si>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</si>
  <si>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</si>
  <si>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</si>
  <si>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</si>
  <si>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</si>
  <si>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</si>
  <si>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</si>
  <si>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</si>
  <si>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</si>
  <si>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</si>
  <si>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</si>
  <si>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</si>
  <si>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</si>
  <si>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</si>
  <si>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</si>
  <si>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</si>
  <si>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</si>
  <si>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</si>
  <si>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</si>
  <si>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</si>
  <si>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</si>
  <si>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</si>
  <si>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</si>
  <si>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</si>
  <si>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</si>
  <si>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</si>
  <si>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</si>
  <si>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</si>
  <si>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</si>
  <si>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</si>
  <si>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</si>
  <si>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</si>
  <si>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</si>
  <si>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</si>
  <si>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</si>
  <si>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</si>
  <si>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</si>
  <si>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</si>
  <si>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</si>
  <si>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</si>
  <si>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</si>
  <si>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</si>
  <si>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</si>
  <si>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</si>
  <si>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</si>
  <si>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</si>
  <si>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</si>
  <si>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</si>
  <si>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</si>
  <si>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</si>
  <si>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</si>
  <si>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</si>
  <si>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</si>
  <si>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</si>
  <si>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</si>
  <si>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</si>
  <si>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</si>
  <si>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</si>
  <si>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</si>
  <si>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</si>
  <si>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</si>
  <si>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</si>
  <si>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</si>
  <si>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</si>
  <si>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</si>
  <si>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</si>
  <si>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</si>
  <si>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</si>
  <si>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</si>
  <si>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</si>
  <si>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</si>
  <si>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</si>
  <si>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</si>
  <si>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</si>
  <si>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</si>
  <si>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</si>
  <si>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</si>
  <si>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</si>
  <si>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</si>
  <si>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</si>
  <si>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</si>
  <si>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</si>
  <si>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</si>
  <si>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</si>
  <si>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</si>
  <si>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</si>
  <si>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</si>
  <si>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</si>
  <si>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</si>
  <si>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</si>
  <si>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</si>
  <si>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</si>
  <si>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</si>
  <si>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</si>
  <si>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</si>
  <si>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</si>
  <si>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</si>
  <si>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</si>
  <si>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</si>
  <si>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</si>
  <si>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</si>
  <si>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</si>
  <si>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</si>
  <si>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</si>
  <si>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</si>
  <si>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</si>
  <si>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</si>
  <si>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</si>
  <si>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</si>
  <si>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</si>
  <si>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</si>
  <si>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</si>
  <si>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</si>
  <si>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</si>
  <si>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</si>
  <si>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</si>
  <si>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</si>
  <si>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</si>
  <si>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</si>
  <si>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</si>
  <si>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</si>
  <si>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</si>
  <si>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</si>
  <si>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</si>
  <si>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</si>
  <si>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</si>
  <si>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</si>
  <si>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</si>
  <si>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</si>
  <si>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</si>
  <si>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</si>
  <si>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</si>
  <si>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</si>
  <si>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</si>
  <si>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</si>
  <si>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</si>
  <si>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</si>
  <si>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</si>
  <si>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</si>
  <si>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</si>
  <si>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</si>
  <si>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</si>
  <si>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</si>
  <si>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</si>
  <si>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</si>
  <si>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</si>
  <si>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</si>
  <si>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</si>
  <si>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</si>
  <si>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</si>
  <si>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</si>
  <si>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</si>
  <si>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</si>
  <si>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</si>
  <si>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</si>
  <si>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</si>
  <si>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</si>
  <si>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</si>
  <si>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</si>
  <si>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</si>
  <si>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</si>
  <si>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</si>
  <si>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</si>
  <si>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</si>
  <si>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</si>
  <si>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</si>
  <si>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</si>
  <si>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</si>
  <si>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</si>
  <si>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</si>
  <si>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</si>
  <si>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</si>
  <si>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</si>
  <si>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</si>
  <si>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</si>
  <si>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</si>
  <si>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</si>
  <si>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</si>
  <si>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</si>
  <si>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</si>
  <si>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</si>
  <si>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</si>
  <si>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</si>
  <si>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</si>
  <si>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</si>
  <si>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</si>
  <si>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</si>
  <si>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</si>
  <si>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</si>
  <si>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</si>
  <si>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</si>
  <si>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</si>
  <si>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</si>
  <si>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</si>
  <si>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</si>
  <si>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</si>
  <si>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</si>
  <si>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</si>
  <si>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</si>
  <si>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</si>
  <si>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</si>
  <si>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</si>
  <si>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</si>
  <si>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</si>
  <si>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</si>
  <si>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</si>
  <si>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</si>
  <si>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</si>
  <si>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</si>
  <si>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</si>
  <si>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</si>
  <si>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</si>
  <si>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</si>
  <si>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</si>
  <si>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</si>
  <si>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</si>
  <si>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</si>
  <si>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</si>
  <si>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</si>
  <si>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</si>
  <si>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</si>
  <si>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</si>
  <si>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</si>
  <si>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</si>
  <si>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</si>
  <si>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</si>
  <si>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</si>
  <si>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</si>
  <si>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</si>
  <si>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</si>
  <si>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</si>
  <si>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</si>
  <si>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</si>
  <si>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</si>
  <si>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</si>
  <si>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</si>
  <si>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ADDED</t>
  </si>
  <si>
    <t>subsites.breast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</si>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</sst>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5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49" fontId="0" fillId="0" borderId="1" xfId="0" applyNumberFormat="1" applyFont="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6.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8.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9.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0.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1.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8.vml"/><Relationship Id="rId1" Type="http://schemas.openxmlformats.org/officeDocument/2006/relationships/printerSettings" Target="../printerSettings/printerSettings19.bin"/><Relationship Id="rId4" Type="http://schemas.microsoft.com/office/2017/10/relationships/threadedComment" Target="../threadedComments/threadedComment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4.vml"/><Relationship Id="rId1" Type="http://schemas.openxmlformats.org/officeDocument/2006/relationships/printerSettings" Target="../printerSettings/printerSettings25.bin"/><Relationship Id="rId4" Type="http://schemas.microsoft.com/office/2017/10/relationships/threadedComment" Target="../threadedComments/threadedComment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7.vml"/><Relationship Id="rId1" Type="http://schemas.openxmlformats.org/officeDocument/2006/relationships/printerSettings" Target="../printerSettings/printerSettings28.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8.vml"/><Relationship Id="rId1" Type="http://schemas.openxmlformats.org/officeDocument/2006/relationships/printerSettings" Target="../printerSettings/printerSettings41.bin"/><Relationship Id="rId4" Type="http://schemas.microsoft.com/office/2017/10/relationships/threadedComment" Target="../threadedComments/threadedComment10.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5.vml"/><Relationship Id="rId1" Type="http://schemas.openxmlformats.org/officeDocument/2006/relationships/printerSettings" Target="../printerSettings/printerSettings48.bin"/><Relationship Id="rId4" Type="http://schemas.microsoft.com/office/2017/10/relationships/threadedComment" Target="../threadedComments/threadedComment12.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A39"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9" t="s">
        <v>2082</v>
      </c>
      <c r="J7" s="119" t="s">
        <v>2083</v>
      </c>
      <c r="L7" s="17" t="str">
        <f>CONCATENATE("Description: "," ##334#",B7,"##334#",)</f>
        <v>Description:  ##334#Subject of care 
Maturity Level: 0 Draft##334#</v>
      </c>
    </row>
    <row r="8" spans="1:18" ht="59" x14ac:dyDescent="0.75">
      <c r="A8" s="102">
        <v>0</v>
      </c>
      <c r="B8" s="3" t="s">
        <v>1519</v>
      </c>
      <c r="C8" s="2" t="s">
        <v>78</v>
      </c>
      <c r="D8" s="2" t="s">
        <v>23</v>
      </c>
      <c r="E8" s="3">
        <v>1</v>
      </c>
      <c r="F8" s="3">
        <v>1</v>
      </c>
      <c r="G8" s="103"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20"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20"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20" t="s">
        <v>1985</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20"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2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2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20" t="s">
        <v>1986</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1935</v>
      </c>
      <c r="C16" s="11" t="s">
        <v>1936</v>
      </c>
      <c r="D16" s="11" t="s">
        <v>1937</v>
      </c>
      <c r="E16" s="11">
        <v>0</v>
      </c>
      <c r="F16" s="11">
        <v>1</v>
      </c>
      <c r="G16" s="67" t="s">
        <v>1991</v>
      </c>
      <c r="H16" s="12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1938</v>
      </c>
      <c r="C17" s="11" t="s">
        <v>1939</v>
      </c>
      <c r="D17" s="11" t="s">
        <v>1940</v>
      </c>
      <c r="E17" s="11">
        <v>0</v>
      </c>
      <c r="F17" s="11">
        <v>1</v>
      </c>
      <c r="G17" s="67" t="s">
        <v>1383</v>
      </c>
      <c r="H17" s="12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2089</v>
      </c>
      <c r="E18" s="6">
        <v>1</v>
      </c>
      <c r="F18" s="6">
        <v>1</v>
      </c>
      <c r="G18" s="4" t="s">
        <v>1</v>
      </c>
      <c r="H18" s="120"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2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1943</v>
      </c>
      <c r="E20" s="11">
        <v>0</v>
      </c>
      <c r="F20" s="11">
        <v>1</v>
      </c>
      <c r="G20" s="67" t="s">
        <v>44</v>
      </c>
      <c r="H20" s="12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1944</v>
      </c>
      <c r="E21" s="11">
        <v>0</v>
      </c>
      <c r="F21" s="11">
        <v>1</v>
      </c>
      <c r="G21" s="67" t="s">
        <v>44</v>
      </c>
      <c r="H21" s="12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1945</v>
      </c>
      <c r="E22" s="11">
        <v>0</v>
      </c>
      <c r="F22" s="11">
        <v>1</v>
      </c>
      <c r="G22" s="67" t="s">
        <v>44</v>
      </c>
      <c r="H22" s="12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1946</v>
      </c>
      <c r="E23" s="11">
        <v>0</v>
      </c>
      <c r="F23" s="11">
        <v>1</v>
      </c>
      <c r="G23" s="67" t="s">
        <v>44</v>
      </c>
      <c r="H23" s="12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1947</v>
      </c>
      <c r="E24" s="11">
        <v>0</v>
      </c>
      <c r="F24" s="11">
        <v>1</v>
      </c>
      <c r="G24" s="67" t="s">
        <v>44</v>
      </c>
      <c r="H24" s="12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1948</v>
      </c>
      <c r="E25" s="11">
        <v>0</v>
      </c>
      <c r="F25" s="11">
        <v>1</v>
      </c>
      <c r="G25" s="67" t="s">
        <v>44</v>
      </c>
      <c r="H25" s="12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1949</v>
      </c>
      <c r="E26" s="11">
        <v>0</v>
      </c>
      <c r="F26" s="11">
        <v>1</v>
      </c>
      <c r="G26" s="67" t="s">
        <v>44</v>
      </c>
      <c r="H26" s="12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1950</v>
      </c>
      <c r="E27" s="11">
        <v>0</v>
      </c>
      <c r="F27" s="11">
        <v>1</v>
      </c>
      <c r="G27" s="67" t="s">
        <v>44</v>
      </c>
      <c r="H27" s="12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1951</v>
      </c>
      <c r="E28" s="11">
        <v>0</v>
      </c>
      <c r="F28" s="11">
        <v>1</v>
      </c>
      <c r="G28" s="67" t="s">
        <v>44</v>
      </c>
      <c r="H28" s="12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1952</v>
      </c>
      <c r="E29" s="11">
        <v>0</v>
      </c>
      <c r="F29" s="11">
        <v>1</v>
      </c>
      <c r="G29" s="67" t="s">
        <v>44</v>
      </c>
      <c r="H29" s="12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1953</v>
      </c>
      <c r="E30" s="11">
        <v>0</v>
      </c>
      <c r="F30" s="11">
        <v>1</v>
      </c>
      <c r="G30" s="67" t="s">
        <v>44</v>
      </c>
      <c r="H30" s="12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1954</v>
      </c>
      <c r="E31" s="11">
        <v>0</v>
      </c>
      <c r="F31" s="11">
        <v>1</v>
      </c>
      <c r="G31" s="67" t="s">
        <v>44</v>
      </c>
      <c r="H31" s="12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1955</v>
      </c>
      <c r="E32" s="11">
        <v>0</v>
      </c>
      <c r="F32" s="11">
        <v>1</v>
      </c>
      <c r="G32" s="67" t="s">
        <v>44</v>
      </c>
      <c r="H32" s="12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1956</v>
      </c>
      <c r="E33" s="11">
        <v>0</v>
      </c>
      <c r="F33" s="11">
        <v>1</v>
      </c>
      <c r="G33" s="67" t="s">
        <v>44</v>
      </c>
      <c r="H33" s="12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1957</v>
      </c>
      <c r="E34" s="11">
        <v>0</v>
      </c>
      <c r="F34" s="11">
        <v>1</v>
      </c>
      <c r="G34" s="67" t="s">
        <v>44</v>
      </c>
      <c r="H34" s="12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1958</v>
      </c>
      <c r="E35" s="11">
        <v>0</v>
      </c>
      <c r="F35" s="11">
        <v>1</v>
      </c>
      <c r="G35" s="67" t="s">
        <v>44</v>
      </c>
      <c r="H35" s="12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1941</v>
      </c>
      <c r="C36" s="12" t="s">
        <v>1959</v>
      </c>
      <c r="D36" s="67" t="s">
        <v>1960</v>
      </c>
      <c r="E36" s="11">
        <v>0</v>
      </c>
      <c r="F36" s="11">
        <v>1</v>
      </c>
      <c r="G36" s="67" t="s">
        <v>44</v>
      </c>
      <c r="H36" s="12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1942</v>
      </c>
      <c r="C37" s="12" t="s">
        <v>1961</v>
      </c>
      <c r="D37" s="67" t="s">
        <v>1962</v>
      </c>
      <c r="E37" s="11">
        <v>0</v>
      </c>
      <c r="F37" s="11">
        <v>1</v>
      </c>
      <c r="G37" s="67" t="s">
        <v>44</v>
      </c>
      <c r="H37" s="12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1963</v>
      </c>
      <c r="E38" s="11">
        <v>0</v>
      </c>
      <c r="F38" s="11">
        <v>1</v>
      </c>
      <c r="G38" s="67" t="s">
        <v>44</v>
      </c>
      <c r="H38" s="12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20" t="s">
        <v>1987</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20" t="s">
        <v>1988</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1964</v>
      </c>
      <c r="C41" s="11" t="s">
        <v>1965</v>
      </c>
      <c r="D41" s="12" t="s">
        <v>2088</v>
      </c>
      <c r="E41" s="11">
        <v>1</v>
      </c>
      <c r="F41" s="11">
        <v>1</v>
      </c>
      <c r="G41" s="11" t="s">
        <v>1</v>
      </c>
      <c r="H41" s="12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4" t="s">
        <v>2090</v>
      </c>
      <c r="C42" s="11" t="s">
        <v>1966</v>
      </c>
      <c r="D42" s="11" t="s">
        <v>1966</v>
      </c>
      <c r="E42" s="11">
        <v>1</v>
      </c>
      <c r="F42" s="11">
        <v>1</v>
      </c>
      <c r="G42" s="11" t="s">
        <v>44</v>
      </c>
      <c r="H42" s="12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4" t="s">
        <v>2091</v>
      </c>
      <c r="C43" s="11" t="s">
        <v>1967</v>
      </c>
      <c r="D43" s="11" t="s">
        <v>1967</v>
      </c>
      <c r="E43" s="11">
        <v>1</v>
      </c>
      <c r="F43" s="11">
        <v>1</v>
      </c>
      <c r="G43" s="11" t="s">
        <v>44</v>
      </c>
      <c r="H43" s="12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4" t="s">
        <v>2092</v>
      </c>
      <c r="C44" s="11" t="s">
        <v>1968</v>
      </c>
      <c r="D44" s="11" t="s">
        <v>1968</v>
      </c>
      <c r="E44" s="11">
        <v>1</v>
      </c>
      <c r="F44" s="11">
        <v>1</v>
      </c>
      <c r="G44" s="11" t="s">
        <v>44</v>
      </c>
      <c r="H44" s="12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4" t="s">
        <v>2093</v>
      </c>
      <c r="C45" s="11" t="s">
        <v>1969</v>
      </c>
      <c r="D45" s="11" t="s">
        <v>1969</v>
      </c>
      <c r="E45" s="11">
        <v>1</v>
      </c>
      <c r="F45" s="11">
        <v>1</v>
      </c>
      <c r="G45" s="11" t="s">
        <v>44</v>
      </c>
      <c r="H45" s="12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4" t="s">
        <v>2094</v>
      </c>
      <c r="C46" s="11" t="s">
        <v>1970</v>
      </c>
      <c r="D46" s="11" t="s">
        <v>1970</v>
      </c>
      <c r="E46" s="11">
        <v>1</v>
      </c>
      <c r="F46" s="11">
        <v>1</v>
      </c>
      <c r="G46" s="11" t="s">
        <v>44</v>
      </c>
      <c r="H46" s="12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4" t="s">
        <v>2095</v>
      </c>
      <c r="C47" s="11" t="s">
        <v>1971</v>
      </c>
      <c r="D47" s="11" t="s">
        <v>1984</v>
      </c>
      <c r="E47" s="11">
        <v>1</v>
      </c>
      <c r="F47" s="11">
        <v>1</v>
      </c>
      <c r="G47" s="11" t="s">
        <v>44</v>
      </c>
      <c r="H47" s="12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4" t="s">
        <v>2096</v>
      </c>
      <c r="C48" s="11" t="s">
        <v>1972</v>
      </c>
      <c r="D48" s="11" t="s">
        <v>1972</v>
      </c>
      <c r="E48" s="11">
        <v>1</v>
      </c>
      <c r="F48" s="11">
        <v>1</v>
      </c>
      <c r="G48" s="11" t="s">
        <v>44</v>
      </c>
      <c r="H48" s="12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4" t="s">
        <v>2097</v>
      </c>
      <c r="C49" s="11" t="s">
        <v>1973</v>
      </c>
      <c r="D49" s="11" t="s">
        <v>1973</v>
      </c>
      <c r="E49" s="11">
        <v>1</v>
      </c>
      <c r="F49" s="11">
        <v>1</v>
      </c>
      <c r="G49" s="11" t="s">
        <v>44</v>
      </c>
      <c r="H49" s="12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4" t="s">
        <v>2098</v>
      </c>
      <c r="C50" s="11" t="s">
        <v>1974</v>
      </c>
      <c r="D50" s="11" t="s">
        <v>1974</v>
      </c>
      <c r="E50" s="11">
        <v>1</v>
      </c>
      <c r="F50" s="11">
        <v>1</v>
      </c>
      <c r="G50" s="11" t="s">
        <v>44</v>
      </c>
      <c r="H50" s="12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4" t="s">
        <v>2099</v>
      </c>
      <c r="C51" s="11" t="s">
        <v>1975</v>
      </c>
      <c r="D51" s="11" t="s">
        <v>1975</v>
      </c>
      <c r="E51" s="11">
        <v>1</v>
      </c>
      <c r="F51" s="11">
        <v>1</v>
      </c>
      <c r="G51" s="11" t="s">
        <v>44</v>
      </c>
      <c r="H51" s="12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4" t="s">
        <v>2100</v>
      </c>
      <c r="C52" s="11" t="s">
        <v>1976</v>
      </c>
      <c r="D52" s="11" t="s">
        <v>1976</v>
      </c>
      <c r="E52" s="11">
        <v>1</v>
      </c>
      <c r="F52" s="11">
        <v>1</v>
      </c>
      <c r="G52" s="11" t="s">
        <v>44</v>
      </c>
      <c r="H52" s="12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1977</v>
      </c>
      <c r="C53" s="11" t="s">
        <v>1978</v>
      </c>
      <c r="D53" s="11" t="s">
        <v>2087</v>
      </c>
      <c r="E53" s="11">
        <v>1</v>
      </c>
      <c r="F53" s="11">
        <v>1</v>
      </c>
      <c r="G53" s="11" t="s">
        <v>44</v>
      </c>
      <c r="H53" s="12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1979</v>
      </c>
      <c r="C54" s="11" t="s">
        <v>1980</v>
      </c>
      <c r="D54" s="11" t="s">
        <v>1980</v>
      </c>
      <c r="E54" s="11">
        <v>1</v>
      </c>
      <c r="F54" s="11">
        <v>1</v>
      </c>
      <c r="G54" s="11" t="s">
        <v>1468</v>
      </c>
      <c r="H54" s="120" t="s">
        <v>1989</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1981</v>
      </c>
      <c r="C55" s="11" t="s">
        <v>1982</v>
      </c>
      <c r="D55" s="11" t="s">
        <v>1983</v>
      </c>
      <c r="E55" s="11">
        <v>1</v>
      </c>
      <c r="F55" s="11">
        <v>1</v>
      </c>
      <c r="G55" s="11" t="s">
        <v>1992</v>
      </c>
      <c r="H55" s="12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1" t="str">
        <f>Subject!P1</f>
        <v>// -------------------------------------------------------------------------------</v>
      </c>
    </row>
    <row r="116" spans="3:3" x14ac:dyDescent="0.75">
      <c r="C116" s="121" t="str">
        <f>Subject!P2</f>
        <v>// Obligations H&amp;N</v>
      </c>
    </row>
    <row r="117" spans="3:3" x14ac:dyDescent="0.75">
      <c r="C117" s="121"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1" t="str">
        <f>Subject!R1</f>
        <v>// -------------------------------------------------------------------------------</v>
      </c>
    </row>
    <row r="175" spans="3:3" x14ac:dyDescent="0.75">
      <c r="C175" s="121" t="str">
        <f>Subject!R2</f>
        <v>// Obligations Sarcoma</v>
      </c>
    </row>
    <row r="176" spans="3:3" x14ac:dyDescent="0.75">
      <c r="C176" s="121"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46" t="s">
        <v>1554</v>
      </c>
      <c r="F4" s="147"/>
      <c r="G4" s="147"/>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1554</v>
      </c>
      <c r="F7" s="147"/>
      <c r="G7" s="147"/>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2086</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6"/>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1537</v>
      </c>
      <c r="F7" s="147"/>
      <c r="G7" s="14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1543</v>
      </c>
      <c r="F7" s="147"/>
      <c r="G7" s="14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1545</v>
      </c>
      <c r="F7" s="147"/>
      <c r="G7" s="14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1990</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1990</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1547</v>
      </c>
      <c r="F7" s="147"/>
      <c r="G7" s="14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5" t="s">
        <v>2288</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1993</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5" t="s">
        <v>2287</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1994</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2280</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5" t="s">
        <v>2281</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6"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2282</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5" t="s">
        <v>2283</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6"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2286</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2285</v>
      </c>
      <c r="E102" s="12"/>
      <c r="F102" s="49" t="s">
        <v>1317</v>
      </c>
      <c r="G102" s="135" t="s">
        <v>2284</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6"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4" t="str">
        <f>"Instance: "&amp;'Subject-ConceptMap-1'!C4</f>
        <v>Instance: subject2FHIR</v>
      </c>
    </row>
    <row r="5" spans="2:7" x14ac:dyDescent="0.75">
      <c r="B5" s="104" t="s">
        <v>1334</v>
      </c>
    </row>
    <row r="6" spans="2:7" x14ac:dyDescent="0.75">
      <c r="B6" s="104" t="s">
        <v>1325</v>
      </c>
    </row>
    <row r="7" spans="2:7" x14ac:dyDescent="0.75">
      <c r="B7" s="104" t="s">
        <v>1480</v>
      </c>
    </row>
    <row r="8" spans="2:7" x14ac:dyDescent="0.75">
      <c r="B8" s="104" t="str">
        <f>"* name = ##34#"&amp;'Subject-ConceptMap-1'!C3&amp;"##34#"</f>
        <v>* name = ##34#Subject2FHIR##34#</v>
      </c>
    </row>
    <row r="9" spans="2:7" x14ac:dyDescent="0.75">
      <c r="B9" s="104" t="str">
        <f>"* title = ##34#"&amp;'Subject-ConceptMap-1'!C5&amp;"##34#"</f>
        <v>* title = ##34#Subject Model to this guide Map##34#</v>
      </c>
    </row>
    <row r="10" spans="2:7" x14ac:dyDescent="0.75">
      <c r="B10" s="104" t="s">
        <v>1326</v>
      </c>
    </row>
    <row r="11" spans="2:7" x14ac:dyDescent="0.75">
      <c r="B11" s="104" t="s">
        <v>1327</v>
      </c>
    </row>
    <row r="12" spans="2:7" x14ac:dyDescent="0.75">
      <c r="B12" s="104" t="str">
        <f>"* description = ##34#"&amp;'Subject-ConceptMap-1'!C8&amp;"##34#"</f>
        <v>* description = ##34#Subject Model to this guide Map##34#</v>
      </c>
    </row>
    <row r="13" spans="2:7" x14ac:dyDescent="0.75">
      <c r="B13" s="104" t="str">
        <f>"* purpose = ##34#"&amp;'Subject-ConceptMap-1'!C9&amp;"##34#"</f>
        <v>* purpose = ##34#It shows how the Subject model is mapped into this guide##34#</v>
      </c>
    </row>
    <row r="14" spans="2:7" x14ac:dyDescent="0.75">
      <c r="B14" s="105" t="str">
        <f>"* sourceUri = ##34#"&amp;'Subject-ConceptMap-1'!E3&amp;"##34#"</f>
        <v>* sourceUri = ##34#http://hl7.eu/fhir/ig/idea4rc/StructureDefinition/Subject##34#</v>
      </c>
    </row>
    <row r="15" spans="2:7" x14ac:dyDescent="0.75">
      <c r="B15" s="105" t="str">
        <f>"* targetUri = ##34#"&amp;'Subject-ConceptMap-1'!E4&amp;"##34#"</f>
        <v>* targetUri = ##34#http://hl7.eu/fhir/ig/idea4rc/StructureDefinition/patient-eu-i4rc##34#</v>
      </c>
    </row>
    <row r="16" spans="2:7" x14ac:dyDescent="0.75">
      <c r="B16" s="106" t="str">
        <f>"* group[+].source = ##34#"&amp;'Subject-ConceptMap-1'!E6&amp;"##34#"</f>
        <v>* group[+].source = ##34#http://hl7.eu/fhir/ig/idea4rc/StructureDefinition/Subject##34#</v>
      </c>
    </row>
    <row r="17" spans="2:7" x14ac:dyDescent="0.75">
      <c r="B17" s="106" t="str">
        <f>"* group[=].target = ##34#"&amp;'Subject-ConceptMap-1'!E7&amp;"##34#"</f>
        <v>* group[=].target = ##34#http://hl7.eu/fhir/ig/idea4rc/StructureDefinition/patient-eu-i4rc##34#</v>
      </c>
    </row>
    <row r="18" spans="2:7" x14ac:dyDescent="0.75">
      <c r="B18" s="107"/>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8"/>
    </row>
    <row r="125" spans="2:2" x14ac:dyDescent="0.75">
      <c r="B125" s="106" t="str">
        <f>"* group[+].source = ##34#"&amp;'Subject-ConceptMap-2'!E6&amp;"##34#"</f>
        <v>* group[+].source = ##34#http://hl7.eu/fhir/ig/idea4rc/StructureDefinition/Subject##34#</v>
      </c>
    </row>
    <row r="126" spans="2:2" x14ac:dyDescent="0.75">
      <c r="B126" s="109" t="str">
        <f>"* group[=].target = ##34#"&amp;'Subject-ConceptMap-2'!E7&amp;"##34#"</f>
        <v>* group[=].target = ##34#http://hl7.eu/fhir/ig/idea4rc/StructureDefinition/observation-tobaccouse-eu-i4rc##34#</v>
      </c>
    </row>
    <row r="127" spans="2:2" x14ac:dyDescent="0.75">
      <c r="B127" s="110"/>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8"/>
    </row>
    <row r="157" spans="2:3" x14ac:dyDescent="0.75">
      <c r="B157" s="106" t="str">
        <f>"* group[+].source = ##34#"&amp;'Subject-ConceptMap-3'!E6&amp;"##34#"</f>
        <v>* group[+].source = ##34#http://hl7.eu/fhir/ig/idea4rc/StructureDefinition/Subject##34#</v>
      </c>
    </row>
    <row r="158" spans="2:3" x14ac:dyDescent="0.75">
      <c r="B158" s="109" t="str">
        <f>"* group[=].target = ##34#"&amp;'Subject-ConceptMap-3'!E7&amp;"##34#"</f>
        <v>* group[=].target = ##34#http://hl7.eu/fhir/ig/idea4rc/StructureDefinition/observation-alcoholuse-eu-i4rc##34#</v>
      </c>
    </row>
    <row r="159" spans="2:3" x14ac:dyDescent="0.75">
      <c r="B159" s="111"/>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8"/>
    </row>
    <row r="171" spans="2:3" x14ac:dyDescent="0.75">
      <c r="B171" s="109" t="str">
        <f>"* group[+].source = ##34#"&amp;'Subject-ConceptMap-4'!E6&amp;"##34#"</f>
        <v>* group[+].source = ##34#http://hl7.eu/fhir/ig/idea4rc/StructureDefinition/Subject##34#</v>
      </c>
    </row>
    <row r="172" spans="2:3" x14ac:dyDescent="0.75">
      <c r="B172" s="109" t="str">
        <f>"* group[=].target = ##34#"&amp;'Subject-ConceptMap-4'!E7&amp;"##34#"</f>
        <v>* group[=].target = ##34#http://hl7.eu/fhir/ig/idea4rc/StructureDefinition/observation-comorbidity-eu-i4rc##34#</v>
      </c>
    </row>
    <row r="173" spans="2:3" x14ac:dyDescent="0.75">
      <c r="B173" s="110"/>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0"/>
    </row>
    <row r="377" spans="2:2" s="7" customFormat="1" x14ac:dyDescent="0.75">
      <c r="B377" s="112" t="str">
        <f>"* group[+].source = ##34#"&amp;'Subject-ConceptMap-5-x'!E6&amp;"##34#"</f>
        <v>* group[+].source = ##34#http://hl7.eu/fhir/ig/idea4rc/StructureDefinition/Subject##34#</v>
      </c>
    </row>
    <row r="378" spans="2:2" s="7" customFormat="1" x14ac:dyDescent="0.75">
      <c r="B378" s="112" t="str">
        <f>"* group[=].target = ##34#"&amp;'Subject-ConceptMap-5-x'!E7&amp;"##34#"</f>
        <v>* group[=].target = ##34#http://hl7.eu/fhir/ig/idea4rc/StructureDefinition/observation-karnofsky-performance-statuseu-i4rc##34#</v>
      </c>
    </row>
    <row r="379" spans="2:2" s="7" customFormat="1" x14ac:dyDescent="0.75">
      <c r="B379" s="110"/>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8"/>
    </row>
    <row r="391" spans="2:2" x14ac:dyDescent="0.75">
      <c r="B391" s="109" t="str">
        <f>"* group[+].source = ##34#"&amp;'Subject-ConceptMap-5-x'!E24&amp;"##34#"</f>
        <v>* group[+].source = ##34#http://hl7.eu/fhir/ig/idea4rc/StructureDefinition/Subject##34#</v>
      </c>
    </row>
    <row r="392" spans="2:2" x14ac:dyDescent="0.75">
      <c r="B392" s="109" t="str">
        <f>"* group[=].target = ##34#"&amp;'Subject-ConceptMap-5-x'!E25&amp;"##34#"</f>
        <v>* group[=].target = ##34#http://hl7.eu/fhir/ig/idea4rc/StructureDefinition/observation-ecog-performance-status-eu-i4rc##34#</v>
      </c>
    </row>
    <row r="393" spans="2:2" x14ac:dyDescent="0.75">
      <c r="B393" s="110"/>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8"/>
    </row>
    <row r="404" spans="2:2" x14ac:dyDescent="0.75">
      <c r="B404" s="109" t="str">
        <f>"* group[+].source = ##34#"&amp;'Subject-ConceptMap-5-x'!E45&amp;"##34#"</f>
        <v>* group[+].source = ##34#http://hl7.eu/fhir/ig/idea4rc/StructureDefinition/Subject##34#</v>
      </c>
    </row>
    <row r="405" spans="2:2" x14ac:dyDescent="0.75">
      <c r="B405" s="109" t="str">
        <f>"* group[=].target = ##34#"&amp;'Subject-ConceptMap-5-x'!E46&amp;"##34#"</f>
        <v>* group[=].target = ##34#http://hl7.eu/fhir/ig/idea4rc/StructureDefinition/observation-cci-eu-i4rc##34#</v>
      </c>
    </row>
    <row r="406" spans="2:2" x14ac:dyDescent="0.75">
      <c r="B406" s="110"/>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9" t="str">
        <f>B404</f>
        <v>* group[+].source = ##34#http://hl7.eu/fhir/ig/idea4rc/StructureDefinition/Subject##34#</v>
      </c>
    </row>
    <row r="416" spans="2:2" x14ac:dyDescent="0.75">
      <c r="B416" s="109" t="str">
        <f>"* group[=].target = ##34#"&amp;'Subject-ConceptMap-5-x'!E63&amp;"##34#"</f>
        <v>* group[=].target = ##34#http://hl7.org/fhir/StructureDefinition/bmi##34#</v>
      </c>
    </row>
    <row r="417" spans="2:2" x14ac:dyDescent="0.75">
      <c r="B417" s="110"/>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9" t="str">
        <f>B415</f>
        <v>* group[+].source = ##34#http://hl7.eu/fhir/ig/idea4rc/StructureDefinition/Subject##34#</v>
      </c>
    </row>
    <row r="427" spans="2:2" x14ac:dyDescent="0.75">
      <c r="B427" s="109" t="str">
        <f>"* group[=].target = ##34#"&amp;'Subject-ConceptMap-5-x'!E75&amp;"##34#"</f>
        <v>* group[=].target = ##34#http://hl7.eu/fhir/ig/idea4rc/StructureDefinition/observation-yesNo-eu-i4rc##34#</v>
      </c>
    </row>
    <row r="428" spans="2:2" x14ac:dyDescent="0.75">
      <c r="B428" s="110"/>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9" t="str">
        <f>B426</f>
        <v>* group[+].source = ##34#http://hl7.eu/fhir/ig/idea4rc/StructureDefinition/Subject##34#</v>
      </c>
    </row>
    <row r="438" spans="2:2" x14ac:dyDescent="0.75">
      <c r="B438" s="109" t="str">
        <f>"* group[=].target = ##34#"&amp;'Subject-ConceptMap-5-x'!E87&amp;"##34#"</f>
        <v>* group[=].target = ##34#http://hl7.eu/fhir/ig/idea4rc/StructureDefinition/observation-treatment-eu-i4rc##34#</v>
      </c>
    </row>
    <row r="439" spans="2:2" x14ac:dyDescent="0.75">
      <c r="B439" s="110"/>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9" t="str">
        <f>B437</f>
        <v>* group[+].source = ##34#http://hl7.eu/fhir/ig/idea4rc/StructureDefinition/Subject##34#</v>
      </c>
    </row>
    <row r="449" spans="2:2" x14ac:dyDescent="0.75">
      <c r="B449" s="109" t="str">
        <f>"* group[=].target = ##34#"&amp;'Subject-ConceptMap-5-x'!E100&amp;"##34#"</f>
        <v>* group[=].target = ##34#http://hl7.eu/fhir/ig/idea4rc/StructureDefinition/observation-dateLastContact-eu-i4rc##34#</v>
      </c>
    </row>
    <row r="450" spans="2:2" x14ac:dyDescent="0.75">
      <c r="B450" s="110"/>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10"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HospitalPatientRecordsI4rc</v>
      </c>
    </row>
    <row r="5" spans="1:18" ht="15.5" thickBot="1" x14ac:dyDescent="0.9">
      <c r="A5" s="14" t="s">
        <v>16</v>
      </c>
      <c r="B5" s="30" t="s">
        <v>1837</v>
      </c>
      <c r="L5" s="16" t="str">
        <f>CONCATENATE("Id: ",B5)</f>
        <v>Id: HospitalPatientRecords</v>
      </c>
    </row>
    <row r="6" spans="1:18" ht="15.5" thickBot="1" x14ac:dyDescent="0.9">
      <c r="A6" s="14" t="s">
        <v>10</v>
      </c>
      <c r="B6" s="30" t="s">
        <v>1838</v>
      </c>
      <c r="L6" s="17" t="str">
        <f>CONCATENATE("Title: ##34#",B6,"##34#")</f>
        <v>Title: ##34#Hospital Patient Records##34#</v>
      </c>
    </row>
    <row r="7" spans="1:18" x14ac:dyDescent="0.75">
      <c r="A7" s="26" t="s">
        <v>2</v>
      </c>
      <c r="B7" s="96" t="s">
        <v>1838</v>
      </c>
      <c r="C7" s="9" t="s">
        <v>3</v>
      </c>
      <c r="D7" s="1" t="s">
        <v>4</v>
      </c>
      <c r="E7" s="3" t="s">
        <v>5</v>
      </c>
      <c r="F7" s="3" t="s">
        <v>6</v>
      </c>
      <c r="G7" s="3" t="s">
        <v>7</v>
      </c>
      <c r="H7" s="64" t="s">
        <v>1384</v>
      </c>
      <c r="I7" s="119" t="s">
        <v>2082</v>
      </c>
      <c r="J7" s="119" t="s">
        <v>2083</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1827</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1828</v>
      </c>
      <c r="C9" s="11" t="s">
        <v>1829</v>
      </c>
      <c r="D9" s="11" t="s">
        <v>1830</v>
      </c>
      <c r="E9" s="11">
        <v>1</v>
      </c>
      <c r="F9" s="11">
        <v>1</v>
      </c>
      <c r="G9" s="73" t="s">
        <v>1</v>
      </c>
      <c r="H9" s="11" t="s">
        <v>1831</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1836</v>
      </c>
      <c r="C10" s="11" t="s">
        <v>1825</v>
      </c>
      <c r="D10" s="11" t="s">
        <v>1826</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1832</v>
      </c>
      <c r="C11" s="11" t="s">
        <v>1833</v>
      </c>
      <c r="D11" s="11" t="s">
        <v>1834</v>
      </c>
      <c r="E11" s="11">
        <v>1</v>
      </c>
      <c r="F11" s="11">
        <v>1</v>
      </c>
      <c r="G11" s="11" t="s">
        <v>43</v>
      </c>
      <c r="H11" s="11" t="s">
        <v>1835</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HospitalPatientRecords!L1</f>
        <v>//===================================================</v>
      </c>
    </row>
    <row r="2" spans="3:7" ht="16.75" thickBot="1" x14ac:dyDescent="0.9">
      <c r="C2" s="24" t="str">
        <f>HospitalPatientRecords!L2</f>
        <v>//  Logical Model</v>
      </c>
      <c r="G2" s="29" t="s">
        <v>1839</v>
      </c>
    </row>
    <row r="3" spans="3:7" x14ac:dyDescent="0.75">
      <c r="C3" s="24" t="str">
        <f>HospitalPatientRecords!L3</f>
        <v>//===================================================</v>
      </c>
    </row>
    <row r="4" spans="3:7" x14ac:dyDescent="0.75">
      <c r="C4" s="100" t="str">
        <f>HospitalPatientRecords!L4</f>
        <v>Logical: HospitalPatientRecordsI4rc</v>
      </c>
    </row>
    <row r="5" spans="3:7" x14ac:dyDescent="0.75">
      <c r="C5" s="100" t="str">
        <f>HospitalPatientRecords!L5</f>
        <v>Id: HospitalPatientRecords</v>
      </c>
    </row>
    <row r="6" spans="3:7" x14ac:dyDescent="0.75">
      <c r="C6" s="100" t="str">
        <f>HospitalPatientRecords!L6</f>
        <v>Title: ##34#Hospital Patient Records##34#</v>
      </c>
    </row>
    <row r="7" spans="3:7" x14ac:dyDescent="0.75">
      <c r="C7" s="100" t="str">
        <f>HospitalPatientRecords!L7</f>
        <v>Description:  ##334#Hospital Patient Records##334#</v>
      </c>
    </row>
    <row r="8" spans="3:7" ht="29.5" x14ac:dyDescent="0.75">
      <c r="C8" s="101"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1" t="str">
        <f>IF(HospitalPatientRecords!L9="*  ..  ##34###34# ##334###334#","//--- END",HospitalPatientRecords!L9)</f>
        <v>* hospital 1..1 BackboneElement ##34#Hospital##34# ##334#Hospital element containing the data regarding the patient followed by the hospital##334#</v>
      </c>
    </row>
    <row r="10" spans="3:7" x14ac:dyDescent="0.75">
      <c r="C10" s="101" t="str">
        <f>IF(HospitalPatientRecords!L10="*  ..  ##34###34# ##334###334#","//--- END",HospitalPatientRecords!L10)</f>
        <v>* hospital.name 1..1 string ##34#Hospital Name##34# ##334#Hospital where the patients is included in the registry##334#</v>
      </c>
    </row>
    <row r="11" spans="3:7" ht="59" x14ac:dyDescent="0.75">
      <c r="C11" s="101"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1" t="str">
        <f>IF(HospitalPatientRecords!L12="*  ..  ##34###34# ##334###334#","//--- END",HospitalPatientRecords!L12)</f>
        <v>//--- END</v>
      </c>
    </row>
    <row r="13" spans="3:7" x14ac:dyDescent="0.75">
      <c r="C13" s="101" t="str">
        <f>IF(HospitalPatientRecords!L13="*  ..  ##34###34# ##334###334#","//--- END",HospitalPatientRecords!L13)</f>
        <v>//--- END</v>
      </c>
    </row>
    <row r="14" spans="3:7" x14ac:dyDescent="0.75">
      <c r="C14" s="101" t="str">
        <f>IF(HospitalPatientRecords!L14="*  ..  ##34###34# ##334###334#","//--- END",HospitalPatientRecords!L14)</f>
        <v>//--- END</v>
      </c>
    </row>
    <row r="18" spans="3:3" x14ac:dyDescent="0.75">
      <c r="C18" s="99" t="s">
        <v>1387</v>
      </c>
    </row>
    <row r="19" spans="3:3" x14ac:dyDescent="0.75">
      <c r="C19" s="24" t="s">
        <v>1421</v>
      </c>
    </row>
    <row r="20" spans="3:3" x14ac:dyDescent="0.75">
      <c r="C20" s="24" t="s">
        <v>1387</v>
      </c>
    </row>
    <row r="21" spans="3:3" ht="29.5" x14ac:dyDescent="0.75">
      <c r="C21" s="101" t="str">
        <f>IF(HospitalPatientRecords!N8="*  ..  ##34###34# ##334###334#","//--- END",HospitalPatientRecords!N8)</f>
        <v>* patient ^comment = ##334#A patient element data
-##334#</v>
      </c>
    </row>
    <row r="22" spans="3:3" ht="29.5" x14ac:dyDescent="0.75">
      <c r="C22" s="101" t="str">
        <f>IF(HospitalPatientRecords!N9="*  ..  ##34###34# ##334###334#","//--- END",HospitalPatientRecords!N9)</f>
        <v>* hospital ^comment = ##334#A hospital element data
-##334#</v>
      </c>
    </row>
    <row r="23" spans="3:3" x14ac:dyDescent="0.75">
      <c r="C23" s="101" t="str">
        <f>IF(HospitalPatientRecords!N10="*  ..  ##34###34# ##334###334#","//--- END",HospitalPatientRecords!N10)</f>
        <v/>
      </c>
    </row>
    <row r="24" spans="3:3" ht="29.5" x14ac:dyDescent="0.75">
      <c r="C24" s="101" t="str">
        <f>IF(HospitalPatientRecords!N11="*  ..  ##34###34# ##334###334#","//--- END",HospitalPatientRecords!N11)</f>
        <v>* firstContactDate ^comment = ##334#Date
-##334#</v>
      </c>
    </row>
    <row r="25" spans="3:3" x14ac:dyDescent="0.75">
      <c r="C25" s="101" t="str">
        <f>IF(HospitalPatientRecords!N12="*  ..  ##34###34# ##334###334#","//--- END",HospitalPatientRecords!N12)</f>
        <v>//--- END</v>
      </c>
    </row>
    <row r="26" spans="3:3" x14ac:dyDescent="0.75">
      <c r="C26" s="101" t="str">
        <f>IF(HospitalPatientRecords!N13="*  ..  ##34###34# ##334###334#","//--- END",HospitalPatientRecords!N13)</f>
        <v>//--- END</v>
      </c>
    </row>
    <row r="27" spans="3:3" x14ac:dyDescent="0.75">
      <c r="C27" s="101" t="str">
        <f>IF(HospitalPatientRecords!N14="*  ..  ##34###34# ##334###334#","//--- END",HospitalPatientRecords!N14)</f>
        <v>//--- END</v>
      </c>
    </row>
    <row r="30" spans="3:3" x14ac:dyDescent="0.75">
      <c r="C30" s="99" t="str">
        <f>HospitalPatientRecords!P1</f>
        <v>// -------------------------------------------------------------------------------</v>
      </c>
    </row>
    <row r="31" spans="3:3" x14ac:dyDescent="0.75">
      <c r="C31" s="24" t="str">
        <f>HospitalPatientRecords!P2</f>
        <v>// Obligations H&amp;N</v>
      </c>
    </row>
    <row r="32" spans="3:3" x14ac:dyDescent="0.75">
      <c r="C32" s="24" t="str">
        <f>HospitalPatientRecords!P3</f>
        <v>// -------------------------------------------------------------------------------</v>
      </c>
    </row>
    <row r="33" spans="3:3" x14ac:dyDescent="0.75">
      <c r="C33" s="101" t="str">
        <f>IF(HospitalPatientRecords!P8="*  ..  ##34###34# ##334###334#","//--- END",HospitalPatientRecords!P8)</f>
        <v>* patient insert ObligationActorAndCode($actor-headneck, #handle)</v>
      </c>
    </row>
    <row r="34" spans="3:3" x14ac:dyDescent="0.75">
      <c r="C34" s="101" t="str">
        <f>IF(HospitalPatientRecords!P9="*  ..  ##34###34# ##334###334#","//--- END",HospitalPatientRecords!P9)</f>
        <v>* hospital insert ObligationActorAndCode($actor-headneck, #handle)</v>
      </c>
    </row>
    <row r="35" spans="3:3" x14ac:dyDescent="0.75">
      <c r="C35" s="101" t="str">
        <f>IF(HospitalPatientRecords!P10="*  ..  ##34###34# ##334###334#","//--- END",HospitalPatientRecords!P10)</f>
        <v>* hospital.name insert ObligationActorAndCode($actor-headneck, #handle)</v>
      </c>
    </row>
    <row r="36" spans="3:3" x14ac:dyDescent="0.75">
      <c r="C36" s="101" t="str">
        <f>IF(HospitalPatientRecords!P11="*  ..  ##34###34# ##334###334#","//--- END",HospitalPatientRecords!P11)</f>
        <v>* firstContactDate insert ObligationActorAndCode($actor-headneck, #handle)</v>
      </c>
    </row>
    <row r="37" spans="3:3" x14ac:dyDescent="0.75">
      <c r="C37" s="101" t="str">
        <f>IF(HospitalPatientRecords!P12="*  ..  ##34###34# ##334###334#","//--- END",HospitalPatientRecords!P12)</f>
        <v>//--- END</v>
      </c>
    </row>
    <row r="38" spans="3:3" x14ac:dyDescent="0.75">
      <c r="C38" s="101" t="str">
        <f>IF(HospitalPatientRecords!P13="*  ..  ##34###34# ##334###334#","//--- END",HospitalPatientRecords!P13)</f>
        <v>//--- END</v>
      </c>
    </row>
    <row r="39" spans="3:3" x14ac:dyDescent="0.75">
      <c r="C39" s="101" t="str">
        <f>IF(HospitalPatientRecords!P14="*  ..  ##34###34# ##334###334#","//--- END",HospitalPatientRecords!P14)</f>
        <v>//--- END</v>
      </c>
    </row>
    <row r="42" spans="3:3" x14ac:dyDescent="0.75">
      <c r="C42" s="99"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1" t="str">
        <f>IF(HospitalPatientRecords!R8="*  ..  ##34###34# ##334###334#","//--- END",HospitalPatientRecords!R8)</f>
        <v/>
      </c>
    </row>
    <row r="46" spans="3:3" x14ac:dyDescent="0.75">
      <c r="C46" s="101" t="str">
        <f>IF(HospitalPatientRecords!R9="*  ..  ##34###34# ##334###334#","//--- END",HospitalPatientRecords!R9)</f>
        <v/>
      </c>
    </row>
    <row r="47" spans="3:3" x14ac:dyDescent="0.75">
      <c r="C47" s="101" t="str">
        <f>IF(HospitalPatientRecords!R10="*  ..  ##34###34# ##334###334#","//--- END",HospitalPatientRecords!R10)</f>
        <v/>
      </c>
    </row>
    <row r="48" spans="3:3" x14ac:dyDescent="0.75">
      <c r="C48" s="101" t="str">
        <f>IF(HospitalPatientRecords!R11="*  ..  ##34###34# ##334###334#","//--- END",HospitalPatientRecords!R11)</f>
        <v/>
      </c>
    </row>
    <row r="49" spans="3:3" x14ac:dyDescent="0.75">
      <c r="C49" s="101" t="str">
        <f>IF(HospitalPatientRecords!R12="*  ..  ##34###34# ##334###334#","//--- END",HospitalPatientRecords!R12)</f>
        <v>//--- END</v>
      </c>
    </row>
    <row r="50" spans="3:3" x14ac:dyDescent="0.75">
      <c r="C50" s="101" t="str">
        <f>IF(HospitalPatientRecords!R13="*  ..  ##34###34# ##334###334#","//--- END",HospitalPatientRecords!R13)</f>
        <v>//--- END</v>
      </c>
    </row>
    <row r="51" spans="3:3" x14ac:dyDescent="0.75">
      <c r="C51" s="101"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http://hl7.eu/fhir/ig/idea4rc/StructureDefinition/HospitalPatientRecords</v>
      </c>
    </row>
    <row r="4" spans="1:19" x14ac:dyDescent="0.75">
      <c r="B4" s="47" t="s">
        <v>16</v>
      </c>
      <c r="C4" s="28" t="s">
        <v>1921</v>
      </c>
      <c r="D4" s="47" t="s">
        <v>1474</v>
      </c>
      <c r="E4" s="146" t="s">
        <v>1924</v>
      </c>
      <c r="F4" s="147"/>
      <c r="G4" s="147"/>
    </row>
    <row r="5" spans="1:19" x14ac:dyDescent="0.75">
      <c r="B5" s="47" t="s">
        <v>10</v>
      </c>
      <c r="C5" s="7" t="s">
        <v>1922</v>
      </c>
      <c r="D5" s="47"/>
      <c r="E5" s="7"/>
    </row>
    <row r="6" spans="1:19" x14ac:dyDescent="0.75">
      <c r="B6" s="47" t="s">
        <v>18</v>
      </c>
      <c r="C6" s="41"/>
      <c r="D6" s="47" t="s">
        <v>1475</v>
      </c>
      <c r="E6" s="146" t="str">
        <f>E3</f>
        <v>http://hl7.eu/fhir/ig/idea4rc/StructureDefinition/HospitalPatientRecords</v>
      </c>
      <c r="F6" s="147"/>
      <c r="G6" s="147"/>
    </row>
    <row r="7" spans="1:19" x14ac:dyDescent="0.75">
      <c r="B7" s="47" t="s">
        <v>15</v>
      </c>
      <c r="C7" s="72"/>
      <c r="D7" s="47" t="s">
        <v>1476</v>
      </c>
      <c r="E7" s="146" t="str">
        <f>E4</f>
        <v>http://hl7.eu/fhir/ig/idea4rc/StructureDefinition/episodeOfCare-eu-i4rc</v>
      </c>
      <c r="F7" s="147"/>
      <c r="G7" s="147"/>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1926</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1927</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1928</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10" zoomScaleNormal="100"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PatientFollowUpI4rc</v>
      </c>
    </row>
    <row r="5" spans="1:18" ht="15.5" thickBot="1" x14ac:dyDescent="0.9">
      <c r="A5" s="14" t="s">
        <v>16</v>
      </c>
      <c r="B5" s="30" t="s">
        <v>1856</v>
      </c>
      <c r="L5" s="16" t="str">
        <f>CONCATENATE("Id: ",B5)</f>
        <v>Id: PatientFollowUp</v>
      </c>
    </row>
    <row r="6" spans="1:18" ht="15.5" thickBot="1" x14ac:dyDescent="0.9">
      <c r="A6" s="14" t="s">
        <v>10</v>
      </c>
      <c r="B6" s="30" t="s">
        <v>1857</v>
      </c>
      <c r="L6" s="17" t="str">
        <f>CONCATENATE("Title: ##34#",B6,"##34#")</f>
        <v>Title: ##34#Patient Follow Up##34#</v>
      </c>
    </row>
    <row r="7" spans="1:18" x14ac:dyDescent="0.75">
      <c r="A7" s="26" t="s">
        <v>2</v>
      </c>
      <c r="B7" s="30" t="s">
        <v>1857</v>
      </c>
      <c r="C7" s="9" t="s">
        <v>3</v>
      </c>
      <c r="D7" s="1" t="s">
        <v>4</v>
      </c>
      <c r="E7" s="3" t="s">
        <v>5</v>
      </c>
      <c r="F7" s="3" t="s">
        <v>6</v>
      </c>
      <c r="G7" s="3" t="s">
        <v>7</v>
      </c>
      <c r="H7" s="64" t="s">
        <v>1384</v>
      </c>
      <c r="I7" s="119" t="s">
        <v>2082</v>
      </c>
      <c r="J7" s="119" t="s">
        <v>2083</v>
      </c>
      <c r="L7" s="17" t="str">
        <f>CONCATENATE("Description: "," ##334#",B7,"##334#",)</f>
        <v>Description:  ##334#Patient Follow Up##334#</v>
      </c>
    </row>
    <row r="8" spans="1:18" ht="29.5" x14ac:dyDescent="0.75">
      <c r="A8" s="59">
        <v>0</v>
      </c>
      <c r="B8" s="11" t="s">
        <v>1487</v>
      </c>
      <c r="C8" s="11" t="s">
        <v>14</v>
      </c>
      <c r="D8" s="11" t="s">
        <v>1840</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1841</v>
      </c>
      <c r="C9" s="11" t="s">
        <v>1842</v>
      </c>
      <c r="D9" s="11" t="s">
        <v>1843</v>
      </c>
      <c r="E9" s="11">
        <v>1</v>
      </c>
      <c r="F9" s="11">
        <v>1</v>
      </c>
      <c r="G9" s="73" t="s">
        <v>1468</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1844</v>
      </c>
      <c r="C10" s="11" t="s">
        <v>1845</v>
      </c>
      <c r="D10" s="11" t="s">
        <v>1846</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1847</v>
      </c>
      <c r="C11" s="11" t="s">
        <v>1848</v>
      </c>
      <c r="D11" s="11" t="s">
        <v>1849</v>
      </c>
      <c r="E11" s="11">
        <v>1</v>
      </c>
      <c r="F11" s="11">
        <v>1</v>
      </c>
      <c r="G11" s="11" t="s">
        <v>1468</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1850</v>
      </c>
      <c r="C12" s="11" t="s">
        <v>1851</v>
      </c>
      <c r="D12" s="11" t="s">
        <v>1852</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1853</v>
      </c>
      <c r="C13" s="11" t="s">
        <v>1854</v>
      </c>
      <c r="D13" s="11" t="s">
        <v>1855</v>
      </c>
      <c r="E13" s="11">
        <v>1</v>
      </c>
      <c r="F13" s="11">
        <v>1</v>
      </c>
      <c r="G13" s="11" t="s">
        <v>1468</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1858</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A16"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http://hl7.eu/fhir/ig/idea4rc/StructureDefinition/PatientFollowUpI4rc</v>
      </c>
    </row>
    <row r="4" spans="1:19" x14ac:dyDescent="0.75">
      <c r="B4" s="47" t="s">
        <v>16</v>
      </c>
      <c r="C4" s="28" t="s">
        <v>1930</v>
      </c>
      <c r="D4" s="47" t="s">
        <v>1474</v>
      </c>
      <c r="E4" s="146" t="s">
        <v>1929</v>
      </c>
      <c r="F4" s="147"/>
      <c r="G4" s="147"/>
    </row>
    <row r="5" spans="1:19" x14ac:dyDescent="0.75">
      <c r="B5" s="47" t="s">
        <v>10</v>
      </c>
      <c r="C5" s="7" t="s">
        <v>1931</v>
      </c>
      <c r="D5" s="47"/>
      <c r="E5" s="7"/>
    </row>
    <row r="6" spans="1:19" x14ac:dyDescent="0.75">
      <c r="B6" s="47" t="s">
        <v>18</v>
      </c>
      <c r="C6" s="41"/>
      <c r="D6" s="47" t="s">
        <v>1475</v>
      </c>
      <c r="E6" s="146" t="str">
        <f>E3</f>
        <v>http://hl7.eu/fhir/ig/idea4rc/StructureDefinition/PatientFollowUpI4rc</v>
      </c>
      <c r="F6" s="147"/>
      <c r="G6" s="147"/>
    </row>
    <row r="7" spans="1:19" x14ac:dyDescent="0.75">
      <c r="B7" s="47" t="s">
        <v>15</v>
      </c>
      <c r="C7" s="72"/>
      <c r="D7" s="47" t="s">
        <v>1476</v>
      </c>
      <c r="E7" s="146" t="str">
        <f>C1&amp;"encounter-followup-eu-i4rc"</f>
        <v>http://hl7.eu/fhir/ig/idea4rc/StructureDefinition/encounter-followup-eu-i4rc</v>
      </c>
      <c r="F7" s="147"/>
      <c r="G7" s="147"/>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48"/>
      <c r="F9" s="149"/>
      <c r="G9" s="150"/>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1933</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2289</v>
      </c>
      <c r="E16" s="12"/>
      <c r="F16" s="49" t="s">
        <v>1294</v>
      </c>
      <c r="G16" s="77" t="s">
        <v>2290</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1934</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2289</v>
      </c>
      <c r="E18" s="12"/>
      <c r="F18" s="49" t="s">
        <v>1294</v>
      </c>
      <c r="G18" s="77" t="s">
        <v>2293</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2289</v>
      </c>
      <c r="E19" s="12"/>
      <c r="F19" s="49" t="s">
        <v>1294</v>
      </c>
      <c r="G19" s="77" t="s">
        <v>2293</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2289</v>
      </c>
      <c r="E20" s="12"/>
      <c r="F20" s="49" t="s">
        <v>1294</v>
      </c>
      <c r="G20" s="77" t="s">
        <v>2293</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44.2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C27" sqref="C27"/>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http://hl7.eu/fhir/ig/idea4rc/StructureDefinition/PatientFollowUpI4rc</v>
      </c>
    </row>
    <row r="4" spans="1:19" x14ac:dyDescent="0.75">
      <c r="B4" s="47" t="s">
        <v>16</v>
      </c>
      <c r="C4" s="28" t="s">
        <v>1930</v>
      </c>
      <c r="D4" s="47" t="s">
        <v>1474</v>
      </c>
      <c r="E4" s="146" t="s">
        <v>1929</v>
      </c>
      <c r="F4" s="147"/>
      <c r="G4" s="147"/>
    </row>
    <row r="5" spans="1:19" x14ac:dyDescent="0.75">
      <c r="B5" s="47" t="s">
        <v>10</v>
      </c>
      <c r="C5" s="7" t="s">
        <v>1931</v>
      </c>
      <c r="D5" s="47"/>
      <c r="E5" s="7"/>
    </row>
    <row r="6" spans="1:19" x14ac:dyDescent="0.75">
      <c r="B6" s="47" t="s">
        <v>18</v>
      </c>
      <c r="C6" s="41"/>
      <c r="D6" s="47" t="s">
        <v>1475</v>
      </c>
      <c r="E6" s="146" t="str">
        <f>E3</f>
        <v>http://hl7.eu/fhir/ig/idea4rc/StructureDefinition/PatientFollowUpI4rc</v>
      </c>
      <c r="F6" s="147"/>
      <c r="G6" s="147"/>
    </row>
    <row r="7" spans="1:19" x14ac:dyDescent="0.75">
      <c r="B7" s="47" t="s">
        <v>15</v>
      </c>
      <c r="C7" s="72"/>
      <c r="D7" s="47" t="s">
        <v>1476</v>
      </c>
      <c r="E7" s="146" t="str">
        <f>C1&amp;"Condition-primaryCancer-eu-i4rc"</f>
        <v>http://hl7.eu/fhir/ig/idea4rc/StructureDefinition/Condition-primaryCancer-eu-i4rc</v>
      </c>
      <c r="F7" s="147"/>
      <c r="G7" s="147"/>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48"/>
      <c r="F9" s="149"/>
      <c r="G9" s="150"/>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1933</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103.25" x14ac:dyDescent="0.75">
      <c r="A16" s="44"/>
      <c r="B16" s="11" t="str">
        <f>PatientFollowUp!B9</f>
        <v>statusAtLastFollowUp</v>
      </c>
      <c r="C16" s="11" t="str">
        <f>PatientFollowUp!C9</f>
        <v>Status at last follow-up</v>
      </c>
      <c r="D16" s="12" t="s">
        <v>1611</v>
      </c>
      <c r="E16" s="12"/>
      <c r="F16" s="49" t="s">
        <v>1316</v>
      </c>
      <c r="G16" s="77" t="s">
        <v>2291</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7" t="s">
        <v>2292</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2304</v>
      </c>
      <c r="E19" s="12"/>
      <c r="F19" s="49" t="s">
        <v>1316</v>
      </c>
      <c r="G19" s="77" t="s">
        <v>2305</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2292</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7"/>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7"/>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7"/>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7"/>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7"/>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7"/>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7"/>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7"/>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7"/>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7"/>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7"/>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5"/>
        <v>6</v>
      </c>
      <c r="R51" s="11">
        <f t="shared" si="16"/>
        <v>1</v>
      </c>
      <c r="S51" s="12" cm="1">
        <f t="array" ref="S51">INDEX('PatientFollowUp-ConceptMap-2'!$I$15:$N$54,Q51+1,R51)</f>
        <v>0</v>
      </c>
    </row>
    <row r="52" spans="2:19" x14ac:dyDescent="0.75">
      <c r="B52" s="11"/>
      <c r="C52" s="11"/>
      <c r="D52" s="12"/>
      <c r="E52" s="12"/>
      <c r="F52" s="49"/>
      <c r="G52" s="77"/>
      <c r="P52" s="11">
        <v>38</v>
      </c>
      <c r="Q52" s="11">
        <f t="shared" si="15"/>
        <v>6</v>
      </c>
      <c r="R52" s="11">
        <f t="shared" si="16"/>
        <v>2</v>
      </c>
      <c r="S52" s="12" cm="1">
        <f t="array" ref="S52">INDEX('PatientFollowUp-ConceptMap-2'!$I$15:$N$54,Q52+1,R52)</f>
        <v>0</v>
      </c>
    </row>
    <row r="53" spans="2:19" x14ac:dyDescent="0.75">
      <c r="B53" s="11"/>
      <c r="C53" s="11"/>
      <c r="D53" s="12"/>
      <c r="E53" s="12"/>
      <c r="F53" s="49"/>
      <c r="G53" s="77"/>
      <c r="P53" s="11">
        <v>39</v>
      </c>
      <c r="Q53" s="11">
        <f t="shared" si="15"/>
        <v>6</v>
      </c>
      <c r="R53" s="11">
        <f t="shared" si="16"/>
        <v>3</v>
      </c>
      <c r="S53" s="12" cm="1">
        <f t="array" ref="S53">INDEX('PatientFollowUp-ConceptMap-2'!$I$15:$N$54,Q53+1,R53)</f>
        <v>0</v>
      </c>
    </row>
    <row r="54" spans="2:19" x14ac:dyDescent="0.75">
      <c r="B54" s="11"/>
      <c r="C54" s="11"/>
      <c r="D54" s="12"/>
      <c r="E54" s="12"/>
      <c r="F54" s="49"/>
      <c r="G54" s="77"/>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5"/>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29.5"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5"/>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50" zoomScaleNormal="100" workbookViewId="0">
      <selection activeCell="H57" sqref="H5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9" t="s">
        <v>2082</v>
      </c>
      <c r="J7" s="119" t="s">
        <v>2083</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1995</v>
      </c>
      <c r="C10" t="s">
        <v>1996</v>
      </c>
      <c r="D10" s="2" t="s">
        <v>1997</v>
      </c>
      <c r="E10" s="11">
        <v>1</v>
      </c>
      <c r="F10" s="11">
        <v>1</v>
      </c>
      <c r="G10" s="12" t="s">
        <v>1468</v>
      </c>
      <c r="H10" s="2" t="s">
        <v>2076</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1998</v>
      </c>
      <c r="C13" t="s">
        <v>1999</v>
      </c>
      <c r="D13" s="2" t="s">
        <v>2000</v>
      </c>
      <c r="E13" s="11">
        <v>1</v>
      </c>
      <c r="F13" s="11">
        <v>1</v>
      </c>
      <c r="G13" s="12" t="s">
        <v>44</v>
      </c>
      <c r="H13" s="2" t="s">
        <v>2077</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2078</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2102</v>
      </c>
      <c r="C15" s="4" t="s">
        <v>2103</v>
      </c>
      <c r="D15" s="4" t="s">
        <v>2103</v>
      </c>
      <c r="E15" s="6">
        <v>1</v>
      </c>
      <c r="F15" s="6">
        <v>1</v>
      </c>
      <c r="G15" s="4" t="s">
        <v>1</v>
      </c>
      <c r="H15" s="4" t="s">
        <v>2079</v>
      </c>
      <c r="I15" s="12" t="b">
        <v>1</v>
      </c>
      <c r="J15" s="12" t="b">
        <v>1</v>
      </c>
      <c r="K15" s="12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2104</v>
      </c>
      <c r="C16" s="12" t="s">
        <v>1354</v>
      </c>
      <c r="D16" s="12" t="s">
        <v>1355</v>
      </c>
      <c r="E16" s="11">
        <v>1</v>
      </c>
      <c r="F16" s="11">
        <v>1</v>
      </c>
      <c r="G16" s="12" t="s">
        <v>1468</v>
      </c>
      <c r="H16" s="2" t="s">
        <v>2057</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2105</v>
      </c>
      <c r="C17" s="12" t="s">
        <v>1356</v>
      </c>
      <c r="D17" s="12" t="s">
        <v>1357</v>
      </c>
      <c r="E17" s="11">
        <v>1</v>
      </c>
      <c r="F17" s="11">
        <v>1</v>
      </c>
      <c r="G17" s="12" t="s">
        <v>1468</v>
      </c>
      <c r="H17" s="2" t="s">
        <v>2058</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2106</v>
      </c>
      <c r="C18" s="12" t="s">
        <v>1358</v>
      </c>
      <c r="D18" s="12" t="s">
        <v>1359</v>
      </c>
      <c r="E18" s="11">
        <v>1</v>
      </c>
      <c r="F18" s="11">
        <v>1</v>
      </c>
      <c r="G18" s="12" t="s">
        <v>1468</v>
      </c>
      <c r="H18" s="2" t="s">
        <v>2059</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2107</v>
      </c>
      <c r="C19" s="12" t="s">
        <v>1360</v>
      </c>
      <c r="D19" s="12" t="s">
        <v>1361</v>
      </c>
      <c r="E19" s="11">
        <v>1</v>
      </c>
      <c r="F19" s="11">
        <v>1</v>
      </c>
      <c r="G19" s="12" t="s">
        <v>1468</v>
      </c>
      <c r="H19" s="2" t="s">
        <v>2060</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2108</v>
      </c>
      <c r="C20" s="117" t="s">
        <v>1362</v>
      </c>
      <c r="D20" s="117" t="s">
        <v>1363</v>
      </c>
      <c r="E20" s="3">
        <v>1</v>
      </c>
      <c r="F20" s="3">
        <v>1</v>
      </c>
      <c r="G20" s="117" t="s">
        <v>1468</v>
      </c>
      <c r="H20" s="2" t="s">
        <v>2061</v>
      </c>
      <c r="I20" s="12" t="b">
        <v>1</v>
      </c>
      <c r="J20" s="12" t="b">
        <v>1</v>
      </c>
      <c r="K20" s="25"/>
      <c r="L20" s="117" t="str">
        <f t="shared" si="1"/>
        <v>* hnClassification.histologySNUC 1..1 CodeableConcept ##34#Histology Sinonasal undifferentiated carcinoma##34# ##334#Specifies the histological subgroup for sinonasl undifferentiated carcinomas##334#</v>
      </c>
      <c r="M20"/>
      <c r="N20" s="117"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2109</v>
      </c>
      <c r="C21" s="11" t="s">
        <v>2001</v>
      </c>
      <c r="D21" s="12" t="s">
        <v>2002</v>
      </c>
      <c r="E21" s="11">
        <v>1</v>
      </c>
      <c r="F21" s="11">
        <v>1</v>
      </c>
      <c r="G21" s="12" t="s">
        <v>1468</v>
      </c>
      <c r="H21" s="12" t="s">
        <v>2062</v>
      </c>
      <c r="I21" s="12" t="b">
        <v>0</v>
      </c>
      <c r="J21" s="12" t="b">
        <v>1</v>
      </c>
      <c r="K21" s="11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2110</v>
      </c>
      <c r="C22" s="11" t="s">
        <v>2003</v>
      </c>
      <c r="D22" s="73" t="s">
        <v>2003</v>
      </c>
      <c r="E22" s="11">
        <v>1</v>
      </c>
      <c r="F22" s="11">
        <v>1</v>
      </c>
      <c r="G22" s="12" t="s">
        <v>1468</v>
      </c>
      <c r="H22" s="12" t="s">
        <v>2063</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2111</v>
      </c>
      <c r="C23" s="11" t="s">
        <v>2004</v>
      </c>
      <c r="D23" s="11" t="s">
        <v>2004</v>
      </c>
      <c r="E23" s="11">
        <v>1</v>
      </c>
      <c r="F23" s="11">
        <v>1</v>
      </c>
      <c r="G23" s="12" t="s">
        <v>1468</v>
      </c>
      <c r="H23" s="12" t="s">
        <v>2064</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8" t="s">
        <v>2294</v>
      </c>
      <c r="B24" s="6" t="s">
        <v>2101</v>
      </c>
      <c r="C24" s="6" t="s">
        <v>2112</v>
      </c>
      <c r="D24" s="6" t="s">
        <v>2112</v>
      </c>
      <c r="E24" s="6">
        <v>1</v>
      </c>
      <c r="F24" s="6">
        <v>1</v>
      </c>
      <c r="G24" s="12" t="s">
        <v>1</v>
      </c>
      <c r="H24" s="61"/>
      <c r="I24" s="12" t="b">
        <v>0</v>
      </c>
      <c r="J24" s="12" t="b">
        <v>1</v>
      </c>
      <c r="K24" s="123"/>
      <c r="L24" s="116" t="str">
        <f t="shared" si="1"/>
        <v>* sarcomaClassification 1..1 BackboneElement ##34#Sarcoma classification##34# ##334#Sarcoma classification##334#</v>
      </c>
      <c r="M24"/>
      <c r="N24" s="116" t="str">
        <f t="shared" si="2"/>
        <v/>
      </c>
      <c r="P24" s="12" t="str">
        <f t="shared" si="3"/>
        <v/>
      </c>
      <c r="Q24"/>
      <c r="R24" s="12" t="str">
        <f t="shared" si="4"/>
        <v>* sarcomaClassification insert ObligationActorAndCode($actor-sarcoma-i4rc, #handle)</v>
      </c>
    </row>
    <row r="25" spans="1:18" s="2" customFormat="1" ht="324.5" x14ac:dyDescent="0.75">
      <c r="A25" s="11">
        <v>16</v>
      </c>
      <c r="B25" s="11" t="s">
        <v>2113</v>
      </c>
      <c r="C25" s="11" t="s">
        <v>2005</v>
      </c>
      <c r="D25" s="11" t="s">
        <v>2005</v>
      </c>
      <c r="E25" s="11">
        <v>1</v>
      </c>
      <c r="F25" s="11">
        <v>1</v>
      </c>
      <c r="G25" s="12" t="s">
        <v>1468</v>
      </c>
      <c r="H25" s="2" t="s">
        <v>2065</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2114</v>
      </c>
      <c r="C26" s="11" t="s">
        <v>2006</v>
      </c>
      <c r="D26" s="11" t="s">
        <v>2006</v>
      </c>
      <c r="E26" s="11">
        <v>1</v>
      </c>
      <c r="F26" s="11">
        <v>1</v>
      </c>
      <c r="G26" s="12" t="s">
        <v>1468</v>
      </c>
      <c r="H26" s="2" t="s">
        <v>2066</v>
      </c>
      <c r="I26" s="12" t="b">
        <v>0</v>
      </c>
      <c r="J26" s="12" t="b">
        <v>1</v>
      </c>
      <c r="K26" s="115"/>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2115</v>
      </c>
      <c r="C27" s="11" t="s">
        <v>2007</v>
      </c>
      <c r="D27" s="11" t="s">
        <v>2007</v>
      </c>
      <c r="E27" s="11">
        <v>1</v>
      </c>
      <c r="F27" s="11">
        <v>1</v>
      </c>
      <c r="G27" s="12" t="s">
        <v>1468</v>
      </c>
      <c r="H27" s="2" t="s">
        <v>2067</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2116</v>
      </c>
      <c r="C28" s="11" t="s">
        <v>2008</v>
      </c>
      <c r="D28" s="11" t="s">
        <v>2008</v>
      </c>
      <c r="E28" s="11">
        <v>1</v>
      </c>
      <c r="F28" s="11">
        <v>1</v>
      </c>
      <c r="G28" s="12" t="s">
        <v>1468</v>
      </c>
      <c r="H28" s="12" t="s">
        <v>2068</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2117</v>
      </c>
      <c r="C29" s="11" t="s">
        <v>2009</v>
      </c>
      <c r="D29" s="11" t="s">
        <v>2009</v>
      </c>
      <c r="E29" s="11">
        <v>1</v>
      </c>
      <c r="F29" s="11">
        <v>1</v>
      </c>
      <c r="G29" s="12" t="s">
        <v>1468</v>
      </c>
      <c r="H29" s="12" t="s">
        <v>2069</v>
      </c>
      <c r="I29" s="12" t="b">
        <v>0</v>
      </c>
      <c r="J29" s="12" t="b">
        <v>1</v>
      </c>
      <c r="K29" s="11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2118</v>
      </c>
      <c r="C30" s="11" t="s">
        <v>2010</v>
      </c>
      <c r="D30" s="11" t="s">
        <v>2010</v>
      </c>
      <c r="E30" s="11">
        <v>1</v>
      </c>
      <c r="F30" s="11">
        <v>1</v>
      </c>
      <c r="G30" s="12" t="s">
        <v>1468</v>
      </c>
      <c r="H30" s="12" t="s">
        <v>2070</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2119</v>
      </c>
      <c r="C31" s="11" t="s">
        <v>2011</v>
      </c>
      <c r="D31" s="11" t="s">
        <v>2011</v>
      </c>
      <c r="E31" s="11">
        <v>1</v>
      </c>
      <c r="F31" s="11">
        <v>1</v>
      </c>
      <c r="G31" s="12" t="s">
        <v>1468</v>
      </c>
      <c r="H31" s="12" t="s">
        <v>2071</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2120</v>
      </c>
      <c r="C32" s="11" t="s">
        <v>2012</v>
      </c>
      <c r="D32" s="11" t="s">
        <v>2012</v>
      </c>
      <c r="E32" s="11">
        <v>1</v>
      </c>
      <c r="F32" s="11">
        <v>1</v>
      </c>
      <c r="G32" s="12" t="s">
        <v>1468</v>
      </c>
      <c r="H32" s="12" t="s">
        <v>2072</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2121</v>
      </c>
      <c r="C33" s="11" t="s">
        <v>2013</v>
      </c>
      <c r="D33" s="11" t="s">
        <v>2013</v>
      </c>
      <c r="E33" s="11">
        <v>1</v>
      </c>
      <c r="F33" s="11">
        <v>1</v>
      </c>
      <c r="G33" s="12" t="s">
        <v>1468</v>
      </c>
      <c r="H33" s="12" t="s">
        <v>2073</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2122</v>
      </c>
      <c r="C34" s="11" t="s">
        <v>2014</v>
      </c>
      <c r="D34" s="11" t="s">
        <v>2014</v>
      </c>
      <c r="E34" s="11">
        <v>1</v>
      </c>
      <c r="F34" s="11">
        <v>1</v>
      </c>
      <c r="G34" s="12" t="s">
        <v>1468</v>
      </c>
      <c r="H34" s="12" t="s">
        <v>2074</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2123</v>
      </c>
      <c r="C35" s="11" t="s">
        <v>2015</v>
      </c>
      <c r="D35" s="11" t="s">
        <v>2015</v>
      </c>
      <c r="E35" s="11">
        <v>1</v>
      </c>
      <c r="F35" s="11">
        <v>1</v>
      </c>
      <c r="G35" s="12" t="s">
        <v>1468</v>
      </c>
      <c r="H35" s="12" t="s">
        <v>2075</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2034</v>
      </c>
      <c r="C36" s="11" t="s">
        <v>2034</v>
      </c>
      <c r="D36" s="11" t="s">
        <v>2034</v>
      </c>
      <c r="E36" s="11">
        <v>1</v>
      </c>
      <c r="F36" s="113">
        <v>1</v>
      </c>
      <c r="G36" s="12" t="s">
        <v>1</v>
      </c>
      <c r="H36" s="12"/>
      <c r="I36" s="12" t="b">
        <v>1</v>
      </c>
      <c r="J36" s="12" t="b">
        <v>0</v>
      </c>
      <c r="K36" s="123"/>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2125</v>
      </c>
      <c r="C37" s="12" t="s">
        <v>1364</v>
      </c>
      <c r="D37" s="12" t="s">
        <v>1365</v>
      </c>
      <c r="E37" s="11">
        <v>1</v>
      </c>
      <c r="F37" s="11">
        <v>1</v>
      </c>
      <c r="G37" s="12" t="s">
        <v>1468</v>
      </c>
      <c r="H37" s="12" t="s">
        <v>2040</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2126</v>
      </c>
      <c r="C38" s="12" t="s">
        <v>1366</v>
      </c>
      <c r="D38" s="12" t="s">
        <v>1367</v>
      </c>
      <c r="E38" s="11">
        <v>1</v>
      </c>
      <c r="F38" s="11">
        <v>1</v>
      </c>
      <c r="G38" s="12" t="s">
        <v>1468</v>
      </c>
      <c r="H38" s="12" t="s">
        <v>2041</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2127</v>
      </c>
      <c r="C39" s="116" t="s">
        <v>1368</v>
      </c>
      <c r="D39" s="116" t="s">
        <v>1369</v>
      </c>
      <c r="E39" s="46">
        <v>1</v>
      </c>
      <c r="F39" s="46">
        <v>1</v>
      </c>
      <c r="G39" s="116" t="s">
        <v>1468</v>
      </c>
      <c r="H39" s="116" t="s">
        <v>2042</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2128</v>
      </c>
      <c r="C40" s="12" t="s">
        <v>1370</v>
      </c>
      <c r="D40" s="12" t="s">
        <v>1371</v>
      </c>
      <c r="E40" s="11">
        <v>1</v>
      </c>
      <c r="F40" s="11">
        <v>1</v>
      </c>
      <c r="G40" s="12" t="s">
        <v>1468</v>
      </c>
      <c r="H40" s="12" t="s">
        <v>2043</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2129</v>
      </c>
      <c r="C41" s="12" t="s">
        <v>1372</v>
      </c>
      <c r="D41" s="12" t="s">
        <v>1373</v>
      </c>
      <c r="E41" s="11">
        <v>1</v>
      </c>
      <c r="F41" s="11">
        <v>1</v>
      </c>
      <c r="G41" s="12" t="s">
        <v>1468</v>
      </c>
      <c r="H41" s="12" t="s">
        <v>2044</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2130</v>
      </c>
      <c r="C42" s="12" t="s">
        <v>1374</v>
      </c>
      <c r="D42" s="12" t="s">
        <v>1375</v>
      </c>
      <c r="E42" s="11">
        <v>1</v>
      </c>
      <c r="F42" s="11">
        <v>1</v>
      </c>
      <c r="G42" s="12" t="s">
        <v>1468</v>
      </c>
      <c r="H42" s="12" t="s">
        <v>2045</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2131</v>
      </c>
      <c r="C43" s="12" t="s">
        <v>1376</v>
      </c>
      <c r="D43" s="12" t="s">
        <v>1377</v>
      </c>
      <c r="E43" s="11">
        <v>1</v>
      </c>
      <c r="F43" s="11">
        <v>1</v>
      </c>
      <c r="G43" s="12" t="s">
        <v>1468</v>
      </c>
      <c r="H43" s="12" t="s">
        <v>2046</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2132</v>
      </c>
      <c r="C44" s="11" t="s">
        <v>2016</v>
      </c>
      <c r="D44" s="12" t="s">
        <v>2017</v>
      </c>
      <c r="E44" s="11">
        <v>1</v>
      </c>
      <c r="F44" s="11">
        <v>1</v>
      </c>
      <c r="G44" s="12" t="s">
        <v>1468</v>
      </c>
      <c r="H44" s="12" t="s">
        <v>2047</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2035</v>
      </c>
      <c r="C45" s="11" t="s">
        <v>2018</v>
      </c>
      <c r="D45" s="12" t="s">
        <v>2017</v>
      </c>
      <c r="E45" s="11">
        <v>1</v>
      </c>
      <c r="F45" s="11">
        <v>1</v>
      </c>
      <c r="G45" s="12" t="s">
        <v>1468</v>
      </c>
      <c r="H45" s="12" t="s">
        <v>2048</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2036</v>
      </c>
      <c r="C46" s="11" t="s">
        <v>2019</v>
      </c>
      <c r="D46" s="12" t="s">
        <v>2017</v>
      </c>
      <c r="E46" s="11">
        <v>1</v>
      </c>
      <c r="F46" s="11">
        <v>1</v>
      </c>
      <c r="G46" s="12" t="s">
        <v>1468</v>
      </c>
      <c r="H46" s="12" t="s">
        <v>2049</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2037</v>
      </c>
      <c r="C47" s="11" t="s">
        <v>2020</v>
      </c>
      <c r="D47" s="12" t="s">
        <v>2017</v>
      </c>
      <c r="E47" s="11">
        <v>1</v>
      </c>
      <c r="F47" s="11">
        <v>1</v>
      </c>
      <c r="G47" s="12" t="s">
        <v>1468</v>
      </c>
      <c r="H47" s="12" t="s">
        <v>2050</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2038</v>
      </c>
      <c r="C48" s="11" t="s">
        <v>2021</v>
      </c>
      <c r="D48" s="12" t="s">
        <v>2017</v>
      </c>
      <c r="E48" s="11">
        <v>1</v>
      </c>
      <c r="F48" s="11">
        <v>1</v>
      </c>
      <c r="G48" s="12" t="s">
        <v>1468</v>
      </c>
      <c r="H48" s="12" t="s">
        <v>2051</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2039</v>
      </c>
      <c r="C49" s="11" t="s">
        <v>2022</v>
      </c>
      <c r="D49" s="12" t="s">
        <v>2017</v>
      </c>
      <c r="E49" s="11">
        <v>1</v>
      </c>
      <c r="F49" s="11">
        <v>1</v>
      </c>
      <c r="G49" s="12" t="s">
        <v>1468</v>
      </c>
      <c r="H49" s="12" t="s">
        <v>2052</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2295</v>
      </c>
      <c r="C50" s="11" t="s">
        <v>2023</v>
      </c>
      <c r="D50" s="12" t="s">
        <v>2017</v>
      </c>
      <c r="E50" s="11">
        <v>1</v>
      </c>
      <c r="F50" s="11">
        <v>1</v>
      </c>
      <c r="G50" s="12" t="s">
        <v>1468</v>
      </c>
      <c r="H50" s="12" t="s">
        <v>2053</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2124</v>
      </c>
      <c r="C51" s="11" t="s">
        <v>2024</v>
      </c>
      <c r="D51" s="12" t="s">
        <v>2017</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2025</v>
      </c>
      <c r="C52" s="11" t="s">
        <v>2026</v>
      </c>
      <c r="D52" s="12" t="s">
        <v>2027</v>
      </c>
      <c r="E52" s="11">
        <v>1</v>
      </c>
      <c r="F52" s="11">
        <v>1</v>
      </c>
      <c r="G52" s="12" t="s">
        <v>1991</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2028</v>
      </c>
      <c r="C53" s="11" t="s">
        <v>2029</v>
      </c>
      <c r="D53" s="12" t="s">
        <v>2030</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2031</v>
      </c>
      <c r="C54" s="11" t="s">
        <v>2032</v>
      </c>
      <c r="D54" s="12" t="s">
        <v>2033</v>
      </c>
      <c r="E54" s="11">
        <v>1</v>
      </c>
      <c r="F54" s="11">
        <v>1</v>
      </c>
      <c r="G54" s="12" t="s">
        <v>1991</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2054</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2055</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1805</v>
      </c>
      <c r="D57" s="12" t="s">
        <v>1382</v>
      </c>
      <c r="E57" s="11">
        <v>0</v>
      </c>
      <c r="F57" s="11">
        <v>1</v>
      </c>
      <c r="G57" s="12" t="s">
        <v>1468</v>
      </c>
      <c r="H57" s="12" t="s">
        <v>2056</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1" t="str">
        <f>CancerEpisode!P1</f>
        <v>// -------------------------------------------------------------------------------</v>
      </c>
    </row>
    <row r="125" spans="3:3" x14ac:dyDescent="0.75">
      <c r="C125" s="121" t="str">
        <f>CancerEpisode!P2</f>
        <v>// Obligations H&amp;N</v>
      </c>
    </row>
    <row r="126" spans="3:3" x14ac:dyDescent="0.75">
      <c r="C126" s="121"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1" t="str">
        <f>CancerEpisode!R1</f>
        <v>// -------------------------------------------------------------------------------</v>
      </c>
    </row>
    <row r="184" spans="3:3" x14ac:dyDescent="0.75">
      <c r="C184" s="121" t="str">
        <f>CancerEpisode!R2</f>
        <v>// Obligations Sarcoma</v>
      </c>
    </row>
    <row r="185" spans="3:3" x14ac:dyDescent="0.75">
      <c r="C185" s="121"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D63" sqref="D6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46" t="s">
        <v>1486</v>
      </c>
      <c r="F4" s="147"/>
      <c r="G4" s="147"/>
    </row>
    <row r="5" spans="1:19" x14ac:dyDescent="0.75">
      <c r="B5" s="47" t="s">
        <v>10</v>
      </c>
      <c r="C5" s="7" t="s">
        <v>1483</v>
      </c>
      <c r="D5" s="47"/>
      <c r="E5" s="7"/>
    </row>
    <row r="6" spans="1:19" x14ac:dyDescent="0.75">
      <c r="B6" s="47" t="s">
        <v>18</v>
      </c>
      <c r="C6" s="41"/>
      <c r="D6" s="47" t="s">
        <v>1475</v>
      </c>
      <c r="E6" s="146" t="str">
        <f>E3</f>
        <v>http://hl7.eu/fhir/ig/idea4rc/StructureDefinition/CancerEpisode</v>
      </c>
      <c r="F6" s="147"/>
      <c r="G6" s="147"/>
    </row>
    <row r="7" spans="1:19" x14ac:dyDescent="0.75">
      <c r="B7" s="47" t="s">
        <v>15</v>
      </c>
      <c r="C7" s="72"/>
      <c r="D7" s="47" t="s">
        <v>1476</v>
      </c>
      <c r="E7" s="146" t="s">
        <v>1486</v>
      </c>
      <c r="F7" s="147"/>
      <c r="G7" s="147"/>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0"/>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2303</v>
      </c>
      <c r="E16" s="11"/>
      <c r="F16" s="49" t="s">
        <v>1294</v>
      </c>
      <c r="G16" s="74" t="s">
        <v>2423</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2419</v>
      </c>
      <c r="E17" s="11"/>
      <c r="F17" s="49" t="s">
        <v>1294</v>
      </c>
      <c r="G17" s="74" t="s">
        <v>2302</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2419</v>
      </c>
      <c r="E18" s="11"/>
      <c r="F18" s="49" t="s">
        <v>1294</v>
      </c>
      <c r="G18" s="74" t="s">
        <v>2302</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2419</v>
      </c>
      <c r="E19" s="11"/>
      <c r="F19" s="49" t="s">
        <v>1294</v>
      </c>
      <c r="G19" s="74" t="s">
        <v>2302</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2420</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2301</v>
      </c>
      <c r="E21" s="11"/>
      <c r="F21" s="49" t="s">
        <v>1316</v>
      </c>
      <c r="G21" s="144" t="s">
        <v>2421</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2422</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8"/>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8"/>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8"/>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8"/>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8"/>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8"/>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8"/>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8"/>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2422</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8"/>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8"/>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8"/>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8"/>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8"/>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8"/>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8"/>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8"/>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8"/>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8"/>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8"/>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8"/>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8"/>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8"/>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8"/>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8"/>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8"/>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8"/>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8"/>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8"/>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8"/>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8"/>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8"/>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8"/>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8"/>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8"/>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8"/>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2424</v>
      </c>
      <c r="E60" s="12"/>
      <c r="F60" s="49" t="s">
        <v>1316</v>
      </c>
      <c r="G60" s="145" t="s">
        <v>2426</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2300</v>
      </c>
      <c r="E61" s="12"/>
      <c r="F61" s="49" t="s">
        <v>1316</v>
      </c>
      <c r="G61" s="158"/>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103.25" x14ac:dyDescent="0.75">
      <c r="A62" s="12" t="str">
        <f>CancerEpisode!B54</f>
        <v>biopsyMitoticCount</v>
      </c>
      <c r="B62" s="11" t="str">
        <f>CancerEpisode!B54</f>
        <v>biopsyMitoticCount</v>
      </c>
      <c r="C62" s="11" t="str">
        <f>CancerEpisode!C54</f>
        <v xml:space="preserve">Biopsy Mitotic count </v>
      </c>
      <c r="D62" s="12" t="s">
        <v>2427</v>
      </c>
      <c r="E62" s="12"/>
      <c r="F62" s="49" t="s">
        <v>1294</v>
      </c>
      <c r="G62" s="91" t="s">
        <v>2297</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$sct#371472000 Mitotic count score
NOTE : code to be checked !##34#</v>
      </c>
      <c r="P62" s="11">
        <v>48</v>
      </c>
      <c r="Q62" s="11">
        <f t="shared" si="13"/>
        <v>7</v>
      </c>
      <c r="R62" s="11">
        <f t="shared" si="14"/>
        <v>6</v>
      </c>
      <c r="S62" s="12" t="str" cm="1">
        <f t="array" ref="S62">INDEX('CancerEpisode-ConceptMap-1'!$I$15:$N$152,Q62+1,R62)</f>
        <v/>
      </c>
    </row>
    <row r="63" spans="1:19" ht="103.25" x14ac:dyDescent="0.75">
      <c r="A63" s="12" t="str">
        <f>CancerEpisode!B55</f>
        <v>plasmaticEbvDnaAtBaseline</v>
      </c>
      <c r="B63" s="11" t="str">
        <f>CancerEpisode!B55</f>
        <v>plasmaticEbvDnaAtBaseline</v>
      </c>
      <c r="C63" s="11" t="str">
        <f>CancerEpisode!C55</f>
        <v>Plasmatic EBV DNA at baseline</v>
      </c>
      <c r="D63" s="12" t="s">
        <v>2425</v>
      </c>
      <c r="E63" s="12"/>
      <c r="F63" s="49" t="s">
        <v>1294</v>
      </c>
      <c r="G63" s="91" t="s">
        <v>2296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43730-1 EBV DNA NAA+probe Qn.
NOTE : code to be changed !##34#</v>
      </c>
      <c r="P63" s="11">
        <v>49</v>
      </c>
      <c r="Q63" s="11">
        <f t="shared" si="13"/>
        <v>8</v>
      </c>
      <c r="R63" s="11">
        <f t="shared" si="14"/>
        <v>1</v>
      </c>
      <c r="S63" s="12" t="str" cm="1">
        <f t="array" ref="S63">INDEX('CancerEpisode-ConceptMap-1'!$I$15:$N$152,Q63+1,R63)</f>
        <v>* group[=].element[+].code = #CancerEpisode.hnClassification</v>
      </c>
    </row>
    <row r="64" spans="1:19" ht="132.75" x14ac:dyDescent="0.75">
      <c r="A64" s="12" t="str">
        <f>CancerEpisode!B56</f>
        <v>hpvStatus</v>
      </c>
      <c r="B64" s="11" t="str">
        <f>CancerEpisode!B56</f>
        <v>hpvStatus</v>
      </c>
      <c r="C64" s="11" t="str">
        <f>CancerEpisode!C56</f>
        <v>HPV status</v>
      </c>
      <c r="D64" s="12" t="s">
        <v>2425</v>
      </c>
      <c r="E64" s="12"/>
      <c r="F64" s="49" t="s">
        <v>1294</v>
      </c>
      <c r="G64" s="91" t="s">
        <v>2298</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77377-0 HPV 16 and 18 and 31+33+35+39+45+51+52+56+58+59+66+68 DNA (Specimen) [Interp]
NOTE : code to be checked !##34#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2425</v>
      </c>
      <c r="E65" s="12"/>
      <c r="F65" s="49" t="s">
        <v>1294</v>
      </c>
      <c r="G65" s="91" t="s">
        <v>2299</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11039-5 C reactive protein [Presence] in Serum or Plasma
NOTE : code to be checked !##34#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29.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44.25" x14ac:dyDescent="0.75">
      <c r="P302" s="11">
        <v>288</v>
      </c>
      <c r="Q302" s="11">
        <f t="shared" si="27"/>
        <v>47</v>
      </c>
      <c r="R302" s="11">
        <f t="shared" si="28"/>
        <v>6</v>
      </c>
      <c r="S302" s="12" t="str" cm="1">
        <f t="array" ref="S302">INDEX('CancerEpisode-ConceptMap-1'!$I$15:$N$152,Q302+1,R302)</f>
        <v>* group[=].element[=].target.comment = ##34#Where evidence.code is $sct#371472000 Mitotic count score
NOTE : code to be checked !##34#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44.25" x14ac:dyDescent="0.75">
      <c r="P308" s="11">
        <v>294</v>
      </c>
      <c r="Q308" s="11">
        <f t="shared" si="27"/>
        <v>48</v>
      </c>
      <c r="R308" s="11">
        <f t="shared" si="28"/>
        <v>6</v>
      </c>
      <c r="S308" s="12" t="str" cm="1">
        <f t="array" ref="S308">INDEX('CancerEpisode-ConceptMap-1'!$I$15:$N$152,Q308+1,R308)</f>
        <v>* group[=].element[=].target.comment = ##34#Where evidence.code is 43730-1 EBV DNA NAA+probe Qn.
NOTE : code to be changed !##34#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44.25" x14ac:dyDescent="0.75">
      <c r="P314" s="11">
        <v>300</v>
      </c>
      <c r="Q314" s="11">
        <f t="shared" si="27"/>
        <v>49</v>
      </c>
      <c r="R314" s="11">
        <f t="shared" si="28"/>
        <v>6</v>
      </c>
      <c r="S314" s="12" t="str" cm="1">
        <f t="array" ref="S314">INDEX('CancerEpisode-ConceptMap-1'!$I$15:$N$152,Q314+1,R314)</f>
        <v>* group[=].element[=].target.comment = ##34#Where evidence.code is 77377-0 HPV 16 and 18 and 31+33+35+39+45+51+52+56+58+59+66+68 DNA (Specimen) [Interp]
NOTE : code to be checked !##34#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44.25" x14ac:dyDescent="0.75">
      <c r="P320" s="11">
        <v>306</v>
      </c>
      <c r="Q320" s="11">
        <f t="shared" si="27"/>
        <v>50</v>
      </c>
      <c r="R320" s="11">
        <f t="shared" si="28"/>
        <v>6</v>
      </c>
      <c r="S320" s="12" t="str" cm="1">
        <f t="array" ref="S320">INDEX('CancerEpisode-ConceptMap-1'!$I$15:$N$152,Q320+1,R320)</f>
        <v>* group[=].element[=].target.comment = ##34#Where evidence.code is 11039-5 C reactive protein [Presence] in Serum or Plasma
NOTE : code to be checked !##34#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46" t="str">
        <f>E3</f>
        <v>http://hl7.eu/fhir/ig/idea4rc/StructureDefinition/CancerEpisode</v>
      </c>
      <c r="F6" s="147"/>
      <c r="G6" s="147"/>
    </row>
    <row r="7" spans="1:19" x14ac:dyDescent="0.75">
      <c r="B7" s="47" t="s">
        <v>15</v>
      </c>
      <c r="C7" s="72"/>
      <c r="D7" s="47" t="s">
        <v>1476</v>
      </c>
      <c r="E7" s="146" t="s">
        <v>1551</v>
      </c>
      <c r="F7" s="147"/>
      <c r="G7" s="147"/>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2306</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tabSelected="1"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ht="29.5" x14ac:dyDescent="0.75">
      <c r="B306" s="12" t="str">
        <f>IF('CancerEpisode-ConceptMap-1'!S302=0,"//---END",'CancerEpisode-ConceptMap-1'!S302)</f>
        <v>* group[=].element[=].target.comment = ##34#Where evidence.code is $sct#371472000 Mitotic count score
NOTE : code to be checked !##34#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43730-1 EBV DNA NAA+probe Qn.
NOTE : code to be changed !##34#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44.25" x14ac:dyDescent="0.75">
      <c r="B318" s="12" t="str">
        <f>IF('CancerEpisode-ConceptMap-1'!S314=0,"//---END",'CancerEpisode-ConceptMap-1'!S314)</f>
        <v>* group[=].element[=].target.comment = ##34#Where evidence.code is 77377-0 HPV 16 and 18 and 31+33+35+39+45+51+52+56+58+59+66+68 DNA (Specimen) [Interp]
NOTE : code to be checked !##34#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29.5" x14ac:dyDescent="0.75">
      <c r="B324" s="12" t="str">
        <f>IF('CancerEpisode-ConceptMap-1'!S320=0,"//---END",'CancerEpisode-ConceptMap-1'!S320)</f>
        <v>* group[=].element[=].target.comment = ##34#Where evidence.code is 11039-5 C reactive protein [Presence] in Serum or Plasma
NOTE : code to be checked !##34#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A4" zoomScale="85" zoomScaleNormal="85" workbookViewId="0">
      <selection activeCell="B10" sqref="B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2084</v>
      </c>
      <c r="R2" s="24" t="s">
        <v>2085</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1917</v>
      </c>
      <c r="L4" s="16" t="str">
        <f>CONCATENATE("Logical: ",B4)</f>
        <v>Logical: EpisodeEventI4rc</v>
      </c>
    </row>
    <row r="5" spans="1:18" ht="19.899999999999999" customHeight="1" x14ac:dyDescent="0.75">
      <c r="A5" s="14" t="s">
        <v>16</v>
      </c>
      <c r="B5" s="31" t="s">
        <v>1602</v>
      </c>
      <c r="L5" s="16" t="str">
        <f>CONCATENATE("Id: ",B5)</f>
        <v>Id: EpisodeEvent</v>
      </c>
    </row>
    <row r="6" spans="1:18" ht="19.899999999999999" customHeight="1" x14ac:dyDescent="0.75">
      <c r="A6" s="14" t="s">
        <v>10</v>
      </c>
      <c r="B6" s="32" t="s">
        <v>1563</v>
      </c>
      <c r="L6" s="17" t="str">
        <f>CONCATENATE("Title: ##34#",B6,"##34#")</f>
        <v>Title: ##34#Episode Event##34#</v>
      </c>
    </row>
    <row r="7" spans="1:18" ht="19.899999999999999" customHeight="1" x14ac:dyDescent="0.75">
      <c r="A7" s="26" t="s">
        <v>2</v>
      </c>
      <c r="B7" s="32" t="s">
        <v>1563</v>
      </c>
      <c r="C7" s="9" t="s">
        <v>3</v>
      </c>
      <c r="D7" s="1" t="s">
        <v>4</v>
      </c>
      <c r="E7" s="3" t="s">
        <v>5</v>
      </c>
      <c r="F7" s="3" t="s">
        <v>6</v>
      </c>
      <c r="G7" s="3" t="s">
        <v>7</v>
      </c>
      <c r="H7" s="64" t="s">
        <v>1384</v>
      </c>
      <c r="I7" s="119" t="s">
        <v>2082</v>
      </c>
      <c r="J7" s="119" t="s">
        <v>2083</v>
      </c>
      <c r="L7" s="17" t="str">
        <f>CONCATENATE("Description: "," ##334#",B7,"##334#",)</f>
        <v>Description:  ##334#Episode Event##334#</v>
      </c>
    </row>
    <row r="8" spans="1:18" ht="20.25" customHeight="1"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12" t="s">
        <v>2080</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2081</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70" zoomScaleNormal="70" workbookViewId="0">
      <selection activeCell="B17" sqref="B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1614</v>
      </c>
      <c r="D3" s="47" t="s">
        <v>1473</v>
      </c>
      <c r="E3" s="71" t="str">
        <f>$C$1&amp;EpisodeEvent!B4</f>
        <v>http://hl7.eu/fhir/ig/idea4rc/StructureDefinition/EpisodeEventI4rc</v>
      </c>
    </row>
    <row r="4" spans="1:19" x14ac:dyDescent="0.75">
      <c r="B4" s="47" t="s">
        <v>16</v>
      </c>
      <c r="C4" s="28" t="s">
        <v>1619</v>
      </c>
      <c r="D4" s="47" t="s">
        <v>1474</v>
      </c>
      <c r="E4" s="146" t="s">
        <v>1486</v>
      </c>
      <c r="F4" s="147"/>
      <c r="G4" s="147"/>
    </row>
    <row r="5" spans="1:19" x14ac:dyDescent="0.75">
      <c r="B5" s="47" t="s">
        <v>10</v>
      </c>
      <c r="C5" s="7" t="s">
        <v>1615</v>
      </c>
      <c r="D5" s="47"/>
      <c r="E5" s="7"/>
    </row>
    <row r="6" spans="1:19" x14ac:dyDescent="0.75">
      <c r="B6" s="47" t="s">
        <v>18</v>
      </c>
      <c r="C6" s="41"/>
      <c r="D6" s="47" t="s">
        <v>1475</v>
      </c>
      <c r="E6" s="146" t="str">
        <f>E3</f>
        <v>http://hl7.eu/fhir/ig/idea4rc/StructureDefinition/EpisodeEventI4rc</v>
      </c>
      <c r="F6" s="147"/>
      <c r="G6" s="147"/>
    </row>
    <row r="7" spans="1:19" x14ac:dyDescent="0.75">
      <c r="B7" s="47" t="s">
        <v>15</v>
      </c>
      <c r="C7" s="72"/>
      <c r="D7" s="47" t="s">
        <v>1476</v>
      </c>
      <c r="E7" s="146" t="s">
        <v>1486</v>
      </c>
      <c r="F7" s="147"/>
      <c r="G7" s="147"/>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3"/>
      <c r="E9" s="151"/>
      <c r="F9" s="152"/>
      <c r="G9" s="153"/>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2307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2374</v>
      </c>
      <c r="E18" s="12"/>
      <c r="F18" s="49" t="s">
        <v>1294</v>
      </c>
      <c r="G18" s="76" t="s">
        <v>2375</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7" t="str">
        <f>EpisodeEvent!B11</f>
        <v>dateOfEpisode</v>
      </c>
      <c r="C19" s="11" t="str">
        <f>EpisodeEvent!C11</f>
        <v>Date of episode</v>
      </c>
      <c r="D19" s="12" t="s">
        <v>2308</v>
      </c>
      <c r="E19" s="12"/>
      <c r="F19" s="49" t="s">
        <v>1317</v>
      </c>
      <c r="G19" s="76" t="s">
        <v>2309</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GeneticTestExpressionI4rc</v>
      </c>
    </row>
    <row r="5" spans="1:18" ht="15.5" thickBot="1" x14ac:dyDescent="0.9">
      <c r="A5" s="14" t="s">
        <v>16</v>
      </c>
      <c r="B5" s="30" t="s">
        <v>1884</v>
      </c>
      <c r="L5" s="16" t="str">
        <f>CONCATENATE("Id: ",B5)</f>
        <v>Id: GeneticTestExpression</v>
      </c>
    </row>
    <row r="6" spans="1:18" ht="15.5" thickBot="1" x14ac:dyDescent="0.9">
      <c r="A6" s="14" t="s">
        <v>10</v>
      </c>
      <c r="B6" s="30" t="s">
        <v>1885</v>
      </c>
      <c r="L6" s="17" t="str">
        <f>CONCATENATE("Title: ##34#",B6,"##34#")</f>
        <v>Title: ##34#Genetic Test Expression##34#</v>
      </c>
    </row>
    <row r="7" spans="1:18" x14ac:dyDescent="0.75">
      <c r="A7" s="26" t="s">
        <v>2</v>
      </c>
      <c r="B7" s="96" t="s">
        <v>1885</v>
      </c>
      <c r="C7" s="9" t="s">
        <v>3</v>
      </c>
      <c r="D7" s="1" t="s">
        <v>4</v>
      </c>
      <c r="E7" s="3" t="s">
        <v>5</v>
      </c>
      <c r="F7" s="3" t="s">
        <v>6</v>
      </c>
      <c r="G7" s="3" t="s">
        <v>7</v>
      </c>
      <c r="H7" s="64" t="s">
        <v>1384</v>
      </c>
      <c r="I7" s="119" t="s">
        <v>2082</v>
      </c>
      <c r="J7" s="119" t="s">
        <v>2083</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1886</v>
      </c>
      <c r="C9" s="143" t="s">
        <v>2401</v>
      </c>
      <c r="D9" t="s">
        <v>1887</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1888</v>
      </c>
      <c r="C10" s="143" t="s">
        <v>1889</v>
      </c>
      <c r="D10" t="s">
        <v>1889</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1890</v>
      </c>
      <c r="C11" s="143" t="s">
        <v>2402</v>
      </c>
      <c r="D11" t="s">
        <v>1891</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1892</v>
      </c>
      <c r="C12" s="143" t="s">
        <v>1893</v>
      </c>
      <c r="D12" t="s">
        <v>1893</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1894</v>
      </c>
      <c r="C13" s="143" t="s">
        <v>2403</v>
      </c>
      <c r="D13" t="s">
        <v>1895</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1896</v>
      </c>
      <c r="C14" s="143" t="s">
        <v>1897</v>
      </c>
      <c r="D14" t="s">
        <v>1897</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2133</v>
      </c>
      <c r="C15" s="143" t="s">
        <v>2404</v>
      </c>
      <c r="D15" t="s">
        <v>1898</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1899</v>
      </c>
      <c r="C16" s="143" t="s">
        <v>1900</v>
      </c>
      <c r="D16" t="s">
        <v>1900</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2134</v>
      </c>
      <c r="C17" s="143" t="s">
        <v>2405</v>
      </c>
      <c r="D17" t="s">
        <v>1901</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1902</v>
      </c>
      <c r="C18" s="143" t="s">
        <v>1903</v>
      </c>
      <c r="D18" t="s">
        <v>1903</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1904</v>
      </c>
      <c r="C19" s="143" t="s">
        <v>2406</v>
      </c>
      <c r="D19" t="s">
        <v>1905</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1906</v>
      </c>
      <c r="C20" s="143" t="s">
        <v>1907</v>
      </c>
      <c r="D20" t="s">
        <v>1907</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2135</v>
      </c>
      <c r="C21" s="143" t="s">
        <v>2407</v>
      </c>
      <c r="D21" t="s">
        <v>1908</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1909</v>
      </c>
      <c r="C22" s="143" t="s">
        <v>1910</v>
      </c>
      <c r="D22" t="s">
        <v>1910</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GeneticTestExpression!L1</f>
        <v>//===================================================</v>
      </c>
    </row>
    <row r="2" spans="3:7" ht="16.75" thickBot="1" x14ac:dyDescent="0.9">
      <c r="C2" s="24" t="str">
        <f>GeneticTestExpression!L2</f>
        <v>//  Logical Model</v>
      </c>
      <c r="G2" s="29" t="s">
        <v>1911</v>
      </c>
    </row>
    <row r="3" spans="3:7" x14ac:dyDescent="0.75">
      <c r="C3" s="24" t="str">
        <f>GeneticTestExpression!L3</f>
        <v>//===================================================</v>
      </c>
    </row>
    <row r="4" spans="3:7" x14ac:dyDescent="0.75">
      <c r="C4" s="100" t="str">
        <f>GeneticTestExpression!L4</f>
        <v>Logical: GeneticTestExpressionI4rc</v>
      </c>
    </row>
    <row r="5" spans="3:7" x14ac:dyDescent="0.75">
      <c r="C5" s="100" t="str">
        <f>GeneticTestExpression!L5</f>
        <v>Id: GeneticTestExpression</v>
      </c>
    </row>
    <row r="6" spans="3:7" x14ac:dyDescent="0.75">
      <c r="C6" s="100" t="str">
        <f>GeneticTestExpression!L6</f>
        <v>Title: ##34#Genetic Test Expression##34#</v>
      </c>
    </row>
    <row r="7" spans="3:7" x14ac:dyDescent="0.75">
      <c r="C7" s="100" t="str">
        <f>GeneticTestExpression!L7</f>
        <v>Description:  ##334#Genetic Test Expression##334#</v>
      </c>
    </row>
    <row r="8" spans="3:7" ht="29.5" x14ac:dyDescent="0.75">
      <c r="C8" s="101"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1" t="str">
        <f>IF(GeneticTestExpression!L9="*  ..  ##34###34# ##334###334#","//--- END",GeneticTestExpression!L9)</f>
        <v>* geneExpressionAnalysisPerformed 0..1 boolean ##34#Is a gene expression analysis performed ?##34# ##334#Clarifies whether a gene expression analysis is performed##334#</v>
      </c>
    </row>
    <row r="10" spans="3:7" x14ac:dyDescent="0.75">
      <c r="C10" s="101" t="str">
        <f>IF(GeneticTestExpression!L10="*  ..  ##34###34# ##334###334#","//--- END",GeneticTestExpression!L10)</f>
        <v>* dateOfGeneExpression 0..1 date ##34#Date of the gene expression analysis##34# ##334#Date of the gene expression analysis##334#</v>
      </c>
    </row>
    <row r="11" spans="3:7" ht="29.5" x14ac:dyDescent="0.75">
      <c r="C11" s="101" t="str">
        <f>IF(GeneticTestExpression!L11="*  ..  ##34###34# ##334###334#","//--- END",GeneticTestExpression!L11)</f>
        <v>* geneMutationAnalysisPerformed 0..1 boolean ##34#Is a gene mutation analysis performed ?##34# ##334#Clarifies whether a gene mutation analysis is performed##334#</v>
      </c>
    </row>
    <row r="12" spans="3:7" x14ac:dyDescent="0.75">
      <c r="C12" s="101" t="str">
        <f>IF(GeneticTestExpression!L12="*  ..  ##34###34# ##334###334#","//--- END",GeneticTestExpression!L12)</f>
        <v>* dateOfGeneMutation 0..1 date ##34#Date of the gene mutation analysis##34# ##334#Date of the gene mutation analysis##334#</v>
      </c>
    </row>
    <row r="13" spans="3:7" ht="29.5" x14ac:dyDescent="0.75">
      <c r="C13" s="101"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1" t="str">
        <f>IF(GeneticTestExpression!L14="*  ..  ##34###34# ##334###334#","//--- END",GeneticTestExpression!L14)</f>
        <v>* dateOfTraslocation 0..1 date ##34#Date of the Chromosome translocation test##34# ##334#Date of the Chromosome translocation test##334#</v>
      </c>
    </row>
    <row r="15" spans="3:7" ht="29.5" x14ac:dyDescent="0.75">
      <c r="C15" s="101" t="str">
        <f>IF(GeneticTestExpression!L15="*  ..  ##34###34# ##334###334#","//--- END",GeneticTestExpression!L15)</f>
        <v>* ngsPerformed 0..1 boolean ##34#Is a NGS analysis performed ?##34# ##334#Clarifies whether a NGS analysis is performed##334#</v>
      </c>
    </row>
    <row r="16" spans="3:7" x14ac:dyDescent="0.75">
      <c r="C16" s="101" t="str">
        <f>IF(GeneticTestExpression!L16="*  ..  ##34###34# ##334###334#","//--- END",GeneticTestExpression!L16)</f>
        <v>* dateOfNgs 0..1 date ##34#Date of the NGS analysis##34# ##334#Date of the NGS analysis##334#</v>
      </c>
    </row>
    <row r="17" spans="3:3" ht="29.5" x14ac:dyDescent="0.75">
      <c r="C17" s="101" t="str">
        <f>IF(GeneticTestExpression!L17="*  ..  ##34###34# ##334###334#","//--- END",GeneticTestExpression!L17)</f>
        <v>* pcrTestPerformed 0..1 boolean ##34#Is a PCR analysis performed ?##34# ##334#Clarifies whether a PCR analysis is performed##334#</v>
      </c>
    </row>
    <row r="18" spans="3:3" x14ac:dyDescent="0.75">
      <c r="C18" s="101" t="str">
        <f>IF(GeneticTestExpression!L18="*  ..  ##34###34# ##334###334#","//--- END",GeneticTestExpression!L18)</f>
        <v>* dateOfPcr 0..1 date ##34#Date of the PCR analysis##34# ##334#Date of the PCR analysis##334#</v>
      </c>
    </row>
    <row r="19" spans="3:3" ht="29.5" x14ac:dyDescent="0.75">
      <c r="C19" s="101"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1" t="str">
        <f>IF(GeneticTestExpression!L20="*  ..  ##34###34# ##334###334#","//--- END",GeneticTestExpression!L20)</f>
        <v>* dateOfImmunohistochemistry 0..1 date ##34#Date of the immunohiostochemestry analysis##34# ##334#Date of the immunohiostochemestry analysis##334#</v>
      </c>
    </row>
    <row r="21" spans="3:3" ht="29.5" x14ac:dyDescent="0.75">
      <c r="C21" s="101" t="str">
        <f>IF(GeneticTestExpression!L21="*  ..  ##34###34# ##334###334#","//--- END",GeneticTestExpression!L21)</f>
        <v>* ctDnaPerformed 0..1 boolean ##34#Is a ctDNA analysis performed ?##34# ##334#Clarifies whether a ctDNA analysis is performed##334#</v>
      </c>
    </row>
    <row r="22" spans="3:3" x14ac:dyDescent="0.75">
      <c r="C22" s="101" t="str">
        <f>IF(GeneticTestExpression!L22="*  ..  ##34###34# ##334###334#","//--- END",GeneticTestExpression!L22)</f>
        <v>* dateOfCtdna 0..1 date ##34#Date of the ctDNA analysis##34# ##334#Date of the ctDNA analysis##334#</v>
      </c>
    </row>
    <row r="23" spans="3:3" x14ac:dyDescent="0.75">
      <c r="C23" s="101" t="str">
        <f>IF(GeneticTestExpression!L23="*  ..  ##34###34# ##334###334#","//--- END",GeneticTestExpression!L23)</f>
        <v>//--- END</v>
      </c>
    </row>
    <row r="24" spans="3:3" x14ac:dyDescent="0.75">
      <c r="C24" s="101" t="str">
        <f>IF(GeneticTestExpression!L24="*  ..  ##34###34# ##334###334#","//--- END",GeneticTestExpression!L24)</f>
        <v>//--- END</v>
      </c>
    </row>
    <row r="25" spans="3:3" x14ac:dyDescent="0.75">
      <c r="C25" s="101" t="str">
        <f>IF(GeneticTestExpression!L25="*  ..  ##34###34# ##334###334#","//--- END",GeneticTestExpression!L25)</f>
        <v>//--- END</v>
      </c>
    </row>
    <row r="26" spans="3:3" x14ac:dyDescent="0.75">
      <c r="C26" s="101" t="str">
        <f>IF(GeneticTestExpression!L26="*  ..  ##34###34# ##334###334#","//--- END",GeneticTestExpression!L26)</f>
        <v>//--- END</v>
      </c>
    </row>
    <row r="27" spans="3:3" x14ac:dyDescent="0.75">
      <c r="C27" s="101"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2398</v>
      </c>
      <c r="D3" s="47" t="s">
        <v>1473</v>
      </c>
      <c r="E3" s="71" t="str">
        <f>$C$1&amp;B14</f>
        <v>http://hl7.eu/fhir/ig/idea4rc/StructureDefinition/GeneticTestExpressionI4rc</v>
      </c>
    </row>
    <row r="4" spans="1:19" x14ac:dyDescent="0.75">
      <c r="B4" s="47" t="s">
        <v>16</v>
      </c>
      <c r="C4" s="28" t="s">
        <v>2397</v>
      </c>
      <c r="D4" s="47" t="s">
        <v>1474</v>
      </c>
      <c r="E4" s="146" t="s">
        <v>1486</v>
      </c>
      <c r="F4" s="147"/>
      <c r="G4" s="147"/>
    </row>
    <row r="5" spans="1:19" x14ac:dyDescent="0.75">
      <c r="B5" s="47" t="s">
        <v>10</v>
      </c>
      <c r="C5" s="7" t="s">
        <v>2399</v>
      </c>
      <c r="D5" s="47"/>
      <c r="E5" s="7"/>
    </row>
    <row r="6" spans="1:19" x14ac:dyDescent="0.75">
      <c r="B6" s="47" t="s">
        <v>18</v>
      </c>
      <c r="C6" s="41"/>
      <c r="D6" s="47" t="s">
        <v>1475</v>
      </c>
      <c r="E6" s="146" t="str">
        <f>E3</f>
        <v>http://hl7.eu/fhir/ig/idea4rc/StructureDefinition/GeneticTestExpressionI4rc</v>
      </c>
      <c r="F6" s="147"/>
      <c r="G6" s="147"/>
    </row>
    <row r="7" spans="1:19" x14ac:dyDescent="0.75">
      <c r="B7" s="47" t="s">
        <v>15</v>
      </c>
      <c r="C7" s="72"/>
      <c r="D7" s="47" t="s">
        <v>1476</v>
      </c>
      <c r="E7" s="146" t="s">
        <v>1486</v>
      </c>
      <c r="F7" s="147"/>
      <c r="G7" s="147"/>
    </row>
    <row r="8" spans="1:19" ht="45" thickBot="1" x14ac:dyDescent="0.9">
      <c r="B8" s="47" t="s">
        <v>1477</v>
      </c>
      <c r="C8" s="7" t="s">
        <v>2399</v>
      </c>
      <c r="D8" s="47"/>
      <c r="E8" s="7"/>
      <c r="I8" s="12" t="s">
        <v>1289</v>
      </c>
      <c r="J8" s="12" t="s">
        <v>1290</v>
      </c>
      <c r="K8" s="12" t="s">
        <v>1291</v>
      </c>
      <c r="L8" s="12" t="s">
        <v>1292</v>
      </c>
      <c r="M8" s="11" t="s">
        <v>1293</v>
      </c>
      <c r="P8" s="34" t="s">
        <v>1328</v>
      </c>
      <c r="Q8" s="34">
        <v>6</v>
      </c>
    </row>
    <row r="9" spans="1:19" ht="15.5" thickBot="1" x14ac:dyDescent="0.9">
      <c r="B9" s="47" t="s">
        <v>1478</v>
      </c>
      <c r="C9" s="12" t="s">
        <v>2400</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2408</v>
      </c>
      <c r="E16" s="12"/>
      <c r="F16" s="49" t="s">
        <v>1316</v>
      </c>
      <c r="G16" s="77" t="s">
        <v>2410</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2409</v>
      </c>
      <c r="E17" s="12"/>
      <c r="F17" s="49" t="s">
        <v>1316</v>
      </c>
      <c r="G17" s="77" t="s">
        <v>2411</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2408</v>
      </c>
      <c r="E18" s="12"/>
      <c r="F18" s="49" t="s">
        <v>1316</v>
      </c>
      <c r="G18" s="77" t="s">
        <v>2412</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2409</v>
      </c>
      <c r="E19" s="12"/>
      <c r="F19" s="49" t="s">
        <v>1316</v>
      </c>
      <c r="G19" s="77" t="s">
        <v>2412</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2408</v>
      </c>
      <c r="E20" s="12"/>
      <c r="F20" s="49" t="s">
        <v>1316</v>
      </c>
      <c r="G20" s="77" t="s">
        <v>2413</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2409</v>
      </c>
      <c r="E21" s="12"/>
      <c r="F21" s="49" t="s">
        <v>1316</v>
      </c>
      <c r="G21" s="77" t="s">
        <v>2413</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2408</v>
      </c>
      <c r="E22" s="12"/>
      <c r="F22" s="49" t="s">
        <v>1316</v>
      </c>
      <c r="G22" s="77" t="s">
        <v>2414</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2409</v>
      </c>
      <c r="E23" s="12"/>
      <c r="F23" s="49" t="s">
        <v>1316</v>
      </c>
      <c r="G23" s="77" t="s">
        <v>2414</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2408</v>
      </c>
      <c r="E24" s="12"/>
      <c r="F24" s="49" t="s">
        <v>1316</v>
      </c>
      <c r="G24" s="77" t="s">
        <v>2415</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2409</v>
      </c>
      <c r="E25" s="12"/>
      <c r="F25" s="49" t="s">
        <v>1316</v>
      </c>
      <c r="G25" s="77" t="s">
        <v>2415</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2408</v>
      </c>
      <c r="E26" s="12"/>
      <c r="F26" s="49" t="s">
        <v>1316</v>
      </c>
      <c r="G26" s="77" t="s">
        <v>2416</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2409</v>
      </c>
      <c r="E27" s="12"/>
      <c r="F27" s="49" t="s">
        <v>1316</v>
      </c>
      <c r="G27" s="77" t="s">
        <v>2416</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2408</v>
      </c>
      <c r="E28" s="12"/>
      <c r="F28" s="49" t="s">
        <v>1316</v>
      </c>
      <c r="G28" s="77" t="s">
        <v>2417</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2409</v>
      </c>
      <c r="E29" s="12"/>
      <c r="F29" s="49" t="s">
        <v>1316</v>
      </c>
      <c r="G29" s="77" t="s">
        <v>2417</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2418</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2084</v>
      </c>
      <c r="R2" s="24" t="s">
        <v>2085</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2178</v>
      </c>
      <c r="L4" s="16" t="str">
        <f>CONCATENATE("Logical: ",B4)</f>
        <v>Logical: StageI4rc</v>
      </c>
    </row>
    <row r="5" spans="1:18" ht="19.899999999999999" customHeight="1" x14ac:dyDescent="0.75">
      <c r="A5" s="14" t="s">
        <v>16</v>
      </c>
      <c r="B5" s="31" t="s">
        <v>2179</v>
      </c>
      <c r="L5" s="16" t="str">
        <f>CONCATENATE("Id: ",B5)</f>
        <v>Id: Stage</v>
      </c>
    </row>
    <row r="6" spans="1:18" ht="19.899999999999999" customHeight="1" x14ac:dyDescent="0.75">
      <c r="A6" s="14" t="s">
        <v>10</v>
      </c>
      <c r="B6" s="32" t="s">
        <v>2179</v>
      </c>
      <c r="L6" s="17" t="str">
        <f>CONCATENATE("Title: ##34#",B6,"##34#")</f>
        <v>Title: ##34#Stage##34#</v>
      </c>
    </row>
    <row r="7" spans="1:18" ht="19.899999999999999" customHeight="1" x14ac:dyDescent="0.75">
      <c r="A7" s="26" t="s">
        <v>2</v>
      </c>
      <c r="B7" s="63" t="s">
        <v>2179</v>
      </c>
      <c r="C7" s="9" t="s">
        <v>3</v>
      </c>
      <c r="D7" s="1" t="s">
        <v>4</v>
      </c>
      <c r="E7" s="3" t="s">
        <v>5</v>
      </c>
      <c r="F7" s="3" t="s">
        <v>6</v>
      </c>
      <c r="G7" s="3" t="s">
        <v>7</v>
      </c>
      <c r="H7" s="64" t="s">
        <v>1384</v>
      </c>
      <c r="I7" s="119" t="s">
        <v>2082</v>
      </c>
      <c r="J7" s="119" t="s">
        <v>2083</v>
      </c>
      <c r="L7" s="17" t="str">
        <f>CONCATENATE("Description: "," ##334#",B7,"##334#",)</f>
        <v>Description:  ##334#Stage##334#</v>
      </c>
    </row>
    <row r="8" spans="1:18" ht="20.25" customHeight="1" x14ac:dyDescent="0.75">
      <c r="A8" s="125">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5">
        <v>1</v>
      </c>
      <c r="B9" s="11" t="s">
        <v>1879</v>
      </c>
      <c r="C9" s="11" t="s">
        <v>2145</v>
      </c>
      <c r="D9" s="11" t="s">
        <v>2145</v>
      </c>
      <c r="E9" s="11">
        <v>1</v>
      </c>
      <c r="F9" s="11">
        <v>1</v>
      </c>
      <c r="G9" t="s">
        <v>1468</v>
      </c>
      <c r="H9" s="12" t="s">
        <v>2155</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5">
        <v>2</v>
      </c>
      <c r="B10" s="11" t="s">
        <v>2136</v>
      </c>
      <c r="C10" s="11" t="s">
        <v>292</v>
      </c>
      <c r="D10" s="11" t="s">
        <v>1388</v>
      </c>
      <c r="E10" s="11">
        <v>1</v>
      </c>
      <c r="F10" s="11">
        <v>1</v>
      </c>
      <c r="G10" t="s">
        <v>1468</v>
      </c>
      <c r="H10" s="12" t="s">
        <v>2156</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6">
        <v>3</v>
      </c>
      <c r="B11" s="11" t="s">
        <v>2137</v>
      </c>
      <c r="C11" s="11" t="s">
        <v>299</v>
      </c>
      <c r="D11" s="11" t="s">
        <v>1389</v>
      </c>
      <c r="E11" s="11">
        <v>1</v>
      </c>
      <c r="F11" s="11">
        <v>1</v>
      </c>
      <c r="G11" t="s">
        <v>1468</v>
      </c>
      <c r="H11" s="12" t="s">
        <v>2157</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5">
        <v>4</v>
      </c>
      <c r="B12" s="11" t="s">
        <v>2138</v>
      </c>
      <c r="C12" s="11" t="s">
        <v>306</v>
      </c>
      <c r="D12" s="11" t="s">
        <v>1390</v>
      </c>
      <c r="E12" s="11">
        <v>1</v>
      </c>
      <c r="F12" s="11">
        <v>1</v>
      </c>
      <c r="G12" t="s">
        <v>1468</v>
      </c>
      <c r="H12" s="12" t="s">
        <v>2158</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5">
        <v>5</v>
      </c>
      <c r="B13" s="11" t="s">
        <v>2139</v>
      </c>
      <c r="C13" s="11" t="s">
        <v>1558</v>
      </c>
      <c r="D13" s="11" t="s">
        <v>1559</v>
      </c>
      <c r="E13" s="11">
        <v>1</v>
      </c>
      <c r="F13" s="11">
        <v>1</v>
      </c>
      <c r="G13" t="s">
        <v>1468</v>
      </c>
      <c r="H13" s="12" t="s">
        <v>2159</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5">
        <v>6</v>
      </c>
      <c r="B14" s="6" t="s">
        <v>2140</v>
      </c>
      <c r="C14" s="11" t="s">
        <v>2146</v>
      </c>
      <c r="D14" s="11" t="s">
        <v>2147</v>
      </c>
      <c r="E14" s="11">
        <v>1</v>
      </c>
      <c r="F14" s="11">
        <v>1</v>
      </c>
      <c r="G14" t="s">
        <v>1468</v>
      </c>
      <c r="H14" s="4" t="s">
        <v>2162</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7">
        <v>7</v>
      </c>
      <c r="B15" s="11" t="s">
        <v>2141</v>
      </c>
      <c r="C15" s="11" t="s">
        <v>2148</v>
      </c>
      <c r="D15" s="11" t="s">
        <v>2149</v>
      </c>
      <c r="E15" s="11">
        <v>1</v>
      </c>
      <c r="F15" s="11">
        <v>1</v>
      </c>
      <c r="G15" t="s">
        <v>1468</v>
      </c>
      <c r="H15" s="12" t="s">
        <v>2163</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7">
        <v>8</v>
      </c>
      <c r="B16" s="6" t="s">
        <v>2142</v>
      </c>
      <c r="C16" s="11" t="s">
        <v>2150</v>
      </c>
      <c r="D16" s="11" t="s">
        <v>2151</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7">
        <v>9</v>
      </c>
      <c r="B17" s="11" t="s">
        <v>1417</v>
      </c>
      <c r="C17" s="11" t="s">
        <v>1392</v>
      </c>
      <c r="D17" s="11" t="s">
        <v>1393</v>
      </c>
      <c r="E17" s="11">
        <v>1</v>
      </c>
      <c r="F17" s="11">
        <v>1</v>
      </c>
      <c r="G17" t="s">
        <v>1468</v>
      </c>
      <c r="H17" s="12" t="s">
        <v>2160</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7">
        <v>10</v>
      </c>
      <c r="B18" s="6" t="s">
        <v>2143</v>
      </c>
      <c r="C18" s="11" t="s">
        <v>2152</v>
      </c>
      <c r="D18" s="11" t="s">
        <v>2153</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7"/>
      <c r="B19" s="6" t="s">
        <v>2164</v>
      </c>
      <c r="C19" s="6" t="s">
        <v>2164</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7">
        <v>11</v>
      </c>
      <c r="B20" s="11" t="s">
        <v>2165</v>
      </c>
      <c r="C20" s="11" t="s">
        <v>1394</v>
      </c>
      <c r="D20" s="11" t="s">
        <v>2315</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7">
        <v>12</v>
      </c>
      <c r="B21" s="11" t="s">
        <v>2166</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7">
        <v>13</v>
      </c>
      <c r="B22" s="11" t="s">
        <v>2167</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7">
        <v>14</v>
      </c>
      <c r="B23" s="11" t="s">
        <v>2168</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7">
        <v>15</v>
      </c>
      <c r="B24" s="11" t="s">
        <v>2169</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7">
        <v>16</v>
      </c>
      <c r="B25" s="11" t="s">
        <v>2170</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8">
        <v>17</v>
      </c>
      <c r="B26" s="11" t="s">
        <v>2171</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5">
        <v>18</v>
      </c>
      <c r="B27" s="11" t="s">
        <v>2172</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8">
        <v>19</v>
      </c>
      <c r="B28" s="11" t="s">
        <v>2173</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5">
        <v>20</v>
      </c>
      <c r="B29" s="11" t="s">
        <v>2174</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8">
        <v>21</v>
      </c>
      <c r="B30" s="11" t="s">
        <v>2144</v>
      </c>
      <c r="C30" s="11" t="s">
        <v>2154</v>
      </c>
      <c r="D30" s="11" t="s">
        <v>1391</v>
      </c>
      <c r="E30" s="11">
        <v>1</v>
      </c>
      <c r="F30" s="11">
        <v>1</v>
      </c>
      <c r="G30" t="s">
        <v>1468</v>
      </c>
      <c r="H30" s="12" t="s">
        <v>2161</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2325</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J76" workbookViewId="0">
      <selection activeCell="P15" sqref="P15:S15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2321</v>
      </c>
      <c r="D3" s="47" t="s">
        <v>1473</v>
      </c>
      <c r="E3" s="71" t="str">
        <f>$C$1&amp;Stage!B4</f>
        <v>http://hl7.eu/fhir/ig/idea4rc/StructureDefinition/StageI4rc</v>
      </c>
    </row>
    <row r="4" spans="1:19" x14ac:dyDescent="0.75">
      <c r="B4" s="47" t="s">
        <v>16</v>
      </c>
      <c r="C4" s="28" t="s">
        <v>2322</v>
      </c>
      <c r="D4" s="47" t="s">
        <v>1474</v>
      </c>
      <c r="E4" s="146" t="s">
        <v>1625</v>
      </c>
      <c r="F4" s="147"/>
      <c r="G4" s="147"/>
    </row>
    <row r="5" spans="1:19" x14ac:dyDescent="0.75">
      <c r="B5" s="47" t="s">
        <v>10</v>
      </c>
      <c r="C5" s="7" t="s">
        <v>2323</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1625</v>
      </c>
      <c r="F7" s="147"/>
      <c r="G7" s="147"/>
    </row>
    <row r="8" spans="1:19" ht="44.25" x14ac:dyDescent="0.75">
      <c r="B8" s="47" t="s">
        <v>1477</v>
      </c>
      <c r="C8" s="73" t="s">
        <v>2323</v>
      </c>
      <c r="D8" s="47"/>
      <c r="E8" s="7"/>
      <c r="I8" s="12" t="s">
        <v>1289</v>
      </c>
      <c r="J8" s="12" t="s">
        <v>1290</v>
      </c>
      <c r="K8" s="12" t="s">
        <v>1291</v>
      </c>
      <c r="L8" s="12" t="s">
        <v>1292</v>
      </c>
      <c r="M8" s="11" t="s">
        <v>1293</v>
      </c>
      <c r="P8" s="34" t="s">
        <v>1328</v>
      </c>
      <c r="Q8" s="34">
        <v>6</v>
      </c>
    </row>
    <row r="9" spans="1:19" x14ac:dyDescent="0.75">
      <c r="B9" s="47" t="s">
        <v>1478</v>
      </c>
      <c r="C9" s="12" t="s">
        <v>2324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2313</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2310</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2311</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2312</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6" t="s">
        <v>2317</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6" t="s">
        <v>2316</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6" t="s">
        <v>2316</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2312</v>
      </c>
      <c r="E23" s="11"/>
      <c r="F23" s="49" t="s">
        <v>1294</v>
      </c>
      <c r="G23" s="76" t="s">
        <v>2380</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1631</v>
      </c>
      <c r="E24" s="11"/>
      <c r="F24" s="49" t="s">
        <v>1294</v>
      </c>
      <c r="G24" s="76" t="s">
        <v>2318</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2311</v>
      </c>
      <c r="E25" s="11"/>
      <c r="F25" s="49" t="s">
        <v>1294</v>
      </c>
      <c r="G25" s="76" t="s">
        <v>2381</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7" t="s">
        <v>2319</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1630</v>
      </c>
      <c r="E27" s="12"/>
      <c r="F27" s="49" t="s">
        <v>1316</v>
      </c>
      <c r="G27" s="77"/>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x14ac:dyDescent="0.75">
      <c r="B29" s="11"/>
      <c r="C29" s="11"/>
      <c r="D29" s="12"/>
      <c r="E29" s="12"/>
      <c r="F29" s="49"/>
      <c r="G29" s="77"/>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7"/>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7"/>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7"/>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7"/>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7"/>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x14ac:dyDescent="0.75">
      <c r="B35" s="11"/>
      <c r="C35" s="11"/>
      <c r="G35" s="77"/>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7"/>
      <c r="P36" s="11">
        <v>22</v>
      </c>
      <c r="Q36" s="11">
        <f t="shared" si="13"/>
        <v>3</v>
      </c>
      <c r="R36" s="11">
        <f t="shared" si="14"/>
        <v>4</v>
      </c>
      <c r="S36" s="12" t="str" cm="1">
        <f t="array" ref="S36">INDEX('Stage-ConceptMap-1'!$I$15:$N$114,Q36+1,R36)</f>
        <v>* group[=].element[=].target.display = ##34###34#</v>
      </c>
    </row>
    <row r="37" spans="1:20" x14ac:dyDescent="0.75">
      <c r="G37" s="77"/>
      <c r="P37" s="11">
        <v>23</v>
      </c>
      <c r="Q37" s="11">
        <f t="shared" si="13"/>
        <v>3</v>
      </c>
      <c r="R37" s="11">
        <f t="shared" si="14"/>
        <v>5</v>
      </c>
      <c r="S37" s="12" t="str" cm="1">
        <f t="array" ref="S37">INDEX('Stage-ConceptMap-1'!$I$15:$N$114,Q37+1,R37)</f>
        <v>* group[=].element[=].target.equivalence = #equivalent</v>
      </c>
    </row>
    <row r="38" spans="1:20" x14ac:dyDescent="0.75">
      <c r="G38" s="77"/>
      <c r="P38" s="11">
        <v>24</v>
      </c>
      <c r="Q38" s="11">
        <f t="shared" si="13"/>
        <v>3</v>
      </c>
      <c r="R38" s="11">
        <f t="shared" si="14"/>
        <v>6</v>
      </c>
      <c r="S38" s="12" t="str" cm="1">
        <f t="array" ref="S38">INDEX('Stage-ConceptMap-1'!$I$15:$N$114,Q38+1,R38)</f>
        <v/>
      </c>
    </row>
    <row r="39" spans="1:20" x14ac:dyDescent="0.75">
      <c r="G39" s="77"/>
      <c r="P39" s="11">
        <v>25</v>
      </c>
      <c r="Q39" s="11">
        <f t="shared" si="13"/>
        <v>4</v>
      </c>
      <c r="R39" s="11">
        <f t="shared" si="14"/>
        <v>1</v>
      </c>
      <c r="S39" s="12" t="str" cm="1">
        <f t="array" ref="S39">INDEX('Stage-ConceptMap-1'!$I$15:$N$114,Q39+1,R39)</f>
        <v>* group[=].element[+].code = #Stage.m</v>
      </c>
    </row>
    <row r="40" spans="1:20" x14ac:dyDescent="0.75">
      <c r="G40" s="77"/>
      <c r="P40" s="11">
        <v>26</v>
      </c>
      <c r="Q40" s="11">
        <f t="shared" si="13"/>
        <v>4</v>
      </c>
      <c r="R40" s="11">
        <f t="shared" si="14"/>
        <v>2</v>
      </c>
      <c r="S40" s="12" t="str" cm="1">
        <f t="array" ref="S40">INDEX('Stage-ConceptMap-1'!$I$15:$N$114,Q40+1,R40)</f>
        <v>* group[=].element[=].display = ##34#M##34#</v>
      </c>
    </row>
    <row r="41" spans="1:20" x14ac:dyDescent="0.75">
      <c r="G41" s="77"/>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7"/>
      <c r="P42" s="11">
        <v>28</v>
      </c>
      <c r="Q42" s="11">
        <f t="shared" si="13"/>
        <v>4</v>
      </c>
      <c r="R42" s="11">
        <f t="shared" si="14"/>
        <v>4</v>
      </c>
      <c r="S42" s="12" t="str" cm="1">
        <f t="array" ref="S42">INDEX('Stage-ConceptMap-1'!$I$15:$N$114,Q42+1,R42)</f>
        <v>* group[=].element[=].target.display = ##34###34#</v>
      </c>
    </row>
    <row r="43" spans="1:20" x14ac:dyDescent="0.75">
      <c r="G43" s="77"/>
      <c r="P43" s="11">
        <v>29</v>
      </c>
      <c r="Q43" s="11">
        <f t="shared" si="13"/>
        <v>4</v>
      </c>
      <c r="R43" s="11">
        <f t="shared" si="14"/>
        <v>5</v>
      </c>
      <c r="S43" s="12" t="str" cm="1">
        <f t="array" ref="S43">INDEX('Stage-ConceptMap-1'!$I$15:$N$114,Q43+1,R43)</f>
        <v>* group[=].element[=].target.equivalence = #equivalent</v>
      </c>
    </row>
    <row r="44" spans="1:20" x14ac:dyDescent="0.75">
      <c r="G44" s="77"/>
      <c r="P44" s="11">
        <v>30</v>
      </c>
      <c r="Q44" s="11">
        <f t="shared" si="13"/>
        <v>4</v>
      </c>
      <c r="R44" s="11">
        <f t="shared" si="14"/>
        <v>6</v>
      </c>
      <c r="S44" s="12" t="str" cm="1">
        <f t="array" ref="S44">INDEX('Stage-ConceptMap-1'!$I$15:$N$114,Q44+1,R44)</f>
        <v/>
      </c>
    </row>
    <row r="45" spans="1:20" x14ac:dyDescent="0.75">
      <c r="G45" s="77"/>
      <c r="P45" s="11">
        <v>31</v>
      </c>
      <c r="Q45" s="11">
        <f t="shared" si="13"/>
        <v>5</v>
      </c>
      <c r="R45" s="11">
        <f t="shared" si="14"/>
        <v>1</v>
      </c>
      <c r="S45" s="12" t="str" cm="1">
        <f t="array" ref="S45">INDEX('Stage-ConceptMap-1'!$I$15:$N$114,Q45+1,R45)</f>
        <v>* group[=].element[+].code = #Stage.rENE</v>
      </c>
    </row>
    <row r="46" spans="1:20" x14ac:dyDescent="0.75">
      <c r="G46" s="77"/>
      <c r="P46" s="11">
        <v>32</v>
      </c>
      <c r="Q46" s="11">
        <f t="shared" si="13"/>
        <v>5</v>
      </c>
      <c r="R46" s="11">
        <f t="shared" si="14"/>
        <v>2</v>
      </c>
      <c r="S46" s="12" t="str" cm="1">
        <f t="array" ref="S46">INDEX('Stage-ConceptMap-1'!$I$15:$N$114,Q46+1,R46)</f>
        <v>* group[=].element[=].display = ##34#Radiological Extra-nodal extension (rENE)##34#</v>
      </c>
    </row>
    <row r="47" spans="1:20" x14ac:dyDescent="0.75">
      <c r="G47" s="77"/>
      <c r="P47" s="11">
        <v>33</v>
      </c>
      <c r="Q47" s="11">
        <f t="shared" si="13"/>
        <v>5</v>
      </c>
      <c r="R47" s="11">
        <f t="shared" si="14"/>
        <v>3</v>
      </c>
      <c r="S47" s="12" t="str" cm="1">
        <f t="array" ref="S47">INDEX('Stage-ConceptMap-1'!$I$15:$N$114,Q47+1,R47)</f>
        <v>* group[=].element[=].target.code = #Observation.</v>
      </c>
    </row>
    <row r="48" spans="1:20" x14ac:dyDescent="0.75">
      <c r="G48" s="77"/>
      <c r="P48" s="11">
        <v>34</v>
      </c>
      <c r="Q48" s="11">
        <f t="shared" si="13"/>
        <v>5</v>
      </c>
      <c r="R48" s="11">
        <f t="shared" si="14"/>
        <v>4</v>
      </c>
      <c r="S48" s="12" t="str" cm="1">
        <f t="array" ref="S48">INDEX('Stage-ConceptMap-1'!$I$15:$N$114,Q48+1,R48)</f>
        <v>* group[=].element[=].target.display = ##34###34#</v>
      </c>
    </row>
    <row r="49" spans="7:19" x14ac:dyDescent="0.75">
      <c r="G49" s="77"/>
      <c r="P49" s="11">
        <v>35</v>
      </c>
      <c r="Q49" s="11">
        <f t="shared" si="13"/>
        <v>5</v>
      </c>
      <c r="R49" s="11">
        <f t="shared" si="14"/>
        <v>5</v>
      </c>
      <c r="S49" s="12" t="str" cm="1">
        <f t="array" ref="S49">INDEX('Stage-ConceptMap-1'!$I$15:$N$114,Q49+1,R49)</f>
        <v>* group[=].element[=].target.equivalence = #relatedto</v>
      </c>
    </row>
    <row r="50" spans="7:19" x14ac:dyDescent="0.75">
      <c r="G50" s="77"/>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7"/>
      <c r="P51" s="11">
        <v>37</v>
      </c>
      <c r="Q51" s="11">
        <f t="shared" si="13"/>
        <v>6</v>
      </c>
      <c r="R51" s="11">
        <f t="shared" si="14"/>
        <v>1</v>
      </c>
      <c r="S51" s="12" t="str" cm="1">
        <f t="array" ref="S51">INDEX('Stage-ConceptMap-1'!$I$15:$N$114,Q51+1,R51)</f>
        <v>* group[=].element[+].code = #Stage.localised</v>
      </c>
    </row>
    <row r="52" spans="7:19" x14ac:dyDescent="0.75">
      <c r="G52" s="77"/>
      <c r="P52" s="11">
        <v>38</v>
      </c>
      <c r="Q52" s="11">
        <f t="shared" si="13"/>
        <v>6</v>
      </c>
      <c r="R52" s="11">
        <f t="shared" si="14"/>
        <v>2</v>
      </c>
      <c r="S52" s="12" t="str" cm="1">
        <f t="array" ref="S52">INDEX('Stage-ConceptMap-1'!$I$15:$N$114,Q52+1,R52)</f>
        <v>* group[=].element[=].display = ##34#Localised##34#</v>
      </c>
    </row>
    <row r="53" spans="7:19" x14ac:dyDescent="0.75">
      <c r="G53" s="77"/>
      <c r="P53" s="11">
        <v>39</v>
      </c>
      <c r="Q53" s="11">
        <f t="shared" si="13"/>
        <v>6</v>
      </c>
      <c r="R53" s="11">
        <f t="shared" si="14"/>
        <v>3</v>
      </c>
      <c r="S53" s="12" t="str" cm="1">
        <f t="array" ref="S53">INDEX('Stage-ConceptMap-1'!$I$15:$N$114,Q53+1,R53)</f>
        <v>* group[=].element[=].target.code = #Observation.</v>
      </c>
    </row>
    <row r="54" spans="7:19" x14ac:dyDescent="0.75">
      <c r="G54" s="77"/>
      <c r="P54" s="11">
        <v>40</v>
      </c>
      <c r="Q54" s="11">
        <f t="shared" si="13"/>
        <v>6</v>
      </c>
      <c r="R54" s="11">
        <f t="shared" si="14"/>
        <v>4</v>
      </c>
      <c r="S54" s="12" t="str" cm="1">
        <f t="array" ref="S54">INDEX('Stage-ConceptMap-1'!$I$15:$N$114,Q54+1,R54)</f>
        <v>* group[=].element[=].target.display = ##34###34#</v>
      </c>
    </row>
    <row r="55" spans="7:19" x14ac:dyDescent="0.75">
      <c r="G55" s="77"/>
      <c r="P55" s="11">
        <v>41</v>
      </c>
      <c r="Q55" s="11">
        <f t="shared" si="13"/>
        <v>6</v>
      </c>
      <c r="R55" s="11">
        <f t="shared" si="14"/>
        <v>5</v>
      </c>
      <c r="S55" s="12" t="str" cm="1">
        <f t="array" ref="S55">INDEX('Stage-ConceptMap-1'!$I$15:$N$114,Q55+1,R55)</f>
        <v>* group[=].element[=].target.equivalence = #relatedto</v>
      </c>
    </row>
    <row r="56" spans="7:19" x14ac:dyDescent="0.75">
      <c r="G56" s="77"/>
      <c r="P56" s="11">
        <v>42</v>
      </c>
      <c r="Q56" s="11">
        <f t="shared" si="13"/>
        <v>6</v>
      </c>
      <c r="R56" s="11">
        <f t="shared" si="14"/>
        <v>6</v>
      </c>
      <c r="S56" s="12" t="str" cm="1">
        <f t="array" ref="S56">INDEX('Stage-ConceptMap-1'!$I$15:$N$114,Q56+1,R56)</f>
        <v>* group[=].element[=].target.comment = ##34#TBD##34#</v>
      </c>
    </row>
    <row r="57" spans="7:19" x14ac:dyDescent="0.75">
      <c r="G57" s="77"/>
      <c r="P57" s="11">
        <v>43</v>
      </c>
      <c r="Q57" s="11">
        <f t="shared" si="13"/>
        <v>7</v>
      </c>
      <c r="R57" s="11">
        <f t="shared" si="14"/>
        <v>1</v>
      </c>
      <c r="S57" s="12" t="str" cm="1">
        <f t="array" ref="S57">INDEX('Stage-ConceptMap-1'!$I$15:$N$114,Q57+1,R57)</f>
        <v>* group[=].element[+].code = #Stage.locoRegional</v>
      </c>
    </row>
    <row r="58" spans="7:19" x14ac:dyDescent="0.75">
      <c r="G58" s="77"/>
      <c r="P58" s="11">
        <v>44</v>
      </c>
      <c r="Q58" s="11">
        <f t="shared" si="13"/>
        <v>7</v>
      </c>
      <c r="R58" s="11">
        <f t="shared" si="14"/>
        <v>2</v>
      </c>
      <c r="S58" s="12" t="str" cm="1">
        <f t="array" ref="S58">INDEX('Stage-ConceptMap-1'!$I$15:$N$114,Q58+1,R58)</f>
        <v>* group[=].element[=].display = ##34#Loco-regional##34#</v>
      </c>
    </row>
    <row r="59" spans="7:19" x14ac:dyDescent="0.75">
      <c r="G59" s="77"/>
      <c r="P59" s="11">
        <v>45</v>
      </c>
      <c r="Q59" s="11">
        <f t="shared" si="13"/>
        <v>7</v>
      </c>
      <c r="R59" s="11">
        <f t="shared" si="14"/>
        <v>3</v>
      </c>
      <c r="S59" s="12" t="str" cm="1">
        <f t="array" ref="S59">INDEX('Stage-ConceptMap-1'!$I$15:$N$114,Q59+1,R59)</f>
        <v>* group[=].element[=].target.code = #Observation.</v>
      </c>
    </row>
    <row r="60" spans="7:19" x14ac:dyDescent="0.75">
      <c r="G60" s="77"/>
      <c r="P60" s="11">
        <v>46</v>
      </c>
      <c r="Q60" s="11">
        <f t="shared" si="13"/>
        <v>7</v>
      </c>
      <c r="R60" s="11">
        <f t="shared" si="14"/>
        <v>4</v>
      </c>
      <c r="S60" s="12" t="str" cm="1">
        <f t="array" ref="S60">INDEX('Stage-ConceptMap-1'!$I$15:$N$114,Q60+1,R60)</f>
        <v>* group[=].element[=].target.display = ##34###34#</v>
      </c>
    </row>
    <row r="61" spans="7:19" x14ac:dyDescent="0.75">
      <c r="G61" s="77"/>
      <c r="P61" s="11">
        <v>47</v>
      </c>
      <c r="Q61" s="11">
        <f t="shared" si="13"/>
        <v>7</v>
      </c>
      <c r="R61" s="11">
        <f t="shared" si="14"/>
        <v>5</v>
      </c>
      <c r="S61" s="12" t="str" cm="1">
        <f t="array" ref="S61">INDEX('Stage-ConceptMap-1'!$I$15:$N$114,Q61+1,R61)</f>
        <v>* group[=].element[=].target.equivalence = #relatedto</v>
      </c>
    </row>
    <row r="62" spans="7:19" x14ac:dyDescent="0.75">
      <c r="G62" s="77"/>
      <c r="P62" s="11">
        <v>48</v>
      </c>
      <c r="Q62" s="11">
        <f t="shared" si="13"/>
        <v>7</v>
      </c>
      <c r="R62" s="11">
        <f t="shared" si="14"/>
        <v>6</v>
      </c>
      <c r="S62" s="12" t="str" cm="1">
        <f t="array" ref="S62">INDEX('Stage-ConceptMap-1'!$I$15:$N$114,Q62+1,R62)</f>
        <v>* group[=].element[=].target.comment = ##34#TBD##34#</v>
      </c>
    </row>
    <row r="63" spans="7:19" x14ac:dyDescent="0.75">
      <c r="G63" s="77"/>
      <c r="P63" s="11">
        <v>49</v>
      </c>
      <c r="Q63" s="11">
        <f t="shared" si="13"/>
        <v>8</v>
      </c>
      <c r="R63" s="11">
        <f t="shared" si="14"/>
        <v>1</v>
      </c>
      <c r="S63" s="12" t="str" cm="1">
        <f t="array" ref="S63">INDEX('Stage-ConceptMap-1'!$I$15:$N$114,Q63+1,R63)</f>
        <v>* group[=].element[+].code = #Stage.isMetastatic</v>
      </c>
    </row>
    <row r="64" spans="7:19" x14ac:dyDescent="0.75">
      <c r="G64" s="77"/>
      <c r="P64" s="11">
        <v>50</v>
      </c>
      <c r="Q64" s="11">
        <f t="shared" si="13"/>
        <v>8</v>
      </c>
      <c r="R64" s="11">
        <f t="shared" si="14"/>
        <v>2</v>
      </c>
      <c r="S64" s="12" t="str" cm="1">
        <f t="array" ref="S64">INDEX('Stage-ConceptMap-1'!$I$15:$N$114,Q64+1,R64)</f>
        <v>* group[=].element[=].display = ##34#Is metastatic##34#</v>
      </c>
    </row>
    <row r="65" spans="7:19" x14ac:dyDescent="0.75">
      <c r="G65" s="77"/>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7"/>
      <c r="P66" s="11">
        <v>52</v>
      </c>
      <c r="Q66" s="11">
        <f t="shared" si="13"/>
        <v>8</v>
      </c>
      <c r="R66" s="11">
        <f t="shared" si="14"/>
        <v>4</v>
      </c>
      <c r="S66" s="12" t="str" cm="1">
        <f t="array" ref="S66">INDEX('Stage-ConceptMap-1'!$I$15:$N$114,Q66+1,R66)</f>
        <v>* group[=].element[=].target.display = ##34###34#</v>
      </c>
    </row>
    <row r="67" spans="7:19" x14ac:dyDescent="0.75">
      <c r="G67" s="77"/>
      <c r="P67" s="11">
        <v>53</v>
      </c>
      <c r="Q67" s="11">
        <f t="shared" si="13"/>
        <v>8</v>
      </c>
      <c r="R67" s="11">
        <f t="shared" si="14"/>
        <v>5</v>
      </c>
      <c r="S67" s="12" t="str" cm="1">
        <f t="array" ref="S67">INDEX('Stage-ConceptMap-1'!$I$15:$N$114,Q67+1,R67)</f>
        <v>* group[=].element[=].target.equivalence = #relatedto</v>
      </c>
    </row>
    <row r="68" spans="7:19" x14ac:dyDescent="0.75">
      <c r="G68" s="77"/>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7"/>
      <c r="P69" s="11">
        <v>55</v>
      </c>
      <c r="Q69" s="11">
        <f t="shared" si="13"/>
        <v>9</v>
      </c>
      <c r="R69" s="11">
        <f t="shared" si="14"/>
        <v>1</v>
      </c>
      <c r="S69" s="12" t="str" cm="1">
        <f t="array" ref="S69">INDEX('Stage-ConceptMap-1'!$I$15:$N$114,Q69+1,R69)</f>
        <v>* group[=].element[+].code = #Stage.ajccEdition</v>
      </c>
    </row>
    <row r="70" spans="7:19" x14ac:dyDescent="0.75">
      <c r="G70" s="77"/>
      <c r="P70" s="11">
        <v>56</v>
      </c>
      <c r="Q70" s="11">
        <f t="shared" si="13"/>
        <v>9</v>
      </c>
      <c r="R70" s="11">
        <f t="shared" si="14"/>
        <v>2</v>
      </c>
      <c r="S70" s="12" t="str" cm="1">
        <f t="array" ref="S70">INDEX('Stage-ConceptMap-1'!$I$15:$N$114,Q70+1,R70)</f>
        <v>* group[=].element[=].display = ##34#Ajcc edition##34#</v>
      </c>
    </row>
    <row r="71" spans="7:19" x14ac:dyDescent="0.75">
      <c r="G71" s="77"/>
      <c r="P71" s="11">
        <v>57</v>
      </c>
      <c r="Q71" s="11">
        <f t="shared" si="13"/>
        <v>9</v>
      </c>
      <c r="R71" s="11">
        <f t="shared" si="14"/>
        <v>3</v>
      </c>
      <c r="S71" s="12" t="str" cm="1">
        <f t="array" ref="S71">INDEX('Stage-ConceptMap-1'!$I$15:$N$114,Q71+1,R71)</f>
        <v>* group[=].element[=].target.code = #Observation.valueCodeableConcept.coding.system</v>
      </c>
    </row>
    <row r="72" spans="7:19" x14ac:dyDescent="0.75">
      <c r="G72" s="77"/>
      <c r="P72" s="11">
        <v>58</v>
      </c>
      <c r="Q72" s="11">
        <f t="shared" si="13"/>
        <v>9</v>
      </c>
      <c r="R72" s="11">
        <f t="shared" si="14"/>
        <v>4</v>
      </c>
      <c r="S72" s="12" t="str" cm="1">
        <f t="array" ref="S72">INDEX('Stage-ConceptMap-1'!$I$15:$N$114,Q72+1,R72)</f>
        <v>* group[=].element[=].target.display = ##34###34#</v>
      </c>
    </row>
    <row r="73" spans="7:19" x14ac:dyDescent="0.75">
      <c r="G73" s="77"/>
      <c r="P73" s="11">
        <v>59</v>
      </c>
      <c r="Q73" s="11">
        <f t="shared" si="13"/>
        <v>9</v>
      </c>
      <c r="R73" s="11">
        <f t="shared" si="14"/>
        <v>5</v>
      </c>
      <c r="S73" s="12" t="str" cm="1">
        <f t="array" ref="S73">INDEX('Stage-ConceptMap-1'!$I$15:$N$114,Q73+1,R73)</f>
        <v>* group[=].element[=].target.equivalence = #relatedto</v>
      </c>
    </row>
    <row r="74" spans="7:19" x14ac:dyDescent="0.75">
      <c r="G74" s="77"/>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7"/>
      <c r="P75" s="11">
        <v>61</v>
      </c>
      <c r="Q75" s="11">
        <f t="shared" si="13"/>
        <v>10</v>
      </c>
      <c r="R75" s="11">
        <f t="shared" si="14"/>
        <v>1</v>
      </c>
      <c r="S75" s="12" t="str" cm="1">
        <f t="array" ref="S75">INDEX('Stage-ConceptMap-1'!$I$15:$N$114,Q75+1,R75)</f>
        <v>* group[=].element[+].code = #Stage.regionalNodalMetastases</v>
      </c>
    </row>
    <row r="76" spans="7:19" x14ac:dyDescent="0.75">
      <c r="G76" s="77"/>
      <c r="P76" s="11">
        <v>62</v>
      </c>
      <c r="Q76" s="11">
        <f t="shared" si="13"/>
        <v>10</v>
      </c>
      <c r="R76" s="11">
        <f t="shared" si="14"/>
        <v>2</v>
      </c>
      <c r="S76" s="12" t="str" cm="1">
        <f t="array" ref="S76">INDEX('Stage-ConceptMap-1'!$I$15:$N$114,Q76+1,R76)</f>
        <v>* group[=].element[=].display = ##34#Regional nodal metastases##34#</v>
      </c>
    </row>
    <row r="77" spans="7:19" x14ac:dyDescent="0.75">
      <c r="G77" s="77"/>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7"/>
      <c r="P78" s="11">
        <v>64</v>
      </c>
      <c r="Q78" s="11">
        <f t="shared" si="13"/>
        <v>10</v>
      </c>
      <c r="R78" s="11">
        <f t="shared" si="14"/>
        <v>4</v>
      </c>
      <c r="S78" s="12" t="str" cm="1">
        <f t="array" ref="S78">INDEX('Stage-ConceptMap-1'!$I$15:$N$114,Q78+1,R78)</f>
        <v>* group[=].element[=].target.display = ##34###34#</v>
      </c>
    </row>
    <row r="79" spans="7:19" x14ac:dyDescent="0.75">
      <c r="G79" s="77"/>
      <c r="P79" s="11">
        <v>65</v>
      </c>
      <c r="Q79" s="11">
        <f t="shared" si="13"/>
        <v>10</v>
      </c>
      <c r="R79" s="11">
        <f t="shared" si="14"/>
        <v>5</v>
      </c>
      <c r="S79" s="12" t="str" cm="1">
        <f t="array" ref="S79">INDEX('Stage-ConceptMap-1'!$I$15:$N$114,Q79+1,R79)</f>
        <v>* group[=].element[=].target.equivalence = #relatedto</v>
      </c>
    </row>
    <row r="80" spans="7:19" x14ac:dyDescent="0.75">
      <c r="G80" s="77"/>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7"/>
      <c r="P81" s="11">
        <v>67</v>
      </c>
      <c r="Q81" s="11">
        <f t="shared" si="15"/>
        <v>11</v>
      </c>
      <c r="R81" s="11">
        <f t="shared" si="16"/>
        <v>1</v>
      </c>
      <c r="S81" s="12" t="str" cm="1">
        <f t="array" ref="S81">INDEX('Stage-ConceptMap-1'!$I$15:$N$114,Q81+1,R81)</f>
        <v>* group[=].element[+].code = #Stage.sites</v>
      </c>
    </row>
    <row r="82" spans="7:19" x14ac:dyDescent="0.75">
      <c r="G82" s="77"/>
      <c r="P82" s="11">
        <v>68</v>
      </c>
      <c r="Q82" s="11">
        <f t="shared" si="15"/>
        <v>11</v>
      </c>
      <c r="R82" s="11">
        <f t="shared" si="16"/>
        <v>2</v>
      </c>
      <c r="S82" s="12" t="str" cm="1">
        <f t="array" ref="S82">INDEX('Stage-ConceptMap-1'!$I$15:$N$114,Q82+1,R82)</f>
        <v>* group[=].element[=].display = ##34#sites##34#</v>
      </c>
    </row>
    <row r="83" spans="7:19" x14ac:dyDescent="0.75">
      <c r="G83" s="77"/>
      <c r="P83" s="11">
        <v>69</v>
      </c>
      <c r="Q83" s="11">
        <f t="shared" si="15"/>
        <v>11</v>
      </c>
      <c r="R83" s="11">
        <f t="shared" si="16"/>
        <v>3</v>
      </c>
      <c r="S83" s="12" t="str" cm="1">
        <f t="array" ref="S83">INDEX('Stage-ConceptMap-1'!$I$15:$N$114,Q83+1,R83)</f>
        <v>//-- unmatched</v>
      </c>
    </row>
    <row r="84" spans="7:19" x14ac:dyDescent="0.75">
      <c r="G84" s="77"/>
      <c r="P84" s="11">
        <v>70</v>
      </c>
      <c r="Q84" s="11">
        <f t="shared" si="15"/>
        <v>11</v>
      </c>
      <c r="R84" s="11">
        <f t="shared" si="16"/>
        <v>4</v>
      </c>
      <c r="S84" s="12" t="str" cm="1">
        <f t="array" ref="S84">INDEX('Stage-ConceptMap-1'!$I$15:$N$114,Q84+1,R84)</f>
        <v>//-- unmatched</v>
      </c>
    </row>
    <row r="85" spans="7:19" x14ac:dyDescent="0.75">
      <c r="G85" s="77"/>
      <c r="P85" s="11">
        <v>71</v>
      </c>
      <c r="Q85" s="11">
        <f t="shared" si="15"/>
        <v>11</v>
      </c>
      <c r="R85" s="11">
        <f t="shared" si="16"/>
        <v>5</v>
      </c>
      <c r="S85" s="12" t="str" cm="1">
        <f t="array" ref="S85">INDEX('Stage-ConceptMap-1'!$I$15:$N$114,Q85+1,R85)</f>
        <v>* group[=].element[=].target.equivalence = #unmatched</v>
      </c>
    </row>
    <row r="86" spans="7:19" x14ac:dyDescent="0.75">
      <c r="G86" s="77"/>
      <c r="P86" s="11">
        <v>72</v>
      </c>
      <c r="Q86" s="11">
        <f t="shared" si="15"/>
        <v>11</v>
      </c>
      <c r="R86" s="11">
        <f t="shared" si="16"/>
        <v>6</v>
      </c>
      <c r="S86" s="12" t="str" cm="1">
        <f t="array" ref="S86">INDEX('Stage-ConceptMap-1'!$I$15:$N$114,Q86+1,R86)</f>
        <v>* group[=].element[=].target.comment = ##34#documented in the metastatic condiiton##34#</v>
      </c>
    </row>
    <row r="87" spans="7:19" x14ac:dyDescent="0.75">
      <c r="G87" s="77"/>
      <c r="P87" s="11">
        <v>73</v>
      </c>
      <c r="Q87" s="11">
        <f t="shared" si="15"/>
        <v>12</v>
      </c>
      <c r="R87" s="11">
        <f t="shared" si="16"/>
        <v>1</v>
      </c>
      <c r="S87" s="12" t="str" cm="1">
        <f t="array" ref="S87">INDEX('Stage-ConceptMap-1'!$I$15:$N$114,Q87+1,R87)</f>
        <v>* group[=].element[+].code = #Stage.stagingClassification</v>
      </c>
    </row>
    <row r="88" spans="7:19" x14ac:dyDescent="0.75">
      <c r="G88" s="77"/>
      <c r="P88" s="11">
        <v>74</v>
      </c>
      <c r="Q88" s="11">
        <f t="shared" si="15"/>
        <v>12</v>
      </c>
      <c r="R88" s="11">
        <f t="shared" si="16"/>
        <v>2</v>
      </c>
      <c r="S88" s="12" t="str" cm="1">
        <f t="array" ref="S88">INDEX('Stage-ConceptMap-1'!$I$15:$N$114,Q88+1,R88)</f>
        <v>* group[=].element[=].display = ##34#Staging classification##34#</v>
      </c>
    </row>
    <row r="89" spans="7:19" x14ac:dyDescent="0.75">
      <c r="G89" s="77"/>
      <c r="P89" s="11">
        <v>75</v>
      </c>
      <c r="Q89" s="11">
        <f t="shared" si="15"/>
        <v>12</v>
      </c>
      <c r="R89" s="11">
        <f t="shared" si="16"/>
        <v>3</v>
      </c>
      <c r="S89" s="12" t="str" cm="1">
        <f t="array" ref="S89">INDEX('Stage-ConceptMap-1'!$I$15:$N$114,Q89+1,R89)</f>
        <v>* group[=].element[=].target.code = #Observation.valueCodeableConcept</v>
      </c>
    </row>
    <row r="90" spans="7:19" x14ac:dyDescent="0.75">
      <c r="G90" s="77"/>
      <c r="P90" s="11">
        <v>76</v>
      </c>
      <c r="Q90" s="11">
        <f t="shared" si="15"/>
        <v>12</v>
      </c>
      <c r="R90" s="11">
        <f t="shared" si="16"/>
        <v>4</v>
      </c>
      <c r="S90" s="12" t="str" cm="1">
        <f t="array" ref="S90">INDEX('Stage-ConceptMap-1'!$I$15:$N$114,Q90+1,R90)</f>
        <v>* group[=].element[=].target.display = ##34###34#</v>
      </c>
    </row>
    <row r="91" spans="7:19" x14ac:dyDescent="0.75">
      <c r="G91" s="77"/>
      <c r="P91" s="11">
        <v>77</v>
      </c>
      <c r="Q91" s="11">
        <f t="shared" si="15"/>
        <v>12</v>
      </c>
      <c r="R91" s="11">
        <f t="shared" si="16"/>
        <v>5</v>
      </c>
      <c r="S91" s="12" t="str" cm="1">
        <f t="array" ref="S91">INDEX('Stage-ConceptMap-1'!$I$15:$N$114,Q91+1,R91)</f>
        <v>* group[=].element[=].target.equivalence = #equivalent</v>
      </c>
    </row>
    <row r="92" spans="7:19" x14ac:dyDescent="0.75">
      <c r="G92" s="77"/>
      <c r="P92" s="11">
        <v>78</v>
      </c>
      <c r="Q92" s="11">
        <f t="shared" si="15"/>
        <v>12</v>
      </c>
      <c r="R92" s="11">
        <f t="shared" si="16"/>
        <v>6</v>
      </c>
      <c r="S92" s="12" t="str" cm="1">
        <f t="array" ref="S92">INDEX('Stage-ConceptMap-1'!$I$15:$N$114,Q92+1,R92)</f>
        <v/>
      </c>
    </row>
    <row r="93" spans="7:19" x14ac:dyDescent="0.75">
      <c r="G93" s="77"/>
      <c r="P93" s="11">
        <v>79</v>
      </c>
      <c r="Q93" s="11">
        <f t="shared" si="15"/>
        <v>13</v>
      </c>
      <c r="R93" s="11">
        <f t="shared" si="16"/>
        <v>1</v>
      </c>
      <c r="S93" s="12" cm="1">
        <f t="array" ref="S93">INDEX('Stage-ConceptMap-1'!$I$15:$N$114,Q93+1,R93)</f>
        <v>0</v>
      </c>
    </row>
    <row r="94" spans="7:19" x14ac:dyDescent="0.75">
      <c r="G94" s="77"/>
      <c r="P94" s="11">
        <v>80</v>
      </c>
      <c r="Q94" s="11">
        <f t="shared" si="15"/>
        <v>13</v>
      </c>
      <c r="R94" s="11">
        <f t="shared" si="16"/>
        <v>2</v>
      </c>
      <c r="S94" s="12" cm="1">
        <f t="array" ref="S94">INDEX('Stage-ConceptMap-1'!$I$15:$N$114,Q94+1,R94)</f>
        <v>0</v>
      </c>
    </row>
    <row r="95" spans="7:19" x14ac:dyDescent="0.75">
      <c r="G95" s="77"/>
      <c r="P95" s="11">
        <v>81</v>
      </c>
      <c r="Q95" s="11">
        <f t="shared" si="15"/>
        <v>13</v>
      </c>
      <c r="R95" s="11">
        <f t="shared" si="16"/>
        <v>3</v>
      </c>
      <c r="S95" s="12" cm="1">
        <f t="array" ref="S95">INDEX('Stage-ConceptMap-1'!$I$15:$N$114,Q95+1,R95)</f>
        <v>0</v>
      </c>
    </row>
    <row r="96" spans="7:19" x14ac:dyDescent="0.75">
      <c r="G96" s="77"/>
      <c r="P96" s="11">
        <v>82</v>
      </c>
      <c r="Q96" s="11">
        <f t="shared" si="15"/>
        <v>13</v>
      </c>
      <c r="R96" s="11">
        <f t="shared" si="16"/>
        <v>4</v>
      </c>
      <c r="S96" s="12" cm="1">
        <f t="array" ref="S96">INDEX('Stage-ConceptMap-1'!$I$15:$N$114,Q96+1,R96)</f>
        <v>0</v>
      </c>
    </row>
    <row r="97" spans="7:19" x14ac:dyDescent="0.75">
      <c r="G97" s="77"/>
      <c r="P97" s="11">
        <v>83</v>
      </c>
      <c r="Q97" s="11">
        <f t="shared" si="15"/>
        <v>13</v>
      </c>
      <c r="R97" s="11">
        <f t="shared" si="16"/>
        <v>5</v>
      </c>
      <c r="S97" s="12" cm="1">
        <f t="array" ref="S97">INDEX('Stage-ConceptMap-1'!$I$15:$N$114,Q97+1,R97)</f>
        <v>0</v>
      </c>
    </row>
    <row r="98" spans="7:19" x14ac:dyDescent="0.75">
      <c r="G98" s="77"/>
      <c r="P98" s="11">
        <v>84</v>
      </c>
      <c r="Q98" s="11">
        <f t="shared" si="15"/>
        <v>13</v>
      </c>
      <c r="R98" s="11">
        <f t="shared" si="16"/>
        <v>6</v>
      </c>
      <c r="S98" s="12" cm="1">
        <f t="array" ref="S98">INDEX('Stage-ConceptMap-1'!$I$15:$N$114,Q98+1,R98)</f>
        <v>0</v>
      </c>
    </row>
    <row r="99" spans="7:19" x14ac:dyDescent="0.75">
      <c r="G99" s="77"/>
      <c r="P99" s="11">
        <v>85</v>
      </c>
      <c r="Q99" s="11">
        <f t="shared" si="15"/>
        <v>14</v>
      </c>
      <c r="R99" s="11">
        <f t="shared" si="16"/>
        <v>1</v>
      </c>
      <c r="S99" s="12" cm="1">
        <f t="array" ref="S99">INDEX('Stage-ConceptMap-1'!$I$15:$N$114,Q99+1,R99)</f>
        <v>0</v>
      </c>
    </row>
    <row r="100" spans="7:19" x14ac:dyDescent="0.75">
      <c r="G100" s="77"/>
      <c r="P100" s="11">
        <v>86</v>
      </c>
      <c r="Q100" s="11">
        <f t="shared" si="15"/>
        <v>14</v>
      </c>
      <c r="R100" s="11">
        <f t="shared" si="16"/>
        <v>2</v>
      </c>
      <c r="S100" s="12" cm="1">
        <f t="array" ref="S100">INDEX('Stage-ConceptMap-1'!$I$15:$N$114,Q100+1,R100)</f>
        <v>0</v>
      </c>
    </row>
    <row r="101" spans="7:19" x14ac:dyDescent="0.75">
      <c r="G101" s="77"/>
      <c r="P101" s="11">
        <v>87</v>
      </c>
      <c r="Q101" s="11">
        <f t="shared" si="15"/>
        <v>14</v>
      </c>
      <c r="R101" s="11">
        <f t="shared" si="16"/>
        <v>3</v>
      </c>
      <c r="S101" s="12" cm="1">
        <f t="array" ref="S101">INDEX('Stage-ConceptMap-1'!$I$15:$N$114,Q101+1,R101)</f>
        <v>0</v>
      </c>
    </row>
    <row r="102" spans="7:19" x14ac:dyDescent="0.75">
      <c r="G102" s="77"/>
      <c r="P102" s="11">
        <v>88</v>
      </c>
      <c r="Q102" s="11">
        <f t="shared" si="15"/>
        <v>14</v>
      </c>
      <c r="R102" s="11">
        <f t="shared" si="16"/>
        <v>4</v>
      </c>
      <c r="S102" s="12" cm="1">
        <f t="array" ref="S102">INDEX('Stage-ConceptMap-1'!$I$15:$N$114,Q102+1,R102)</f>
        <v>0</v>
      </c>
    </row>
    <row r="103" spans="7:19" x14ac:dyDescent="0.75">
      <c r="G103" s="77"/>
      <c r="P103" s="11">
        <v>89</v>
      </c>
      <c r="Q103" s="11">
        <f t="shared" si="15"/>
        <v>14</v>
      </c>
      <c r="R103" s="11">
        <f t="shared" si="16"/>
        <v>5</v>
      </c>
      <c r="S103" s="12" cm="1">
        <f t="array" ref="S103">INDEX('Stage-ConceptMap-1'!$I$15:$N$114,Q103+1,R103)</f>
        <v>0</v>
      </c>
    </row>
    <row r="104" spans="7:19" x14ac:dyDescent="0.75">
      <c r="G104" s="77"/>
      <c r="P104" s="11">
        <v>90</v>
      </c>
      <c r="Q104" s="11">
        <f t="shared" si="15"/>
        <v>14</v>
      </c>
      <c r="R104" s="11">
        <f t="shared" si="16"/>
        <v>6</v>
      </c>
      <c r="S104" s="12" cm="1">
        <f t="array" ref="S104">INDEX('Stage-ConceptMap-1'!$I$15:$N$114,Q104+1,R104)</f>
        <v>0</v>
      </c>
    </row>
    <row r="105" spans="7:19" x14ac:dyDescent="0.75">
      <c r="G105" s="77"/>
      <c r="P105" s="11">
        <v>91</v>
      </c>
      <c r="Q105" s="11">
        <f t="shared" si="15"/>
        <v>15</v>
      </c>
      <c r="R105" s="11">
        <f t="shared" si="16"/>
        <v>1</v>
      </c>
      <c r="S105" s="12" cm="1">
        <f t="array" ref="S105">INDEX('Stage-ConceptMap-1'!$I$15:$N$114,Q105+1,R105)</f>
        <v>0</v>
      </c>
    </row>
    <row r="106" spans="7:19" x14ac:dyDescent="0.75">
      <c r="G106" s="77"/>
      <c r="P106" s="11">
        <v>92</v>
      </c>
      <c r="Q106" s="11">
        <f t="shared" si="15"/>
        <v>15</v>
      </c>
      <c r="R106" s="11">
        <f t="shared" si="16"/>
        <v>2</v>
      </c>
      <c r="S106" s="12" cm="1">
        <f t="array" ref="S106">INDEX('Stage-ConceptMap-1'!$I$15:$N$114,Q106+1,R106)</f>
        <v>0</v>
      </c>
    </row>
    <row r="107" spans="7:19" x14ac:dyDescent="0.75">
      <c r="G107" s="77"/>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46" t="s">
        <v>1636</v>
      </c>
      <c r="F4" s="147"/>
      <c r="G4" s="147"/>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6" t="str">
        <f>E3</f>
        <v>http://hl7.eu/fhir/ig/idea4rc/StructureDefinition/StageI4rc</v>
      </c>
      <c r="F6" s="147"/>
      <c r="G6" s="147"/>
    </row>
    <row r="7" spans="1:19" ht="15.5" thickBot="1" x14ac:dyDescent="0.9">
      <c r="B7" s="47" t="s">
        <v>15</v>
      </c>
      <c r="C7" s="28">
        <f>'Stage-ConceptMap-1'!C7</f>
        <v>0</v>
      </c>
      <c r="D7" s="47" t="s">
        <v>1476</v>
      </c>
      <c r="E7" s="146" t="s">
        <v>1636</v>
      </c>
      <c r="F7" s="147"/>
      <c r="G7" s="147"/>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5" t="s">
        <v>1316</v>
      </c>
      <c r="G16" s="13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46" t="s">
        <v>1637</v>
      </c>
      <c r="F4" s="147"/>
      <c r="G4" s="147"/>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6" t="str">
        <f>E3</f>
        <v>http://hl7.eu/fhir/ig/idea4rc/StructureDefinition/StageI4rc</v>
      </c>
      <c r="F6" s="147"/>
      <c r="G6" s="147"/>
    </row>
    <row r="7" spans="1:19" ht="15.5" thickBot="1" x14ac:dyDescent="0.9">
      <c r="B7" s="47" t="s">
        <v>15</v>
      </c>
      <c r="C7" s="28">
        <f>'Stage-ConceptMap-1'!C7</f>
        <v>0</v>
      </c>
      <c r="D7" s="47" t="s">
        <v>1476</v>
      </c>
      <c r="E7" s="146" t="s">
        <v>1637</v>
      </c>
      <c r="F7" s="147"/>
      <c r="G7" s="147"/>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46" t="s">
        <v>1638</v>
      </c>
      <c r="F4" s="147"/>
      <c r="G4" s="147"/>
    </row>
    <row r="5" spans="1:19" x14ac:dyDescent="0.75">
      <c r="B5" s="47" t="s">
        <v>10</v>
      </c>
      <c r="C5" s="7" t="s">
        <v>1621</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1638</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5" t="s">
        <v>1316</v>
      </c>
      <c r="G18" s="138"/>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46" t="s">
        <v>1638</v>
      </c>
      <c r="F4" s="147"/>
      <c r="G4" s="147"/>
    </row>
    <row r="5" spans="1:19" x14ac:dyDescent="0.75">
      <c r="B5" s="47" t="s">
        <v>10</v>
      </c>
      <c r="C5" s="7" t="s">
        <v>1621</v>
      </c>
      <c r="D5" s="47"/>
      <c r="E5" s="7"/>
    </row>
    <row r="6" spans="1:19" x14ac:dyDescent="0.75">
      <c r="B6" s="47" t="s">
        <v>18</v>
      </c>
      <c r="C6" s="41"/>
      <c r="D6" s="47" t="s">
        <v>1475</v>
      </c>
      <c r="E6" s="147" t="str">
        <f>E3</f>
        <v>http://hl7.eu/fhir/ig/idea4rc/StructureDefinition/StageI4rc</v>
      </c>
      <c r="F6" s="147"/>
      <c r="G6" s="147"/>
    </row>
    <row r="7" spans="1:19" x14ac:dyDescent="0.75">
      <c r="B7" s="47" t="s">
        <v>15</v>
      </c>
      <c r="C7" s="72"/>
      <c r="D7" s="47" t="s">
        <v>1476</v>
      </c>
      <c r="E7" s="147" t="s">
        <v>2327</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5" t="s">
        <v>1316</v>
      </c>
      <c r="G15" s="76" t="s">
        <v>2317</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71" t="str">
        <f>$C$1&amp;Stage!B4</f>
        <v>http://hl7.eu/fhir/ig/idea4rc/StructureDefinition/StageI4rc</v>
      </c>
    </row>
    <row r="4" spans="1:19" x14ac:dyDescent="0.75">
      <c r="B4" s="47" t="s">
        <v>16</v>
      </c>
      <c r="C4" s="73" t="str">
        <f>'Stage-ConceptMap-1'!C4</f>
        <v>stage2FHIR</v>
      </c>
      <c r="D4" s="47" t="s">
        <v>1474</v>
      </c>
      <c r="E4" s="146" t="s">
        <v>1625</v>
      </c>
      <c r="F4" s="147"/>
      <c r="G4" s="147"/>
    </row>
    <row r="5" spans="1:19" x14ac:dyDescent="0.75">
      <c r="B5" s="47" t="s">
        <v>10</v>
      </c>
      <c r="C5" s="73" t="str">
        <f>'Stage-ConceptMap-1'!C5</f>
        <v>Stage Model to this guide Map</v>
      </c>
      <c r="D5" s="47"/>
      <c r="E5" s="7"/>
    </row>
    <row r="6" spans="1:19" x14ac:dyDescent="0.75">
      <c r="B6" s="47" t="s">
        <v>18</v>
      </c>
      <c r="C6" s="73">
        <f>'Stage-ConceptMap-1'!C6</f>
        <v>0</v>
      </c>
      <c r="D6" s="47" t="s">
        <v>1475</v>
      </c>
      <c r="E6" s="146" t="str">
        <f>E3</f>
        <v>http://hl7.eu/fhir/ig/idea4rc/StructureDefinition/StageI4rc</v>
      </c>
      <c r="F6" s="147"/>
      <c r="G6" s="147"/>
    </row>
    <row r="7" spans="1:19" x14ac:dyDescent="0.75">
      <c r="B7" s="47" t="s">
        <v>15</v>
      </c>
      <c r="C7" s="73">
        <f>'Stage-ConceptMap-1'!C7</f>
        <v>0</v>
      </c>
      <c r="D7" s="47" t="s">
        <v>1476</v>
      </c>
      <c r="E7" s="146" t="s">
        <v>2314</v>
      </c>
      <c r="F7" s="147"/>
      <c r="G7" s="147"/>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2326</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2382</v>
      </c>
      <c r="E16" s="12"/>
      <c r="F16" s="49" t="s">
        <v>1294</v>
      </c>
      <c r="G16" s="76" t="s">
        <v>2384</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2382</v>
      </c>
      <c r="E17" s="12"/>
      <c r="F17" s="49" t="s">
        <v>1294</v>
      </c>
      <c r="G17" s="76" t="s">
        <v>2383</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6" t="s">
        <v>2385</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2386</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2387</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2388</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2389</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1613</v>
      </c>
      <c r="E24" s="12"/>
      <c r="F24" s="49" t="s">
        <v>1316</v>
      </c>
      <c r="G24" s="77" t="s">
        <v>2390</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2391</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2392</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2393</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2394</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2395</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1613</v>
      </c>
      <c r="E30" s="12"/>
      <c r="F30" s="49" t="s">
        <v>1316</v>
      </c>
      <c r="G30" s="77" t="s">
        <v>2396</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#Observation.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#Observation.bodySite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#Observation.bodySite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#Observation.bodySite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#Observation.bodySite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#Observation.bodySite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#Observation.bodySite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#Observation.bodySite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#Observation.bodySite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#Observation.bodySite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#Observation.bodySite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#Observation.bodySite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2320</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3"/>
    </row>
    <row r="105" spans="2:2" x14ac:dyDescent="0.75">
      <c r="B105" s="53" t="str">
        <f>"* group[+].source = ##34#"&amp;'Stage-ConceptMap-2'!E6&amp;"##34#"</f>
        <v>* group[+].source = ##34#http://hl7.eu/fhir/ig/idea4rc/StructureDefinition/StageI4rc##34#</v>
      </c>
    </row>
    <row r="106" spans="2:2" x14ac:dyDescent="0.75">
      <c r="B106" s="84" t="str">
        <f>"* group[=].target = ##34#"&amp;'Stage-ConceptMap-2'!E7&amp;"##34#"</f>
        <v>* group[=].target = ##34#http://hl7.eu/fhir/ig/idea4rc/StructureDefinition/mcode-tnm-primary-tumor-category##34#</v>
      </c>
    </row>
    <row r="107" spans="2:2" x14ac:dyDescent="0.75">
      <c r="B107" s="85"/>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3"/>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4" t="str">
        <f>"* group[=].target = ##34#"&amp;'Stage-ConceptMap-3'!E7&amp;"##34#"</f>
        <v>* group[=].target = ##34#http://hl7.eu/fhir/ig/idea4rc/StructureDefinition/mcode-tnm-regional-nodes-category##34#</v>
      </c>
      <c r="C137" s="7"/>
      <c r="D137" s="7"/>
      <c r="E137" s="7"/>
      <c r="F137" s="7"/>
      <c r="G137" s="7"/>
    </row>
    <row r="138" spans="2:7" x14ac:dyDescent="0.75">
      <c r="B138" s="85"/>
      <c r="C138" s="7"/>
      <c r="D138" s="7"/>
      <c r="E138" s="7"/>
      <c r="F138" s="7"/>
      <c r="G138" s="7"/>
    </row>
    <row r="139" spans="2:7" x14ac:dyDescent="0.75">
      <c r="B139" s="73" t="str">
        <f>IF('Stage-ConceptMap-3'!S15=0,"//---END",'Stage-ConceptMap-3'!S15)</f>
        <v>* group[=].element[+].code = #Stage.type</v>
      </c>
      <c r="C139" s="7"/>
      <c r="D139" s="7"/>
      <c r="E139" s="7"/>
      <c r="F139" s="7"/>
      <c r="G139" s="7"/>
    </row>
    <row r="140" spans="2:7" x14ac:dyDescent="0.75">
      <c r="B140" s="73" t="str">
        <f>IF('Stage-ConceptMap-3'!S16=0,"//---END",'Stage-ConceptMap-3'!S16)</f>
        <v>* group[=].element[=].display = ##34#Type of stage##34#</v>
      </c>
      <c r="C140" s="7"/>
      <c r="D140" s="7"/>
      <c r="E140" s="7"/>
      <c r="F140" s="7"/>
      <c r="G140" s="7"/>
    </row>
    <row r="141" spans="2:7" x14ac:dyDescent="0.75">
      <c r="B141" s="73" t="str">
        <f>IF('Stage-ConceptMap-3'!S17=0,"//---END",'Stage-ConceptMap-3'!S17)</f>
        <v>* group[=].element[=].target.code = #Observation.code</v>
      </c>
      <c r="C141" s="7"/>
      <c r="D141" s="7"/>
      <c r="E141" s="7"/>
      <c r="F141" s="7"/>
      <c r="G141" s="7"/>
    </row>
    <row r="142" spans="2:7" x14ac:dyDescent="0.75">
      <c r="B142" s="73" t="str">
        <f>IF('Stage-ConceptMap-3'!S18=0,"//---END",'Stage-ConceptMap-3'!S18)</f>
        <v>* group[=].element[=].target.display = ##34###34#</v>
      </c>
      <c r="C142" s="7"/>
      <c r="D142" s="7"/>
      <c r="E142" s="7"/>
      <c r="F142" s="7"/>
      <c r="G142" s="7"/>
    </row>
    <row r="143" spans="2:7" x14ac:dyDescent="0.75">
      <c r="B143" s="73" t="str">
        <f>IF('Stage-ConceptMap-3'!S19=0,"//---END",'Stage-ConceptMap-3'!S19)</f>
        <v>* group[=].element[=].target.equivalence = #equivalent</v>
      </c>
      <c r="C143" s="7"/>
      <c r="D143" s="7"/>
      <c r="E143" s="7"/>
      <c r="F143" s="7"/>
      <c r="G143" s="7"/>
    </row>
    <row r="144" spans="2:7" x14ac:dyDescent="0.75">
      <c r="B144" s="73" t="str">
        <f>IF('Stage-ConceptMap-3'!S20=0,"//---END",'Stage-ConceptMap-3'!S20)</f>
        <v/>
      </c>
      <c r="C144" s="7"/>
      <c r="D144" s="7"/>
      <c r="E144" s="7"/>
      <c r="F144" s="7"/>
      <c r="G144" s="7"/>
    </row>
    <row r="145" spans="2:7" x14ac:dyDescent="0.75">
      <c r="B145" s="73" t="str">
        <f>IF('Stage-ConceptMap-3'!S21=0,"//---END",'Stage-ConceptMap-3'!S21)</f>
        <v>* group[=].element[+].code = #Stage.t</v>
      </c>
      <c r="C145" s="7"/>
      <c r="D145" s="7"/>
      <c r="E145" s="7"/>
      <c r="F145" s="7"/>
      <c r="G145" s="7"/>
    </row>
    <row r="146" spans="2:7" x14ac:dyDescent="0.75">
      <c r="B146" s="73" t="str">
        <f>IF('Stage-ConceptMap-3'!S22=0,"//---END",'Stage-ConceptMap-3'!S22)</f>
        <v>* group[=].element[=].display = ##34#T##34#</v>
      </c>
      <c r="C146" s="7"/>
      <c r="D146" s="7"/>
      <c r="E146" s="7"/>
      <c r="F146" s="7"/>
      <c r="G146" s="7"/>
    </row>
    <row r="147" spans="2:7" x14ac:dyDescent="0.75">
      <c r="B147" s="73" t="str">
        <f>IF('Stage-ConceptMap-3'!S23=0,"//---END",'Stage-ConceptMap-3'!S23)</f>
        <v>//-- unmatched</v>
      </c>
      <c r="C147" s="7"/>
      <c r="D147" s="7"/>
      <c r="E147" s="7"/>
      <c r="F147" s="7"/>
      <c r="G147" s="7"/>
    </row>
    <row r="148" spans="2:7" x14ac:dyDescent="0.75">
      <c r="B148" s="73" t="str">
        <f>IF('Stage-ConceptMap-3'!S24=0,"//---END",'Stage-ConceptMap-3'!S24)</f>
        <v>//-- unmatched</v>
      </c>
      <c r="C148" s="7"/>
      <c r="D148" s="7"/>
      <c r="E148" s="7"/>
      <c r="F148" s="7"/>
      <c r="G148" s="7"/>
    </row>
    <row r="149" spans="2:7" x14ac:dyDescent="0.75">
      <c r="B149" s="73" t="str">
        <f>IF('Stage-ConceptMap-3'!S25=0,"//---END",'Stage-ConceptMap-3'!S25)</f>
        <v>* group[=].element[=].target.equivalence = #unmatched</v>
      </c>
      <c r="C149" s="7"/>
      <c r="D149" s="7"/>
      <c r="E149" s="7"/>
      <c r="F149" s="7"/>
      <c r="G149" s="7"/>
    </row>
    <row r="150" spans="2:7" x14ac:dyDescent="0.75">
      <c r="B150" s="73" t="str">
        <f>IF('Stage-ConceptMap-3'!S26=0,"//---END",'Stage-ConceptMap-3'!S26)</f>
        <v/>
      </c>
      <c r="C150" s="7"/>
      <c r="D150" s="7"/>
      <c r="E150" s="7"/>
      <c r="F150" s="7"/>
      <c r="G150" s="7"/>
    </row>
    <row r="151" spans="2:7" x14ac:dyDescent="0.75">
      <c r="B151" s="73" t="str">
        <f>IF('Stage-ConceptMap-3'!S27=0,"//---END",'Stage-ConceptMap-3'!S27)</f>
        <v>* group[=].element[+].code = #Stage.n</v>
      </c>
      <c r="C151" s="7"/>
      <c r="D151" s="7"/>
      <c r="E151" s="7"/>
      <c r="F151" s="7"/>
      <c r="G151" s="7"/>
    </row>
    <row r="152" spans="2:7" x14ac:dyDescent="0.75">
      <c r="B152" s="73" t="str">
        <f>IF('Stage-ConceptMap-3'!S28=0,"//---END",'Stage-ConceptMap-3'!S28)</f>
        <v>* group[=].element[=].display = ##34#N##34#</v>
      </c>
      <c r="C152" s="7"/>
      <c r="D152" s="7"/>
      <c r="E152" s="7"/>
      <c r="F152" s="7"/>
      <c r="G152" s="7"/>
    </row>
    <row r="153" spans="2:7" x14ac:dyDescent="0.75">
      <c r="B153" s="73" t="str">
        <f>IF('Stage-ConceptMap-3'!S29=0,"//---END",'Stage-ConceptMap-3'!S29)</f>
        <v>* group[=].element[=].target.code = #Observation.valueCodeableConcept</v>
      </c>
      <c r="C153" s="7"/>
      <c r="D153" s="7"/>
      <c r="E153" s="7"/>
      <c r="F153" s="7"/>
      <c r="G153" s="7"/>
    </row>
    <row r="154" spans="2:7" x14ac:dyDescent="0.75">
      <c r="B154" s="73" t="str">
        <f>IF('Stage-ConceptMap-3'!S30=0,"//---END",'Stage-ConceptMap-3'!S30)</f>
        <v>* group[=].element[=].target.display = ##34###34#</v>
      </c>
      <c r="C154" s="7"/>
      <c r="D154" s="7"/>
      <c r="E154" s="7"/>
      <c r="F154" s="7"/>
      <c r="G154" s="7"/>
    </row>
    <row r="155" spans="2:7" x14ac:dyDescent="0.75">
      <c r="B155" s="73" t="str">
        <f>IF('Stage-ConceptMap-3'!S31=0,"//---END",'Stage-ConceptMap-3'!S31)</f>
        <v>* group[=].element[=].target.equivalence = #equivalent</v>
      </c>
      <c r="C155" s="7"/>
      <c r="D155" s="7"/>
      <c r="E155" s="7"/>
      <c r="F155" s="7"/>
      <c r="G155" s="7"/>
    </row>
    <row r="156" spans="2:7" x14ac:dyDescent="0.75">
      <c r="B156" s="73" t="str">
        <f>IF('Stage-ConceptMap-3'!S32=0,"//---END",'Stage-ConceptMap-3'!S32)</f>
        <v/>
      </c>
      <c r="C156" s="7"/>
      <c r="D156" s="7"/>
      <c r="E156" s="7"/>
      <c r="F156" s="7"/>
      <c r="G156" s="7"/>
    </row>
    <row r="157" spans="2:7" x14ac:dyDescent="0.75">
      <c r="B157" s="73" t="str">
        <f>IF('Stage-ConceptMap-3'!S33=0,"//---END",'Stage-ConceptMap-3'!S33)</f>
        <v>* group[=].element[+].code = #Stage.m</v>
      </c>
      <c r="C157" s="7"/>
      <c r="D157" s="7"/>
      <c r="E157" s="7"/>
      <c r="F157" s="7"/>
      <c r="G157" s="7"/>
    </row>
    <row r="158" spans="2:7" x14ac:dyDescent="0.75">
      <c r="B158" s="73" t="str">
        <f>IF('Stage-ConceptMap-3'!S34=0,"//---END",'Stage-ConceptMap-3'!S34)</f>
        <v>* group[=].element[=].display = ##34#M##34#</v>
      </c>
      <c r="C158" s="7"/>
      <c r="D158" s="7"/>
      <c r="E158" s="7"/>
      <c r="F158" s="7"/>
      <c r="G158" s="7"/>
    </row>
    <row r="159" spans="2:7" x14ac:dyDescent="0.75">
      <c r="B159" s="73" t="str">
        <f>IF('Stage-ConceptMap-3'!S35=0,"//---END",'Stage-ConceptMap-3'!S35)</f>
        <v>//-- unmatched</v>
      </c>
      <c r="C159" s="7"/>
      <c r="D159" s="7"/>
      <c r="E159" s="7"/>
      <c r="F159" s="7"/>
      <c r="G159" s="7"/>
    </row>
    <row r="160" spans="2:7" x14ac:dyDescent="0.75">
      <c r="B160" s="73" t="str">
        <f>IF('Stage-ConceptMap-3'!S36=0,"//---END",'Stage-ConceptMap-3'!S36)</f>
        <v>//-- unmatched</v>
      </c>
      <c r="C160" s="7"/>
      <c r="D160" s="7"/>
      <c r="E160" s="7"/>
      <c r="F160" s="7"/>
      <c r="G160" s="7"/>
    </row>
    <row r="161" spans="2:7" x14ac:dyDescent="0.75">
      <c r="B161" s="73" t="str">
        <f>IF('Stage-ConceptMap-3'!S37=0,"//---END",'Stage-ConceptMap-3'!S37)</f>
        <v>* group[=].element[=].target.equivalence = #unmatched</v>
      </c>
      <c r="C161" s="7"/>
      <c r="D161" s="7"/>
      <c r="E161" s="7"/>
      <c r="F161" s="7"/>
      <c r="G161" s="7"/>
    </row>
    <row r="162" spans="2:7" x14ac:dyDescent="0.75">
      <c r="B162" s="73" t="str">
        <f>IF('Stage-ConceptMap-3'!S38=0,"//---END",'Stage-ConceptMap-3'!S38)</f>
        <v/>
      </c>
      <c r="C162" s="7"/>
      <c r="D162" s="7"/>
      <c r="E162" s="7"/>
      <c r="F162" s="7"/>
      <c r="G162" s="7"/>
    </row>
    <row r="163" spans="2:7" x14ac:dyDescent="0.75">
      <c r="B163" s="73" t="str">
        <f>IF('Stage-ConceptMap-3'!S39=0,"//---END",'Stage-ConceptMap-3'!S39)</f>
        <v>//---END</v>
      </c>
      <c r="C163" s="7"/>
      <c r="D163" s="7"/>
      <c r="E163" s="7"/>
      <c r="F163" s="7"/>
      <c r="G163" s="7"/>
    </row>
    <row r="164" spans="2:7" x14ac:dyDescent="0.75">
      <c r="B164" s="73" t="str">
        <f>IF('Stage-ConceptMap-3'!S40=0,"//---END",'Stage-ConceptMap-3'!S40)</f>
        <v>//---END</v>
      </c>
      <c r="C164" s="7"/>
      <c r="D164" s="7"/>
      <c r="E164" s="7"/>
      <c r="F164" s="7"/>
      <c r="G164" s="7"/>
    </row>
    <row r="165" spans="2:7" x14ac:dyDescent="0.75">
      <c r="B165" s="73" t="str">
        <f>IF('Stage-ConceptMap-3'!S41=0,"//---END",'Stage-ConceptMap-3'!S41)</f>
        <v>//---END</v>
      </c>
      <c r="C165" s="7"/>
      <c r="D165" s="7"/>
      <c r="E165" s="7"/>
      <c r="F165" s="7"/>
      <c r="G165" s="7"/>
    </row>
    <row r="166" spans="2:7" x14ac:dyDescent="0.75">
      <c r="B166" s="73" t="str">
        <f>IF('Stage-ConceptMap-3'!S42=0,"//---END",'Stage-ConceptMap-3'!S42)</f>
        <v>//---END</v>
      </c>
      <c r="C166" s="7"/>
      <c r="D166" s="7"/>
      <c r="E166" s="7"/>
      <c r="F166" s="7"/>
      <c r="G166" s="7"/>
    </row>
    <row r="167" spans="2:7" x14ac:dyDescent="0.75">
      <c r="B167" s="7"/>
      <c r="C167" s="7"/>
      <c r="D167" s="7"/>
      <c r="E167" s="7"/>
      <c r="F167" s="7"/>
      <c r="G167" s="7"/>
    </row>
    <row r="168" spans="2:7" x14ac:dyDescent="0.75">
      <c r="B168" s="83"/>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4" t="str">
        <f>"* group[=].target = ##34#"&amp;'Stage-ConceptMap-4'!E7&amp;"##34#"</f>
        <v>* group[=].target = ##34#http://hl7.eu/fhir/ig/idea4rc/StructureDefinition/mcode-tnm-distant-metastases-category##34#</v>
      </c>
      <c r="C170" s="7"/>
      <c r="D170" s="7"/>
      <c r="E170" s="7"/>
      <c r="F170" s="7"/>
      <c r="G170" s="7"/>
    </row>
    <row r="171" spans="2:7" x14ac:dyDescent="0.75">
      <c r="B171" s="85"/>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3"/>
    </row>
    <row r="202" spans="2:2" x14ac:dyDescent="0.75">
      <c r="B202" s="53" t="str">
        <f>"* group[+].source = ##34#"&amp;'Stage-ConceptMap-5'!E6&amp;"##34#"</f>
        <v>* group[+].source = ##34#http://hl7.eu/fhir/ig/idea4rc/StructureDefinition/StageI4rc##34#</v>
      </c>
    </row>
    <row r="203" spans="2:2" x14ac:dyDescent="0.75">
      <c r="B203" s="84" t="str">
        <f>"* group[=].target = ##34#"&amp;'Stage-ConceptMap-5'!E7&amp;"##34#"</f>
        <v>* group[=].target = ##34#http://hl7.eu/fhir/ig/idea4rc/StructureDefinition/observation-extraNodalExtension-eu-i4rc##34#</v>
      </c>
    </row>
    <row r="204" spans="2:2" x14ac:dyDescent="0.75">
      <c r="B204" s="85"/>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3"/>
    </row>
    <row r="215" spans="2:2" x14ac:dyDescent="0.75">
      <c r="B215" s="53" t="str">
        <f>"* group[+].source = ##34#"&amp;'Stage-ConceptMap-6'!E6&amp;"##34#"</f>
        <v>* group[+].source = ##34#http://hl7.eu/fhir/ig/idea4rc/StructureDefinition/StageI4rc##34#</v>
      </c>
    </row>
    <row r="216" spans="2:2" x14ac:dyDescent="0.75">
      <c r="B216" s="84" t="str">
        <f>"* group[=].target = ##34#"&amp;'Stage-ConceptMap-6'!E7&amp;"##34#"</f>
        <v>* group[=].target = ##34#http://hl7.eu/fhir/ig/idea4rc/StructureDefinition/Condition-secondaryCancer-eu-i4rc##34#</v>
      </c>
    </row>
    <row r="217" spans="2:2" x14ac:dyDescent="0.75">
      <c r="B217" s="85"/>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2175</v>
      </c>
      <c r="L4" s="16" t="str">
        <f>CONCATENATE("Logical: ",B4)</f>
        <v>Logical: PathologicalReportInfoI4rc</v>
      </c>
    </row>
    <row r="5" spans="1:18" ht="15.5" thickBot="1" x14ac:dyDescent="0.9">
      <c r="A5" s="14" t="s">
        <v>16</v>
      </c>
      <c r="B5" s="30" t="s">
        <v>2176</v>
      </c>
      <c r="L5" s="16" t="str">
        <f>CONCATENATE("Id: ",B5)</f>
        <v>Id: PathologicalReportInfo</v>
      </c>
    </row>
    <row r="6" spans="1:18" ht="15.5" thickBot="1" x14ac:dyDescent="0.9">
      <c r="A6" s="14" t="s">
        <v>10</v>
      </c>
      <c r="B6" s="30" t="s">
        <v>2177</v>
      </c>
      <c r="L6" s="17" t="str">
        <f>CONCATENATE("Title: ##34#",B6,"##34#")</f>
        <v>Title: ##34#Pathological Report Info##34#</v>
      </c>
    </row>
    <row r="7" spans="1:18" x14ac:dyDescent="0.75">
      <c r="A7" s="26" t="s">
        <v>2</v>
      </c>
      <c r="B7" s="96" t="s">
        <v>2177</v>
      </c>
      <c r="C7" s="9" t="s">
        <v>3</v>
      </c>
      <c r="D7" s="1" t="s">
        <v>4</v>
      </c>
      <c r="E7" s="3" t="s">
        <v>5</v>
      </c>
      <c r="F7" s="3" t="s">
        <v>6</v>
      </c>
      <c r="G7" s="117" t="s">
        <v>7</v>
      </c>
      <c r="H7" s="64" t="s">
        <v>1384</v>
      </c>
      <c r="I7" s="119" t="s">
        <v>2082</v>
      </c>
      <c r="J7" s="119" t="s">
        <v>2083</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2248</v>
      </c>
      <c r="C9" s="11" t="s">
        <v>2256</v>
      </c>
      <c r="D9" s="11" t="s">
        <v>2257</v>
      </c>
      <c r="E9" s="11">
        <v>0</v>
      </c>
      <c r="F9" s="11">
        <v>1</v>
      </c>
      <c r="G9" s="12" t="s">
        <v>1468</v>
      </c>
      <c r="H9" s="12" t="s">
        <v>2258</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2249</v>
      </c>
      <c r="C10" s="11" t="s">
        <v>2259</v>
      </c>
      <c r="D10" s="11" t="s">
        <v>2259</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2250</v>
      </c>
      <c r="C11" s="11" t="s">
        <v>2260</v>
      </c>
      <c r="D11" s="11" t="s">
        <v>2260</v>
      </c>
      <c r="E11" s="11">
        <v>0</v>
      </c>
      <c r="F11" s="11">
        <v>1</v>
      </c>
      <c r="G11" s="12" t="s">
        <v>1991</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2251</v>
      </c>
      <c r="C12" s="11" t="s">
        <v>2261</v>
      </c>
      <c r="D12" s="11" t="s">
        <v>2261</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2252</v>
      </c>
      <c r="C13" s="11" t="s">
        <v>2262</v>
      </c>
      <c r="D13" s="11" t="s">
        <v>2262</v>
      </c>
      <c r="E13" s="11">
        <v>0</v>
      </c>
      <c r="F13" s="11">
        <v>1</v>
      </c>
      <c r="G13" s="12" t="s">
        <v>1468</v>
      </c>
      <c r="H13" s="12" t="s">
        <v>2263</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2253</v>
      </c>
      <c r="C14" s="11" t="s">
        <v>2264</v>
      </c>
      <c r="D14" s="11" t="s">
        <v>2264</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2254</v>
      </c>
      <c r="C15" s="11" t="s">
        <v>2265</v>
      </c>
      <c r="D15" s="11" t="s">
        <v>2265</v>
      </c>
      <c r="E15" s="11">
        <v>0</v>
      </c>
      <c r="F15" s="11">
        <v>1</v>
      </c>
      <c r="G15" s="12" t="s">
        <v>44</v>
      </c>
      <c r="H15" s="12" t="s">
        <v>2266</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2255</v>
      </c>
      <c r="C16" s="11" t="s">
        <v>2267</v>
      </c>
      <c r="D16" s="11" t="s">
        <v>2267</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PathologicalReportInfo!L1</f>
        <v>//===================================================</v>
      </c>
    </row>
    <row r="2" spans="3:7" ht="16.75" thickBot="1" x14ac:dyDescent="0.9">
      <c r="C2" s="24" t="str">
        <f>PathologicalReportInfo!L2</f>
        <v>//  Logical Model</v>
      </c>
      <c r="G2" s="29" t="s">
        <v>2268</v>
      </c>
    </row>
    <row r="3" spans="3:7" x14ac:dyDescent="0.75">
      <c r="C3" s="24" t="str">
        <f>PathologicalReportInfo!L3</f>
        <v>//===================================================</v>
      </c>
    </row>
    <row r="4" spans="3:7" x14ac:dyDescent="0.75">
      <c r="C4" s="100" t="str">
        <f>PathologicalReportInfo!L4</f>
        <v>Logical: PathologicalReportInfoI4rc</v>
      </c>
    </row>
    <row r="5" spans="3:7" x14ac:dyDescent="0.75">
      <c r="C5" s="100" t="str">
        <f>PathologicalReportInfo!L5</f>
        <v>Id: PathologicalReportInfo</v>
      </c>
    </row>
    <row r="6" spans="3:7" x14ac:dyDescent="0.75">
      <c r="C6" s="100" t="str">
        <f>PathologicalReportInfo!L6</f>
        <v>Title: ##34#Pathological Report Info##34#</v>
      </c>
    </row>
    <row r="7" spans="3:7" x14ac:dyDescent="0.75">
      <c r="C7" s="100" t="str">
        <f>PathologicalReportInfo!L7</f>
        <v>Description:  ##334#Pathological Report Info##334#</v>
      </c>
    </row>
    <row r="8" spans="3:7" ht="29.5" x14ac:dyDescent="0.75">
      <c r="C8" s="101"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1" t="str">
        <f>IF(PathologicalReportInfo!L9="*  ..  ##34###34# ##334###334#","//--- END",PathologicalReportInfo!L9)</f>
        <v>* degreeOfCytologicAtypia 0..1 CodeableConcept ##34#Degree of cytologic Atypia##34# ##334#Defines the degree of cytologic atypia##334#</v>
      </c>
    </row>
    <row r="10" spans="3:7" x14ac:dyDescent="0.75">
      <c r="C10" s="101" t="str">
        <f>IF(PathologicalReportInfo!L10="*  ..  ##34###34# ##334###334#","//--- END",PathologicalReportInfo!L10)</f>
        <v>* patternOfGrowth 0..1 BackboneElement ##34#Pattern of Growth##34# ##334#Pattern of Growth##334#</v>
      </c>
    </row>
    <row r="11" spans="3:7" x14ac:dyDescent="0.75">
      <c r="C11" s="101" t="str">
        <f>IF(PathologicalReportInfo!L11="*  ..  ##34###34# ##334###334#","//--- END",PathologicalReportInfo!L11)</f>
        <v>* mitoticActivity 0..1 Quantity ##34#Mitotic Activity##34# ##334#Mitotic Activity##334#</v>
      </c>
    </row>
    <row r="12" spans="3:7" ht="29.5" x14ac:dyDescent="0.75">
      <c r="C12" s="101" t="str">
        <f>IF(PathologicalReportInfo!L12="*  ..  ##34###34# ##334###334#","//--- END",PathologicalReportInfo!L12)</f>
        <v>* infiltrationOfSurroundingMyometrium 0..1 BackboneElement ##34#Infiltration of surrounding myometrium##34# ##334#Infiltration of surrounding myometrium##334#</v>
      </c>
    </row>
    <row r="13" spans="3:7" x14ac:dyDescent="0.75">
      <c r="C13" s="101" t="str">
        <f>IF(PathologicalReportInfo!L13="*  ..  ##34###34# ##334###334#","//--- END",PathologicalReportInfo!L13)</f>
        <v>* typeOfNecrosis 0..1 CodeableConcept ##34#Type of necrosis##34# ##334#Type of necrosis##334#</v>
      </c>
    </row>
    <row r="14" spans="3:7" x14ac:dyDescent="0.75">
      <c r="C14" s="101" t="str">
        <f>IF(PathologicalReportInfo!L14="*  ..  ##34###34# ##334###334#","//--- END",PathologicalReportInfo!L14)</f>
        <v>* expressionOfErPr 0..1 BackboneElement ##34#Expression of ER/PR##34# ##334#Expression of ER/PR##334#</v>
      </c>
    </row>
    <row r="15" spans="3:7" ht="29.5" x14ac:dyDescent="0.75">
      <c r="C15" s="101" t="str">
        <f>IF(PathologicalReportInfo!L15="*  ..  ##34###34# ##334###334#","//--- END",PathologicalReportInfo!L15)</f>
        <v>* vascularIntrusionOrInvasion 0..1 boolean ##34#vascular intrusion or invasion##34# ##334#vascular intrusion or invasion##334#</v>
      </c>
    </row>
    <row r="16" spans="3:7" x14ac:dyDescent="0.75">
      <c r="C16" s="101" t="str">
        <f>IF(PathologicalReportInfo!L16="*  ..  ##34###34# ##334###334#","//--- END",PathologicalReportInfo!L16)</f>
        <v>* p16AndP53Expression 0..1 BackboneElement ##34#p16 and p53 expression##34# ##334#p16 and p53 expression##334#</v>
      </c>
    </row>
    <row r="17" spans="3:3" x14ac:dyDescent="0.75">
      <c r="C17" s="101" t="str">
        <f>IF(PathologicalReportInfo!L17="*  ..  ##34###34# ##334###334#","//--- END",PathologicalReportInfo!L17)</f>
        <v>//--- END</v>
      </c>
    </row>
    <row r="18" spans="3:3" x14ac:dyDescent="0.75">
      <c r="C18" s="101" t="str">
        <f>IF(PathologicalReportInfo!L18="*  ..  ##34###34# ##334###334#","//--- END",PathologicalReportInfo!L18)</f>
        <v>//--- END</v>
      </c>
    </row>
    <row r="19" spans="3:3" x14ac:dyDescent="0.75">
      <c r="C19" s="101" t="str">
        <f>IF(PathologicalReportInfo!L19="*  ..  ##34###34# ##334###334#","//--- END",PathologicalReportInfo!L19)</f>
        <v>//--- END</v>
      </c>
    </row>
    <row r="23" spans="3:3" x14ac:dyDescent="0.75">
      <c r="C23" s="99" t="s">
        <v>1387</v>
      </c>
    </row>
    <row r="24" spans="3:3" x14ac:dyDescent="0.75">
      <c r="C24" s="24" t="s">
        <v>1421</v>
      </c>
    </row>
    <row r="25" spans="3:3" x14ac:dyDescent="0.75">
      <c r="C25" s="24" t="s">
        <v>1387</v>
      </c>
    </row>
    <row r="26" spans="3:3" x14ac:dyDescent="0.75">
      <c r="C26" s="101" t="str">
        <f>IF(PathologicalReportInfo!N8="*  ..  ##34###34# ##334###334#","//--- END",PathologicalReportInfo!N8)</f>
        <v/>
      </c>
    </row>
    <row r="27" spans="3:3" ht="59" x14ac:dyDescent="0.75">
      <c r="C27" s="101"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1" t="str">
        <f>IF(PathologicalReportInfo!N10="*  ..  ##34###34# ##334###334#","//--- END",PathologicalReportInfo!N10)</f>
        <v/>
      </c>
    </row>
    <row r="29" spans="3:3" x14ac:dyDescent="0.75">
      <c r="C29" s="101" t="str">
        <f>IF(PathologicalReportInfo!N11="*  ..  ##34###34# ##334###334#","//--- END",PathologicalReportInfo!N11)</f>
        <v/>
      </c>
    </row>
    <row r="30" spans="3:3" x14ac:dyDescent="0.75">
      <c r="C30" s="101" t="str">
        <f>IF(PathologicalReportInfo!N12="*  ..  ##34###34# ##334###334#","//--- END",PathologicalReportInfo!N12)</f>
        <v/>
      </c>
    </row>
    <row r="31" spans="3:3" ht="132.75" x14ac:dyDescent="0.75">
      <c r="C31" s="101"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1" t="str">
        <f>IF(PathologicalReportInfo!N14="*  ..  ##34###34# ##334###334#","//--- END",PathologicalReportInfo!N14)</f>
        <v/>
      </c>
    </row>
    <row r="33" spans="3:3" ht="29.5" x14ac:dyDescent="0.75">
      <c r="C33" s="101" t="str">
        <f>IF(PathologicalReportInfo!N15="*  ..  ##34###34# ##334###334#","//--- END",PathologicalReportInfo!N15)</f>
        <v>* vascularIntrusionOrInvasion ^comment = ##334#True;False
Vascular invasion by tumor present - 4163142##334#</v>
      </c>
    </row>
    <row r="34" spans="3:3" x14ac:dyDescent="0.75">
      <c r="C34" s="101" t="str">
        <f>IF(PathologicalReportInfo!N16="*  ..  ##34###34# ##334###334#","//--- END",PathologicalReportInfo!N16)</f>
        <v/>
      </c>
    </row>
    <row r="35" spans="3:3" x14ac:dyDescent="0.75">
      <c r="C35" s="101" t="str">
        <f>IF(PathologicalReportInfo!N17="*  ..  ##34###34# ##334###334#","//--- END",PathologicalReportInfo!N17)</f>
        <v>//--- END</v>
      </c>
    </row>
    <row r="36" spans="3:3" x14ac:dyDescent="0.75">
      <c r="C36" s="101" t="str">
        <f>IF(PathologicalReportInfo!N18="*  ..  ##34###34# ##334###334#","//--- END",PathologicalReportInfo!N18)</f>
        <v>//--- END</v>
      </c>
    </row>
    <row r="37" spans="3:3" x14ac:dyDescent="0.75">
      <c r="C37" s="101" t="str">
        <f>IF(PathologicalReportInfo!N19="*  ..  ##34###34# ##334###334#","//--- END",PathologicalReportInfo!N19)</f>
        <v>//--- END</v>
      </c>
    </row>
    <row r="40" spans="3:3" x14ac:dyDescent="0.75">
      <c r="C40" s="99" t="str">
        <f>PathologicalReportInfo!P1</f>
        <v>// -------------------------------------------------------------------------------</v>
      </c>
    </row>
    <row r="41" spans="3:3" x14ac:dyDescent="0.75">
      <c r="C41" s="24" t="str">
        <f>PathologicalReportInfo!P2</f>
        <v>// Obligations H&amp;N</v>
      </c>
    </row>
    <row r="42" spans="3:3" x14ac:dyDescent="0.75">
      <c r="C42" s="24" t="str">
        <f>PathologicalReportInfo!P3</f>
        <v>// -------------------------------------------------------------------------------</v>
      </c>
    </row>
    <row r="43" spans="3:3" x14ac:dyDescent="0.75">
      <c r="C43" s="101" t="str">
        <f>IF(PathologicalReportInfo!P8="*  ..  ##34###34# ##334###334#","//--- END",PathologicalReportInfo!P8)</f>
        <v/>
      </c>
    </row>
    <row r="44" spans="3:3" x14ac:dyDescent="0.75">
      <c r="C44" s="101" t="str">
        <f>IF(PathologicalReportInfo!P9="*  ..  ##34###34# ##334###334#","//--- END",PathologicalReportInfo!P9)</f>
        <v/>
      </c>
    </row>
    <row r="45" spans="3:3" x14ac:dyDescent="0.75">
      <c r="C45" s="101" t="str">
        <f>IF(PathologicalReportInfo!P10="*  ..  ##34###34# ##334###334#","//--- END",PathologicalReportInfo!P10)</f>
        <v/>
      </c>
    </row>
    <row r="46" spans="3:3" x14ac:dyDescent="0.75">
      <c r="C46" s="101" t="str">
        <f>IF(PathologicalReportInfo!P11="*  ..  ##34###34# ##334###334#","//--- END",PathologicalReportInfo!P11)</f>
        <v/>
      </c>
    </row>
    <row r="47" spans="3:3" x14ac:dyDescent="0.75">
      <c r="C47" s="101" t="str">
        <f>IF(PathologicalReportInfo!P12="*  ..  ##34###34# ##334###334#","//--- END",PathologicalReportInfo!P12)</f>
        <v/>
      </c>
    </row>
    <row r="48" spans="3:3" x14ac:dyDescent="0.75">
      <c r="C48" s="101" t="str">
        <f>IF(PathologicalReportInfo!P13="*  ..  ##34###34# ##334###334#","//--- END",PathologicalReportInfo!P13)</f>
        <v/>
      </c>
    </row>
    <row r="49" spans="3:3" x14ac:dyDescent="0.75">
      <c r="C49" s="101" t="str">
        <f>IF(PathologicalReportInfo!P14="*  ..  ##34###34# ##334###334#","//--- END",PathologicalReportInfo!P14)</f>
        <v/>
      </c>
    </row>
    <row r="50" spans="3:3" x14ac:dyDescent="0.75">
      <c r="C50" s="101" t="str">
        <f>IF(PathologicalReportInfo!P15="*  ..  ##34###34# ##334###334#","//--- END",PathologicalReportInfo!P15)</f>
        <v/>
      </c>
    </row>
    <row r="51" spans="3:3" x14ac:dyDescent="0.75">
      <c r="C51" s="101" t="str">
        <f>IF(PathologicalReportInfo!P16="*  ..  ##34###34# ##334###334#","//--- END",PathologicalReportInfo!P16)</f>
        <v/>
      </c>
    </row>
    <row r="52" spans="3:3" x14ac:dyDescent="0.75">
      <c r="C52" s="101" t="str">
        <f>IF(PathologicalReportInfo!P17="*  ..  ##34###34# ##334###334#","//--- END",PathologicalReportInfo!P17)</f>
        <v>//--- END</v>
      </c>
    </row>
    <row r="53" spans="3:3" x14ac:dyDescent="0.75">
      <c r="C53" s="101" t="str">
        <f>IF(PathologicalReportInfo!P18="*  ..  ##34###34# ##334###334#","//--- END",PathologicalReportInfo!P18)</f>
        <v>//--- END</v>
      </c>
    </row>
    <row r="54" spans="3:3" x14ac:dyDescent="0.75">
      <c r="C54" s="101" t="str">
        <f>IF(PathologicalReportInfo!P19="*  ..  ##34###34# ##334###334#","//--- END",PathologicalReportInfo!P19)</f>
        <v>//--- END</v>
      </c>
    </row>
    <row r="58" spans="3:3" x14ac:dyDescent="0.75">
      <c r="C58" s="99"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1" t="str">
        <f>IF(PathologicalReportInfo!R8="*  ..  ##34###34# ##334###334#","//--- END",PathologicalReportInfo!R8)</f>
        <v>* episodeEvent insert ObligationActorAndCode($actor-sarcoma-i4rc, #handle)</v>
      </c>
    </row>
    <row r="62" spans="3:3" x14ac:dyDescent="0.75">
      <c r="C62" s="101" t="str">
        <f>IF(PathologicalReportInfo!R9="*  ..  ##34###34# ##334###334#","//--- END",PathologicalReportInfo!R9)</f>
        <v>* degreeOfCytologicAtypia insert ObligationActorAndCode($actor-sarcoma-i4rc, #handle)</v>
      </c>
    </row>
    <row r="63" spans="3:3" x14ac:dyDescent="0.75">
      <c r="C63" s="101" t="str">
        <f>IF(PathologicalReportInfo!R10="*  ..  ##34###34# ##334###334#","//--- END",PathologicalReportInfo!R10)</f>
        <v>* patternOfGrowth insert ObligationActorAndCode($actor-sarcoma-i4rc, #handle)</v>
      </c>
    </row>
    <row r="64" spans="3:3" x14ac:dyDescent="0.75">
      <c r="C64" s="101" t="str">
        <f>IF(PathologicalReportInfo!R11="*  ..  ##34###34# ##334###334#","//--- END",PathologicalReportInfo!R11)</f>
        <v>* mitoticActivity insert ObligationActorAndCode($actor-sarcoma-i4rc, #handle)</v>
      </c>
    </row>
    <row r="65" spans="3:3" x14ac:dyDescent="0.75">
      <c r="C65" s="101" t="str">
        <f>IF(PathologicalReportInfo!R12="*  ..  ##34###34# ##334###334#","//--- END",PathologicalReportInfo!R12)</f>
        <v>* infiltrationOfSurroundingMyometrium insert ObligationActorAndCode($actor-sarcoma-i4rc, #handle)</v>
      </c>
    </row>
    <row r="66" spans="3:3" x14ac:dyDescent="0.75">
      <c r="C66" s="101" t="str">
        <f>IF(PathologicalReportInfo!R13="*  ..  ##34###34# ##334###334#","//--- END",PathologicalReportInfo!R13)</f>
        <v>* typeOfNecrosis insert ObligationActorAndCode($actor-sarcoma-i4rc, #handle)</v>
      </c>
    </row>
    <row r="67" spans="3:3" x14ac:dyDescent="0.75">
      <c r="C67" s="101" t="str">
        <f>IF(PathologicalReportInfo!R14="*  ..  ##34###34# ##334###334#","//--- END",PathologicalReportInfo!R14)</f>
        <v>* expressionOfErPr insert ObligationActorAndCode($actor-sarcoma-i4rc, #handle)</v>
      </c>
    </row>
    <row r="68" spans="3:3" x14ac:dyDescent="0.75">
      <c r="C68" s="101" t="str">
        <f>IF(PathologicalReportInfo!R15="*  ..  ##34###34# ##334###334#","//--- END",PathologicalReportInfo!R15)</f>
        <v>* vascularIntrusionOrInvasion insert ObligationActorAndCode($actor-sarcoma-i4rc, #handle)</v>
      </c>
    </row>
    <row r="69" spans="3:3" x14ac:dyDescent="0.75">
      <c r="C69" s="101" t="str">
        <f>IF(PathologicalReportInfo!R16="*  ..  ##34###34# ##334###334#","//--- END",PathologicalReportInfo!R16)</f>
        <v>* p16AndP53Expression insert ObligationActorAndCode($actor-sarcoma-i4rc, #handle)</v>
      </c>
    </row>
    <row r="70" spans="3:3" x14ac:dyDescent="0.75">
      <c r="C70" s="101" t="str">
        <f>IF(PathologicalReportInfo!R17="*  ..  ##34###34# ##334###334#","//--- END",PathologicalReportInfo!R17)</f>
        <v>//--- END</v>
      </c>
    </row>
    <row r="71" spans="3:3" x14ac:dyDescent="0.75">
      <c r="C71" s="101" t="str">
        <f>IF(PathologicalReportInfo!R18="*  ..  ##34###34# ##334###334#","//--- END",PathologicalReportInfo!R18)</f>
        <v>//--- END</v>
      </c>
    </row>
    <row r="72" spans="3:3" x14ac:dyDescent="0.75">
      <c r="C72" s="101"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http://hl7.eu/fhir/ig/idea4rc/StructureDefinition/PathologicalReportInfo</v>
      </c>
    </row>
    <row r="4" spans="1:19" x14ac:dyDescent="0.75">
      <c r="B4" s="47" t="s">
        <v>16</v>
      </c>
      <c r="C4" s="28" t="s">
        <v>1921</v>
      </c>
      <c r="D4" s="47" t="s">
        <v>1474</v>
      </c>
      <c r="E4" s="146" t="s">
        <v>1924</v>
      </c>
      <c r="F4" s="147"/>
      <c r="G4" s="147"/>
    </row>
    <row r="5" spans="1:19" x14ac:dyDescent="0.75">
      <c r="B5" s="47" t="s">
        <v>10</v>
      </c>
      <c r="C5" s="7" t="s">
        <v>1922</v>
      </c>
      <c r="D5" s="47"/>
      <c r="E5" s="7"/>
    </row>
    <row r="6" spans="1:19" x14ac:dyDescent="0.75">
      <c r="B6" s="47" t="s">
        <v>18</v>
      </c>
      <c r="C6" s="41"/>
      <c r="D6" s="47" t="s">
        <v>1475</v>
      </c>
      <c r="E6" s="146" t="str">
        <f>E3</f>
        <v>http://hl7.eu/fhir/ig/idea4rc/StructureDefinition/PathologicalReportInfo</v>
      </c>
      <c r="F6" s="147"/>
      <c r="G6" s="147"/>
    </row>
    <row r="7" spans="1:19" x14ac:dyDescent="0.75">
      <c r="B7" s="47" t="s">
        <v>15</v>
      </c>
      <c r="C7" s="72"/>
      <c r="D7" s="47" t="s">
        <v>1476</v>
      </c>
      <c r="E7" s="146" t="str">
        <f>E4</f>
        <v>http://hl7.eu/fhir/ig/idea4rc/StructureDefinition/episodeOfCare-eu-i4rc</v>
      </c>
      <c r="F7" s="147"/>
      <c r="G7" s="147"/>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1926</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1927</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1928</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9"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6" t="s">
        <v>1657</v>
      </c>
      <c r="C7" s="9" t="s">
        <v>3</v>
      </c>
      <c r="D7" s="1" t="s">
        <v>4</v>
      </c>
      <c r="E7" s="3" t="s">
        <v>5</v>
      </c>
      <c r="F7" s="3" t="s">
        <v>6</v>
      </c>
      <c r="G7" s="3" t="s">
        <v>7</v>
      </c>
      <c r="H7" s="64" t="s">
        <v>1384</v>
      </c>
      <c r="I7" s="119" t="s">
        <v>2082</v>
      </c>
      <c r="J7" s="119" t="s">
        <v>2083</v>
      </c>
      <c r="L7" s="17" t="str">
        <f>CONCATENATE("Description: "," ##334#",B7,"##334#",)</f>
        <v>Description:  ##334#Surgery##334#</v>
      </c>
    </row>
    <row r="8" spans="1:18" ht="59" x14ac:dyDescent="0.75">
      <c r="A8" s="129">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9">
        <v>1</v>
      </c>
      <c r="B9" s="11" t="s">
        <v>1879</v>
      </c>
      <c r="C9" s="11" t="s">
        <v>2184</v>
      </c>
      <c r="D9" s="11" t="s">
        <v>2185</v>
      </c>
      <c r="E9" s="11">
        <v>1</v>
      </c>
      <c r="F9" s="11">
        <v>1</v>
      </c>
      <c r="G9" s="11" t="s">
        <v>1468</v>
      </c>
      <c r="H9" s="12" t="s">
        <v>2192</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9">
        <v>2</v>
      </c>
      <c r="B10" s="6" t="s">
        <v>2180</v>
      </c>
      <c r="C10" s="11" t="s">
        <v>2186</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9">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9">
        <v>4</v>
      </c>
      <c r="B12" s="11" t="s">
        <v>2199</v>
      </c>
      <c r="C12" s="11" t="s">
        <v>1662</v>
      </c>
      <c r="D12" s="12" t="s">
        <v>1663</v>
      </c>
      <c r="E12" s="11">
        <v>1</v>
      </c>
      <c r="F12" s="11">
        <v>1</v>
      </c>
      <c r="G12" s="11" t="s">
        <v>1468</v>
      </c>
      <c r="H12" s="12" t="s">
        <v>2193</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9">
        <v>5</v>
      </c>
      <c r="B13" s="11" t="s">
        <v>2200</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9">
        <v>6</v>
      </c>
      <c r="B14" s="11" t="s">
        <v>1667</v>
      </c>
      <c r="C14" s="11" t="s">
        <v>1668</v>
      </c>
      <c r="D14" s="11" t="s">
        <v>1669</v>
      </c>
      <c r="E14" s="11">
        <v>0</v>
      </c>
      <c r="F14" s="11">
        <v>1</v>
      </c>
      <c r="G14" s="11" t="s">
        <v>1468</v>
      </c>
      <c r="H14" s="12" t="s">
        <v>2194</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9">
        <v>7</v>
      </c>
      <c r="B15" s="11" t="s">
        <v>2181</v>
      </c>
      <c r="C15" s="11" t="s">
        <v>2187</v>
      </c>
      <c r="D15" s="11" t="s">
        <v>2188</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9">
        <v>8</v>
      </c>
      <c r="B16" s="6" t="s">
        <v>2201</v>
      </c>
      <c r="C16" s="11" t="s">
        <v>2189</v>
      </c>
      <c r="D16" s="11" t="s">
        <v>2189</v>
      </c>
      <c r="E16" s="11">
        <v>1</v>
      </c>
      <c r="F16" s="11">
        <v>1</v>
      </c>
      <c r="G16" s="11" t="s">
        <v>1991</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9">
        <v>9</v>
      </c>
      <c r="B17" s="6" t="s">
        <v>2202</v>
      </c>
      <c r="C17" s="11" t="s">
        <v>2190</v>
      </c>
      <c r="D17" s="11" t="s">
        <v>2190</v>
      </c>
      <c r="E17" s="11">
        <v>1</v>
      </c>
      <c r="F17" s="11">
        <v>1</v>
      </c>
      <c r="G17" s="11" t="s">
        <v>1468</v>
      </c>
      <c r="H17" s="12" t="s">
        <v>2195</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9">
        <v>10</v>
      </c>
      <c r="B18" s="6" t="s">
        <v>2182</v>
      </c>
      <c r="C18" s="11" t="s">
        <v>2191</v>
      </c>
      <c r="D18" s="11" t="s">
        <v>2191</v>
      </c>
      <c r="E18" s="11">
        <v>1</v>
      </c>
      <c r="F18" s="11">
        <v>1</v>
      </c>
      <c r="G18" s="11" t="s">
        <v>1468</v>
      </c>
      <c r="H18" s="12" t="s">
        <v>2196</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9">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9">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9">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9">
        <v>14</v>
      </c>
      <c r="B22" s="11" t="s">
        <v>1681</v>
      </c>
      <c r="C22" s="11" t="s">
        <v>1682</v>
      </c>
      <c r="D22" s="11" t="s">
        <v>1683</v>
      </c>
      <c r="E22" s="11">
        <v>0</v>
      </c>
      <c r="F22" s="11">
        <v>1</v>
      </c>
      <c r="G22" s="11" t="s">
        <v>1468</v>
      </c>
      <c r="H22" s="12" t="s">
        <v>2197</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9">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9">
        <v>16</v>
      </c>
      <c r="B24" s="139"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9">
        <v>17</v>
      </c>
      <c r="B25" s="11" t="s">
        <v>2203</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9">
        <v>17</v>
      </c>
      <c r="B26" s="11" t="s">
        <v>2204</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9">
        <v>18</v>
      </c>
      <c r="B27" s="11" t="s">
        <v>2205</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9">
        <v>19</v>
      </c>
      <c r="B28" s="11" t="s">
        <v>2206</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9">
        <v>20</v>
      </c>
      <c r="B29" s="11" t="s">
        <v>2207</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9">
        <v>21</v>
      </c>
      <c r="B30" s="11" t="s">
        <v>2208</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9">
        <v>22</v>
      </c>
      <c r="B31" s="11" t="s">
        <v>2209</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9">
        <v>23</v>
      </c>
      <c r="B32" s="11" t="s">
        <v>2210</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9">
        <v>24</v>
      </c>
      <c r="B33" s="11" t="s">
        <v>2211</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9">
        <v>25</v>
      </c>
      <c r="B34" s="11" t="s">
        <v>2212</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9">
        <v>26</v>
      </c>
      <c r="B35" s="11" t="s">
        <v>2213</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9">
        <v>27</v>
      </c>
      <c r="B36" s="11" t="s">
        <v>2183</v>
      </c>
      <c r="C36" s="11" t="s">
        <v>1710</v>
      </c>
      <c r="D36" s="11" t="s">
        <v>1711</v>
      </c>
      <c r="E36">
        <v>1</v>
      </c>
      <c r="F36">
        <v>1</v>
      </c>
      <c r="G36" s="11" t="s">
        <v>1468</v>
      </c>
      <c r="H36" s="12" t="s">
        <v>2198</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21"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http://hl7.eu/fhir/ig/idea4rc/StructureDefinition/SurgeryI4rc</v>
      </c>
    </row>
    <row r="4" spans="1:19" x14ac:dyDescent="0.75">
      <c r="B4" s="47" t="s">
        <v>16</v>
      </c>
      <c r="C4" s="28" t="s">
        <v>1787</v>
      </c>
      <c r="D4" s="47" t="s">
        <v>1474</v>
      </c>
      <c r="E4" s="146" t="s">
        <v>1790</v>
      </c>
      <c r="F4" s="147"/>
      <c r="G4" s="147"/>
    </row>
    <row r="5" spans="1:19" x14ac:dyDescent="0.75">
      <c r="B5" s="47" t="s">
        <v>10</v>
      </c>
      <c r="C5" s="7" t="s">
        <v>1788</v>
      </c>
      <c r="D5" s="47"/>
      <c r="E5" s="7"/>
    </row>
    <row r="6" spans="1:19" x14ac:dyDescent="0.75">
      <c r="B6" s="47" t="s">
        <v>18</v>
      </c>
      <c r="C6" s="41"/>
      <c r="D6" s="47" t="s">
        <v>1475</v>
      </c>
      <c r="E6" s="146" t="str">
        <f>E3</f>
        <v>http://hl7.eu/fhir/ig/idea4rc/StructureDefinition/SurgeryI4rc</v>
      </c>
      <c r="F6" s="147"/>
      <c r="G6" s="147"/>
    </row>
    <row r="7" spans="1:19" x14ac:dyDescent="0.75">
      <c r="B7" s="47" t="s">
        <v>15</v>
      </c>
      <c r="C7" s="72"/>
      <c r="D7" s="47" t="s">
        <v>1476</v>
      </c>
      <c r="E7" s="146" t="str">
        <f>E4</f>
        <v>http://hl7.eu/fhir/ig/idea4rc/StructureDefinition/Procedure-surgery-eu-i4rc</v>
      </c>
      <c r="F7" s="147"/>
      <c r="G7" s="147"/>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1800</v>
      </c>
      <c r="E16" s="12"/>
      <c r="F16" s="49" t="s">
        <v>1294</v>
      </c>
      <c r="G16" s="76" t="s">
        <v>1793</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2376</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2377</v>
      </c>
      <c r="E18" s="12"/>
      <c r="F18" s="49" t="s">
        <v>1294</v>
      </c>
      <c r="G18" s="76" t="s">
        <v>2375</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2328</v>
      </c>
      <c r="E19" s="12"/>
      <c r="F19" s="49" t="s">
        <v>1317</v>
      </c>
      <c r="G19" s="77"/>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1800</v>
      </c>
      <c r="E20" s="12"/>
      <c r="F20" s="49" t="s">
        <v>1294</v>
      </c>
      <c r="G20" s="76" t="s">
        <v>2329</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1794</v>
      </c>
      <c r="E21" s="12"/>
      <c r="F21" s="49" t="s">
        <v>1294</v>
      </c>
      <c r="G21" s="76" t="s">
        <v>1795</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1796</v>
      </c>
      <c r="E22" s="12"/>
      <c r="F22" s="49" t="s">
        <v>1294</v>
      </c>
      <c r="G22" s="76" t="s">
        <v>2330</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2331</v>
      </c>
      <c r="E23" s="12"/>
      <c r="F23" s="49" t="s">
        <v>1294</v>
      </c>
      <c r="G23" s="76" t="s">
        <v>2333</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2331</v>
      </c>
      <c r="E24" s="11"/>
      <c r="F24" s="49" t="s">
        <v>1294</v>
      </c>
      <c r="G24" s="76" t="s">
        <v>2332</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1797</v>
      </c>
      <c r="E25" s="11"/>
      <c r="F25" s="49" t="s">
        <v>1294</v>
      </c>
      <c r="G25" s="76" t="s">
        <v>2316</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2316</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6" t="s">
        <v>2316</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6" t="s">
        <v>2334</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2328</v>
      </c>
      <c r="E29" s="12"/>
      <c r="F29" s="49" t="s">
        <v>1316</v>
      </c>
      <c r="G29" s="76" t="s">
        <v>2335</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2337</v>
      </c>
      <c r="E30" s="12"/>
      <c r="F30" s="49" t="s">
        <v>1316</v>
      </c>
      <c r="G30" s="76" t="s">
        <v>2336</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1798</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2328</v>
      </c>
      <c r="E32" s="12"/>
      <c r="F32" s="49" t="s">
        <v>1316</v>
      </c>
      <c r="G32" s="76" t="s">
        <v>2338</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2338</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2338</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2338</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2338</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2338</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2338</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2338</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1799</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5.5" thickBot="1" x14ac:dyDescent="0.9">
      <c r="L3" s="24" t="str">
        <f>L1</f>
        <v>//===================================================</v>
      </c>
      <c r="N3" s="24" t="str">
        <f>N1</f>
        <v>// -------------------------------------------------------------------------------</v>
      </c>
      <c r="P3" s="24" t="str">
        <f>P1</f>
        <v>// -------------------------------------------------------------------------------</v>
      </c>
      <c r="R3" s="24" t="str">
        <f>R1</f>
        <v>// -------------------------------------------------------------------------------</v>
      </c>
    </row>
    <row r="4" spans="1:18" ht="15.5" thickBot="1" x14ac:dyDescent="0.9">
      <c r="A4" s="5" t="s">
        <v>11</v>
      </c>
      <c r="B4" s="30" t="s">
        <v>2277</v>
      </c>
      <c r="L4" s="16" t="str">
        <f>CONCATENATE("Logical: ",B4)</f>
        <v>Logical: OtherTreatmentI4rc</v>
      </c>
    </row>
    <row r="5" spans="1:18" ht="15.5" thickBot="1" x14ac:dyDescent="0.9">
      <c r="A5" s="14" t="s">
        <v>16</v>
      </c>
      <c r="B5" s="30" t="s">
        <v>2278</v>
      </c>
      <c r="L5" s="16" t="str">
        <f>CONCATENATE("Id: ",B5)</f>
        <v>Id: OtherTreatment</v>
      </c>
    </row>
    <row r="6" spans="1:18" ht="15.5" thickBot="1" x14ac:dyDescent="0.9">
      <c r="A6" s="14" t="s">
        <v>10</v>
      </c>
      <c r="B6" s="30" t="s">
        <v>2356</v>
      </c>
      <c r="L6" s="17" t="str">
        <f>CONCATENATE("Title: ##34#",B6,"##34#")</f>
        <v>Title: ##34#Other Treatment##34#</v>
      </c>
    </row>
    <row r="7" spans="1:18" x14ac:dyDescent="0.75">
      <c r="A7" s="26" t="s">
        <v>2</v>
      </c>
      <c r="B7" s="30" t="s">
        <v>2356</v>
      </c>
      <c r="C7" s="9" t="s">
        <v>3</v>
      </c>
      <c r="D7" s="1" t="s">
        <v>4</v>
      </c>
      <c r="E7" s="3" t="s">
        <v>5</v>
      </c>
      <c r="F7" s="3" t="s">
        <v>6</v>
      </c>
      <c r="G7" s="3" t="s">
        <v>7</v>
      </c>
      <c r="H7" s="64" t="s">
        <v>1384</v>
      </c>
      <c r="I7" s="119" t="s">
        <v>2082</v>
      </c>
      <c r="J7" s="119" t="s">
        <v>2083</v>
      </c>
      <c r="L7" s="17" t="str">
        <f>CONCATENATE("Description: "," ##334#",B7,"##334#",)</f>
        <v>Description:  ##334#Other Treatment##334#</v>
      </c>
    </row>
    <row r="8" spans="1:18" ht="59" x14ac:dyDescent="0.75">
      <c r="A8" s="59">
        <v>0</v>
      </c>
      <c r="B8" s="12" t="s">
        <v>1588</v>
      </c>
      <c r="C8" s="12" t="s">
        <v>1644</v>
      </c>
      <c r="D8" s="12" t="s">
        <v>1557</v>
      </c>
      <c r="E8" s="11">
        <v>1</v>
      </c>
      <c r="F8" s="11">
        <v>1</v>
      </c>
      <c r="G8" s="130"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2357</v>
      </c>
      <c r="C9" s="12" t="s">
        <v>2358</v>
      </c>
      <c r="D9" s="12" t="s">
        <v>2359</v>
      </c>
      <c r="E9" s="11">
        <v>1</v>
      </c>
      <c r="F9" s="11">
        <v>1</v>
      </c>
      <c r="G9" s="86" t="s">
        <v>1468</v>
      </c>
      <c r="H9" s="12" t="s">
        <v>1645</v>
      </c>
      <c r="I9" s="12" t="b">
        <v>1</v>
      </c>
      <c r="J9" s="12" t="b">
        <v>1</v>
      </c>
      <c r="K9" s="25" t="s">
        <v>2357</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2360</v>
      </c>
      <c r="E10" s="11">
        <v>1</v>
      </c>
      <c r="F10" s="11">
        <v>1</v>
      </c>
      <c r="G10" s="101"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1" t="s">
        <v>1468</v>
      </c>
      <c r="H11" s="12" t="s">
        <v>2361</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2214</v>
      </c>
      <c r="C12" s="11" t="s">
        <v>2220</v>
      </c>
      <c r="D12" s="11" t="s">
        <v>2221</v>
      </c>
      <c r="E12" s="11">
        <v>0</v>
      </c>
      <c r="F12" s="11">
        <v>1</v>
      </c>
      <c r="G12" t="s">
        <v>1468</v>
      </c>
      <c r="H12" s="2" t="s">
        <v>2222</v>
      </c>
      <c r="I12" s="12" t="b">
        <v>0</v>
      </c>
      <c r="J12" s="12" t="b">
        <v>1</v>
      </c>
      <c r="K12" s="25" t="s">
        <v>2214</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2362</v>
      </c>
      <c r="C13" s="12" t="s">
        <v>2363</v>
      </c>
      <c r="D13" s="12" t="s">
        <v>2364</v>
      </c>
      <c r="E13" s="11">
        <v>1</v>
      </c>
      <c r="F13" s="11">
        <v>1</v>
      </c>
      <c r="G13" s="86" t="s">
        <v>43</v>
      </c>
      <c r="H13" s="12"/>
      <c r="I13" s="12" t="b">
        <v>1</v>
      </c>
      <c r="J13" s="12" t="b">
        <v>1</v>
      </c>
      <c r="K13" s="25" t="s">
        <v>2362</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2365</v>
      </c>
      <c r="C14" s="12" t="s">
        <v>2366</v>
      </c>
      <c r="D14" s="12" t="s">
        <v>2367</v>
      </c>
      <c r="E14" s="11">
        <v>1</v>
      </c>
      <c r="F14" s="11">
        <v>1</v>
      </c>
      <c r="G14" s="86" t="s">
        <v>43</v>
      </c>
      <c r="H14" s="12"/>
      <c r="I14" s="12" t="b">
        <v>1</v>
      </c>
      <c r="J14" s="12" t="b">
        <v>1</v>
      </c>
      <c r="K14" s="25" t="s">
        <v>2365</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1"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2"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2215</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2216</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2217</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2368</v>
      </c>
      <c r="E20" s="11">
        <v>1</v>
      </c>
      <c r="F20" s="11">
        <v>1</v>
      </c>
      <c r="G20" s="86" t="s">
        <v>43</v>
      </c>
      <c r="H20" s="12"/>
      <c r="I20" s="12" t="b">
        <v>1</v>
      </c>
      <c r="J20" s="12" t="b">
        <v>0</v>
      </c>
      <c r="K20" t="s">
        <v>2218</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2369</v>
      </c>
      <c r="E21" s="11">
        <v>1</v>
      </c>
      <c r="F21" s="11">
        <v>1</v>
      </c>
      <c r="G21" s="86" t="s">
        <v>43</v>
      </c>
      <c r="H21" s="12"/>
      <c r="I21" s="12" t="b">
        <v>1</v>
      </c>
      <c r="J21" s="12" t="b">
        <v>0</v>
      </c>
      <c r="K21" t="s">
        <v>2219</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1862</v>
      </c>
      <c r="C23" s="11" t="s">
        <v>1653</v>
      </c>
      <c r="D23" s="11" t="s">
        <v>1654</v>
      </c>
      <c r="E23" s="11">
        <v>1</v>
      </c>
      <c r="F23" s="11">
        <v>1</v>
      </c>
      <c r="G23" t="s">
        <v>1468</v>
      </c>
      <c r="H23" s="12" t="s">
        <v>1655</v>
      </c>
      <c r="I23" s="12" t="b">
        <v>1</v>
      </c>
      <c r="J23" s="12" t="b">
        <v>1</v>
      </c>
      <c r="K23" t="s">
        <v>1862</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2370</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2371</v>
      </c>
      <c r="D3" s="47" t="s">
        <v>1473</v>
      </c>
      <c r="E3" s="71" t="str">
        <f>$C$1&amp;B14</f>
        <v>http://hl7.eu/fhir/ig/idea4rc/StructureDefinition/OtherTreatment</v>
      </c>
    </row>
    <row r="4" spans="1:19" x14ac:dyDescent="0.75">
      <c r="B4" s="47" t="s">
        <v>16</v>
      </c>
      <c r="C4" s="28" t="s">
        <v>2371</v>
      </c>
      <c r="D4" s="47" t="s">
        <v>1474</v>
      </c>
      <c r="E4" s="146" t="s">
        <v>1822</v>
      </c>
      <c r="F4" s="154"/>
      <c r="G4" s="154"/>
    </row>
    <row r="5" spans="1:19" x14ac:dyDescent="0.75">
      <c r="B5" s="47" t="s">
        <v>10</v>
      </c>
      <c r="C5" s="7" t="s">
        <v>2372</v>
      </c>
      <c r="D5" s="47"/>
      <c r="E5" s="7"/>
    </row>
    <row r="6" spans="1:19" x14ac:dyDescent="0.75">
      <c r="B6" s="47" t="s">
        <v>18</v>
      </c>
      <c r="C6" s="41"/>
      <c r="D6" s="47" t="s">
        <v>1475</v>
      </c>
      <c r="E6" s="146" t="str">
        <f>E3</f>
        <v>http://hl7.eu/fhir/ig/idea4rc/StructureDefinition/OtherTreatment</v>
      </c>
      <c r="F6" s="147"/>
      <c r="G6" s="147"/>
    </row>
    <row r="7" spans="1:19" x14ac:dyDescent="0.75">
      <c r="B7" s="47" t="s">
        <v>15</v>
      </c>
      <c r="C7" s="72"/>
      <c r="D7" s="47" t="s">
        <v>1476</v>
      </c>
      <c r="E7" s="146" t="str">
        <f>E4</f>
        <v>http://hl7.eu/fhir/ig/idea4rc/StructureDefinition/MedicationAdministration-eu-i4rc</v>
      </c>
      <c r="F7" s="147"/>
      <c r="G7" s="147"/>
    </row>
    <row r="8" spans="1:19" ht="45" thickBot="1" x14ac:dyDescent="0.9">
      <c r="B8" s="47" t="s">
        <v>1477</v>
      </c>
      <c r="C8" s="7" t="s">
        <v>2372</v>
      </c>
      <c r="D8" s="47"/>
      <c r="E8" s="7"/>
      <c r="I8" s="12" t="s">
        <v>1289</v>
      </c>
      <c r="J8" s="12" t="s">
        <v>1290</v>
      </c>
      <c r="K8" s="12" t="s">
        <v>1291</v>
      </c>
      <c r="L8" s="12" t="s">
        <v>1292</v>
      </c>
      <c r="M8" s="11" t="s">
        <v>1293</v>
      </c>
      <c r="P8" s="34" t="s">
        <v>1328</v>
      </c>
      <c r="Q8" s="34">
        <v>6</v>
      </c>
    </row>
    <row r="9" spans="1:19" ht="30.25" thickBot="1" x14ac:dyDescent="0.9">
      <c r="B9" s="47" t="s">
        <v>1478</v>
      </c>
      <c r="C9" s="12" t="s">
        <v>2373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1816</v>
      </c>
      <c r="E16" s="12"/>
      <c r="F16" s="49" t="s">
        <v>1316</v>
      </c>
      <c r="G16" s="77" t="s">
        <v>2339</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1816</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1816</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1817</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2316</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1818</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1818</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1818</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1819</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1820</v>
      </c>
      <c r="E29" s="12"/>
      <c r="F29" s="49" t="s">
        <v>1294</v>
      </c>
      <c r="G29" s="76" t="s">
        <v>1821</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1823</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1920</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9" t="s">
        <v>2082</v>
      </c>
      <c r="J7" s="119" t="s">
        <v>2083</v>
      </c>
      <c r="L7" s="17" t="str">
        <f>CONCATENATE("Description: "," ##334#",B7,"##334#",)</f>
        <v>Description:  ##334#Radiotherapy##334#</v>
      </c>
    </row>
    <row r="8" spans="1:18" ht="59" x14ac:dyDescent="0.75">
      <c r="A8" s="59">
        <v>0</v>
      </c>
      <c r="B8" s="11" t="s">
        <v>1588</v>
      </c>
      <c r="C8" s="11" t="s">
        <v>1644</v>
      </c>
      <c r="D8" s="12" t="s">
        <v>1557</v>
      </c>
      <c r="E8" s="11">
        <v>1</v>
      </c>
      <c r="F8" s="11">
        <v>1</v>
      </c>
      <c r="G8" s="133"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2379</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7">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2223</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1">
        <v>8</v>
      </c>
      <c r="B16" s="11" t="s">
        <v>1730</v>
      </c>
      <c r="C16" s="11" t="s">
        <v>1731</v>
      </c>
      <c r="D16" s="12" t="s">
        <v>1732</v>
      </c>
      <c r="E16" s="11">
        <v>1</v>
      </c>
      <c r="F16" s="11">
        <v>1</v>
      </c>
      <c r="G16" s="42" t="s">
        <v>1785</v>
      </c>
      <c r="H16" s="12"/>
      <c r="I16" s="12" t="b">
        <v>1</v>
      </c>
      <c r="J16" s="12" t="b">
        <v>0</v>
      </c>
      <c r="K16" s="25" t="s">
        <v>2224</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2225</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2226</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2227</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2228</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2229</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2230</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2231</v>
      </c>
      <c r="C35" s="11" t="s">
        <v>2235</v>
      </c>
      <c r="D35" s="12" t="s">
        <v>2235</v>
      </c>
      <c r="E35" s="11">
        <v>1</v>
      </c>
      <c r="F35" s="11">
        <v>1</v>
      </c>
      <c r="G35" s="98" t="s">
        <v>1</v>
      </c>
      <c r="H35" s="6"/>
      <c r="I35" s="12" t="b">
        <v>0</v>
      </c>
      <c r="J35" s="12" t="b">
        <v>1</v>
      </c>
      <c r="K35" t="s">
        <v>2231</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2241</v>
      </c>
      <c r="C36" s="11" t="s">
        <v>2235</v>
      </c>
      <c r="D36" s="12" t="s">
        <v>2236</v>
      </c>
      <c r="E36" s="11">
        <v>0</v>
      </c>
      <c r="F36" s="11">
        <v>1</v>
      </c>
      <c r="G36" s="98" t="s">
        <v>43</v>
      </c>
      <c r="H36" s="11"/>
      <c r="I36" s="12" t="b">
        <v>0</v>
      </c>
      <c r="J36" s="12" t="b">
        <v>1</v>
      </c>
      <c r="K36" t="s">
        <v>2232</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2242</v>
      </c>
      <c r="C37" s="11" t="s">
        <v>2235</v>
      </c>
      <c r="D37" s="12" t="s">
        <v>2237</v>
      </c>
      <c r="E37" s="11">
        <v>0</v>
      </c>
      <c r="F37" s="11">
        <v>1</v>
      </c>
      <c r="G37" s="98" t="s">
        <v>43</v>
      </c>
      <c r="H37" s="11"/>
      <c r="I37" s="12" t="b">
        <v>0</v>
      </c>
      <c r="J37" s="12" t="b">
        <v>1</v>
      </c>
      <c r="K37" t="s">
        <v>2233</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2234</v>
      </c>
      <c r="C38" s="11" t="s">
        <v>2238</v>
      </c>
      <c r="D38" s="12" t="s">
        <v>2239</v>
      </c>
      <c r="E38" s="11">
        <v>0</v>
      </c>
      <c r="F38" s="11">
        <v>1</v>
      </c>
      <c r="G38" s="11" t="s">
        <v>1468</v>
      </c>
      <c r="H38" s="12" t="s">
        <v>2240</v>
      </c>
      <c r="I38" s="12" t="b">
        <v>0</v>
      </c>
      <c r="J38" s="12" t="b">
        <v>1</v>
      </c>
      <c r="K38" t="s">
        <v>2234</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1801</v>
      </c>
      <c r="D3" s="47" t="s">
        <v>1473</v>
      </c>
      <c r="E3" s="71" t="str">
        <f>$C$1&amp;B14</f>
        <v>http://hl7.eu/fhir/ig/idea4rc/StructureDefinition/RadiotherapyI4rc</v>
      </c>
    </row>
    <row r="4" spans="1:19" x14ac:dyDescent="0.75">
      <c r="B4" s="47" t="s">
        <v>16</v>
      </c>
      <c r="C4" s="28" t="s">
        <v>1801</v>
      </c>
      <c r="D4" s="47" t="s">
        <v>1474</v>
      </c>
      <c r="E4" s="146" t="s">
        <v>1824</v>
      </c>
      <c r="F4" s="147"/>
      <c r="G4" s="147"/>
    </row>
    <row r="5" spans="1:19" x14ac:dyDescent="0.75">
      <c r="B5" s="47" t="s">
        <v>10</v>
      </c>
      <c r="C5" s="7" t="s">
        <v>1802</v>
      </c>
      <c r="D5" s="47"/>
      <c r="E5" s="7"/>
    </row>
    <row r="6" spans="1:19" x14ac:dyDescent="0.75">
      <c r="B6" s="47" t="s">
        <v>18</v>
      </c>
      <c r="C6" s="41"/>
      <c r="D6" s="47" t="s">
        <v>1475</v>
      </c>
      <c r="E6" s="146" t="str">
        <f>E3</f>
        <v>http://hl7.eu/fhir/ig/idea4rc/StructureDefinition/RadiotherapyI4rc</v>
      </c>
      <c r="F6" s="147"/>
      <c r="G6" s="147"/>
    </row>
    <row r="7" spans="1:19" x14ac:dyDescent="0.75">
      <c r="B7" s="47" t="s">
        <v>15</v>
      </c>
      <c r="C7" s="72"/>
      <c r="D7" s="47" t="s">
        <v>1476</v>
      </c>
      <c r="E7" s="146" t="str">
        <f>E4</f>
        <v>http://hl7.eu/fhir/ig/idea4rc/StructureDefinition/Procedure-radiotheraphy-eu-i4rc</v>
      </c>
      <c r="F7" s="147"/>
      <c r="G7" s="147"/>
    </row>
    <row r="8" spans="1:19" ht="15.5" thickBot="1" x14ac:dyDescent="0.9">
      <c r="B8" s="47" t="s">
        <v>1477</v>
      </c>
      <c r="C8" s="7" t="s">
        <v>1802</v>
      </c>
      <c r="D8" s="47"/>
      <c r="E8" s="7"/>
      <c r="I8" s="12"/>
      <c r="J8" s="12"/>
      <c r="K8" s="12"/>
      <c r="L8" s="12"/>
      <c r="M8" s="11"/>
      <c r="P8" s="34" t="s">
        <v>1328</v>
      </c>
      <c r="Q8" s="34">
        <v>6</v>
      </c>
    </row>
    <row r="9" spans="1:19" ht="30.25" thickBot="1" x14ac:dyDescent="0.9">
      <c r="B9" s="47" t="s">
        <v>1478</v>
      </c>
      <c r="C9" s="12" t="s">
        <v>1803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2378</v>
      </c>
      <c r="E16" s="12"/>
      <c r="F16" s="49" t="s">
        <v>1294</v>
      </c>
      <c r="G16" s="76" t="s">
        <v>2375</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2340</v>
      </c>
      <c r="E17" s="12"/>
      <c r="F17" s="49" t="s">
        <v>1294</v>
      </c>
      <c r="G17" s="76" t="s">
        <v>2341</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1814</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1810</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1811</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1806</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1807</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2342</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1808</v>
      </c>
      <c r="E24" s="11"/>
      <c r="F24" s="49" t="s">
        <v>1294</v>
      </c>
      <c r="G24" s="76" t="s">
        <v>1809</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1806</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1812</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1813</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2343</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2343</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2343</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2343</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2343</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2345</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2343</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2343</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2343</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2343</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2343</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1808</v>
      </c>
      <c r="E40" s="11"/>
      <c r="F40" s="49" t="s">
        <v>1294</v>
      </c>
      <c r="G40" s="76" t="s">
        <v>2344</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1815</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5.5" thickBot="1" x14ac:dyDescent="0.9">
      <c r="L3" s="24" t="str">
        <f>L1</f>
        <v>//===================================================</v>
      </c>
      <c r="N3" s="24" t="str">
        <f>N1</f>
        <v>// -------------------------------------------------------------------------------</v>
      </c>
      <c r="P3" s="24" t="str">
        <f>P1</f>
        <v>// -------------------------------------------------------------------------------</v>
      </c>
      <c r="R3" s="24" t="str">
        <f>R1</f>
        <v>// -------------------------------------------------------------------------------</v>
      </c>
    </row>
    <row r="4" spans="1:18" ht="15.5" thickBot="1" x14ac:dyDescent="0.9">
      <c r="A4" s="5" t="s">
        <v>11</v>
      </c>
      <c r="B4" s="30" t="s">
        <v>2277</v>
      </c>
      <c r="L4" s="16" t="str">
        <f>CONCATENATE("Logical: ",B4)</f>
        <v>Logical: OtherTreatmentI4rc</v>
      </c>
    </row>
    <row r="5" spans="1:18" ht="15.5" thickBot="1" x14ac:dyDescent="0.9">
      <c r="A5" s="14" t="s">
        <v>16</v>
      </c>
      <c r="B5" s="30" t="s">
        <v>2278</v>
      </c>
      <c r="L5" s="16" t="str">
        <f>CONCATENATE("Id: ",B5)</f>
        <v>Id: OtherTreatment</v>
      </c>
    </row>
    <row r="6" spans="1:18" ht="15.5" thickBot="1" x14ac:dyDescent="0.9">
      <c r="A6" s="14" t="s">
        <v>10</v>
      </c>
      <c r="B6" s="30" t="s">
        <v>2279</v>
      </c>
      <c r="L6" s="17" t="str">
        <f>CONCATENATE("Title: ##34#",B6,"##34#")</f>
        <v>Title: ##34#Other Local Treatment##34#</v>
      </c>
    </row>
    <row r="7" spans="1:18" x14ac:dyDescent="0.75">
      <c r="A7" s="26" t="s">
        <v>2</v>
      </c>
      <c r="B7" s="30" t="s">
        <v>2279</v>
      </c>
      <c r="C7" s="9" t="s">
        <v>3</v>
      </c>
      <c r="D7" s="1" t="s">
        <v>4</v>
      </c>
      <c r="E7" s="3" t="s">
        <v>5</v>
      </c>
      <c r="F7" s="3" t="s">
        <v>6</v>
      </c>
      <c r="G7" s="3" t="s">
        <v>7</v>
      </c>
      <c r="H7" s="64" t="s">
        <v>1384</v>
      </c>
      <c r="I7" s="119" t="s">
        <v>2082</v>
      </c>
      <c r="J7" s="119" t="s">
        <v>2083</v>
      </c>
      <c r="L7" s="17" t="str">
        <f>CONCATENATE("Description: "," ##334#",B7,"##334#",)</f>
        <v>Description:  ##334#Other Local Treatment##334#</v>
      </c>
    </row>
    <row r="8" spans="1:18" ht="59" x14ac:dyDescent="0.75">
      <c r="A8" s="59">
        <v>0</v>
      </c>
      <c r="B8" s="12" t="s">
        <v>1562</v>
      </c>
      <c r="C8" s="12" t="s">
        <v>1644</v>
      </c>
      <c r="D8" s="12" t="s">
        <v>1557</v>
      </c>
      <c r="E8" s="12">
        <v>1</v>
      </c>
      <c r="F8" s="12">
        <v>1</v>
      </c>
      <c r="G8" s="133"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1879</v>
      </c>
      <c r="C9" s="12" t="s">
        <v>2269</v>
      </c>
      <c r="D9" s="12" t="s">
        <v>2270</v>
      </c>
      <c r="E9" s="12">
        <v>1</v>
      </c>
      <c r="F9" s="12">
        <v>1</v>
      </c>
      <c r="G9" s="12" t="s">
        <v>1468</v>
      </c>
      <c r="H9" s="12" t="s">
        <v>2271</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2272</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2273</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1862</v>
      </c>
      <c r="C12" s="12" t="s">
        <v>2274</v>
      </c>
      <c r="D12" s="12" t="s">
        <v>1654</v>
      </c>
      <c r="E12" s="12">
        <v>0</v>
      </c>
      <c r="F12" s="12">
        <v>1</v>
      </c>
      <c r="G12" s="12" t="s">
        <v>1468</v>
      </c>
      <c r="H12" s="12" t="s">
        <v>2275</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4"/>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2276</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2355</v>
      </c>
      <c r="D3" s="47" t="s">
        <v>1473</v>
      </c>
      <c r="E3" s="71" t="str">
        <f>$C$1&amp;B14</f>
        <v>http://hl7.eu/fhir/ig/idea4rc/StructureDefinition/OtherTreatment</v>
      </c>
    </row>
    <row r="4" spans="1:19" x14ac:dyDescent="0.75">
      <c r="B4" s="47" t="s">
        <v>16</v>
      </c>
      <c r="C4" s="28" t="s">
        <v>2355</v>
      </c>
      <c r="D4" s="47" t="s">
        <v>1474</v>
      </c>
      <c r="E4" s="155" t="s">
        <v>2353</v>
      </c>
      <c r="F4" s="147"/>
      <c r="G4" s="147"/>
    </row>
    <row r="5" spans="1:19" x14ac:dyDescent="0.75">
      <c r="B5" s="47" t="s">
        <v>10</v>
      </c>
      <c r="C5" s="7" t="s">
        <v>2372</v>
      </c>
      <c r="D5" s="47"/>
      <c r="E5" s="7"/>
    </row>
    <row r="6" spans="1:19" x14ac:dyDescent="0.75">
      <c r="B6" s="47" t="s">
        <v>18</v>
      </c>
      <c r="C6" s="41"/>
      <c r="D6" s="47" t="s">
        <v>1475</v>
      </c>
      <c r="E6" s="146" t="str">
        <f>E3</f>
        <v>http://hl7.eu/fhir/ig/idea4rc/StructureDefinition/OtherTreatment</v>
      </c>
      <c r="F6" s="147"/>
      <c r="G6" s="147"/>
    </row>
    <row r="7" spans="1:19" x14ac:dyDescent="0.75">
      <c r="B7" s="47" t="s">
        <v>15</v>
      </c>
      <c r="C7" s="72"/>
      <c r="D7" s="47" t="s">
        <v>1476</v>
      </c>
      <c r="E7" s="146" t="str">
        <f>E4</f>
        <v>http://hl7.eu/fhir/ig/idea4rc/StructureDefinition/Procedure-otherTreatment-eu-i4rc</v>
      </c>
      <c r="F7" s="147"/>
      <c r="G7" s="147"/>
    </row>
    <row r="8" spans="1:19" ht="45" thickBot="1" x14ac:dyDescent="0.9">
      <c r="B8" s="47" t="s">
        <v>1477</v>
      </c>
      <c r="C8" s="7" t="s">
        <v>2372</v>
      </c>
      <c r="D8" s="47"/>
      <c r="E8" s="7"/>
      <c r="I8" s="12" t="s">
        <v>1289</v>
      </c>
      <c r="J8" s="12" t="s">
        <v>1290</v>
      </c>
      <c r="K8" s="12" t="s">
        <v>1291</v>
      </c>
      <c r="L8" s="12" t="s">
        <v>1292</v>
      </c>
      <c r="M8" s="11" t="s">
        <v>1293</v>
      </c>
      <c r="P8" s="34" t="s">
        <v>1328</v>
      </c>
      <c r="Q8" s="34">
        <v>6</v>
      </c>
    </row>
    <row r="9" spans="1:19" ht="30.25" thickBot="1" x14ac:dyDescent="0.9">
      <c r="B9" s="47" t="s">
        <v>1478</v>
      </c>
      <c r="C9" s="12" t="s">
        <v>2373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2346</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1812</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1813</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1796</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2354</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142" t="s">
        <v>1915</v>
      </c>
      <c r="L4" s="16" t="str">
        <f>CONCATENATE("Logical: ",B4)</f>
        <v>Logical: TreatmentResponseI4rc</v>
      </c>
    </row>
    <row r="5" spans="1:18" ht="15.5" thickBot="1" x14ac:dyDescent="0.9">
      <c r="A5" s="14" t="s">
        <v>16</v>
      </c>
      <c r="B5" s="30" t="s">
        <v>1861</v>
      </c>
      <c r="L5" s="16" t="str">
        <f>CONCATENATE("Id: ",B5)</f>
        <v>Id: TreatmentResponse</v>
      </c>
    </row>
    <row r="6" spans="1:18" ht="15.5" thickBot="1" x14ac:dyDescent="0.9">
      <c r="A6" s="14" t="s">
        <v>10</v>
      </c>
      <c r="B6" s="30" t="s">
        <v>1863</v>
      </c>
      <c r="L6" s="17" t="str">
        <f>CONCATENATE("Title: ##34#",B6,"##34#")</f>
        <v>Title: ##34#Treatment Response##34#</v>
      </c>
    </row>
    <row r="7" spans="1:18" x14ac:dyDescent="0.75">
      <c r="A7" s="26" t="s">
        <v>2</v>
      </c>
      <c r="B7" s="30" t="s">
        <v>1863</v>
      </c>
      <c r="C7" s="9" t="s">
        <v>3</v>
      </c>
      <c r="D7" s="1" t="s">
        <v>4</v>
      </c>
      <c r="E7" s="3" t="s">
        <v>5</v>
      </c>
      <c r="F7" s="3" t="s">
        <v>6</v>
      </c>
      <c r="G7" s="3" t="s">
        <v>7</v>
      </c>
      <c r="H7" s="64" t="s">
        <v>1384</v>
      </c>
      <c r="I7" s="119" t="s">
        <v>2082</v>
      </c>
      <c r="J7" s="119" t="s">
        <v>2083</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1862</v>
      </c>
      <c r="C9" s="11" t="s">
        <v>1653</v>
      </c>
      <c r="D9" s="11" t="s">
        <v>1864</v>
      </c>
      <c r="E9" s="11">
        <v>1</v>
      </c>
      <c r="F9" s="11">
        <v>1</v>
      </c>
      <c r="G9" s="11" t="s">
        <v>1468</v>
      </c>
      <c r="H9" s="12" t="s">
        <v>2244</v>
      </c>
      <c r="I9" s="12" t="b">
        <v>1</v>
      </c>
      <c r="J9" s="12" t="b">
        <v>1</v>
      </c>
      <c r="K9" s="25" t="s">
        <v>1862</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2243</v>
      </c>
      <c r="C10" s="11" t="s">
        <v>1865</v>
      </c>
      <c r="D10" s="11" t="s">
        <v>1866</v>
      </c>
      <c r="E10" s="11">
        <v>1</v>
      </c>
      <c r="F10" s="11">
        <v>1</v>
      </c>
      <c r="G10" s="11" t="s">
        <v>1468</v>
      </c>
      <c r="H10" s="11" t="s">
        <v>1867</v>
      </c>
      <c r="I10" s="12" t="b">
        <v>1</v>
      </c>
      <c r="J10" s="12" t="b">
        <v>1</v>
      </c>
      <c r="K10" s="25" t="s">
        <v>2243</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1868</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http://hl7.eu/fhir/ig/idea4rc/StructureDefinition/TreatmentResponseI4rc</v>
      </c>
    </row>
    <row r="4" spans="1:19" x14ac:dyDescent="0.75">
      <c r="B4" s="47" t="s">
        <v>16</v>
      </c>
      <c r="C4" s="28" t="s">
        <v>1869</v>
      </c>
      <c r="D4" s="47" t="s">
        <v>1474</v>
      </c>
      <c r="E4" s="146" t="s">
        <v>1824</v>
      </c>
      <c r="F4" s="147"/>
      <c r="G4" s="147"/>
    </row>
    <row r="5" spans="1:19" x14ac:dyDescent="0.75">
      <c r="B5" s="47" t="s">
        <v>10</v>
      </c>
      <c r="C5" s="7" t="s">
        <v>1802</v>
      </c>
      <c r="D5" s="47"/>
      <c r="E5" s="7"/>
    </row>
    <row r="6" spans="1:19" x14ac:dyDescent="0.75">
      <c r="B6" s="47" t="s">
        <v>18</v>
      </c>
      <c r="C6" s="41"/>
      <c r="D6" s="47" t="s">
        <v>1475</v>
      </c>
      <c r="E6" s="146" t="str">
        <f>E3</f>
        <v>http://hl7.eu/fhir/ig/idea4rc/StructureDefinition/TreatmentResponseI4rc</v>
      </c>
      <c r="F6" s="147"/>
      <c r="G6" s="147"/>
    </row>
    <row r="7" spans="1:19" x14ac:dyDescent="0.75">
      <c r="B7" s="47" t="s">
        <v>15</v>
      </c>
      <c r="C7" s="72"/>
      <c r="D7" s="47" t="s">
        <v>1476</v>
      </c>
      <c r="E7" s="146" t="str">
        <f>E4</f>
        <v>http://hl7.eu/fhir/ig/idea4rc/StructureDefinition/Procedure-radiotheraphy-eu-i4rc</v>
      </c>
      <c r="F7" s="147"/>
      <c r="G7" s="147"/>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1870</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1878</v>
      </c>
      <c r="L6" s="17" t="str">
        <f>CONCATENATE("Title: ##34#",B6,"##34#")</f>
        <v>Title: ##34#Adverse Event##34#</v>
      </c>
    </row>
    <row r="7" spans="1:18" x14ac:dyDescent="0.75">
      <c r="A7" s="26" t="s">
        <v>2</v>
      </c>
      <c r="B7" s="30" t="s">
        <v>1878</v>
      </c>
      <c r="C7" s="9" t="s">
        <v>3</v>
      </c>
      <c r="D7" s="1" t="s">
        <v>4</v>
      </c>
      <c r="E7" s="3" t="s">
        <v>5</v>
      </c>
      <c r="F7" s="3" t="s">
        <v>6</v>
      </c>
      <c r="G7" s="3" t="s">
        <v>7</v>
      </c>
      <c r="H7" s="64" t="s">
        <v>1384</v>
      </c>
      <c r="I7" s="119" t="s">
        <v>2082</v>
      </c>
      <c r="J7" s="119" t="s">
        <v>2083</v>
      </c>
      <c r="L7" s="17" t="str">
        <f>CONCATENATE("Description: "," ##334#",B7,"##334#",)</f>
        <v>Description:  ##334#Adverse Event##334#</v>
      </c>
    </row>
    <row r="8" spans="1:18" ht="59" x14ac:dyDescent="0.75">
      <c r="A8" s="59">
        <v>0</v>
      </c>
      <c r="B8" s="140"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1879</v>
      </c>
      <c r="C9" s="11" t="s">
        <v>1871</v>
      </c>
      <c r="D9" s="11" t="s">
        <v>1872</v>
      </c>
      <c r="E9" s="11">
        <v>1</v>
      </c>
      <c r="F9" s="11">
        <v>1</v>
      </c>
      <c r="G9" s="11" t="s">
        <v>1468</v>
      </c>
      <c r="H9" s="11"/>
      <c r="I9" s="12" t="b">
        <v>1</v>
      </c>
      <c r="J9" s="12" t="b">
        <v>0</v>
      </c>
      <c r="K9" s="25" t="s">
        <v>2245</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1880</v>
      </c>
      <c r="C10" s="11" t="s">
        <v>1873</v>
      </c>
      <c r="D10" s="11" t="s">
        <v>1874</v>
      </c>
      <c r="E10" s="11">
        <v>1</v>
      </c>
      <c r="F10" s="11">
        <v>1</v>
      </c>
      <c r="G10" s="11" t="s">
        <v>43</v>
      </c>
      <c r="H10" s="11"/>
      <c r="I10" s="12" t="b">
        <v>1</v>
      </c>
      <c r="J10" s="12" t="b">
        <v>0</v>
      </c>
      <c r="K10" s="25" t="s">
        <v>2246</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1881</v>
      </c>
      <c r="C11" s="11" t="s">
        <v>1875</v>
      </c>
      <c r="D11" s="11" t="s">
        <v>1876</v>
      </c>
      <c r="E11" s="11">
        <v>1</v>
      </c>
      <c r="F11" s="11">
        <v>1</v>
      </c>
      <c r="G11" s="11" t="s">
        <v>1468</v>
      </c>
      <c r="H11" s="62" t="s">
        <v>1877</v>
      </c>
      <c r="I11" s="12" t="b">
        <v>1</v>
      </c>
      <c r="J11" s="12" t="b">
        <v>0</v>
      </c>
      <c r="K11" s="25" t="s">
        <v>2247</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AdverseEvent!L1</f>
        <v>//===================================================</v>
      </c>
    </row>
    <row r="2" spans="3:7" ht="16.75" thickBot="1" x14ac:dyDescent="0.9">
      <c r="C2" s="24" t="str">
        <f>AdverseEvent!L2</f>
        <v>//  Logical Model</v>
      </c>
      <c r="G2" s="29" t="s">
        <v>1882</v>
      </c>
    </row>
    <row r="3" spans="3:7" x14ac:dyDescent="0.75">
      <c r="C3" s="24" t="str">
        <f>AdverseEvent!L3</f>
        <v>//===================================================</v>
      </c>
    </row>
    <row r="4" spans="3:7" x14ac:dyDescent="0.75">
      <c r="C4" s="100" t="str">
        <f>AdverseEvent!L4</f>
        <v>Logical: AdverseEventI4rc</v>
      </c>
    </row>
    <row r="5" spans="3:7" x14ac:dyDescent="0.75">
      <c r="C5" s="100" t="str">
        <f>AdverseEvent!L5</f>
        <v>Id: AdverseEvent</v>
      </c>
    </row>
    <row r="6" spans="3:7" x14ac:dyDescent="0.75">
      <c r="C6" s="100" t="str">
        <f>AdverseEvent!L6</f>
        <v>Title: ##34#Adverse Event##34#</v>
      </c>
    </row>
    <row r="7" spans="3:7" x14ac:dyDescent="0.75">
      <c r="C7" s="100" t="str">
        <f>AdverseEvent!L7</f>
        <v>Description:  ##334#Adverse Event##334#</v>
      </c>
    </row>
    <row r="8" spans="3:7" ht="29.5" x14ac:dyDescent="0.75">
      <c r="C8" s="101"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1"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1" t="str">
        <f>IF(AdverseEvent!L10="*  ..  ##34###34# ##334###334#","//--- END",AdverseEvent!L10)</f>
        <v>* eventStartingDate 1..1 date ##34#Adverse event starting date  ##34# ##334#specifies when adverse events begins##334#</v>
      </c>
    </row>
    <row r="11" spans="3:7" ht="29.5" x14ac:dyDescent="0.75">
      <c r="C11" s="101" t="str">
        <f>IF(AdverseEvent!L11="*  ..  ##34###34# ##334###334#","//--- END",AdverseEvent!L11)</f>
        <v>* eventDuration 1..1 CodeableConcept ##34#Adverse event duration##34# ##334#specifies the duration of the adverse event##334#</v>
      </c>
    </row>
    <row r="12" spans="3:7" x14ac:dyDescent="0.75">
      <c r="C12" s="101" t="str">
        <f>IF(AdverseEvent!L12="*  ..  ##34###34# ##334###334#","//--- END",AdverseEvent!L12)</f>
        <v>//--- END</v>
      </c>
    </row>
    <row r="13" spans="3:7" x14ac:dyDescent="0.75">
      <c r="C13" s="101" t="str">
        <f>IF(AdverseEvent!L13="*  ..  ##34###34# ##334###334#","//--- END",AdverseEvent!L13)</f>
        <v>//--- END</v>
      </c>
    </row>
    <row r="14" spans="3:7" x14ac:dyDescent="0.75">
      <c r="C14" s="101" t="str">
        <f>IF(AdverseEvent!L14="*  ..  ##34###34# ##334###334#","//--- END",AdverseEvent!L14)</f>
        <v>//--- END</v>
      </c>
    </row>
    <row r="16" spans="3:7" x14ac:dyDescent="0.75">
      <c r="C16" s="99" t="s">
        <v>1387</v>
      </c>
    </row>
    <row r="17" spans="3:3" x14ac:dyDescent="0.75">
      <c r="C17" s="24" t="s">
        <v>1421</v>
      </c>
    </row>
    <row r="18" spans="3:3" x14ac:dyDescent="0.75">
      <c r="C18" s="24" t="s">
        <v>1387</v>
      </c>
    </row>
    <row r="19" spans="3:3" x14ac:dyDescent="0.75">
      <c r="C19" s="101" t="str">
        <f>IF(AdverseEvent!N8="*  ..  ##34###34# ##334###334#","//--- END",AdverseEvent!N8)</f>
        <v/>
      </c>
    </row>
    <row r="20" spans="3:3" x14ac:dyDescent="0.75">
      <c r="C20" s="101" t="str">
        <f>IF(AdverseEvent!N9="*  ..  ##34###34# ##334###334#","//--- END",AdverseEvent!N9)</f>
        <v/>
      </c>
    </row>
    <row r="21" spans="3:3" x14ac:dyDescent="0.75">
      <c r="C21" s="101" t="str">
        <f>IF(AdverseEvent!N10="*  ..  ##34###34# ##334###334#","//--- END",AdverseEvent!N10)</f>
        <v/>
      </c>
    </row>
    <row r="22" spans="3:3" ht="44.25" x14ac:dyDescent="0.75">
      <c r="C22" s="101" t="str">
        <f>IF(AdverseEvent!N11="*  ..  ##34###34# ##334###334#","//--- END",AdverseEvent!N11)</f>
        <v>* eventDuration ^comment = ##334#Less than one week; More than one week but  less than a month; More than a month but less than 3 months; More than 3 months; Unknown.
Custom##334#</v>
      </c>
    </row>
    <row r="23" spans="3:3" x14ac:dyDescent="0.75">
      <c r="C23" s="101" t="str">
        <f>IF(AdverseEvent!N12="*  ..  ##34###34# ##334###334#","//--- END",AdverseEvent!N12)</f>
        <v>//--- END</v>
      </c>
    </row>
    <row r="24" spans="3:3" x14ac:dyDescent="0.75">
      <c r="C24" s="101" t="str">
        <f>IF(AdverseEvent!N13="*  ..  ##34###34# ##334###334#","//--- END",AdverseEvent!N13)</f>
        <v>//--- END</v>
      </c>
    </row>
    <row r="25" spans="3:3" x14ac:dyDescent="0.75">
      <c r="C25" s="101"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http://hl7.eu/fhir/ig/idea4rc/StructureDefinition/AdverseEventI4rc</v>
      </c>
    </row>
    <row r="4" spans="1:19" x14ac:dyDescent="0.75">
      <c r="B4" s="47" t="s">
        <v>16</v>
      </c>
      <c r="C4" s="28" t="s">
        <v>1869</v>
      </c>
      <c r="D4" s="47" t="s">
        <v>1474</v>
      </c>
      <c r="E4" s="156" t="s">
        <v>2347</v>
      </c>
      <c r="F4" s="157"/>
      <c r="G4" s="157"/>
    </row>
    <row r="5" spans="1:19" x14ac:dyDescent="0.75">
      <c r="B5" s="47" t="s">
        <v>10</v>
      </c>
      <c r="C5" s="7" t="s">
        <v>1802</v>
      </c>
      <c r="D5" s="47"/>
      <c r="E5" s="7"/>
    </row>
    <row r="6" spans="1:19" x14ac:dyDescent="0.75">
      <c r="B6" s="47" t="s">
        <v>18</v>
      </c>
      <c r="C6" s="41"/>
      <c r="D6" s="47" t="s">
        <v>1475</v>
      </c>
      <c r="E6" s="146" t="str">
        <f>E3</f>
        <v>http://hl7.eu/fhir/ig/idea4rc/StructureDefinition/AdverseEventI4rc</v>
      </c>
      <c r="F6" s="147"/>
      <c r="G6" s="147"/>
    </row>
    <row r="7" spans="1:19" x14ac:dyDescent="0.75">
      <c r="B7" s="47" t="s">
        <v>15</v>
      </c>
      <c r="C7" s="72"/>
      <c r="D7" s="47" t="s">
        <v>1476</v>
      </c>
      <c r="E7" s="146" t="str">
        <f>E4</f>
        <v>http://hl7.eu/fhir/ig/idea4rc/StructureDefinition/AdverseEvent-eu-i4rc</v>
      </c>
      <c r="F7" s="147"/>
      <c r="G7" s="147"/>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2348</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2349</v>
      </c>
      <c r="E16" s="12"/>
      <c r="F16" s="49" t="s">
        <v>1294</v>
      </c>
      <c r="G16" s="76" t="s">
        <v>2350</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2351</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2352</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1883</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1918</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1634</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46" t="s">
        <v>1625</v>
      </c>
      <c r="F4" s="147"/>
      <c r="G4" s="147"/>
    </row>
    <row r="5" spans="1:19" x14ac:dyDescent="0.75">
      <c r="B5" s="47" t="s">
        <v>10</v>
      </c>
      <c r="C5" s="7" t="s">
        <v>1640</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1625</v>
      </c>
      <c r="F7" s="147"/>
      <c r="G7" s="147"/>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5"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1804</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1804</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1804</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1804</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46" t="s">
        <v>1636</v>
      </c>
      <c r="F4" s="147"/>
      <c r="G4" s="147"/>
    </row>
    <row r="5" spans="1:19" x14ac:dyDescent="0.75">
      <c r="B5" s="47" t="s">
        <v>10</v>
      </c>
      <c r="C5" s="7" t="s">
        <v>1621</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1636</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46" t="s">
        <v>1637</v>
      </c>
      <c r="F4" s="147"/>
      <c r="G4" s="147"/>
    </row>
    <row r="5" spans="1:19" x14ac:dyDescent="0.75">
      <c r="B5" s="47" t="s">
        <v>10</v>
      </c>
      <c r="C5" s="7" t="s">
        <v>1621</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1637</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46" t="s">
        <v>1638</v>
      </c>
      <c r="F4" s="147"/>
      <c r="G4" s="147"/>
    </row>
    <row r="5" spans="1:19" x14ac:dyDescent="0.75">
      <c r="B5" s="47" t="s">
        <v>10</v>
      </c>
      <c r="C5" s="7" t="s">
        <v>1621</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1638</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2024-02-08T11:26:01Z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