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2.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4A2860C9-F241-41AE-8964-449192AB31AA}" xr6:coauthVersionLast="47" xr6:coauthVersionMax="47" xr10:uidLastSave="{00000000-0000-0000-0000-000000000000}"/>
  <bookViews>
    <workbookView xWindow="-90" yWindow="-21710" windowWidth="38620" windowHeight="21100" tabRatio="819" firstSheet="13" activeTab="16" xr2:uid="{82F0A5E9-86C8-45A2-AB20-6CF6AA2FD42B}"/>
  </bookViews>
  <sheets>
    <sheet name="CancerUnderStudy-test" sheetId="156" r:id="rId1"/>
    <sheet name="CancerUnderStudy-Map-1-test" sheetId="157" r:id="rId2"/>
    <sheet name="CancerUnderStudy-fsh-test" sheetId="158" r:id="rId3"/>
    <sheet name=" 4. Cancer under study" sheetId="150" r:id="rId4"/>
    <sheet name="2.Demographic &amp; life style" sheetId="137" r:id="rId5"/>
    <sheet name="OsirisDataElementConcept" sheetId="139" r:id="rId6"/>
    <sheet name="Common" sheetId="114" r:id="rId7"/>
    <sheet name="CancerUnderStudy" sheetId="151" r:id="rId8"/>
    <sheet name="CancerUnderStudy-Map-1" sheetId="152" r:id="rId9"/>
    <sheet name="CancerUnderStudy-fsh" sheetId="153" r:id="rId10"/>
    <sheet name="CancerUnderStudy-ConceptMap" sheetId="154" r:id="rId11"/>
    <sheet name="CancerUnderStudy-CM-fsh" sheetId="155" r:id="rId12"/>
    <sheet name="Subject" sheetId="108" r:id="rId13"/>
    <sheet name="Subject-Map-1" sheetId="109" r:id="rId14"/>
    <sheet name="Subject-fsh" sheetId="110" r:id="rId15"/>
    <sheet name="Subject-ConceptMap" sheetId="148" r:id="rId16"/>
    <sheet name="Subject-CM-fsh" sheetId="149" r:id="rId17"/>
    <sheet name="Staging" sheetId="159" r:id="rId18"/>
    <sheet name="Staging-Map-1" sheetId="160" r:id="rId19"/>
    <sheet name="Staging-fsh" sheetId="161" r:id="rId20"/>
    <sheet name="Staging-ConceptMap" sheetId="162" r:id="rId21"/>
    <sheet name="Staging-CM-fsh" sheetId="163" r:id="rId22"/>
    <sheet name="Treatment" sheetId="164" r:id="rId23"/>
    <sheet name="Treatment-Map-1" sheetId="165" r:id="rId24"/>
    <sheet name="Treatment-fsh" sheetId="166" r:id="rId25"/>
    <sheet name="Treatment-ConceptMap" sheetId="167" r:id="rId26"/>
    <sheet name="Treatment-CM-fsh" sheetId="168" r:id="rId27"/>
    <sheet name="ConvertOsiris" sheetId="138" r:id="rId28"/>
    <sheet name="Osiris" sheetId="141" r:id="rId29"/>
    <sheet name="Osiris-Map" sheetId="142" r:id="rId30"/>
    <sheet name="Osiris-fsh-noMap" sheetId="144" r:id="rId31"/>
    <sheet name="Osiris-fsh" sheetId="143" r:id="rId32"/>
    <sheet name="Osiris-ConceptMap" sheetId="145" r:id="rId33"/>
    <sheet name="Osiris-CM-fsh" sheetId="147" r:id="rId34"/>
    <sheet name="Foglio2" sheetId="146" r:id="rId35"/>
  </sheets>
  <definedNames>
    <definedName name="_xlnm._FilterDatabase" localSheetId="4" hidden="1">'2.Demographic &amp; life style'!$A$2:$S$47</definedName>
    <definedName name="_xlnm._FilterDatabase" localSheetId="27" hidden="1">ConvertOsiris!$D$2:$U$232</definedName>
    <definedName name="DatiEsterni_1" localSheetId="5"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C130" i="158"/>
  <c r="C129" i="158"/>
  <c r="C91" i="158"/>
  <c r="C90" i="158"/>
  <c r="C87" i="158"/>
  <c r="C86" i="158"/>
  <c r="C43" i="158"/>
  <c r="C42" i="158"/>
  <c r="C2" i="158"/>
  <c r="C1" i="158"/>
  <c r="E45" i="157"/>
  <c r="E44" i="157"/>
  <c r="E43" i="157"/>
  <c r="E42" i="157"/>
  <c r="C128" i="158" s="1"/>
  <c r="B41" i="157"/>
  <c r="E41" i="157" s="1"/>
  <c r="C127" i="158" s="1"/>
  <c r="B40" i="157"/>
  <c r="E40" i="157" s="1"/>
  <c r="C126" i="158" s="1"/>
  <c r="B39" i="157"/>
  <c r="E39" i="157" s="1"/>
  <c r="C125" i="158" s="1"/>
  <c r="B38" i="157"/>
  <c r="E38" i="157" s="1"/>
  <c r="C124" i="158" s="1"/>
  <c r="B37" i="157"/>
  <c r="E37" i="157" s="1"/>
  <c r="C123" i="158" s="1"/>
  <c r="B36" i="157"/>
  <c r="E36" i="157" s="1"/>
  <c r="C122" i="158" s="1"/>
  <c r="B35" i="157"/>
  <c r="E35" i="157" s="1"/>
  <c r="C121" i="158" s="1"/>
  <c r="B34" i="157"/>
  <c r="E34" i="157" s="1"/>
  <c r="C120" i="158" s="1"/>
  <c r="B33" i="157"/>
  <c r="E33" i="157" s="1"/>
  <c r="C119" i="158" s="1"/>
  <c r="B32" i="157"/>
  <c r="E32" i="157" s="1"/>
  <c r="C118" i="158" s="1"/>
  <c r="B31" i="157"/>
  <c r="E31" i="157" s="1"/>
  <c r="C117" i="158" s="1"/>
  <c r="B30" i="157"/>
  <c r="E30" i="157" s="1"/>
  <c r="C116" i="158" s="1"/>
  <c r="B29" i="157"/>
  <c r="E29" i="157" s="1"/>
  <c r="C115" i="158" s="1"/>
  <c r="B28" i="157"/>
  <c r="E28" i="157" s="1"/>
  <c r="C114" i="158" s="1"/>
  <c r="B27" i="157"/>
  <c r="E27" i="157" s="1"/>
  <c r="C113" i="158" s="1"/>
  <c r="B26" i="157"/>
  <c r="E26" i="157" s="1"/>
  <c r="C112" i="158" s="1"/>
  <c r="B25" i="157"/>
  <c r="E25" i="157" s="1"/>
  <c r="C111" i="158" s="1"/>
  <c r="B24" i="157"/>
  <c r="E24" i="157" s="1"/>
  <c r="C110" i="158" s="1"/>
  <c r="B23" i="157"/>
  <c r="E23" i="157" s="1"/>
  <c r="C109" i="158" s="1"/>
  <c r="B22" i="157"/>
  <c r="E22" i="157" s="1"/>
  <c r="C108" i="158" s="1"/>
  <c r="B21" i="157"/>
  <c r="E21" i="157" s="1"/>
  <c r="C107" i="158" s="1"/>
  <c r="B20" i="157"/>
  <c r="E20" i="157" s="1"/>
  <c r="C106" i="158" s="1"/>
  <c r="B19" i="157"/>
  <c r="E19" i="157" s="1"/>
  <c r="C105" i="158" s="1"/>
  <c r="B18" i="157"/>
  <c r="E18" i="157" s="1"/>
  <c r="C104" i="158" s="1"/>
  <c r="B17" i="157"/>
  <c r="E17" i="157" s="1"/>
  <c r="C103" i="158" s="1"/>
  <c r="B16" i="157"/>
  <c r="E16" i="157" s="1"/>
  <c r="C102" i="158" s="1"/>
  <c r="B15" i="157"/>
  <c r="E15" i="157" s="1"/>
  <c r="C101" i="158" s="1"/>
  <c r="B14" i="157"/>
  <c r="E14" i="157" s="1"/>
  <c r="C100" i="158" s="1"/>
  <c r="B13" i="157"/>
  <c r="E13" i="157" s="1"/>
  <c r="C99" i="158" s="1"/>
  <c r="B12" i="157"/>
  <c r="E12" i="157" s="1"/>
  <c r="C98" i="158" s="1"/>
  <c r="B11" i="157"/>
  <c r="E11" i="157" s="1"/>
  <c r="C97" i="158" s="1"/>
  <c r="B10" i="157"/>
  <c r="E10" i="157" s="1"/>
  <c r="C96" i="158" s="1"/>
  <c r="E9" i="157"/>
  <c r="C95" i="158" s="1"/>
  <c r="B9" i="157"/>
  <c r="C7" i="157" s="1"/>
  <c r="E7" i="157" s="1"/>
  <c r="C92" i="158" s="1"/>
  <c r="E8" i="157"/>
  <c r="C93" i="158" s="1"/>
  <c r="E6" i="157"/>
  <c r="E5" i="157"/>
  <c r="E4" i="157"/>
  <c r="C89" i="158" s="1"/>
  <c r="E3" i="157"/>
  <c r="C88" i="158" s="1"/>
  <c r="J44" i="156"/>
  <c r="L44" i="156" s="1"/>
  <c r="L43" i="156"/>
  <c r="J43" i="156"/>
  <c r="J42" i="156"/>
  <c r="L42" i="156" s="1"/>
  <c r="C83" i="158" s="1"/>
  <c r="J41" i="156"/>
  <c r="C41" i="158" s="1"/>
  <c r="J40" i="156"/>
  <c r="C40" i="158" s="1"/>
  <c r="J39" i="156"/>
  <c r="C39" i="158" s="1"/>
  <c r="J38" i="156"/>
  <c r="L38" i="156" s="1"/>
  <c r="C79" i="158" s="1"/>
  <c r="J37" i="156"/>
  <c r="C37" i="158" s="1"/>
  <c r="J36" i="156"/>
  <c r="L36" i="156" s="1"/>
  <c r="C77" i="158" s="1"/>
  <c r="J35" i="156"/>
  <c r="C35" i="158" s="1"/>
  <c r="J34" i="156"/>
  <c r="L34" i="156" s="1"/>
  <c r="C75" i="158" s="1"/>
  <c r="J33" i="156"/>
  <c r="C33" i="158" s="1"/>
  <c r="J32" i="156"/>
  <c r="C32" i="158" s="1"/>
  <c r="J31" i="156"/>
  <c r="C31" i="158" s="1"/>
  <c r="J30" i="156"/>
  <c r="L30" i="156" s="1"/>
  <c r="C71" i="158" s="1"/>
  <c r="J29" i="156"/>
  <c r="C29" i="158" s="1"/>
  <c r="J28" i="156"/>
  <c r="L28" i="156" s="1"/>
  <c r="C69" i="158" s="1"/>
  <c r="J27" i="156"/>
  <c r="C27" i="158" s="1"/>
  <c r="J26" i="156"/>
  <c r="L26" i="156" s="1"/>
  <c r="C67" i="158" s="1"/>
  <c r="J25" i="156"/>
  <c r="C25" i="158" s="1"/>
  <c r="J24" i="156"/>
  <c r="C24" i="158" s="1"/>
  <c r="J23" i="156"/>
  <c r="C23" i="158" s="1"/>
  <c r="J22" i="156"/>
  <c r="L22" i="156" s="1"/>
  <c r="C63" i="158" s="1"/>
  <c r="J21" i="156"/>
  <c r="C21" i="158" s="1"/>
  <c r="J20" i="156"/>
  <c r="L20" i="156" s="1"/>
  <c r="C61" i="158" s="1"/>
  <c r="J19" i="156"/>
  <c r="C19" i="158" s="1"/>
  <c r="J18" i="156"/>
  <c r="L18" i="156" s="1"/>
  <c r="C59" i="158" s="1"/>
  <c r="J17" i="156"/>
  <c r="C17" i="158" s="1"/>
  <c r="J16" i="156"/>
  <c r="C16" i="158" s="1"/>
  <c r="J15" i="156"/>
  <c r="C15" i="158" s="1"/>
  <c r="J14" i="156"/>
  <c r="L14" i="156" s="1"/>
  <c r="C55" i="158" s="1"/>
  <c r="J13" i="156"/>
  <c r="C13" i="158" s="1"/>
  <c r="J12" i="156"/>
  <c r="L12" i="156" s="1"/>
  <c r="C53" i="158" s="1"/>
  <c r="J11" i="156"/>
  <c r="C11" i="158" s="1"/>
  <c r="J10" i="156"/>
  <c r="L10" i="156" s="1"/>
  <c r="C51" i="158" s="1"/>
  <c r="J9" i="156"/>
  <c r="C9" i="158" s="1"/>
  <c r="J8" i="156"/>
  <c r="C8" i="158" s="1"/>
  <c r="J7" i="156"/>
  <c r="C7" i="158" s="1"/>
  <c r="J6" i="156"/>
  <c r="C6" i="158" s="1"/>
  <c r="J5" i="156"/>
  <c r="C5" i="158" s="1"/>
  <c r="J4" i="156"/>
  <c r="C4" i="158" s="1"/>
  <c r="L3" i="156"/>
  <c r="J3" i="156"/>
  <c r="C3" i="158" s="1"/>
  <c r="L40" i="151"/>
  <c r="C81" i="153" s="1"/>
  <c r="L41" i="151"/>
  <c r="L42" i="151"/>
  <c r="C83" i="153" s="1"/>
  <c r="L43" i="151"/>
  <c r="L44" i="151"/>
  <c r="C82" i="153"/>
  <c r="L3" i="151"/>
  <c r="C128" i="153"/>
  <c r="C129" i="153"/>
  <c r="C130" i="153"/>
  <c r="E45" i="152"/>
  <c r="E42" i="152"/>
  <c r="E43" i="152"/>
  <c r="E44" i="152"/>
  <c r="B11" i="152"/>
  <c r="E11" i="152" s="1"/>
  <c r="C97" i="153" s="1"/>
  <c r="B12" i="152"/>
  <c r="B13" i="152"/>
  <c r="B14" i="152"/>
  <c r="E14" i="152" s="1"/>
  <c r="C100" i="153" s="1"/>
  <c r="B15" i="152"/>
  <c r="E15" i="152" s="1"/>
  <c r="C101" i="153" s="1"/>
  <c r="B16" i="152"/>
  <c r="E16" i="152" s="1"/>
  <c r="C102" i="153" s="1"/>
  <c r="B17" i="152"/>
  <c r="E17" i="152" s="1"/>
  <c r="C103" i="153" s="1"/>
  <c r="B18" i="152"/>
  <c r="E18" i="152" s="1"/>
  <c r="C104" i="153" s="1"/>
  <c r="B19" i="152"/>
  <c r="E19" i="152" s="1"/>
  <c r="C105" i="153" s="1"/>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3" i="152"/>
  <c r="C99" i="153" s="1"/>
  <c r="E12" i="152"/>
  <c r="C98"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90" i="164" l="1"/>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39" i="151"/>
  <c r="C80" i="153" s="1"/>
  <c r="L31" i="151"/>
  <c r="C72" i="153" s="1"/>
  <c r="L23" i="151"/>
  <c r="C64" i="153" s="1"/>
  <c r="L15" i="151"/>
  <c r="C56" i="153" s="1"/>
  <c r="L38" i="151"/>
  <c r="C79" i="153" s="1"/>
  <c r="L30" i="151"/>
  <c r="C71" i="153" s="1"/>
  <c r="L22" i="151"/>
  <c r="C63" i="153" s="1"/>
  <c r="L14" i="151"/>
  <c r="C55" i="153" s="1"/>
  <c r="L37" i="151"/>
  <c r="C78" i="153" s="1"/>
  <c r="L29" i="151"/>
  <c r="C70" i="153" s="1"/>
  <c r="L21" i="151"/>
  <c r="C62" i="153" s="1"/>
  <c r="L13" i="151"/>
  <c r="C54" i="153" s="1"/>
  <c r="L36" i="151"/>
  <c r="C77" i="153" s="1"/>
  <c r="L28" i="151"/>
  <c r="C69" i="153" s="1"/>
  <c r="L20" i="151"/>
  <c r="C61" i="153" s="1"/>
  <c r="L12" i="151"/>
  <c r="C53" i="153" s="1"/>
  <c r="L35" i="151"/>
  <c r="C76" i="153" s="1"/>
  <c r="L27" i="151"/>
  <c r="C68" i="153" s="1"/>
  <c r="L19" i="151"/>
  <c r="C60" i="153" s="1"/>
  <c r="L11" i="151"/>
  <c r="C52" i="153" s="1"/>
  <c r="L34" i="151"/>
  <c r="C75" i="153" s="1"/>
  <c r="L26" i="151"/>
  <c r="C67" i="153" s="1"/>
  <c r="L18" i="151"/>
  <c r="C59" i="153" s="1"/>
  <c r="L10" i="151"/>
  <c r="C51" i="153" s="1"/>
  <c r="L8" i="151"/>
  <c r="C49" i="153" s="1"/>
  <c r="L33" i="151"/>
  <c r="C74" i="153" s="1"/>
  <c r="L25" i="151"/>
  <c r="C66" i="153" s="1"/>
  <c r="L17" i="151"/>
  <c r="C58" i="153" s="1"/>
  <c r="L9" i="151"/>
  <c r="C50" i="153" s="1"/>
  <c r="L32" i="151"/>
  <c r="C73" i="153" s="1"/>
  <c r="L24" i="151"/>
  <c r="C65" i="153" s="1"/>
  <c r="L16" i="151"/>
  <c r="C57" i="153" s="1"/>
  <c r="L39" i="156"/>
  <c r="C80" i="158" s="1"/>
  <c r="L15" i="156"/>
  <c r="C56" i="158" s="1"/>
  <c r="L23" i="156"/>
  <c r="C64" i="158" s="1"/>
  <c r="L31" i="156"/>
  <c r="C72" i="158" s="1"/>
  <c r="C10" i="158"/>
  <c r="C18" i="158"/>
  <c r="L11" i="156"/>
  <c r="C52" i="158" s="1"/>
  <c r="C12" i="158"/>
  <c r="L19" i="156"/>
  <c r="C60" i="158" s="1"/>
  <c r="C20" i="158"/>
  <c r="C26" i="158"/>
  <c r="L27" i="156"/>
  <c r="C68" i="158" s="1"/>
  <c r="C28" i="158"/>
  <c r="C34" i="158"/>
  <c r="L35" i="156"/>
  <c r="C76" i="158" s="1"/>
  <c r="C36" i="158"/>
  <c r="L8" i="156"/>
  <c r="C49" i="158" s="1"/>
  <c r="L16" i="156"/>
  <c r="C57" i="158" s="1"/>
  <c r="L24" i="156"/>
  <c r="C65" i="158" s="1"/>
  <c r="L32" i="156"/>
  <c r="C73" i="158" s="1"/>
  <c r="L40" i="156"/>
  <c r="C81" i="158" s="1"/>
  <c r="L9" i="156"/>
  <c r="C50" i="158" s="1"/>
  <c r="L17" i="156"/>
  <c r="C58" i="158" s="1"/>
  <c r="L25" i="156"/>
  <c r="C66" i="158" s="1"/>
  <c r="L37" i="156"/>
  <c r="C78" i="158" s="1"/>
  <c r="C14" i="158"/>
  <c r="C22" i="158"/>
  <c r="C30" i="158"/>
  <c r="C38" i="158"/>
  <c r="L13" i="156"/>
  <c r="C54" i="158" s="1"/>
  <c r="L21" i="156"/>
  <c r="C62" i="158" s="1"/>
  <c r="L29" i="156"/>
  <c r="C70" i="158" s="1"/>
  <c r="L33" i="156"/>
  <c r="C74" i="158" s="1"/>
  <c r="L41" i="156"/>
  <c r="C82" i="158"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C316" i="166" l="1"/>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<sst xmlns="http://schemas.openxmlformats.org/spreadsheetml/2006/main" count="6262" uniqueCount="2407">
  <si>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</si>
  <si>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</si>
  <si>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</si>
  <si>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</si>
  <si>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</si>
  <si>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</si>
  <si>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</si>
  <si>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</si>
  <si>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</si>
  <si>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</si>
  <si>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</si>
  <si>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</si>
  <si>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</si>
  <si>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</si>
  <si>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</si>
  <si>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</si>
  <si>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</si>
  <si>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</si>
  <si>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</si>
  <si>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</si>
  <si>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</si>
  <si>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</si>
  <si>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</si>
  <si>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</si>
  <si>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</si>
  <si>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</si>
  <si>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</si>
  <si>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</si>
  <si>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</si>
  <si>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</si>
  <si>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</si>
  <si>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</si>
  <si>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</si>
  <si>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</si>
  <si>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</si>
  <si>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</si>
  <si>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</si>
  <si>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</si>
  <si>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</si>
  <si>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</si>
  <si>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</si>
  <si>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</si>
  <si>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</si>
  <si>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</si>
  <si>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</si>
  <si>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</si>
  <si>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</si>
  <si>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</si>
  <si>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</si>
  <si>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</si>
  <si>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</si>
  <si>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</si>
  <si>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</si>
  <si>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</si>
  <si>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</si>
  <si>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</si>
  <si>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</si>
  <si>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</si>
  <si>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</si>
  <si>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</si>
  <si>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</si>
  <si>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</si>
  <si>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</si>
  <si>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</si>
  <si>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</si>
  <si>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</si>
  <si>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</si>
  <si>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</si>
  <si>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</si>
  <si>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</si>
  <si>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</si>
  <si>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</si>
  <si>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</si>
  <si>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</si>
  <si>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</si>
  <si>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</si>
  <si>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</si>
  <si>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</si>
  <si>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</si>
  <si>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</si>
  <si>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</si>
  <si>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</si>
  <si>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</si>
  <si>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</si>
  <si>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</si>
  <si>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</si>
  <si>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</si>
  <si>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</si>
  <si>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</si>
  <si>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</si>
  <si>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</si>
  <si>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</si>
  <si>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</si>
  <si>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</si>
  <si>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</si>
  <si>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</si>
  <si>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</si>
  <si>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</si>
  <si>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</si>
  <si>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</si>
  <si>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</si>
  <si>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</si>
  <si>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</si>
  <si>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</si>
  <si>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</si>
  <si>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</si>
  <si>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</si>
  <si>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</si>
  <si>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</si>
  <si>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</si>
  <si>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</si>
  <si>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</si>
  <si>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</si>
  <si>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</si>
  <si>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</si>
  <si>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</si>
  <si>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</si>
  <si>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</si>
  <si>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</si>
  <si>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</si>
  <si>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</si>
  <si>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</si>
  <si>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</si>
  <si>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</si>
  <si>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</si>
  <si>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</si>
  <si>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</si>
  <si>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</si>
  <si>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</si>
  <si>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</si>
  <si>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</si>
  <si>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</si>
  <si>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</si>
  <si>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</si>
  <si>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</si>
  <si>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</si>
  <si>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</si>
  <si>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</si>
  <si>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</si>
  <si>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</si>
  <si>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</si>
  <si>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</si>
  <si>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</si>
  <si>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</si>
  <si>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</si>
  <si>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</si>
  <si>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</si>
  <si>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</si>
  <si>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</si>
  <si>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</si>
  <si>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</si>
  <si>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</si>
  <si>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</si>
  <si>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</si>
  <si>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</si>
  <si>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</si>
  <si>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</si>
  <si>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</si>
  <si>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</si>
  <si>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</si>
  <si>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</si>
  <si>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</si>
  <si>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</si>
  <si>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</si>
  <si>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</si>
  <si>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</si>
  <si>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</si>
  <si>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</si>
  <si>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</si>
  <si>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</si>
  <si>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</si>
  <si>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</si>
  <si>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</si>
  <si>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</si>
  <si>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</si>
  <si>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</si>
  <si>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</si>
  <si>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</si>
  <si>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</si>
  <si>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</si>
  <si>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</si>
  <si>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</si>
  <si>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</si>
  <si>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</si>
  <si>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</si>
  <si>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</si>
  <si>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</si>
  <si>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</si>
  <si>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</si>
  <si>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</si>
  <si>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</si>
  <si>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</si>
  <si>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</si>
  <si>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</si>
  <si>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</si>
  <si>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</si>
  <si>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</si>
  <si>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</si>
  <si>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</si>
  <si>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</si>
  <si>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</si>
  <si>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</si>
  <si>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</si>
  <si>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</si>
  <si>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</si>
  <si>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</si>
  <si>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</si>
  <si>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</si>
  <si>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</si>
  <si>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</si>
  <si>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</si>
  <si>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</si>
  <si>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</si>
  <si>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</si>
  <si>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</si>
  <si>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</si>
  <si>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</si>
  <si>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</si>
  <si>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</si>
  <si>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</si>
  <si>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</si>
  <si>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</si>
  <si>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</si>
  <si>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</si>
  <si>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</si>
  <si>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</si>
  <si>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</si>
  <si>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</si>
  <si>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</si>
  <si>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</si>
  <si>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</si>
  <si>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</si>
  <si>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</si>
  <si>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</si>
  <si>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</si>
  <si>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</si>
  <si>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</si>
  <si>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</si>
  <si>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</si>
  <si>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</si>
  <si>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</si>
  <si>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</si>
  <si>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</si>
  <si>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</si>
  <si>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</si>
  <si>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</si>
  <si>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</si>
  <si>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</si>
  <si>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</si>
  <si>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</si>
  <si>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</si>
  <si>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</si>
  <si>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</si>
  <si>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</si>
  <si>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</si>
  <si>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</si>
  <si>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</si>
  <si>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</si>
  <si>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</si>
  <si>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</si>
  <si>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</si>
  <si>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</si>
  <si>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</si>
  <si>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</si>
  <si>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</si>
  <si>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</si>
  <si>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</si>
  <si>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</si>
  <si>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</si>
  <si>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</si>
  <si>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</si>
  <si>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</si>
  <si>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</si>
  <si>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</si>
  <si>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</si>
  <si>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</si>
  <si>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</si>
  <si>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</si>
  <si>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</si>
  <si>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</si>
  <si>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</si>
  <si>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</si>
  <si>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</si>
  <si>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</si>
  <si>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</si>
  <si>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</si>
  <si>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</si>
  <si>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</si>
  <si>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</si>
  <si>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</si>
  <si>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</si>
  <si>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</si>
  <si>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</si>
  <si>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</si>
  <si>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</si>
  <si>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</si>
  <si>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</si>
  <si>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</si>
  <si>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</si>
  <si>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</si>
  <si>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</si>
  <si>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</si>
  <si>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</si>
  <si>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</si>
  <si>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</si>
  <si>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</si>
  <si>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</si>
  <si>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</si>
  <si>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</si>
  <si>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</si>
  <si>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</si>
  <si>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</si>
  <si>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</si>
  <si>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</si>
  <si>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</si>
  <si>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</si>
  <si>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</si>
  <si>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</si>
  <si>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</si>
  <si>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</si>
  <si>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</si>
  <si>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</si>
  <si>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</si>
  <si>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</si>
  <si>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</si>
  <si>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</si>
  <si>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</si>
  <si>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</si>
  <si>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</si>
  <si>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</si>
  <si>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</si>
  <si>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</si>
  <si>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</si>
  <si>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</si>
  <si>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</si>
  <si>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</si>
  <si>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</si>
  <si>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</si>
  <si>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</si>
  <si>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</si>
  <si>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</si>
  <si>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</si>
  <si>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</si>
  <si>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</si>
  <si>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</si>
  <si>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</si>
  <si>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</si>
  <si>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</si>
  <si>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</si>
  <si>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</si>
  <si>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</si>
  <si>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</si>
  <si>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</si>
  <si>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</si>
  <si>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</si>
  <si>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</si>
  <si>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</si>
  <si>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</si>
  <si>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</si>
  <si>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</si>
  <si>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</si>
  <si>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</si>
  <si>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</si>
  <si>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</si>
  <si>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</si>
  <si>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</si>
  <si>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</si>
  <si>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</si>
  <si>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</si>
  <si>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</si>
  <si>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</si>
  <si>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</si>
  <si>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</si>
  <si>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</si>
  <si>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</si>
  <si>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</si>
  <si>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</si>
  <si>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</si>
  <si>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</si>
  <si>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</si>
  <si>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</si>
  <si>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</si>
  <si>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</si>
  <si>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</si>
  <si>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</si>
  <si>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</si>
  <si>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</si>
  <si>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</si>
  <si>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</si>
  <si>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</si>
  <si>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</si>
  <si>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</si>
  <si>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</si>
  <si>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</si>
  <si>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</si>
  <si>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</si>
  <si>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</si>
  <si>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</si>
  <si>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</si>
  <si>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</si>
  <si>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</si>
  <si>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</si>
  <si>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</si>
  <si>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</si>
  <si>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</si>
  <si>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</si>
  <si>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</si>
  <si>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</si>
  <si>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</si>
  <si>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</si>
  <si>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</si>
  <si>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</si>
  <si>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</si>
  <si>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</si>
  <si>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</si>
  <si>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</si>
  <si>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</si>
  <si>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</si>
  <si>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</si>
  <si>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</si>
  <si>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</si>
  <si>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</si>
  <si>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</si>
  <si>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</si>
  <si>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</si>
  <si>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</si>
  <si>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</si>
  <si>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</si>
  <si>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</si>
  <si>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</si>
  <si>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</si>
  <si>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</si>
  <si>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</si>
  <si>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</si>
  <si>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</si>
  <si>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</si>
  <si>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</si>
  <si>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</si>
  <si>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</si>
  <si>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</si>
  <si>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</si>
  <si>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</si>
  <si>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</si>
  <si>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</si>
  <si>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</si>
  <si>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</si>
  <si>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</si>
  <si>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</si>
  <si>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</si>
  <si>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</si>
  <si>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</si>
  <si>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</si>
  <si>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</si>
  <si>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</si>
  <si>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</si>
  <si>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</si>
  <si>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</si>
  <si>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</si>
  <si>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</si>
  <si>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</si>
  <si>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</si>
  <si>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</si>
  <si>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</si>
  <si>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</si>
  <si>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</si>
  <si>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</si>
  <si>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</si>
  <si>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</si>
  <si>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</si>
  <si>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</si>
  <si>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</si>
  <si>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</si>
  <si>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</si>
  <si>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</si>
  <si>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</si>
  <si>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</si>
  <si>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</si>
  <si>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</si>
  <si>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</si>
  <si>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</si>
  <si>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</si>
  <si>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</si>
  <si>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</si>
  <si>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</si>
  <si>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</si>
  <si>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</si>
  <si>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</si>
  <si>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</si>
  <si>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</si>
  <si>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</si>
  <si>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</si>
  <si>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</si>
  <si>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</si>
  <si>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</si>
  <si>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</si>
  <si>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</si>
  <si>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</si>
  <si>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</si>
  <si>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</si>
  <si>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</si>
  <si>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</si>
  <si>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</si>
  <si>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</si>
  <si>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</si>
  <si>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</si>
  <si>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</si>
  <si>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</si>
  <si>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</si>
  <si>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</si>
  <si>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</si>
  <si>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</si>
  <si>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</si>
  <si>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</si>
  <si>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</si>
  <si>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</si>
  <si>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</si>
  <si>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</si>
  <si>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</si>
  <si>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</si>
  <si>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</si>
  <si>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</si>
  <si>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</si>
  <si>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</si>
  <si>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</si>
  <si>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</si>
  <si>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</si>
  <si>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</si>
  <si>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</si>
  <si>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</si>
  <si>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</si>
  <si>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</si>
  <si>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</si>
  <si>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</si>
  <si>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</si>
  <si>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</si>
  <si>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</si>
  <si>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</si>
  <si>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</si>
  <si>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</si>
  <si>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</si>
  <si>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</si>
  <si>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</si>
  <si>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</si>
  <si>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</si>
  <si>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</si>
  <si>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</si>
  <si>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</si>
  <si>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</si>
  <si>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</si>
  <si>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</si>
  <si>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</si>
  <si>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</si>
  <si>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</si>
  <si>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</si>
  <si>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</si>
  <si>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</si>
  <si>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</si>
  <si>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</si>
  <si>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</si>
  <si>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</si>
  <si>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</si>
  <si>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</si>
  <si>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</si>
  <si>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</si>
  <si>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</si>
  <si>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</si>
  <si>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</si>
  <si>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</si>
  <si>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</si>
  <si>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</si>
  <si>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</si>
  <si>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</si>
  <si>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</si>
  <si>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</si>
  <si>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</si>
  <si>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</si>
  <si>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</si>
  <si>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</si>
  <si>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</si>
  <si>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</si>
  <si>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</si>
  <si>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</si>
  <si>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</si>
  <si>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</si>
  <si>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</si>
  <si>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</si>
  <si>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</si>
  <si>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</si>
  <si>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</si>
  <si>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</si>
  <si>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</si>
  <si>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</si>
  <si>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</si>
  <si>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</si>
  <si>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</si>
  <si>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</si>
  <si>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</si>
  <si>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</si>
  <si>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</si>
  <si>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</si>
  <si>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</si>
  <si>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</si>
  <si>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</si>
  <si>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</si>
  <si>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</si>
  <si>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</si>
  <si>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</si>
  <si>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</si>
  <si>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</si>
  <si>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</si>
  <si>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</si>
  <si>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</si>
  <si>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</si>
  <si>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</si>
  <si>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</si>
  <si>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</si>
  <si>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</si>
  <si>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</si>
  <si>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</si>
  <si>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</si>
  <si>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</si>
  <si>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</si>
  <si>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</si>
  <si>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</si>
  <si>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</si>
  <si>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</si>
  <si>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</si>
  <si>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</si>
  <si>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</si>
  <si>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</si>
  <si>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</si>
  <si>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</si>
  <si>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</si>
  <si>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</si>
  <si>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</si>
  <si>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</si>
  <si>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</si>
  <si>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</si>
  <si>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</si>
  <si>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</si>
  <si>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</si>
  <si>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</si>
  <si>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</si>
  <si>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</si>
  <si>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</si>
  <si>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</si>
  <si>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</si>
  <si>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</si>
  <si>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</si>
  <si>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</si>
  <si>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</si>
  <si>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</si>
  <si>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</si>
  <si>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</si>
  <si>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</si>
  <si>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</si>
  <si>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</si>
  <si>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</si>
  <si>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</si>
  <si>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</si>
  <si>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</si>
  <si>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</si>
  <si>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</si>
  <si>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</si>
  <si>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</si>
  <si>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</si>
  <si>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</si>
  <si>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</si>
  <si>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</si>
  <si>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</si>
  <si>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</si>
  <si>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</si>
  <si>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</si>
  <si>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</si>
  <si>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</si>
  <si>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</si>
  <si>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</si>
  <si>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</si>
  <si>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</si>
  <si>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</si>
  <si>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</si>
  <si>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</si>
  <si>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</si>
  <si>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</si>
  <si>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</si>
  <si>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</si>
  <si>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</si>
  <si>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</si>
  <si>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</si>
  <si>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</si>
  <si>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</si>
  <si>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</si>
  <si>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</si>
  <si>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</si>
  <si>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</si>
  <si>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</si>
  <si>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</si>
  <si>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</si>
  <si>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</si>
  <si>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</si>
  <si>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</si>
  <si>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</si>
  <si>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</si>
  <si>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</si>
  <si>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</si>
  <si>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</si>
  <si>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</si>
  <si>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</si>
  <si>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</si>
  <si>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</si>
  <si>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</si>
  <si>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</si>
  <si>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</si>
  <si>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</si>
  <si>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</si>
  <si>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</si>
  <si>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</si>
  <si>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</si>
  <si>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</si>
  <si>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</si>
  <si>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</si>
  <si>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</si>
  <si>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</si>
  <si>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</si>
  <si>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</si>
  <si>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</si>
  <si>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</si>
  <si>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</si>
  <si>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</si>
  <si>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</si>
  <si>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</si>
  <si>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</si>
  <si>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</si>
  <si>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</si>
  <si>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</si>
  <si>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</si>
  <si>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</si>
  <si>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</si>
  <si>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</si>
  <si>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</si>
  <si>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</si>
  <si>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</si>
  <si>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</si>
  <si>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</si>
  <si>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</si>
  <si>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</si>
  <si>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</si>
  <si>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</si>
  <si>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</si>
  <si>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</si>
  <si>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</si>
  <si>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</si>
  <si>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</si>
  <si>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</si>
  <si>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</si>
  <si>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</si>
  <si>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</si>
  <si>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</si>
  <si>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</si>
  <si>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</si>
  <si>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</si>
  <si>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</si>
  <si>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</si>
  <si>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</si>
  <si>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</si>
  <si>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</si>
  <si>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</si>
  <si>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</si>
  <si>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</si>
  <si>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</si>
  <si>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</si>
  <si>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</si>
  <si>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</si>
  <si>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</si>
  <si>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</si>
  <si>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</si>
  <si>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</si>
  <si>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</si>
  <si>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</si>
  <si>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</si>
  <si>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</si>
  <si>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</si>
  <si>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</si>
  <si>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</si>
  <si>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</si>
  <si>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</si>
  <si>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</si>
  <si>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</si>
  <si>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</si>
  <si>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</si>
  <si>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</si>
  <si>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</si>
  <si>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</si>
  <si>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</si>
  <si>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</si>
  <si>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</si>
  <si>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</si>
  <si>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</si>
  <si>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</si>
  <si>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</si>
  <si>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</si>
  <si>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</si>
  <si>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</si>
  <si>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</si>
  <si>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</si>
  <si>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</si>
  <si>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</si>
  <si>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</si>
  <si>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</si>
  <si>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</si>
  <si>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</si>
  <si>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</si>
  <si>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</si>
  <si>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</si>
  <si>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</si>
  <si>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</si>
  <si>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</si>
  <si>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</si>
  <si>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</si>
  <si>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</si>
  <si>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</si>
  <si>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</si>
  <si>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</si>
  <si>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</si>
  <si>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</si>
  <si>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</si>
  <si>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</si>
  <si>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</si>
  <si>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</si>
  <si>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</si>
  <si>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</si>
  <si>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</si>
  <si>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</si>
  <si>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</si>
  <si>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</si>
  <si>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</si>
  <si>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</si>
  <si>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</si>
  <si>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</si>
  <si>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</si>
  <si>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</si>
  <si>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</si>
  <si>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</si>
  <si>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</si>
  <si>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</si>
  <si>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</si>
  <si>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</si>
  <si>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</si>
  <si>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</si>
  <si>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</si>
  <si>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</si>
  <si>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</si>
  <si>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</si>
  <si>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</si>
  <si>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</si>
  <si>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</si>
  <si>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</si>
  <si>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</si>
  <si>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</si>
  <si>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</si>
  <si>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</si>
  <si>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</si>
  <si>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</si>
  <si>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</si>
  <si>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</si>
  <si>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</si>
  <si>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</si>
  <si>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</si>
  <si>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</si>
  <si>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</si>
  <si>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</si>
  <si>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</si>
  <si>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</si>
  <si>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</si>
  <si>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</si>
  <si>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</si>
  <si>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</si>
  <si>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</si>
  <si>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</si>
  <si>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</si>
  <si>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</si>
  <si>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</si>
  <si>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</si>
  <si>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</si>
  <si>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</si>
  <si>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</si>
  <si>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</si>
  <si>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</si>
  <si>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</si>
  <si>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</si>
  <si>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</si>
  <si>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</si>
  <si>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</si>
  <si>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</si>
  <si>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</si>
  <si>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</si>
  <si>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</si>
  <si>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</si>
  <si>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</si>
  <si>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</si>
  <si>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</si>
  <si>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</si>
  <si>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</si>
  <si>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</si>
  <si>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</si>
  <si>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</si>
  <si>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</si>
  <si>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</si>
  <si>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</si>
  <si>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</si>
  <si>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</si>
  <si>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</si>
  <si>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</si>
  <si>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</si>
  <si>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</si>
  <si>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</si>
  <si>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</si>
  <si>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</si>
  <si>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</si>
  <si>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</si>
  <si>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</si>
  <si>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</si>
  <si>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</si>
  <si>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</si>
  <si>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</si>
  <si>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</si>
  <si>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</si>
  <si>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</si>
  <si>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</si>
  <si>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</si>
  <si>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</si>
  <si>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</si>
  <si>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</si>
  <si>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</si>
  <si>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</si>
  <si>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</si>
  <si>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</si>
  <si>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</si>
  <si>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</si>
  <si>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</si>
  <si>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</si>
  <si>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</si>
  <si>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</si>
  <si>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</si>
  <si>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</si>
  <si>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</si>
  <si>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</si>
  <si>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</si>
  <si>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</si>
  <si>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</si>
  <si>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</si>
  <si>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</si>
  <si>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</si>
  <si>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</si>
  <si>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</si>
  <si>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</si>
  <si>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</si>
  <si>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</si>
  <si>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</si>
  <si>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</si>
  <si>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</si>
  <si>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</si>
  <si>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</si>
  <si>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</si>
  <si>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</si>
  <si>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</si>
  <si>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</si>
  <si>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</si>
  <si>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</si>
  <si>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</si>
  <si>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</si>
  <si>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</si>
  <si>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</si>
  <si>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</si>
  <si>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</si>
  <si>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</si>
  <si>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</si>
  <si>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</si>
  <si>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</si>
  <si>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</si>
  <si>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</si>
  <si>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</si>
  <si>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</si>
  <si>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</si>
  <si>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</si>
  <si>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</si>
  <si>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</si>
  <si>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</si>
  <si>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</si>
  <si>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</si>
  <si>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</si>
  <si>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</si>
  <si>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</si>
  <si>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</si>
  <si>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</si>
  <si>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</si>
  <si>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</si>
  <si>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</si>
  <si>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</si>
  <si>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</si>
  <si>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</si>
  <si>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</si>
  <si>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</si>
  <si>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</si>
  <si>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</si>
  <si>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</si>
  <si>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</si>
  <si>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</si>
  <si>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</si>
  <si>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</si>
  <si>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</si>
  <si>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</si>
  <si>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</si>
  <si>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</si>
  <si>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</si>
  <si>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</si>
  <si>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</si>
  <si>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</si>
  <si>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</si>
  <si>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</si>
  <si>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</si>
  <si>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</si>
  <si>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</si>
  <si>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</si>
  <si>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</si>
  <si>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</si>
  <si>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</si>
  <si>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</si>
  <si>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</si>
  <si>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</si>
  <si>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</si>
  <si>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</si>
  <si>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</si>
  <si>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</si>
  <si>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</si>
  <si>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</si>
  <si>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</si>
  <si>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</si>
  <si>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</si>
  <si>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</si>
  <si>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</si>
  <si>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</si>
  <si>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</si>
  <si>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</si>
  <si>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</si>
  <si>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</si>
  <si>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</si>
  <si>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</si>
  <si>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</si>
  <si>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</si>
  <si>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</si>
  <si>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</si>
  <si>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</si>
  <si>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</si>
  <si>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</si>
  <si>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</si>
  <si>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</si>
  <si>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</si>
  <si>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</si>
  <si>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</si>
  <si>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</si>
  <si>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</si>
  <si>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</si>
  <si>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</si>
  <si>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</si>
  <si>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</si>
  <si>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</si>
  <si>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</si>
  <si>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</si>
  <si>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</si>
  <si>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</si>
  <si>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</si>
  <si>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</si>
  <si>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</si>
  <si>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</si>
  <si>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</si>
  <si>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</si>
  <si>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</si>
  <si>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</si>
  <si>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</si>
  <si>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</si>
  <si>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</si>
  <si>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</si>
  <si>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</si>
  <si>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</si>
  <si>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</si>
  <si>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</si>
  <si>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</si>
  <si>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</si>
  <si>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</si>
  <si>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</si>
  <si>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</si>
  <si>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</si>
  <si>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</si>
  <si>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</si>
  <si>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</si>
  <si>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</si>
  <si>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</si>
  <si>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</si>
  <si>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</si>
  <si>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</si>
  <si>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</si>
  <si>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</si>
  <si>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</si>
  <si>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</si>
  <si>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</si>
  <si>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</si>
  <si>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</si>
  <si>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</si>
  <si>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</si>
  <si>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</si>
  <si>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</si>
  <si>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</si>
  <si>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</si>
  <si>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</si>
  <si>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</si>
  <si>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</si>
  <si>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</si>
  <si>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</si>
  <si>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</si>
  <si>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</si>
  <si>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</si>
  <si>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</si>
  <si>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</si>
  <si>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</si>
  <si>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</si>
  <si>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</si>
  <si>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</si>
  <si>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</si>
  <si>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</si>
  <si>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</si>
  <si>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</si>
  <si>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</si>
  <si>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</si>
  <si>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</si>
  <si>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</si>
  <si>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</si>
  <si>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</si>
  <si>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</si>
  <si>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</si>
  <si>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</si>
  <si>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</si>
  <si>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</si>
  <si>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</si>
  <si>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</si>
  <si>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</si>
  <si>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</si>
  <si>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</si>
  <si>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</si>
  <si>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</si>
  <si>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</si>
  <si>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</si>
  <si>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</si>
  <si>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</si>
  <si>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</si>
  <si>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</si>
  <si>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</si>
  <si>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</si>
  <si>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</si>
  <si>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</si>
  <si>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</si>
  <si>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</si>
  <si>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</si>
  <si>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</si>
  <si>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</si>
  <si>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</si>
  <si>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</si>
  <si>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</si>
  <si>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</si>
  <si>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</si>
  <si>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</si>
  <si>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</si>
  <si>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</si>
  <si>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</si>
  <si>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</si>
  <si>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</si>
  <si>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</si>
  <si>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</si>
  <si>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</si>
  <si>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</si>
  <si>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</si>
  <si>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</si>
  <si>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</si>
  <si>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</si>
  <si>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</si>
  <si>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</si>
  <si>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</si>
  <si>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</si>
  <si>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</si>
  <si>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</si>
  <si>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</si>
  <si>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</si>
  <si>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</si>
  <si>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</si>
  <si>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</si>
  <si>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</si>
  <si>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</si>
  <si>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</si>
  <si>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</si>
  <si>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</si>
  <si>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</si>
  <si>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</si>
  <si>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</si>
  <si>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</si>
  <si>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</si>
  <si>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</si>
  <si>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</si>
  <si>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</si>
  <si>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</si>
  <si>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</si>
  <si>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</si>
  <si>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</si>
  <si>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</si>
  <si>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</si>
  <si>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</si>
  <si>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</si>
  <si>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</si>
  <si>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</si>
  <si>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</si>
  <si>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</si>
  <si>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</si>
  <si>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</si>
  <si>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</si>
  <si>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</si>
  <si>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</si>
  <si>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</si>
  <si>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</si>
  <si>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</si>
  <si>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</si>
  <si>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</si>
  <si>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</si>
  <si>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</si>
  <si>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</si>
  <si>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</si>
  <si>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</si>
  <si>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</si>
  <si>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</si>
  <si>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</si>
  <si>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</si>
  <si>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</si>
  <si>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</si>
  <si>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</si>
  <si>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</si>
  <si>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</si>
  <si>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</si>
  <si>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</si>
  <si>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</si>
  <si>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</si>
  <si>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</si>
  <si>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</si>
  <si>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</si>
  <si>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</si>
  <si>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</si>
  <si>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</si>
  <si>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</si>
  <si>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</si>
  <si>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</si>
  <si>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</si>
  <si>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</si>
  <si>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</si>
  <si>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</si>
  <si>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</si>
  <si>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</si>
  <si>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</si>
  <si>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</si>
  <si>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</si>
  <si>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</si>
  <si>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</si>
  <si>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</si>
  <si>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</si>
  <si>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</si>
  <si>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</si>
  <si>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</si>
  <si>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</si>
  <si>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</si>
  <si>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</si>
  <si>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</si>
  <si>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</si>
  <si>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</si>
  <si>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</si>
  <si>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</si>
  <si>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</si>
  <si>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</si>
  <si>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</si>
  <si>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</si>
  <si>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</si>
  <si>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</si>
  <si>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</si>
  <si>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</si>
  <si>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</si>
  <si>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</si>
  <si>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</si>
  <si>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</si>
  <si>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</si>
  <si>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</si>
  <si>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</si>
  <si>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</si>
  <si>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</si>
  <si>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</si>
  <si>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</si>
  <si>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</si>
  <si>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</si>
  <si>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</si>
  <si>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</si>
  <si>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</si>
  <si>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</si>
  <si>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</si>
  <si>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</si>
  <si>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</si>
  <si>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</si>
  <si>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</si>
  <si>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</si>
  <si>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</si>
  <si>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</si>
  <si>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</si>
  <si>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</si>
  <si>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</si>
  <si>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</si>
  <si>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</si>
  <si>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</si>
  <si>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</si>
  <si>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</si>
  <si>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</si>
  <si>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</si>
  <si>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</si>
  <si>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</si>
  <si>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</si>
  <si>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</si>
  <si>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</si>
  <si>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</si>
  <si>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</si>
  <si>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</si>
  <si>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</si>
  <si>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</si>
  <si>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</si>
  <si>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</si>
  <si>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</si>
  <si>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</si>
  <si>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</si>
  <si>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</si>
  <si>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</si>
  <si>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</si>
  <si>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</si>
  <si>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</si>
  <si>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</si>
  <si>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</si>
  <si>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</si>
  <si>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</si>
  <si>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</si>
  <si>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</si>
  <si>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</si>
  <si>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</si>
  <si>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</si>
  <si>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</si>
  <si>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</si>
  <si>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</si>
  <si>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</si>
  <si>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</si>
  <si>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</si>
  <si>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</si>
  <si>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</si>
  <si>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</si>
  <si>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</si>
  <si>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</si>
  <si>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</si>
  <si>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</si>
  <si>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</si>
  <si>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</si>
  <si>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</si>
  <si>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</si>
  <si>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</si>
  <si>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</si>
  <si>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</si>
  <si>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</si>
  <si>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</si>
  <si>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</si>
  <si>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</si>
  <si>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</si>
  <si>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</si>
  <si>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</si>
  <si>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</si>
  <si>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</si>
  <si>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</si>
  <si>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</si>
  <si>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</si>
  <si>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</si>
  <si>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</si>
  <si>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</si>
  <si>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</si>
  <si>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</si>
  <si>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</si>
  <si>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</si>
  <si>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</si>
  <si>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</si>
  <si>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</si>
  <si>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</si>
  <si>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</si>
  <si>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</si>
  <si>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</si>
  <si>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</si>
  <si>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</si>
  <si>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</si>
  <si>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</si>
  <si>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</si>
  <si>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</si>
  <si>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</si>
  <si>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</si>
  <si>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</si>
  <si>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</si>
  <si>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</si>
  <si>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</si>
  <si>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</si>
  <si>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</si>
  <si>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</si>
  <si>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</si>
  <si>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</si>
  <si>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</si>
  <si>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</si>
  <si>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</si>
  <si>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</si>
  <si>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</si>
  <si>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</si>
  <si>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</si>
  <si>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</si>
  <si>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</si>
  <si>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</si>
  <si>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</si>
  <si>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</si>
  <si>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</si>
  <si>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</si>
  <si>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</si>
  <si>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</si>
  <si>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</si>
  <si>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</si>
  <si>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</si>
  <si>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</si>
  <si>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</si>
  <si>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</si>
  <si>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</si>
  <si>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</si>
  <si>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</si>
  <si>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</si>
  <si>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</si>
  <si>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</si>
  <si>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</si>
  <si>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</si>
  <si>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</si>
  <si>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</si>
  <si>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</si>
  <si>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</si>
  <si>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</si>
  <si>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</si>
  <si>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</si>
  <si>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</si>
  <si>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</si>
  <si>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</si>
  <si>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</si>
  <si>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</si>
  <si>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</si>
  <si>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</si>
  <si>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</si>
  <si>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</si>
  <si>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</si>
  <si>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</si>
  <si>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</si>
  <si>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</si>
  <si>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</si>
  <si>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</si>
  <si>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</si>
  <si>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</si>
  <si>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</si>
  <si>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</si>
  <si>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</si>
  <si>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</si>
  <si>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</si>
  <si>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</si>
  <si>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</si>
  <si>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</si>
  <si>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</si>
  <si>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</si>
  <si>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</si>
  <si>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</si>
  <si>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</si>
  <si>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</si>
  <si>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</si>
  <si>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</si>
  <si>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</si>
  <si>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</si>
  <si>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</si>
  <si>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</si>
  <si>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</si>
  <si>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</si>
  <si>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</si>
  <si>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</si>
  <si>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</si>
  <si>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</si>
  <si>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</si>
  <si>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</si>
  <si>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</si>
  <si>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</si>
  <si>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</si>
  <si>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</si>
  <si>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</si>
  <si>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</si>
  <si>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</si>
  <si>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</si>
  <si>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</si>
  <si>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</si>
  <si>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</si>
  <si>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</si>
  <si>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</si>
  <si>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</si>
  <si>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</si>
  <si>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</si>
  <si>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</si>
  <si>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</si>
  <si>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</si>
  <si>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</si>
  <si>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</si>
  <si>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</si>
  <si>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</si>
  <si>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</si>
  <si>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</si>
  <si>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</si>
  <si>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</si>
  <si>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</si>
  <si>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</si>
  <si>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</si>
  <si>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</si>
  <si>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</si>
  <si>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</si>
  <si>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</si>
  <si>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</si>
  <si>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</si>
  <si>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</si>
  <si>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</si>
  <si>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</si>
  <si>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</si>
  <si>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</si>
  <si>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</si>
  <si>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</si>
  <si>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</si>
  <si>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</si>
  <si>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</si>
  <si>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</si>
  <si>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</si>
  <si>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</si>
  <si>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</si>
  <si>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</si>
  <si>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</si>
  <si>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</si>
  <si>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</si>
  <si>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</si>
  <si>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</si>
  <si>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</si>
  <si>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</si>
  <si>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</si>
  <si>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</si>
  <si>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</si>
  <si>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</si>
  <si>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</si>
  <si>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</si>
  <si>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</si>
  <si>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</si>
  <si>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</si>
  <si>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</si>
  <si>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</si>
  <si>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</si>
  <si>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</si>
  <si>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</si>
  <si>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</si>
  <si>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</si>
  <si>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</si>
  <si>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</si>
  <si>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</si>
  <si>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</si>
  <si>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</si>
  <si>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</si>
  <si>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</si>
  <si>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</si>
  <si>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</si>
  <si>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</si>
  <si>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</si>
  <si>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</si>
  <si>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</si>
  <si>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</si>
  <si>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</si>
  <si>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</si>
  <si>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</si>
  <si>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</si>
  <si>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</si>
  <si>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</si>
  <si>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</si>
  <si>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</si>
  <si>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</si>
  <si>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</si>
  <si>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</si>
  <si>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</si>
  <si>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</si>
  <si>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</si>
  <si>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</si>
  <si>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</si>
  <si>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</si>
  <si>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</si>
  <si>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</si>
  <si>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</si>
  <si>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</si>
  <si>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</si>
  <si>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</si>
  <si>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</si>
  <si>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</si>
  <si>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</si>
  <si>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</si>
  <si>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</si>
  <si>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</si>
  <si>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</si>
  <si>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</si>
  <si>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</si>
  <si>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</si>
  <si>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</si>
  <si>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</si>
  <si>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</si>
  <si>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</si>
  <si>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</si>
  <si>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</si>
  <si>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</si>
  <si>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</si>
  <si>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</si>
  <si>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</si>
  <si>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</si>
  <si>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</si>
  <si>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</si>
  <si>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siteRare</t>
  </si>
  <si>
    <t>siteCommonAndRare</t>
  </si>
  <si>
    <t>histologyGroup</t>
  </si>
  <si>
    <t>Cancer Under Study</t>
  </si>
  <si>
    <t>I4RCCancerUnderStudy2Fhir</t>
  </si>
  <si>
    <t>TBD</t>
  </si>
  <si>
    <t>i4rc-cancerUnderStudy.fsh</t>
  </si>
  <si>
    <t>CancerUnderStudyI4rc</t>
  </si>
  <si>
    <t>CancerUnderStudy</t>
  </si>
  <si>
    <t>Comment</t>
  </si>
  <si>
    <t>//  Comments</t>
  </si>
  <si>
    <t>//===================================================</t>
  </si>
  <si>
    <t>//--------------------------------------------------------------------------------</t>
  </si>
  <si>
    <t>i4rc-cancerUnderStudy-test.fsh</t>
  </si>
  <si>
    <t>CancerUnderStudyI4rcTest</t>
  </si>
  <si>
    <t>Date of diagnosis biopsy or surgical piece</t>
  </si>
  <si>
    <t>Date of the procedure from which the specimen was obtained that allowed the histological diagnosis</t>
  </si>
  <si>
    <t>Age of the patient at the time of the diagnosis</t>
  </si>
  <si>
    <t>Histology WHO 2017 group</t>
  </si>
  <si>
    <t>Histology of prymary tumour  according to WHO 2017 clasification</t>
  </si>
  <si>
    <t>Histology WHO 2017 subgroup</t>
  </si>
  <si>
    <t>Histology subgroup Sinonasal undifferentiated carcinoma SNUC</t>
  </si>
  <si>
    <t>Site  rare AJCC</t>
  </si>
  <si>
    <t xml:space="preserve">Describe the primary tumor site according to AJCC </t>
  </si>
  <si>
    <t>Site common and rare AJCC</t>
  </si>
  <si>
    <t xml:space="preserve">Describes the result of EBV DNA plasma testing before treatment in NPC type II and III WHO </t>
  </si>
  <si>
    <t xml:space="preserve">Describes the primer used for EBV DNA plasma testing t in NPC type II and Type III WHO </t>
  </si>
  <si>
    <t>PDL1</t>
  </si>
  <si>
    <t>PDL1 Method</t>
  </si>
  <si>
    <t>PDL1 CPS value</t>
  </si>
  <si>
    <t>Result of PDL1CPS testing when performed</t>
  </si>
  <si>
    <t>PDL1 TPS value</t>
  </si>
  <si>
    <t>Result of PDL1TPS testing when performed</t>
  </si>
  <si>
    <t xml:space="preserve">CRP  C reactive protein tested </t>
  </si>
  <si>
    <t>C reactive protein  CRP mgdl</t>
  </si>
  <si>
    <t>Result of CRP testing when performed</t>
  </si>
  <si>
    <t>Must be formatted as YYYYMMDD Leave empty if not known Optional rule  Possible date anonymisation by
setting the 15th of every month ie YYYYMM15 If the month is not known we set it to June 06</t>
  </si>
  <si>
    <t>An integer value  0 We use the 1 value for unknown Automatic  calculation from date of birth and date of diagnosis</t>
  </si>
  <si>
    <t>A value in the WHO 2017 HN classification list</t>
  </si>
  <si>
    <t>A value in the WHO 2017 HN squamous classification list</t>
  </si>
  <si>
    <t>A value in the WHO 2017 HN adenocarcinoma classification list</t>
  </si>
  <si>
    <t>A value in the WHO 2017 HN neuroendocrine classification list</t>
  </si>
  <si>
    <t>A value in the WHO 2017 HN odontogenic carcinoma classification list</t>
  </si>
  <si>
    <t>A value in the WHO 2017 HN SNUC classification list</t>
  </si>
  <si>
    <t>A string value representing whether the test value was positive negative or it was untested Empty if unknown</t>
  </si>
  <si>
    <t>A string value representing the plasma testing type Empty if unknown</t>
  </si>
  <si>
    <t>An integer for the number of EBVDNA Empty if unknown</t>
  </si>
  <si>
    <t>A string value representing whether the result was positive negative or not tested Empty if unknown</t>
  </si>
  <si>
    <t>A string value representing which was the used technique Empty if unknown</t>
  </si>
  <si>
    <t>An integer for the PDL1CPS test Empty if unknown</t>
  </si>
  <si>
    <t>An integer for the PDL1TPS test Empty if unknown</t>
  </si>
  <si>
    <t>An integer for the CRP test Empty if unknown</t>
  </si>
  <si>
    <t>A boolean for the instrument if it was fully compiled or not</t>
  </si>
  <si>
    <t>Cancer Under Study
Maturity Level: 0 Draft</t>
  </si>
  <si>
    <t>histologyWho2017Subgroup</t>
  </si>
  <si>
    <t>histologyWho2017Subgroup.Squamous</t>
  </si>
  <si>
    <t>histologyWho2017Subgroup.Adenocarcinoma</t>
  </si>
  <si>
    <t>histologyWho2017Subgroup.Neuroendocrine</t>
  </si>
  <si>
    <t>histologyWho2017Subgroup.OdontogenicCarcinoma</t>
  </si>
  <si>
    <t>histologyWho2017Subgroup.SNUC</t>
  </si>
  <si>
    <t>subsite</t>
  </si>
  <si>
    <t>subsite.nasalCavityAndParanasalSinusesSubsite</t>
  </si>
  <si>
    <t>subsite.nasopharynxSubsite</t>
  </si>
  <si>
    <t>subsite.hypopharynxSubsite</t>
  </si>
  <si>
    <t>subsite.oropharynxSubsite</t>
  </si>
  <si>
    <t>subsite.larynxSubsite</t>
  </si>
  <si>
    <t>subsite.oralCavitySubsite</t>
  </si>
  <si>
    <t>subsite.lipSubsite</t>
  </si>
  <si>
    <t>plasmaticEbvDnaAtBaseline</t>
  </si>
  <si>
    <t>primerType</t>
  </si>
  <si>
    <t>copyNumber</t>
  </si>
  <si>
    <t>hpvStatus</t>
  </si>
  <si>
    <t>hpvStatusDetectedBy</t>
  </si>
  <si>
    <t>pdL1</t>
  </si>
  <si>
    <t>pdL1Method</t>
  </si>
  <si>
    <t>pdL1CpsValue</t>
  </si>
  <si>
    <t>pdL1TpsValue</t>
  </si>
  <si>
    <t>crpCReactiveProteinTested</t>
  </si>
  <si>
    <t>cReactiveProteinCrpMgDl</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</si>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</sst>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9" tint="0.7999816888943144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2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0" fillId="18"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9" borderId="0" xfId="0" applyFill="1"/>
    <xf numFmtId="0" fontId="0" fillId="19" borderId="0" xfId="0" applyFill="1" applyAlignment="1">
      <alignment wrapText="1"/>
    </xf>
    <xf numFmtId="0" fontId="0" fillId="5" borderId="0" xfId="0" applyFill="1"/>
    <xf numFmtId="0" fontId="3" fillId="0" borderId="1" xfId="0" applyFont="1" applyBorder="1" applyAlignment="1">
      <alignment wrapText="1"/>
    </xf>
    <xf numFmtId="0" fontId="0" fillId="0" borderId="26" xfId="0" applyBorder="1" applyAlignment="1">
      <alignment wrapText="1"/>
    </xf>
    <xf numFmtId="0" fontId="6" fillId="8" borderId="2" xfId="3" applyBorder="1" applyAlignment="1">
      <alignment wrapText="1"/>
    </xf>
    <xf numFmtId="0" fontId="0" fillId="18" borderId="0" xfId="0" applyFill="1" applyAlignment="1">
      <alignment wrapText="1"/>
    </xf>
    <xf numFmtId="0" fontId="3" fillId="19" borderId="0" xfId="0" applyFont="1" applyFill="1"/>
    <xf numFmtId="0" fontId="0" fillId="20" borderId="0" xfId="0" applyFill="1"/>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200-000001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200-000002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900-000001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E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E00-000003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000-000001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300-00000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300-000002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500-0000016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800-000001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800-000002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A00-0000018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E00-000002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F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F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1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31-5BFF-480E-9F65-493C0CFB2512}">
  <sheetPr codeName="Foglio29">
    <tabColor theme="7" tint="0.39997558519241921"/>
  </sheetPr>
  <dimension ref="A1:M44"/>
  <sheetViews>
    <sheetView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1646</v>
      </c>
      <c r="J4" s="17" t="str">
        <f>CONCATENATE("Logical: ",B4)</f>
        <v>Logical: CancerUnderStudyI4rcTest</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08">
        <v>0</v>
      </c>
      <c r="B8" t="s">
        <v>1629</v>
      </c>
      <c r="C8" t="s">
        <v>1647</v>
      </c>
      <c r="D8" t="s">
        <v>1648</v>
      </c>
      <c r="E8">
        <v>0</v>
      </c>
      <c r="F8" s="109">
        <v>1</v>
      </c>
      <c r="G8" s="77" t="s">
        <v>164</v>
      </c>
      <c r="H8"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08">
        <v>1</v>
      </c>
      <c r="B9" t="s">
        <v>1630</v>
      </c>
      <c r="C9" t="s">
        <v>1502</v>
      </c>
      <c r="D9" t="s">
        <v>1649</v>
      </c>
      <c r="E9">
        <v>0</v>
      </c>
      <c r="F9" s="109">
        <v>1</v>
      </c>
      <c r="G9" t="s">
        <v>1631</v>
      </c>
      <c r="H9"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08">
        <v>2</v>
      </c>
      <c r="B10" t="s">
        <v>1634</v>
      </c>
      <c r="C10" t="s">
        <v>1650</v>
      </c>
      <c r="D10" t="s">
        <v>1651</v>
      </c>
      <c r="E10">
        <v>0</v>
      </c>
      <c r="F10" s="109">
        <v>1</v>
      </c>
      <c r="G10" t="s">
        <v>1</v>
      </c>
      <c r="H10"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08">
        <v>3</v>
      </c>
      <c r="B11" s="109" t="s">
        <v>1686</v>
      </c>
      <c r="C11" t="s">
        <v>1652</v>
      </c>
      <c r="D11" s="77" t="s">
        <v>1652</v>
      </c>
      <c r="E11">
        <v>0</v>
      </c>
      <c r="F11" s="109">
        <v>1</v>
      </c>
      <c r="G11" t="s">
        <v>2</v>
      </c>
      <c r="H11"/>
      <c r="I11" s="26"/>
      <c r="J11" s="12" t="str">
        <f t="shared" si="0"/>
        <v>* histologyWho2017Subgroup 0..1 BackboneElement ##34#Histology WHO 2017 subgroup##34# ##334#Histology WHO 2017 subgroup##334#</v>
      </c>
      <c r="L11" s="12" t="str">
        <f t="shared" si="1"/>
        <v/>
      </c>
    </row>
    <row r="12" spans="1:12" ht="44.25">
      <c r="A12" s="108">
        <v>4</v>
      </c>
      <c r="B12" s="77" t="s">
        <v>1687</v>
      </c>
      <c r="C12" t="s">
        <v>1518</v>
      </c>
      <c r="D12" t="s">
        <v>1521</v>
      </c>
      <c r="E12">
        <v>0</v>
      </c>
      <c r="F12" s="109">
        <v>1</v>
      </c>
      <c r="G12" t="s">
        <v>1</v>
      </c>
      <c r="H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08">
        <v>5</v>
      </c>
      <c r="B13" s="77" t="s">
        <v>1688</v>
      </c>
      <c r="C13" t="s">
        <v>1524</v>
      </c>
      <c r="D13" t="s">
        <v>1527</v>
      </c>
      <c r="E13">
        <v>0</v>
      </c>
      <c r="F13" s="109">
        <v>1</v>
      </c>
      <c r="G13" t="s">
        <v>1</v>
      </c>
      <c r="H13"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08">
        <v>6</v>
      </c>
      <c r="B14" s="77" t="s">
        <v>1689</v>
      </c>
      <c r="C14" t="s">
        <v>1530</v>
      </c>
      <c r="D14" t="s">
        <v>1533</v>
      </c>
      <c r="E14">
        <v>0</v>
      </c>
      <c r="F14" s="109">
        <v>1</v>
      </c>
      <c r="G14" t="s">
        <v>1</v>
      </c>
      <c r="H14"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08">
        <v>7</v>
      </c>
      <c r="B15" s="77" t="s">
        <v>1690</v>
      </c>
      <c r="C15" t="s">
        <v>1536</v>
      </c>
      <c r="D15" t="s">
        <v>1539</v>
      </c>
      <c r="E15">
        <v>0</v>
      </c>
      <c r="F15" s="109">
        <v>1</v>
      </c>
      <c r="G15" t="s">
        <v>1</v>
      </c>
      <c r="H15"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08">
        <v>8</v>
      </c>
      <c r="B16" s="77" t="s">
        <v>1691</v>
      </c>
      <c r="C16" t="s">
        <v>1653</v>
      </c>
      <c r="D16" t="s">
        <v>1545</v>
      </c>
      <c r="E16">
        <v>0</v>
      </c>
      <c r="F16" s="109">
        <v>1</v>
      </c>
      <c r="G16" t="s">
        <v>1</v>
      </c>
      <c r="H16"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08">
        <v>9</v>
      </c>
      <c r="B17" t="s">
        <v>1632</v>
      </c>
      <c r="C17" t="s">
        <v>1654</v>
      </c>
      <c r="D17" t="s">
        <v>1655</v>
      </c>
      <c r="E17">
        <v>0</v>
      </c>
      <c r="F17" s="109">
        <v>1</v>
      </c>
      <c r="G17" t="s">
        <v>1</v>
      </c>
      <c r="H17"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08">
        <v>10</v>
      </c>
      <c r="B18" t="s">
        <v>1633</v>
      </c>
      <c r="C18" t="s">
        <v>1656</v>
      </c>
      <c r="D18" t="s">
        <v>1655</v>
      </c>
      <c r="E18">
        <v>0</v>
      </c>
      <c r="F18" s="109">
        <v>1</v>
      </c>
      <c r="G18" t="s">
        <v>1</v>
      </c>
      <c r="H18"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08">
        <v>11</v>
      </c>
      <c r="B19" t="s">
        <v>1692</v>
      </c>
      <c r="C19" t="s">
        <v>1559</v>
      </c>
      <c r="D19" s="77" t="s">
        <v>1559</v>
      </c>
      <c r="E19">
        <v>0</v>
      </c>
      <c r="F19" s="109">
        <v>1</v>
      </c>
      <c r="G19" t="s">
        <v>2</v>
      </c>
      <c r="H19"/>
      <c r="J19" s="12" t="str">
        <f t="shared" si="0"/>
        <v>* subsite 0..1 BackboneElement ##34#Subsite##34# ##334#Subsite##334#</v>
      </c>
      <c r="L19" s="12" t="str">
        <f t="shared" si="1"/>
        <v/>
      </c>
    </row>
    <row r="20" spans="1:13" ht="44.25">
      <c r="A20" s="108">
        <v>12</v>
      </c>
      <c r="B20" s="77" t="s">
        <v>1693</v>
      </c>
      <c r="C20" t="s">
        <v>1560</v>
      </c>
      <c r="D20" t="s">
        <v>1562</v>
      </c>
      <c r="E20">
        <v>0</v>
      </c>
      <c r="F20" s="109">
        <v>1</v>
      </c>
      <c r="G20" t="s">
        <v>1</v>
      </c>
      <c r="H20"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08">
        <v>13</v>
      </c>
      <c r="B21" s="77" t="s">
        <v>1694</v>
      </c>
      <c r="C21" t="s">
        <v>1566</v>
      </c>
      <c r="D21" t="s">
        <v>1567</v>
      </c>
      <c r="E21">
        <v>0</v>
      </c>
      <c r="F21" s="109">
        <v>1</v>
      </c>
      <c r="G21" t="s">
        <v>1</v>
      </c>
      <c r="H21"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08">
        <v>14</v>
      </c>
      <c r="B22" s="77" t="s">
        <v>1695</v>
      </c>
      <c r="C22" t="s">
        <v>1569</v>
      </c>
      <c r="D22" t="s">
        <v>1570</v>
      </c>
      <c r="E22">
        <v>0</v>
      </c>
      <c r="F22" s="109">
        <v>1</v>
      </c>
      <c r="G22" t="s">
        <v>1</v>
      </c>
      <c r="H2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08">
        <v>15</v>
      </c>
      <c r="B23" s="77" t="s">
        <v>1696</v>
      </c>
      <c r="C23" t="s">
        <v>1572</v>
      </c>
      <c r="D23" t="s">
        <v>1573</v>
      </c>
      <c r="E23">
        <v>0</v>
      </c>
      <c r="F23" s="109">
        <v>1</v>
      </c>
      <c r="G23" t="s">
        <v>1</v>
      </c>
      <c r="H23"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08">
        <v>16</v>
      </c>
      <c r="B24" s="77" t="s">
        <v>1697</v>
      </c>
      <c r="C24" t="s">
        <v>1575</v>
      </c>
      <c r="D24" t="s">
        <v>1576</v>
      </c>
      <c r="E24">
        <v>0</v>
      </c>
      <c r="F24" s="109">
        <v>1</v>
      </c>
      <c r="G24" t="s">
        <v>1</v>
      </c>
      <c r="H24"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08">
        <v>17</v>
      </c>
      <c r="B25" s="77" t="s">
        <v>1698</v>
      </c>
      <c r="C25" t="s">
        <v>1578</v>
      </c>
      <c r="D25" t="s">
        <v>1579</v>
      </c>
      <c r="E25">
        <v>0</v>
      </c>
      <c r="F25" s="109">
        <v>1</v>
      </c>
      <c r="G25" t="s">
        <v>1</v>
      </c>
      <c r="H25"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08">
        <v>18</v>
      </c>
      <c r="B26" s="77" t="s">
        <v>1699</v>
      </c>
      <c r="C26" t="s">
        <v>1581</v>
      </c>
      <c r="D26" t="s">
        <v>1582</v>
      </c>
      <c r="E26">
        <v>0</v>
      </c>
      <c r="F26" s="109">
        <v>1</v>
      </c>
      <c r="G26" t="s">
        <v>1</v>
      </c>
      <c r="H26"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08">
        <v>19</v>
      </c>
      <c r="B27" t="s">
        <v>1700</v>
      </c>
      <c r="C27" t="s">
        <v>1584</v>
      </c>
      <c r="D27" t="s">
        <v>1657</v>
      </c>
      <c r="E27">
        <v>0</v>
      </c>
      <c r="F27" s="109">
        <v>1</v>
      </c>
      <c r="G27" t="s">
        <v>1</v>
      </c>
      <c r="H27"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08">
        <v>20</v>
      </c>
      <c r="B28" t="s">
        <v>1701</v>
      </c>
      <c r="C28" t="s">
        <v>1588</v>
      </c>
      <c r="D28" t="s">
        <v>1658</v>
      </c>
      <c r="E28">
        <v>0</v>
      </c>
      <c r="F28" s="109">
        <v>1</v>
      </c>
      <c r="G28" t="s">
        <v>1</v>
      </c>
      <c r="H28"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08">
        <v>21</v>
      </c>
      <c r="B29" t="s">
        <v>1702</v>
      </c>
      <c r="C29" t="s">
        <v>876</v>
      </c>
      <c r="D29" t="s">
        <v>1593</v>
      </c>
      <c r="E29">
        <v>0</v>
      </c>
      <c r="F29" s="109">
        <v>1</v>
      </c>
      <c r="G29" t="s">
        <v>1631</v>
      </c>
      <c r="H29"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08">
        <v>22</v>
      </c>
      <c r="B30" t="s">
        <v>1703</v>
      </c>
      <c r="C30" t="s">
        <v>1595</v>
      </c>
      <c r="D30" t="s">
        <v>1596</v>
      </c>
      <c r="E30">
        <v>0</v>
      </c>
      <c r="F30" s="109">
        <v>1</v>
      </c>
      <c r="G30" t="s">
        <v>1</v>
      </c>
      <c r="H30"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08">
        <v>23</v>
      </c>
      <c r="B31" t="s">
        <v>1704</v>
      </c>
      <c r="C31" t="s">
        <v>1599</v>
      </c>
      <c r="D31" t="s">
        <v>1601</v>
      </c>
      <c r="E31">
        <v>0</v>
      </c>
      <c r="F31" s="109">
        <v>1</v>
      </c>
      <c r="G31" t="s">
        <v>1</v>
      </c>
      <c r="H31"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08">
        <v>24</v>
      </c>
      <c r="B32" t="s">
        <v>1604</v>
      </c>
      <c r="C32" t="s">
        <v>1604</v>
      </c>
      <c r="D32" t="s">
        <v>1605</v>
      </c>
      <c r="E32">
        <v>0</v>
      </c>
      <c r="F32" s="109">
        <v>1</v>
      </c>
      <c r="G32" t="s">
        <v>1</v>
      </c>
      <c r="H3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08">
        <v>25</v>
      </c>
      <c r="B33" t="s">
        <v>1705</v>
      </c>
      <c r="C33" t="s">
        <v>1659</v>
      </c>
      <c r="D33" t="s">
        <v>1608</v>
      </c>
      <c r="E33">
        <v>0</v>
      </c>
      <c r="F33" s="109">
        <v>1</v>
      </c>
      <c r="G33" t="s">
        <v>1</v>
      </c>
      <c r="H33"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08">
        <v>26</v>
      </c>
      <c r="B34" t="s">
        <v>1706</v>
      </c>
      <c r="C34" t="s">
        <v>1660</v>
      </c>
      <c r="D34" t="s">
        <v>1611</v>
      </c>
      <c r="E34">
        <v>0</v>
      </c>
      <c r="F34" s="109">
        <v>1</v>
      </c>
      <c r="G34" t="s">
        <v>1</v>
      </c>
      <c r="H34"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08">
        <v>27</v>
      </c>
      <c r="B35" t="s">
        <v>1707</v>
      </c>
      <c r="C35" t="s">
        <v>1661</v>
      </c>
      <c r="D35" t="s">
        <v>1662</v>
      </c>
      <c r="E35">
        <v>0</v>
      </c>
      <c r="F35" s="109">
        <v>1</v>
      </c>
      <c r="G35" t="s">
        <v>1631</v>
      </c>
      <c r="H35"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08">
        <v>28</v>
      </c>
      <c r="B36" t="s">
        <v>1708</v>
      </c>
      <c r="C36" t="s">
        <v>1663</v>
      </c>
      <c r="D36" t="s">
        <v>1664</v>
      </c>
      <c r="E36">
        <v>0</v>
      </c>
      <c r="F36" s="109">
        <v>1</v>
      </c>
      <c r="G36" t="s">
        <v>1631</v>
      </c>
      <c r="H36"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08">
        <v>29</v>
      </c>
      <c r="B37" t="s">
        <v>1709</v>
      </c>
      <c r="C37" t="s">
        <v>1665</v>
      </c>
      <c r="D37" t="s">
        <v>1622</v>
      </c>
      <c r="E37">
        <v>0</v>
      </c>
      <c r="F37" s="109">
        <v>1</v>
      </c>
      <c r="G37" t="s">
        <v>1</v>
      </c>
      <c r="H37"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08">
        <v>30</v>
      </c>
      <c r="B38" t="s">
        <v>1710</v>
      </c>
      <c r="C38" t="s">
        <v>1666</v>
      </c>
      <c r="D38" t="s">
        <v>1667</v>
      </c>
      <c r="E38">
        <v>0</v>
      </c>
      <c r="F38" s="109">
        <v>1</v>
      </c>
      <c r="G38" t="s">
        <v>1631</v>
      </c>
      <c r="H38"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08">
        <v>31</v>
      </c>
      <c r="B39" t="s">
        <v>1711</v>
      </c>
      <c r="C39" t="s">
        <v>1626</v>
      </c>
      <c r="D39" t="s">
        <v>153</v>
      </c>
      <c r="E39">
        <v>0</v>
      </c>
      <c r="F39" s="109">
        <v>1</v>
      </c>
      <c r="G39" t="s">
        <v>165</v>
      </c>
      <c r="H39"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E7A6-8F71-491B-98D0-90CB3B431D7B}">
  <sheetPr codeName="Foglio46"/>
  <dimension ref="A1:O48"/>
  <sheetViews>
    <sheetView topLeftCell="A6" workbookViewId="0">
      <selection activeCell="B9" sqref="B9"/>
    </sheetView>
  </sheetViews>
  <sheetFormatPr defaultRowHeight="14.75"/>
  <cols>
    <col min="2" max="2" width="49.5"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'CancerUnderStudy-test'!B5</f>
        <v>CancerUnderStudy</v>
      </c>
      <c r="C9" s="6" t="s">
        <v>1637</v>
      </c>
      <c r="E9" s="28" t="str">
        <f>CONCATENATE("* -&gt; ##34#",C9,"##34#")</f>
        <v>* -&gt; ##34#TBD##34#</v>
      </c>
      <c r="H9" s="7"/>
      <c r="I9" s="7"/>
      <c r="J9" s="7"/>
      <c r="K9" s="7"/>
      <c r="L9" s="7"/>
      <c r="M9" s="7"/>
      <c r="N9" s="7"/>
      <c r="O9" s="7"/>
    </row>
    <row r="10" spans="1:15">
      <c r="A10" s="11"/>
      <c r="B10" s="11" t="str">
        <f>'CancerUnderStudy-test'!B8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'CancerUnderStudy-test'!B9</f>
        <v>ageAtDiagnosis</v>
      </c>
      <c r="C11" s="11" t="s">
        <v>1637</v>
      </c>
      <c r="E11" s="12" t="str">
        <f t="shared" si="0"/>
        <v>* ageAtDiagnosis -&gt; ##34#TBD##34#</v>
      </c>
      <c r="H11" s="7"/>
      <c r="I11" s="7"/>
      <c r="J11" s="7"/>
      <c r="K11" s="7"/>
      <c r="L11" s="7"/>
      <c r="M11" s="7"/>
      <c r="N11" s="7"/>
      <c r="O11" s="7"/>
    </row>
    <row r="12" spans="1:15">
      <c r="A12" s="11"/>
      <c r="B12" s="11" t="str">
        <f>'CancerUnderStudy-test'!B10</f>
        <v>histologyGroup</v>
      </c>
      <c r="C12" s="11" t="s">
        <v>1637</v>
      </c>
      <c r="E12" s="12" t="str">
        <f t="shared" si="0"/>
        <v>* histologyGroup -&gt; ##34#TBD##34#</v>
      </c>
      <c r="H12" s="7"/>
      <c r="I12" s="7"/>
      <c r="J12" s="7"/>
      <c r="K12" s="7"/>
      <c r="L12" s="7"/>
      <c r="M12" s="7"/>
      <c r="N12" s="7"/>
      <c r="O12" s="7"/>
    </row>
    <row r="13" spans="1:15">
      <c r="A13" s="11"/>
      <c r="B13" s="11" t="str">
        <f>'CancerUnderStudy-test'!B11</f>
        <v>histologyWho2017Subgroup</v>
      </c>
      <c r="C13" s="11" t="s">
        <v>1637</v>
      </c>
      <c r="E13" s="12" t="str">
        <f t="shared" si="0"/>
        <v>* histologyWho2017Subgroup -&gt; ##34#TBD##34#</v>
      </c>
      <c r="H13" s="7"/>
      <c r="I13" s="7"/>
      <c r="J13" s="7"/>
      <c r="K13" s="7"/>
      <c r="L13" s="7"/>
      <c r="M13" s="7"/>
      <c r="N13" s="7"/>
      <c r="O13" s="7"/>
    </row>
    <row r="14" spans="1:15">
      <c r="A14" s="11"/>
      <c r="B14" s="11" t="str">
        <f>'CancerUnderStudy-test'!B12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'CancerUnderStudy-test'!B13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'CancerUnderStudy-test'!B14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'CancerUnderStudy-test'!B15</f>
        <v>histologyWho2017Subgroup.OdontogenicCarcinoma</v>
      </c>
      <c r="C17" s="11" t="s">
        <v>1637</v>
      </c>
      <c r="E17" s="12" t="str">
        <f t="shared" si="0"/>
        <v>* histologyWho2017Subgroup.OdontogenicCarcinoma -&gt; ##34#TBD##34#</v>
      </c>
    </row>
    <row r="18" spans="1:5">
      <c r="A18" s="11"/>
      <c r="B18" s="11" t="str">
        <f>'CancerUnderStudy-test'!B16</f>
        <v>histologyWho2017Subgroup.SNUC</v>
      </c>
      <c r="C18" s="11" t="s">
        <v>1637</v>
      </c>
      <c r="E18" s="12" t="str">
        <f t="shared" si="0"/>
        <v>* histologyWho2017Subgroup.SNUC -&gt; ##34#TBD##34#</v>
      </c>
    </row>
    <row r="19" spans="1:5">
      <c r="A19" s="11"/>
      <c r="B19" s="11" t="str">
        <f>'CancerUnderStudy-test'!B17</f>
        <v>siteRare</v>
      </c>
      <c r="C19" s="11" t="s">
        <v>1637</v>
      </c>
      <c r="E19" s="12" t="str">
        <f t="shared" si="0"/>
        <v>* siteRare -&gt; ##34#TBD##34#</v>
      </c>
    </row>
    <row r="20" spans="1:5">
      <c r="A20" s="11"/>
      <c r="B20" s="11" t="str">
        <f>'CancerUnderStudy-test'!B18</f>
        <v>siteCommonAndRare</v>
      </c>
      <c r="C20" s="11" t="s">
        <v>1637</v>
      </c>
      <c r="E20" s="12" t="str">
        <f t="shared" si="0"/>
        <v>* siteCommonAndRare -&gt; ##34#TBD##34#</v>
      </c>
    </row>
    <row r="21" spans="1:5">
      <c r="B21" s="11" t="str">
        <f>'CancerUnderStudy-test'!B19</f>
        <v>subsite</v>
      </c>
      <c r="C21" s="11" t="s">
        <v>1637</v>
      </c>
      <c r="E21" s="12" t="str">
        <f t="shared" si="0"/>
        <v>* subsite -&gt; ##34#TBD##34#</v>
      </c>
    </row>
    <row r="22" spans="1:5">
      <c r="B22" s="11" t="str">
        <f>'CancerUnderStudy-test'!B20</f>
        <v>subsite.nasalCavityAndParanasalSinusesSubsite</v>
      </c>
      <c r="C22" s="11" t="s">
        <v>1637</v>
      </c>
      <c r="E22" s="12" t="str">
        <f t="shared" si="0"/>
        <v>* subsite.nasalCavityAndParanasalSinusesSubsite -&gt; ##34#TBD##34#</v>
      </c>
    </row>
    <row r="23" spans="1:5">
      <c r="B23" s="11" t="str">
        <f>'CancerUnderStudy-test'!B21</f>
        <v>subsite.nasopharynxSubsite</v>
      </c>
      <c r="C23" s="11" t="s">
        <v>1637</v>
      </c>
      <c r="E23" s="12" t="str">
        <f t="shared" si="0"/>
        <v>* subsite.nasopharynxSubsite -&gt; ##34#TBD##34#</v>
      </c>
    </row>
    <row r="24" spans="1:5">
      <c r="B24" s="11" t="str">
        <f>'CancerUnderStudy-test'!B22</f>
        <v>subsite.hypopharynxSubsite</v>
      </c>
      <c r="C24" s="11" t="s">
        <v>1637</v>
      </c>
      <c r="E24" s="12" t="str">
        <f t="shared" si="0"/>
        <v>* subsite.hypopharynxSubsite -&gt; ##34#TBD##34#</v>
      </c>
    </row>
    <row r="25" spans="1:5">
      <c r="B25" s="11" t="str">
        <f>'CancerUnderStudy-test'!B23</f>
        <v>subsite.oropharynxSubsite</v>
      </c>
      <c r="C25" s="11" t="s">
        <v>1637</v>
      </c>
      <c r="E25" s="12" t="str">
        <f t="shared" si="0"/>
        <v>* subsite.oropharynxSubsite -&gt; ##34#TBD##34#</v>
      </c>
    </row>
    <row r="26" spans="1:5">
      <c r="B26" s="11" t="str">
        <f>'CancerUnderStudy-test'!B24</f>
        <v>subsite.larynxSubsite</v>
      </c>
      <c r="C26" s="11" t="s">
        <v>1637</v>
      </c>
      <c r="E26" s="12" t="str">
        <f t="shared" si="0"/>
        <v>* subsite.larynxSubsite -&gt; ##34#TBD##34#</v>
      </c>
    </row>
    <row r="27" spans="1:5">
      <c r="B27" s="11" t="str">
        <f>'CancerUnderStudy-test'!B25</f>
        <v>subsite.oralCavitySubsite</v>
      </c>
      <c r="C27" s="11" t="s">
        <v>1637</v>
      </c>
      <c r="E27" s="12" t="str">
        <f t="shared" si="0"/>
        <v>* subsite.oralCavitySubsite -&gt; ##34#TBD##34#</v>
      </c>
    </row>
    <row r="28" spans="1:5">
      <c r="B28" s="11" t="str">
        <f>'CancerUnderStudy-test'!B26</f>
        <v>subsite.lipSubsite</v>
      </c>
      <c r="C28" s="11" t="s">
        <v>1637</v>
      </c>
      <c r="E28" s="12" t="str">
        <f t="shared" si="0"/>
        <v>* subsite.lipSubsite -&gt; ##34#TBD##34#</v>
      </c>
    </row>
    <row r="29" spans="1:5">
      <c r="B29" s="11" t="str">
        <f>'CancerUnderStudy-test'!B27</f>
        <v>plasmaticEbvDnaAtBaseline</v>
      </c>
      <c r="C29" s="11" t="s">
        <v>1637</v>
      </c>
      <c r="E29" s="12" t="str">
        <f t="shared" si="0"/>
        <v>* plasmaticEbvDnaAtBaseline -&gt; ##34#TBD##34#</v>
      </c>
    </row>
    <row r="30" spans="1:5">
      <c r="B30" s="11" t="str">
        <f>'CancerUnderStudy-test'!B28</f>
        <v>primerType</v>
      </c>
      <c r="C30" s="11" t="s">
        <v>1637</v>
      </c>
      <c r="E30" s="12" t="str">
        <f t="shared" si="0"/>
        <v>* primerType -&gt; ##34#TBD##34#</v>
      </c>
    </row>
    <row r="31" spans="1:5">
      <c r="B31" s="11" t="str">
        <f>'CancerUnderStudy-test'!B29</f>
        <v>copyNumber</v>
      </c>
      <c r="C31" s="11" t="s">
        <v>1637</v>
      </c>
      <c r="E31" s="12" t="str">
        <f t="shared" si="0"/>
        <v>* copyNumber -&gt; ##34#TBD##34#</v>
      </c>
    </row>
    <row r="32" spans="1:5">
      <c r="B32" s="11" t="str">
        <f>'CancerUnderStudy-test'!B30</f>
        <v>hpvStatus</v>
      </c>
      <c r="C32" s="11" t="s">
        <v>1637</v>
      </c>
      <c r="E32" s="12" t="str">
        <f t="shared" si="0"/>
        <v>* hpvStatus -&gt; ##34#TBD##34#</v>
      </c>
    </row>
    <row r="33" spans="2:5">
      <c r="B33" s="11" t="str">
        <f>'CancerUnderStudy-test'!B31</f>
        <v>hpvStatusDetectedBy</v>
      </c>
      <c r="C33" s="11" t="s">
        <v>1637</v>
      </c>
      <c r="E33" s="12" t="str">
        <f t="shared" si="0"/>
        <v>* hpvStatusDetectedBy -&gt; ##34#TBD##34#</v>
      </c>
    </row>
    <row r="34" spans="2:5">
      <c r="B34" s="11" t="str">
        <f>'CancerUnderStudy-test'!B32</f>
        <v>p16</v>
      </c>
      <c r="C34" s="11" t="s">
        <v>1637</v>
      </c>
      <c r="E34" s="12" t="str">
        <f t="shared" si="0"/>
        <v>* p16 -&gt; ##34#TBD##34#</v>
      </c>
    </row>
    <row r="35" spans="2:5">
      <c r="B35" s="11" t="str">
        <f>'CancerUnderStudy-test'!B33</f>
        <v>pdL1</v>
      </c>
      <c r="C35" s="11" t="s">
        <v>1637</v>
      </c>
      <c r="E35" s="12" t="str">
        <f t="shared" si="0"/>
        <v>* pdL1 -&gt; ##34#TBD##34#</v>
      </c>
    </row>
    <row r="36" spans="2:5">
      <c r="B36" s="11" t="str">
        <f>'CancerUnderStudy-test'!B34</f>
        <v>pdL1Method</v>
      </c>
      <c r="C36" s="11" t="s">
        <v>1637</v>
      </c>
      <c r="E36" s="12" t="str">
        <f t="shared" si="0"/>
        <v>* pdL1Method -&gt; ##34#TBD##34#</v>
      </c>
    </row>
    <row r="37" spans="2:5">
      <c r="B37" s="11" t="str">
        <f>'CancerUnderStudy-test'!B35</f>
        <v>pdL1CpsValue</v>
      </c>
      <c r="C37" s="11" t="s">
        <v>1637</v>
      </c>
      <c r="E37" s="12" t="str">
        <f t="shared" si="0"/>
        <v>* pdL1CpsValue -&gt; ##34#TBD##34#</v>
      </c>
    </row>
    <row r="38" spans="2:5">
      <c r="B38" s="11" t="str">
        <f>'CancerUnderStudy-test'!B36</f>
        <v>pdL1TpsValue</v>
      </c>
      <c r="C38" s="11" t="s">
        <v>1637</v>
      </c>
      <c r="E38" s="12" t="str">
        <f t="shared" si="0"/>
        <v>* pdL1TpsValue -&gt; ##34#TBD##34#</v>
      </c>
    </row>
    <row r="39" spans="2:5">
      <c r="B39" s="11" t="str">
        <f>'CancerUnderStudy-test'!B37</f>
        <v>crpCReactiveProteinTested</v>
      </c>
      <c r="C39" s="11" t="s">
        <v>1637</v>
      </c>
      <c r="E39" s="12" t="str">
        <f t="shared" si="0"/>
        <v>* crpCReactiveProteinTested -&gt; ##34#TBD##34#</v>
      </c>
    </row>
    <row r="40" spans="2:5">
      <c r="B40" s="11" t="str">
        <f>'CancerUnderStudy-test'!B38</f>
        <v>cReactiveProteinCrpMgDl</v>
      </c>
      <c r="C40" s="11" t="s">
        <v>1637</v>
      </c>
      <c r="E40" s="12" t="str">
        <f t="shared" si="0"/>
        <v>* cReactiveProteinCrpMgDl -&gt; ##34#TBD##34#</v>
      </c>
    </row>
    <row r="41" spans="2:5">
      <c r="B41" s="11" t="str">
        <f>'CancerUnderStudy-test'!B39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16B5-84C3-42BB-B6A9-44654C6A8709}">
  <sheetPr codeName="Foglio20">
    <tabColor theme="8" tint="-0.249977111117893"/>
  </sheetPr>
  <dimension ref="C1:G130"/>
  <sheetViews>
    <sheetView workbookViewId="0">
      <selection activeCell="C8" sqref="C8"/>
    </sheetView>
  </sheetViews>
  <sheetFormatPr defaultRowHeight="14.75"/>
  <cols>
    <col min="3" max="3" width="108.2265625" style="12" customWidth="1"/>
    <col min="7" max="7" width="29.54296875" customWidth="1"/>
    <col min="8" max="8" width="54.90625" customWidth="1"/>
  </cols>
  <sheetData>
    <row r="1" spans="3:7" ht="15.5" thickBot="1">
      <c r="C1" s="24" t="str">
        <f>'CancerUnderStudy-test'!J1</f>
        <v>//===================================================</v>
      </c>
    </row>
    <row r="2" spans="3:7" ht="16.75" thickBot="1">
      <c r="C2" s="25" t="str">
        <f>'CancerUnderStudy-test'!J2</f>
        <v>//  Logical Model</v>
      </c>
      <c r="G2" s="30" t="s">
        <v>1645</v>
      </c>
    </row>
    <row r="3" spans="3:7">
      <c r="C3" s="25" t="str">
        <f>'CancerUnderStudy-test'!J3</f>
        <v>//===================================================</v>
      </c>
    </row>
    <row r="4" spans="3:7">
      <c r="C4" s="17" t="str">
        <f>'CancerUnderStudy-test'!J4</f>
        <v>Logical: CancerUnderStudyI4rcTest</v>
      </c>
    </row>
    <row r="5" spans="3:7">
      <c r="C5" s="17" t="str">
        <f>'CancerUnderStudy-test'!J5</f>
        <v>Id: CancerUnderStudy</v>
      </c>
    </row>
    <row r="6" spans="3:7">
      <c r="C6" s="17" t="str">
        <f>'CancerUnderStudy-test'!J6</f>
        <v>Title: ##34#Cancer Under Study##34#</v>
      </c>
    </row>
    <row r="7" spans="3:7" ht="29.5">
      <c r="C7" s="17" t="str">
        <f>'CancerUnderStudy-test'!J7</f>
        <v>Description:  ##334#Cancer Under Study
Maturity Level: 0 Draft##334#</v>
      </c>
    </row>
    <row r="8" spans="3:7" ht="29.5">
      <c r="C8" s="12" t="str">
        <f>IF('CancerUnderStudy-test'!J8="*  ..  ##34###34# ##334###334#","//--- END",'CancerUnderStudy-test'!J8)</f>
        <v>* diagnosisDate 0..1 date ##34#Date of diagnosis biopsy or surgical piece##34# ##334#Date of the procedure from which the specimen was obtained that allowed the histological diagnosis##334#</v>
      </c>
    </row>
    <row r="9" spans="3:7">
      <c r="C9" s="12" t="str">
        <f>IF('CancerUnderStudy-test'!J9="*  ..  ##34###34# ##334###334#","//--- END",'CancerUnderStudy-test'!J9)</f>
        <v>* ageAtDiagnosis 0..1 integer ##34#Age at diagnosis manual##34# ##334#Age of the patient at the time of the diagnosis##334#</v>
      </c>
    </row>
    <row r="10" spans="3:7" ht="29.5">
      <c r="C10" s="12" t="str">
        <f>IF('CancerUnderStudy-test'!J10="*  ..  ##34###34# ##334###334#","//--- END",'CancerUnderStudy-test'!J10)</f>
        <v>* histologyGroup 0..1 string ##34#Histology WHO 2017 group##34# ##334#Histology of prymary tumour  according to WHO 2017 clasification##334#</v>
      </c>
    </row>
    <row r="11" spans="3:7" ht="29.5">
      <c r="C11" s="12" t="str">
        <f>IF('CancerUnderStudy-test'!J11="*  ..  ##34###34# ##334###334#","//--- END",'CancerUnderStudy-test'!J11)</f>
        <v>* histologyWho2017Subgroup 0..1 BackboneElement ##34#Histology WHO 2017 subgroup##34# ##334#Histology WHO 2017 subgroup##334#</v>
      </c>
    </row>
    <row r="12" spans="3:7" ht="29.5">
      <c r="C12" s="12" t="str">
        <f>IF('CancerUnderStudy-test'!J12="*  ..  ##34###34# ##334###334#","//--- END",'CancerUnderStudy-test'!J12)</f>
        <v>* histologyWho2017Subgroup.Squamous 0..1 string ##34#Histology subgroup Squamous##34# ##334#Specifies the histological subgroup for squamous cancers##334#</v>
      </c>
    </row>
    <row r="13" spans="3:7" ht="29.5">
      <c r="C13" s="12" t="str">
        <f>IF('CancerUnderStudy-test'!J13="*  ..  ##34###34# ##334###334#","//--- END",'CancerUnderStudy-test'!J13)</f>
        <v>* histologyWho2017Subgroup.Adenocarcinoma 0..1 string ##34#Histology subgroup Adenocarcinoma##34# ##334#Specifies the histological subgroup for adenocarcinomas##334#</v>
      </c>
    </row>
    <row r="14" spans="3:7" ht="29.5">
      <c r="C14" s="12" t="str">
        <f>IF('CancerUnderStudy-test'!J14="*  ..  ##34###34# ##334###334#","//--- END",'CancerUnderStudy-test'!J14)</f>
        <v>* histologyWho2017Subgroup.Neuroendocrine 0..1 string ##34#Histology subgroup Neuroendocrine##34# ##334#Specifies the histological subgroup for neuroendocrine cancers ##334#</v>
      </c>
    </row>
    <row r="15" spans="3:7" ht="29.5">
      <c r="C15" s="12" t="str">
        <f>IF('CancerUnderStudy-test'!J15="*  ..  ##34###34# ##334###334#","//--- END",'CancerUnderStudy-test'!J15)</f>
        <v>* histologyWho2017Subgroup.OdontogenicCarcinoma 0..1 string ##34#Histology subgroup Odontogenic carcinoma##34# ##334#Specifies the histological subgroup for odontogenic carcinomas##334#</v>
      </c>
    </row>
    <row r="16" spans="3:7" ht="29.5">
      <c r="C16" s="12" t="str">
        <f>IF('CancerUnderStudy-test'!J16="*  ..  ##34###34# ##334###334#","//--- END",'CancerUnderStudy-test'!J16)</f>
        <v>* histologyWho2017Subgroup.SNUC 0..1 string ##34#Histology subgroup Sinonasal undifferentiated carcinoma SNUC##34# ##334#Specifies the histological subgroup for sinonasl undifferentiated carcinomas##334#</v>
      </c>
    </row>
    <row r="17" spans="3:3">
      <c r="C17" s="12" t="str">
        <f>IF('CancerUnderStudy-test'!J17="*  ..  ##34###34# ##334###334#","//--- END",'CancerUnderStudy-test'!J17)</f>
        <v>* siteRare 0..1 string ##34#Site  rare AJCC##34# ##334#Describe the primary tumor site according to AJCC ##334#</v>
      </c>
    </row>
    <row r="18" spans="3:3" ht="29.5">
      <c r="C18" s="12" t="str">
        <f>IF('CancerUnderStudy-test'!J18="*  ..  ##34###34# ##334###334#","//--- END",'CancerUnderStudy-test'!J18)</f>
        <v>* siteCommonAndRare 0..1 string ##34#Site common and rare AJCC##34# ##334#Describe the primary tumor site according to AJCC ##334#</v>
      </c>
    </row>
    <row r="19" spans="3:3">
      <c r="C19" s="12" t="str">
        <f>IF('CancerUnderStudy-test'!J19="*  ..  ##34###34# ##334###334#","//--- END",'CancerUnderStudy-test'!J19)</f>
        <v>* subsite 0..1 BackboneElement ##34#Subsite##34# ##334#Subsite##334#</v>
      </c>
    </row>
    <row r="20" spans="3:3" ht="29.5">
      <c r="C20" s="12" t="str">
        <f>IF('CancerUnderStudy-test'!J20="*  ..  ##34###34# ##334###334#","//--- END",'CancerUnderStudy-test'!J20)</f>
        <v>* subsite.nasalCavityAndParanasalSinusesSubsite 0..1 string ##34#Nasal cavity and paranasal sinuses subsite##34# ##334#Specifies the subsite for cancers occurred in nasal cavity and paranasal sinusess##334#</v>
      </c>
    </row>
    <row r="21" spans="3:3" ht="29.5">
      <c r="C21" s="12" t="str">
        <f>IF('CancerUnderStudy-test'!J21="*  ..  ##34###34# ##334###334#","//--- END",'CancerUnderStudy-test'!J21)</f>
        <v>* subsite.nasopharynxSubsite 0..1 string ##34#Nasopharynx  subsite##34# ##334#Specifies the subsite for cancers occurred in nasopharynx##334#</v>
      </c>
    </row>
    <row r="22" spans="3:3" ht="29.5">
      <c r="C22" s="12" t="str">
        <f>IF('CancerUnderStudy-test'!J22="*  ..  ##34###34# ##334###334#","//--- END",'CancerUnderStudy-test'!J22)</f>
        <v>* subsite.hypopharynxSubsite 0..1 string ##34#Hypopharynx subsite##34# ##334#Specifies the subsite for cancers occurred in hypopharynx##334#</v>
      </c>
    </row>
    <row r="23" spans="3:3" ht="29.5">
      <c r="C23" s="12" t="str">
        <f>IF('CancerUnderStudy-test'!J23="*  ..  ##34###34# ##334###334#","//--- END",'CancerUnderStudy-test'!J23)</f>
        <v>* subsite.oropharynxSubsite 0..1 string ##34#Oropharynx subsite##34# ##334#Specifies the subsite for cancers occurred in oropharynx##334#</v>
      </c>
    </row>
    <row r="24" spans="3:3">
      <c r="C24" s="12" t="str">
        <f>IF('CancerUnderStudy-test'!J24="*  ..  ##34###34# ##334###334#","//--- END",'CancerUnderStudy-test'!J24)</f>
        <v>* subsite.larynxSubsite 0..1 string ##34#Larynx subsite##34# ##334#Specifies the subsite for cancers occurred in larynx##334#</v>
      </c>
    </row>
    <row r="25" spans="3:3" ht="29.5">
      <c r="C25" s="12" t="str">
        <f>IF('CancerUnderStudy-test'!J25="*  ..  ##34###34# ##334###334#","//--- END",'CancerUnderStudy-test'!J25)</f>
        <v>* subsite.oralCavitySubsite 0..1 string ##34#Oral cavity subsite##34# ##334#Specifies the subsite for cancers occurred in oral cavity##334#</v>
      </c>
    </row>
    <row r="26" spans="3:3">
      <c r="C26" s="12" t="str">
        <f>IF('CancerUnderStudy-test'!J26="*  ..  ##34###34# ##334###334#","//--- END",'CancerUnderStudy-test'!J26)</f>
        <v>* subsite.lipSubsite 0..1 string ##34#Lip subsite##34# ##334#Specifies the subsite for cancers occurred in lip##334#</v>
      </c>
    </row>
    <row r="27" spans="3:3" ht="29.5">
      <c r="C27" s="12" t="str">
        <f>IF('CancerUnderStudy-test'!J27="*  ..  ##34###34# ##334###334#","//--- END",'CancerUnderStudy-test'!J27)</f>
        <v>* plasmaticEbvDnaAtBaseline 0..1 string ##34#Plasmatic EBV DNA at baseline##34# ##334#Describes the result of EBV DNA plasma testing before treatment in NPC type II and III WHO ##334#</v>
      </c>
    </row>
    <row r="28" spans="3:3" ht="29.5">
      <c r="C28" s="12" t="str">
        <f>IF('CancerUnderStudy-test'!J28="*  ..  ##34###34# ##334###334#","//--- END",'CancerUnderStudy-test'!J28)</f>
        <v>* primerType 0..1 string ##34#Primer type##34# ##334#Describes the primer used for EBV DNA plasma testing t in NPC type II and Type III WHO ##334#</v>
      </c>
    </row>
    <row r="29" spans="3:3">
      <c r="C29" s="12" t="str">
        <f>IF('CancerUnderStudy-test'!J29="*  ..  ##34###34# ##334###334#","//--- END",'CancerUnderStudy-test'!J29)</f>
        <v>* copyNumber 0..1 integer ##34#Copy Number##34# ##334#Copy number of EBVDNA##334#</v>
      </c>
    </row>
    <row r="30" spans="3:3">
      <c r="C30" s="12" t="str">
        <f>IF('CancerUnderStudy-test'!J30="*  ..  ##34###34# ##334###334#","//--- END",'CancerUnderStudy-test'!J30)</f>
        <v>* hpvStatus 0..1 string ##34#HPV status##34# ##334#Describes the result of HPV tumor testing in oral carcinoma ##334#</v>
      </c>
    </row>
    <row r="31" spans="3:3" ht="29.5">
      <c r="C31" s="12" t="str">
        <f>IF('CancerUnderStudy-test'!J31="*  ..  ##34###34# ##334###334#","//--- END",'CancerUnderStudy-test'!J31)</f>
        <v>* hpvStatusDetectedBy 0..1 string ##34#HPV status detected by##34# ##334#Describes the technique used for HPV tumour testing in orall carcinoma##334#</v>
      </c>
    </row>
    <row r="32" spans="3:3">
      <c r="C32" s="12" t="str">
        <f>IF('CancerUnderStudy-test'!J32="*  ..  ##34###34# ##334###334#","//--- END",'CancerUnderStudy-test'!J32)</f>
        <v>* p16 0..1 string ##34#p16##34# ##334#Describes the result of p16 tumour testing in oral carcinoma##334#</v>
      </c>
    </row>
    <row r="33" spans="3:3">
      <c r="C33" s="12" t="str">
        <f>IF('CancerUnderStudy-test'!J33="*  ..  ##34###34# ##334###334#","//--- END",'CancerUnderStudy-test'!J33)</f>
        <v>* pdL1 0..1 string ##34#PDL1##34# ##334#Describes the result of PDL tumour testing in oral carcinoma##334#</v>
      </c>
    </row>
    <row r="34" spans="3:3" ht="29.5">
      <c r="C34" s="12" t="str">
        <f>IF('CancerUnderStudy-test'!J34="*  ..  ##34###34# ##334###334#","//--- END",'CancerUnderStudy-test'!J34)</f>
        <v>* pdL1Method 0..1 string ##34#PDL1 Method##34# ##334#Describes the technique used for PDL tumour testing in oral carcinoma##334#</v>
      </c>
    </row>
    <row r="35" spans="3:3">
      <c r="C35" s="12" t="str">
        <f>IF('CancerUnderStudy-test'!J35="*  ..  ##34###34# ##334###334#","//--- END",'CancerUnderStudy-test'!J35)</f>
        <v>* pdL1CpsValue 0..1 integer ##34#PDL1 CPS value##34# ##334#Result of PDL1CPS testing when performed##334#</v>
      </c>
    </row>
    <row r="36" spans="3:3">
      <c r="C36" s="12" t="str">
        <f>IF('CancerUnderStudy-test'!J36="*  ..  ##34###34# ##334###334#","//--- END",'CancerUnderStudy-test'!J36)</f>
        <v>* pdL1TpsValue 0..1 integer ##34#PDL1 TPS value##34# ##334#Result of PDL1TPS testing when performed##334#</v>
      </c>
    </row>
    <row r="37" spans="3:3" ht="29.5">
      <c r="C37" s="12" t="str">
        <f>IF('CancerUnderStudy-test'!J37="*  ..  ##34###34# ##334###334#","//--- END",'CancerUnderStudy-test'!J37)</f>
        <v>* crpCReactiveProteinTested 0..1 string ##34#CRP  C reactive protein tested ##34# ##334#Describes the result of C reactive protein testing##334#</v>
      </c>
    </row>
    <row r="38" spans="3:3" ht="29.5">
      <c r="C38" s="12" t="str">
        <f>IF('CancerUnderStudy-test'!J38="*  ..  ##34###34# ##334###334#","//--- END",'CancerUnderStudy-test'!J38)</f>
        <v>* cReactiveProteinCrpMgDl 0..1 integer ##34#C reactive protein  CRP mgdl##34# ##334#Result of CRP testing when performed##334#</v>
      </c>
    </row>
    <row r="39" spans="3:3">
      <c r="C39" s="12" t="str">
        <f>IF('CancerUnderStudy-test'!J39="*  ..  ##34###34# ##334###334#","//--- END",'CancerUnderStudy-test'!J39)</f>
        <v>* instrumentStatus 0..1 boolean ##34#Instrument status##34# ##334#Describe if the instument is fully compiled or not##334#</v>
      </c>
    </row>
    <row r="40" spans="3:3">
      <c r="C40" s="12" t="str">
        <f>IF('CancerUnderStudy-test'!J40="*  ..  ##34###34# ##334###334#","//--- END",'CancerUnderStudy-test'!J40)</f>
        <v>//--- END</v>
      </c>
    </row>
    <row r="41" spans="3:3">
      <c r="C41" s="12" t="str">
        <f>IF('CancerUnderStudy-test'!J41="*  ..  ##34###34# ##334###334#","//--- END",'CancerUnderStudy-test'!J41)</f>
        <v>//--- END</v>
      </c>
    </row>
    <row r="42" spans="3:3">
      <c r="C42" s="12" t="str">
        <f>IF('CancerUnderStudy-test'!J42="*  ..  ##34###34# ##334###334#","//--- END",'CancerUnderStudy-test'!J42)</f>
        <v>//--- END</v>
      </c>
    </row>
    <row r="43" spans="3:3">
      <c r="C43" s="12" t="str">
        <f>IF('CancerUnderStudy-test'!J43="*  ..  ##34###34# ##334###334#","//--- END",'CancerUnderStudy-test'!J43)</f>
        <v>//--- END</v>
      </c>
    </row>
    <row r="46" spans="3:3">
      <c r="C46" s="24" t="s">
        <v>1644</v>
      </c>
    </row>
    <row r="47" spans="3:3">
      <c r="C47" s="25" t="s">
        <v>20</v>
      </c>
    </row>
    <row r="48" spans="3:3">
      <c r="C48" s="25" t="s">
        <v>1644</v>
      </c>
    </row>
    <row r="49" spans="3:3" ht="44.25">
      <c r="C49" s="12" t="str">
        <f>IF('CancerUnderStudy-test'!L8="*  ..  ##34###34# ##334###334#","//--- END",'CancerUnderStudy-test'!L8)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IF('CancerUnderStudy-test'!L9="*  ..  ##34###34# ##334###334#","//--- END",'CancerUnderStudy-test'!L9)</f>
        <v>* ageAtDiagnosis ^comment = ##334#An integer value  0 We use the 1 value for unknown Automatic  calculation from date of birth and date of diagnosis##334#</v>
      </c>
    </row>
    <row r="51" spans="3:3">
      <c r="C51" s="12" t="str">
        <f>IF('CancerUnderStudy-test'!L10="*  ..  ##34###34# ##334###334#","//--- END",'CancerUnderStudy-test'!L10)</f>
        <v>* histologyGroup ^comment = ##334#A value in the WHO 2017 HN classification list##334#</v>
      </c>
    </row>
    <row r="52" spans="3:3">
      <c r="C52" s="12" t="str">
        <f>IF('CancerUnderStudy-test'!L11="*  ..  ##34###34# ##334###334#","//--- END",'CancerUnderStudy-test'!L11)</f>
        <v/>
      </c>
    </row>
    <row r="53" spans="3:3">
      <c r="C53" s="12" t="str">
        <f>IF('CancerUnderStudy-test'!L12="*  ..  ##34###34# ##334###334#","//--- END",'CancerUnderStudy-test'!L12)</f>
        <v>* histologyWho2017Subgroup.Squamous ^comment = ##334#A value in the WHO 2017 HN squamous classification list##334#</v>
      </c>
    </row>
    <row r="54" spans="3:3" ht="29.5">
      <c r="C54" s="12" t="str">
        <f>IF('CancerUnderStudy-test'!L13="*  ..  ##34###34# ##334###334#","//--- END",'CancerUnderStudy-test'!L13)</f>
        <v>* histologyWho2017Subgroup.Adenocarcinoma ^comment = ##334#A value in the WHO 2017 HN adenocarcinoma classification list##334#</v>
      </c>
    </row>
    <row r="55" spans="3:3" ht="29.5">
      <c r="C55" s="12" t="str">
        <f>IF('CancerUnderStudy-test'!L14="*  ..  ##34###34# ##334###334#","//--- END",'CancerUnderStudy-test'!L14)</f>
        <v>* histologyWho2017Subgroup.Neuroendocrine ^comment = ##334#A value in the WHO 2017 HN neuroendocrine classification list##334#</v>
      </c>
    </row>
    <row r="56" spans="3:3" ht="29.5">
      <c r="C56" s="12" t="str">
        <f>IF('CancerUnderStudy-test'!L15="*  ..  ##34###34# ##334###334#","//--- END",'CancerUnderStudy-test'!L15)</f>
        <v>* histologyWho2017Subgroup.OdontogenicCarcinoma ^comment = ##334#A value in the WHO 2017 HN odontogenic carcinoma classification list##334#</v>
      </c>
    </row>
    <row r="57" spans="3:3">
      <c r="C57" s="12" t="str">
        <f>IF('CancerUnderStudy-test'!L16="*  ..  ##34###34# ##334###334#","//--- END",'CancerUnderStudy-test'!L16)</f>
        <v>* histologyWho2017Subgroup.SNUC ^comment = ##334#A value in the WHO 2017 HN SNUC classification list##334#</v>
      </c>
    </row>
    <row r="58" spans="3:3">
      <c r="C58" s="12" t="str">
        <f>IF('CancerUnderStudy-test'!L17="*  ..  ##34###34# ##334###334#","//--- END",'CancerUnderStudy-test'!L17)</f>
        <v>* siteRare ^comment = ##334#A value in the AJCC Cancer Staging Manual 8th site list##334#</v>
      </c>
    </row>
    <row r="59" spans="3:3">
      <c r="C59" s="12" t="str">
        <f>IF('CancerUnderStudy-test'!L18="*  ..  ##34###34# ##334###334#","//--- END",'CancerUnderStudy-test'!L18)</f>
        <v>* siteCommonAndRare ^comment = ##334#A value in the AJCC Cancer Staging Manual 8th site list##334#</v>
      </c>
    </row>
    <row r="60" spans="3:3">
      <c r="C60" s="12" t="str">
        <f>IF('CancerUnderStudy-test'!L19="*  ..  ##34###34# ##334###334#","//--- END",'CancerUnderStudy-test'!L19)</f>
        <v/>
      </c>
    </row>
    <row r="61" spans="3:3" ht="29.5">
      <c r="C61" s="12" t="str">
        <f>IF('CancerUnderStudy-test'!L20="*  ..  ##34###34# ##334###334#","//--- END",'CancerUnderStudy-test'!L20)</f>
        <v>* subsite.nasalCavityAndParanasalSinusesSubsite ^comment = ##334#A string value in the AJCC Cancer Staging Manual 8th subsite list##334#</v>
      </c>
    </row>
    <row r="62" spans="3:3">
      <c r="C62" s="12" t="str">
        <f>IF('CancerUnderStudy-test'!L21="*  ..  ##34###34# ##334###334#","//--- END",'CancerUnderStudy-test'!L21)</f>
        <v>* subsite.nasopharynxSubsite ^comment = ##334#A string value in the AJCC Cancer Staging Manual 8th subsite list##334#</v>
      </c>
    </row>
    <row r="63" spans="3:3">
      <c r="C63" s="12" t="str">
        <f>IF('CancerUnderStudy-test'!L22="*  ..  ##34###34# ##334###334#","//--- END",'CancerUnderStudy-test'!L22)</f>
        <v>* subsite.hypopharynxSubsite ^comment = ##334#A string value in the AJCC Cancer Staging Manual 8th subsite list##334#</v>
      </c>
    </row>
    <row r="64" spans="3:3">
      <c r="C64" s="12" t="str">
        <f>IF('CancerUnderStudy-test'!L23="*  ..  ##34###34# ##334###334#","//--- END",'CancerUnderStudy-test'!L23)</f>
        <v>* subsite.oropharynxSubsite ^comment = ##334#A string value in the AJCC Cancer Staging Manual 8th subsite list##334#</v>
      </c>
    </row>
    <row r="65" spans="3:3">
      <c r="C65" s="12" t="str">
        <f>IF('CancerUnderStudy-test'!L24="*  ..  ##34###34# ##334###334#","//--- END",'CancerUnderStudy-test'!L24)</f>
        <v>* subsite.larynxSubsite ^comment = ##334#A string value in the AJCC Cancer Staging Manual 8th subsite list##334#</v>
      </c>
    </row>
    <row r="66" spans="3:3">
      <c r="C66" s="12" t="str">
        <f>IF('CancerUnderStudy-test'!L25="*  ..  ##34###34# ##334###334#","//--- END",'CancerUnderStudy-test'!L25)</f>
        <v>* subsite.oralCavitySubsite ^comment = ##334#A string value in the AJCC Cancer Staging Manual 8th subsite list##334#</v>
      </c>
    </row>
    <row r="67" spans="3:3">
      <c r="C67" s="12" t="str">
        <f>IF('CancerUnderStudy-test'!L26="*  ..  ##34###34# ##334###334#","//--- END",'CancerUnderStudy-test'!L26)</f>
        <v>* subsite.lipSubsite ^comment = ##334#A string value in the AJCC Cancer Staging Manual 8th subsite list##334#</v>
      </c>
    </row>
    <row r="68" spans="3:3" ht="29.5">
      <c r="C68" s="12" t="str">
        <f>IF('CancerUnderStudy-test'!L27="*  ..  ##34###34# ##334###334#","//--- END",'CancerUnderStudy-test'!L27)</f>
        <v>* plasmaticEbvDnaAtBaseline ^comment = ##334#A string value representing whether the test value was positive negative or it was untested Empty if unknown##334#</v>
      </c>
    </row>
    <row r="69" spans="3:3">
      <c r="C69" s="12" t="str">
        <f>IF('CancerUnderStudy-test'!L28="*  ..  ##34###34# ##334###334#","//--- END",'CancerUnderStudy-test'!L28)</f>
        <v>* primerType ^comment = ##334#A string value representing the plasma testing type Empty if unknown##334#</v>
      </c>
    </row>
    <row r="70" spans="3:3">
      <c r="C70" s="12" t="str">
        <f>IF('CancerUnderStudy-test'!L29="*  ..  ##34###34# ##334###334#","//--- END",'CancerUnderStudy-test'!L29)</f>
        <v>* copyNumber ^comment = ##334#An integer for the number of EBVDNA Empty if unknown##334#</v>
      </c>
    </row>
    <row r="71" spans="3:3" ht="29.5">
      <c r="C71" s="12" t="str">
        <f>IF('CancerUnderStudy-test'!L30="*  ..  ##34###34# ##334###334#","//--- END",'CancerUnderStudy-test'!L30)</f>
        <v>* hpvStatus ^comment = ##334#A string value representing whether the result was positive negative or not tested Empty if unknown##334#</v>
      </c>
    </row>
    <row r="72" spans="3:3" ht="29.5">
      <c r="C72" s="12" t="str">
        <f>IF('CancerUnderStudy-test'!L31="*  ..  ##34###34# ##334###334#","//--- END",'CancerUnderStudy-test'!L31)</f>
        <v>* hpvStatusDetectedBy ^comment = ##334#A string value representing which was the used technique Empty if unknown##334#</v>
      </c>
    </row>
    <row r="73" spans="3:3" ht="29.5">
      <c r="C73" s="12" t="str">
        <f>IF('CancerUnderStudy-test'!L32="*  ..  ##34###34# ##334###334#","//--- END",'CancerUnderStudy-test'!L32)</f>
        <v>* p16 ^comment = ##334#A string value representing whether the result was positive negative or not tested Empty if unknown##334#</v>
      </c>
    </row>
    <row r="74" spans="3:3" ht="29.5">
      <c r="C74" s="12" t="str">
        <f>IF('CancerUnderStudy-test'!L33="*  ..  ##34###34# ##334###334#","//--- END",'CancerUnderStudy-test'!L33)</f>
        <v>* pdL1 ^comment = ##334#A string value representing whether the result was positive negative or not tested Empty if unknown##334#</v>
      </c>
    </row>
    <row r="75" spans="3:3">
      <c r="C75" s="12" t="str">
        <f>IF('CancerUnderStudy-test'!L34="*  ..  ##34###34# ##334###334#","//--- END",'CancerUnderStudy-test'!L34)</f>
        <v>* pdL1Method ^comment = ##334#A string value representing which was the used technique Empty if unknown##334#</v>
      </c>
    </row>
    <row r="76" spans="3:3">
      <c r="C76" s="12" t="str">
        <f>IF('CancerUnderStudy-test'!L35="*  ..  ##34###34# ##334###334#","//--- END",'CancerUnderStudy-test'!L35)</f>
        <v>* pdL1CpsValue ^comment = ##334#An integer for the PDL1CPS test Empty if unknown##334#</v>
      </c>
    </row>
    <row r="77" spans="3:3">
      <c r="C77" s="12" t="str">
        <f>IF('CancerUnderStudy-test'!L36="*  ..  ##34###34# ##334###334#","//--- END",'CancerUnderStudy-test'!L36)</f>
        <v>* pdL1TpsValue ^comment = ##334#An integer for the PDL1TPS test Empty if unknown##334#</v>
      </c>
    </row>
    <row r="78" spans="3:3" ht="29.5">
      <c r="C78" s="12" t="str">
        <f>IF('CancerUnderStudy-test'!L37="*  ..  ##34###34# ##334###334#","//--- END",'CancerUnderStudy-test'!L37)</f>
        <v>* crpCReactiveProteinTested ^comment = ##334#A string value representing whether the result was positive negative or not tested Empty if unknown##334#</v>
      </c>
    </row>
    <row r="79" spans="3:3">
      <c r="C79" s="12" t="str">
        <f>IF('CancerUnderStudy-test'!L38="*  ..  ##34###34# ##334###334#","//--- END",'CancerUnderStudy-test'!L38)</f>
        <v>* cReactiveProteinCrpMgDl ^comment = ##334#An integer for the CRP test Empty if unknown##334#</v>
      </c>
    </row>
    <row r="80" spans="3:3">
      <c r="C80" s="12" t="str">
        <f>IF('CancerUnderStudy-test'!L39="*  ..  ##34###34# ##334###334#","//--- END",'CancerUnderStudy-test'!L39)</f>
        <v>* instrumentStatus ^comment = ##334#A boolean for the instrument if it was fully compiled or not##334#</v>
      </c>
    </row>
    <row r="81" spans="3:3">
      <c r="C81" s="12" t="str">
        <f>IF('CancerUnderStudy-test'!L40="*  ..  ##34###34# ##334###334#","//--- END",'CancerUnderStudy-test'!L40)</f>
        <v>//--- END</v>
      </c>
    </row>
    <row r="82" spans="3:3">
      <c r="C82" s="12" t="str">
        <f>IF('CancerUnderStudy-test'!L41="*  ..  ##34###34# ##334###334#","//--- END",'CancerUnderStudy-test'!L41)</f>
        <v>//--- END</v>
      </c>
    </row>
    <row r="83" spans="3:3">
      <c r="C83" s="12" t="str">
        <f>IF('CancerUnderStudy-test'!L42="*  ..  ##34###34# ##334###334#","//--- END",'CancerUnderStudy-test'!L42)</f>
        <v>//--- END</v>
      </c>
    </row>
    <row r="84" spans="3:3">
      <c r="C84"/>
    </row>
    <row r="86" spans="3:3">
      <c r="C86" s="24" t="str">
        <f>'CancerUnderStudy-Map-1-test'!E1</f>
        <v>// -------------------------------------------------------------------------------</v>
      </c>
    </row>
    <row r="87" spans="3:3">
      <c r="C87" s="25" t="str">
        <f>'CancerUnderStudy-Map-1-test'!E2</f>
        <v>//  Map to FHIR R4</v>
      </c>
    </row>
    <row r="88" spans="3:3">
      <c r="C88" s="25" t="str">
        <f>'CancerUnderStudy-Map-1-test'!E3</f>
        <v>// -------------------------------------------------------------------------------</v>
      </c>
    </row>
    <row r="89" spans="3:3">
      <c r="C89" s="12" t="str">
        <f>'CancerUnderStudy-Map-1-test'!E4</f>
        <v>Mapping: I4RCCancerUnderStudy2Fhir</v>
      </c>
    </row>
    <row r="90" spans="3:3">
      <c r="C90" s="12" t="str">
        <f>'CancerUnderStudy-Map-1-test'!E5</f>
        <v>Id: fhir</v>
      </c>
    </row>
    <row r="91" spans="3:3">
      <c r="C91" s="12" t="str">
        <f>'CancerUnderStudy-Map-1-test'!E6</f>
        <v>Title: ##34#Idea4RC Subject model to FHIR R4 Map##34#</v>
      </c>
    </row>
    <row r="92" spans="3:3">
      <c r="C92" s="12" t="str">
        <f>'CancerUnderStudy-Map-1-test'!E7</f>
        <v>Source: CancerUnderStudy</v>
      </c>
    </row>
    <row r="93" spans="3:3">
      <c r="C93" s="12" t="str">
        <f>'CancerUnderStudy-Map-1-test'!E8</f>
        <v>Target: ##34#hl7.org/fhir/r4##34#</v>
      </c>
    </row>
    <row r="95" spans="3:3">
      <c r="C95" s="4" t="str">
        <f>'CancerUnderStudy-Map-1-test'!E9</f>
        <v>* -&gt; ##34#TBD##34#</v>
      </c>
    </row>
    <row r="96" spans="3:3">
      <c r="C96" s="12" t="str">
        <f>IF('CancerUnderStudy-Map-1-test'!E10="*  -&gt; ##34###34#","// --END",'CancerUnderStudy-Map-1-test'!E10)</f>
        <v>* diagnosisDate -&gt; ##34#TBD##34#</v>
      </c>
    </row>
    <row r="97" spans="3:3">
      <c r="C97" s="12" t="str">
        <f>IF('CancerUnderStudy-Map-1-test'!E11="*  -&gt; ##34###34#","// --END",'CancerUnderStudy-Map-1-test'!E11)</f>
        <v>* ageAtDiagnosis -&gt; ##34#TBD##34#</v>
      </c>
    </row>
    <row r="98" spans="3:3">
      <c r="C98" s="12" t="str">
        <f>IF('CancerUnderStudy-Map-1-test'!E12="*  -&gt; ##34###34#","// --END",'CancerUnderStudy-Map-1-test'!E12)</f>
        <v>* histologyGroup -&gt; ##34#TBD##34#</v>
      </c>
    </row>
    <row r="99" spans="3:3">
      <c r="C99" s="12" t="str">
        <f>IF('CancerUnderStudy-Map-1-test'!E13="*  -&gt; ##34###34#","// --END",'CancerUnderStudy-Map-1-test'!E13)</f>
        <v>* histologyWho2017Subgroup -&gt; ##34#TBD##34#</v>
      </c>
    </row>
    <row r="100" spans="3:3">
      <c r="C100" s="12" t="str">
        <f>IF('CancerUnderStudy-Map-1-test'!E14="*  -&gt; ##34###34#","// --END",'CancerUnderStudy-Map-1-test'!E14)</f>
        <v>* histologyWho2017Subgroup.Squamous -&gt; ##34#TBD##34#</v>
      </c>
    </row>
    <row r="101" spans="3:3">
      <c r="C101" s="12" t="str">
        <f>IF('CancerUnderStudy-Map-1-test'!E15="*  -&gt; ##34###34#","// --END",'CancerUnderStudy-Map-1-test'!E15)</f>
        <v>* histologyWho2017Subgroup.Adenocarcinoma -&gt; ##34#TBD##34#</v>
      </c>
    </row>
    <row r="102" spans="3:3">
      <c r="C102" s="12" t="str">
        <f>IF('CancerUnderStudy-Map-1-test'!E16="*  -&gt; ##34###34#","// --END",'CancerUnderStudy-Map-1-test'!E16)</f>
        <v>* histologyWho2017Subgroup.Neuroendocrine -&gt; ##34#TBD##34#</v>
      </c>
    </row>
    <row r="103" spans="3:3">
      <c r="C103" s="12" t="str">
        <f>IF('CancerUnderStudy-Map-1-test'!E17="*  -&gt; ##34###34#","// --END",'CancerUnderStudy-Map-1-test'!E17)</f>
        <v>* histologyWho2017Subgroup.OdontogenicCarcinoma -&gt; ##34#TBD##34#</v>
      </c>
    </row>
    <row r="104" spans="3:3">
      <c r="C104" s="12" t="str">
        <f>IF('CancerUnderStudy-Map-1-test'!E18="*  -&gt; ##34###34#","// --END",'CancerUnderStudy-Map-1-test'!E18)</f>
        <v>* histologyWho2017Subgroup.SNUC -&gt; ##34#TBD##34#</v>
      </c>
    </row>
    <row r="105" spans="3:3">
      <c r="C105" s="12" t="str">
        <f>IF('CancerUnderStudy-Map-1-test'!E19="*  -&gt; ##34###34#","// --END",'CancerUnderStudy-Map-1-test'!E19)</f>
        <v>* siteRare -&gt; ##34#TBD##34#</v>
      </c>
    </row>
    <row r="106" spans="3:3">
      <c r="C106" s="12" t="str">
        <f>IF('CancerUnderStudy-Map-1-test'!E20="*  -&gt; ##34###34#","// --END",'CancerUnderStudy-Map-1-test'!E20)</f>
        <v>* siteCommonAndRare -&gt; ##34#TBD##34#</v>
      </c>
    </row>
    <row r="107" spans="3:3">
      <c r="C107" s="12" t="str">
        <f>IF('CancerUnderStudy-Map-1-test'!E21="*  -&gt; ##34###34#","// --END",'CancerUnderStudy-Map-1-test'!E21)</f>
        <v>* subsite -&gt; ##34#TBD##34#</v>
      </c>
    </row>
    <row r="108" spans="3:3">
      <c r="C108" s="12" t="str">
        <f>IF('CancerUnderStudy-Map-1-test'!E22="*  -&gt; ##34###34#","// --END",'CancerUnderStudy-Map-1-test'!E22)</f>
        <v>* subsite.nasalCavityAndParanasalSinusesSubsite -&gt; ##34#TBD##34#</v>
      </c>
    </row>
    <row r="109" spans="3:3">
      <c r="C109" s="12" t="str">
        <f>IF('CancerUnderStudy-Map-1-test'!E23="*  -&gt; ##34###34#","// --END",'CancerUnderStudy-Map-1-test'!E23)</f>
        <v>* subsite.nasopharynxSubsite -&gt; ##34#TBD##34#</v>
      </c>
    </row>
    <row r="110" spans="3:3">
      <c r="C110" s="12" t="str">
        <f>IF('CancerUnderStudy-Map-1-test'!E24="*  -&gt; ##34###34#","// --END",'CancerUnderStudy-Map-1-test'!E24)</f>
        <v>* subsite.hypopharynxSubsite -&gt; ##34#TBD##34#</v>
      </c>
    </row>
    <row r="111" spans="3:3">
      <c r="C111" s="12" t="str">
        <f>IF('CancerUnderStudy-Map-1-test'!E25="*  -&gt; ##34###34#","// --END",'CancerUnderStudy-Map-1-test'!E25)</f>
        <v>* subsite.oropharynxSubsite -&gt; ##34#TBD##34#</v>
      </c>
    </row>
    <row r="112" spans="3:3">
      <c r="C112" s="12" t="str">
        <f>IF('CancerUnderStudy-Map-1-test'!E26="*  -&gt; ##34###34#","// --END",'CancerUnderStudy-Map-1-test'!E26)</f>
        <v>* subsite.larynxSubsite -&gt; ##34#TBD##34#</v>
      </c>
    </row>
    <row r="113" spans="3:3">
      <c r="C113" s="12" t="str">
        <f>IF('CancerUnderStudy-Map-1-test'!E27="*  -&gt; ##34###34#","// --END",'CancerUnderStudy-Map-1-test'!E27)</f>
        <v>* subsite.oralCavitySubsite -&gt; ##34#TBD##34#</v>
      </c>
    </row>
    <row r="114" spans="3:3">
      <c r="C114" s="12" t="str">
        <f>IF('CancerUnderStudy-Map-1-test'!E28="*  -&gt; ##34###34#","// --END",'CancerUnderStudy-Map-1-test'!E28)</f>
        <v>* subsite.lipSubsite -&gt; ##34#TBD##34#</v>
      </c>
    </row>
    <row r="115" spans="3:3">
      <c r="C115" s="12" t="str">
        <f>IF('CancerUnderStudy-Map-1-test'!E29="*  -&gt; ##34###34#","// --END",'CancerUnderStudy-Map-1-test'!E29)</f>
        <v>* plasmaticEbvDnaAtBaseline -&gt; ##34#TBD##34#</v>
      </c>
    </row>
    <row r="116" spans="3:3">
      <c r="C116" s="12" t="str">
        <f>IF('CancerUnderStudy-Map-1-test'!E30="*  -&gt; ##34###34#","// --END",'CancerUnderStudy-Map-1-test'!E30)</f>
        <v>* primerType -&gt; ##34#TBD##34#</v>
      </c>
    </row>
    <row r="117" spans="3:3">
      <c r="C117" s="12" t="str">
        <f>IF('CancerUnderStudy-Map-1-test'!E31="*  -&gt; ##34###34#","// --END",'CancerUnderStudy-Map-1-test'!E31)</f>
        <v>* copyNumber -&gt; ##34#TBD##34#</v>
      </c>
    </row>
    <row r="118" spans="3:3">
      <c r="C118" s="12" t="str">
        <f>IF('CancerUnderStudy-Map-1-test'!E32="*  -&gt; ##34###34#","// --END",'CancerUnderStudy-Map-1-test'!E32)</f>
        <v>* hpvStatus -&gt; ##34#TBD##34#</v>
      </c>
    </row>
    <row r="119" spans="3:3">
      <c r="C119" s="12" t="str">
        <f>IF('CancerUnderStudy-Map-1-test'!E33="*  -&gt; ##34###34#","// --END",'CancerUnderStudy-Map-1-test'!E33)</f>
        <v>* hpvStatusDetectedBy -&gt; ##34#TBD##34#</v>
      </c>
    </row>
    <row r="120" spans="3:3">
      <c r="C120" s="12" t="str">
        <f>IF('CancerUnderStudy-Map-1-test'!E34="*  -&gt; ##34###34#","// --END",'CancerUnderStudy-Map-1-test'!E34)</f>
        <v>* p16 -&gt; ##34#TBD##34#</v>
      </c>
    </row>
    <row r="121" spans="3:3">
      <c r="C121" s="12" t="str">
        <f>IF('CancerUnderStudy-Map-1-test'!E35="*  -&gt; ##34###34#","// --END",'CancerUnderStudy-Map-1-test'!E35)</f>
        <v>* pdL1 -&gt; ##34#TBD##34#</v>
      </c>
    </row>
    <row r="122" spans="3:3">
      <c r="C122" s="12" t="str">
        <f>IF('CancerUnderStudy-Map-1-test'!E36="*  -&gt; ##34###34#","// --END",'CancerUnderStudy-Map-1-test'!E36)</f>
        <v>* pdL1Method -&gt; ##34#TBD##34#</v>
      </c>
    </row>
    <row r="123" spans="3:3">
      <c r="C123" s="12" t="str">
        <f>IF('CancerUnderStudy-Map-1-test'!E37="*  -&gt; ##34###34#","// --END",'CancerUnderStudy-Map-1-test'!E37)</f>
        <v>* pdL1CpsValue -&gt; ##34#TBD##34#</v>
      </c>
    </row>
    <row r="124" spans="3:3">
      <c r="C124" s="12" t="str">
        <f>IF('CancerUnderStudy-Map-1-test'!E38="*  -&gt; ##34###34#","// --END",'CancerUnderStudy-Map-1-test'!E38)</f>
        <v>* pdL1TpsValue -&gt; ##34#TBD##34#</v>
      </c>
    </row>
    <row r="125" spans="3:3">
      <c r="C125" s="12" t="str">
        <f>IF('CancerUnderStudy-Map-1-test'!E39="*  -&gt; ##34###34#","// --END",'CancerUnderStudy-Map-1-test'!E39)</f>
        <v>* crpCReactiveProteinTested -&gt; ##34#TBD##34#</v>
      </c>
    </row>
    <row r="126" spans="3:3">
      <c r="C126" s="12" t="str">
        <f>IF('CancerUnderStudy-Map-1-test'!E40="*  -&gt; ##34###34#","// --END",'CancerUnderStudy-Map-1-test'!E40)</f>
        <v>* cReactiveProteinCrpMgDl -&gt; ##34#TBD##34#</v>
      </c>
    </row>
    <row r="127" spans="3:3">
      <c r="C127" s="12" t="str">
        <f>IF('CancerUnderStudy-Map-1-test'!E41="*  -&gt; ##34###34#","// --END",'CancerUnderStudy-Map-1-test'!E41)</f>
        <v>* instrumentStatus -&gt; ##34#TBD##34#</v>
      </c>
    </row>
    <row r="128" spans="3:3">
      <c r="C128" s="12" t="str">
        <f>IF('CancerUnderStudy-Map-1-test'!E42="*  -&gt; ##34###34#","// --END",'CancerUnderStudy-Map-1-test'!E42)</f>
        <v>// --END</v>
      </c>
    </row>
    <row r="129" spans="3:3">
      <c r="C129" s="12" t="str">
        <f>IF('CancerUnderStudy-Map-1-test'!E43="*  -&gt; ##34###34#","// --END",'CancerUnderStudy-Map-1-test'!E43)</f>
        <v>// --END</v>
      </c>
    </row>
    <row r="130" spans="3:3">
      <c r="C130" s="12" t="str">
        <f>IF('CancerUnderStudy-Map-1-test'!E44="*  -&gt; ##34###34#","// --END",'CancerUnderStudy-Map-1-test'!E44)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6349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22" t="s">
        <v>1483</v>
      </c>
      <c r="B1" s="123"/>
      <c r="C1" s="123"/>
      <c r="D1" s="123"/>
      <c r="E1" s="123"/>
      <c r="F1" s="123"/>
      <c r="G1" s="123"/>
      <c r="H1" s="123"/>
      <c r="I1" s="123"/>
      <c r="J1" s="123"/>
      <c r="K1" s="123"/>
      <c r="L1" s="123"/>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24" t="s">
        <v>1517</v>
      </c>
      <c r="B10" s="125"/>
      <c r="C10" s="125"/>
      <c r="D10" s="125"/>
      <c r="E10" s="125"/>
      <c r="F10" s="125"/>
      <c r="G10" s="125"/>
      <c r="H10" s="125"/>
      <c r="I10" s="125"/>
      <c r="J10" s="125"/>
      <c r="K10" s="125"/>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26" t="s">
        <v>1559</v>
      </c>
      <c r="B18" s="125"/>
      <c r="C18" s="125"/>
      <c r="D18" s="125"/>
      <c r="E18" s="125"/>
      <c r="F18" s="125"/>
      <c r="G18" s="125"/>
      <c r="H18" s="125"/>
      <c r="I18" s="125"/>
      <c r="J18" s="125"/>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27" t="s">
        <v>24</v>
      </c>
      <c r="B1" s="127"/>
      <c r="C1" s="127"/>
      <c r="D1" s="127"/>
      <c r="E1" s="127"/>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28" t="s">
        <v>121</v>
      </c>
      <c r="E24" s="31" t="s">
        <v>42</v>
      </c>
      <c r="F24" s="31" t="s">
        <v>119</v>
      </c>
      <c r="G24" s="31" t="s">
        <v>49</v>
      </c>
      <c r="H24" s="32" t="s">
        <v>38</v>
      </c>
    </row>
    <row r="25" spans="1:9" ht="42">
      <c r="A25" s="34" t="s">
        <v>122</v>
      </c>
      <c r="B25" s="31" t="s">
        <v>40</v>
      </c>
      <c r="C25" s="128"/>
      <c r="E25" s="31" t="s">
        <v>42</v>
      </c>
      <c r="F25" s="31" t="s">
        <v>119</v>
      </c>
      <c r="G25" s="31" t="s">
        <v>49</v>
      </c>
      <c r="H25" s="32" t="s">
        <v>38</v>
      </c>
      <c r="I25" s="43"/>
    </row>
    <row r="26" spans="1:9" ht="42">
      <c r="A26" s="34" t="s">
        <v>123</v>
      </c>
      <c r="B26" s="31" t="s">
        <v>40</v>
      </c>
      <c r="C26" s="128"/>
      <c r="E26" s="31" t="s">
        <v>42</v>
      </c>
      <c r="F26" s="31" t="s">
        <v>119</v>
      </c>
      <c r="G26" s="31" t="s">
        <v>49</v>
      </c>
      <c r="H26" s="32" t="s">
        <v>38</v>
      </c>
    </row>
    <row r="27" spans="1:9" ht="42">
      <c r="A27" s="34" t="s">
        <v>124</v>
      </c>
      <c r="B27" s="31" t="s">
        <v>40</v>
      </c>
      <c r="C27" s="128"/>
      <c r="E27" s="31" t="s">
        <v>42</v>
      </c>
      <c r="F27" s="31" t="s">
        <v>119</v>
      </c>
      <c r="G27" s="31" t="s">
        <v>49</v>
      </c>
      <c r="H27" s="32" t="s">
        <v>38</v>
      </c>
    </row>
    <row r="28" spans="1:9" ht="42">
      <c r="A28" s="34" t="s">
        <v>125</v>
      </c>
      <c r="B28" s="31" t="s">
        <v>40</v>
      </c>
      <c r="C28" s="128"/>
      <c r="E28" s="31" t="s">
        <v>42</v>
      </c>
      <c r="F28" s="31" t="s">
        <v>119</v>
      </c>
      <c r="G28" s="31" t="s">
        <v>49</v>
      </c>
      <c r="H28" s="32" t="s">
        <v>38</v>
      </c>
    </row>
    <row r="29" spans="1:9" ht="42">
      <c r="A29" s="34" t="s">
        <v>126</v>
      </c>
      <c r="B29" s="31" t="s">
        <v>40</v>
      </c>
      <c r="C29" s="128"/>
      <c r="E29" s="31" t="s">
        <v>42</v>
      </c>
      <c r="F29" s="31" t="s">
        <v>119</v>
      </c>
      <c r="G29" s="31" t="s">
        <v>49</v>
      </c>
      <c r="H29" s="32" t="s">
        <v>38</v>
      </c>
    </row>
    <row r="30" spans="1:9" ht="42">
      <c r="A30" s="34" t="s">
        <v>127</v>
      </c>
      <c r="B30" s="31" t="s">
        <v>40</v>
      </c>
      <c r="C30" s="128"/>
      <c r="E30" s="31" t="s">
        <v>42</v>
      </c>
      <c r="F30" s="31" t="s">
        <v>119</v>
      </c>
      <c r="G30" s="31" t="s">
        <v>49</v>
      </c>
      <c r="H30" s="32" t="s">
        <v>38</v>
      </c>
    </row>
    <row r="31" spans="1:9" ht="42">
      <c r="A31" s="34" t="s">
        <v>128</v>
      </c>
      <c r="B31" s="31" t="s">
        <v>40</v>
      </c>
      <c r="C31" s="128"/>
      <c r="E31" s="31" t="s">
        <v>42</v>
      </c>
      <c r="F31" s="31" t="s">
        <v>119</v>
      </c>
      <c r="G31" s="31" t="s">
        <v>49</v>
      </c>
      <c r="H31" s="32" t="s">
        <v>38</v>
      </c>
    </row>
    <row r="32" spans="1:9" ht="42">
      <c r="A32" s="34" t="s">
        <v>129</v>
      </c>
      <c r="B32" s="31" t="s">
        <v>40</v>
      </c>
      <c r="C32" s="128"/>
      <c r="E32" s="31" t="s">
        <v>42</v>
      </c>
      <c r="F32" s="31" t="s">
        <v>119</v>
      </c>
      <c r="G32" s="31" t="s">
        <v>49</v>
      </c>
      <c r="H32" s="32" t="s">
        <v>38</v>
      </c>
    </row>
    <row r="33" spans="1:9" ht="42">
      <c r="A33" s="34" t="s">
        <v>130</v>
      </c>
      <c r="B33" s="31" t="s">
        <v>40</v>
      </c>
      <c r="C33" s="128"/>
      <c r="E33" s="31" t="s">
        <v>42</v>
      </c>
      <c r="F33" s="31" t="s">
        <v>119</v>
      </c>
      <c r="G33" s="31" t="s">
        <v>49</v>
      </c>
      <c r="H33" s="32" t="s">
        <v>38</v>
      </c>
    </row>
    <row r="34" spans="1:9" ht="42">
      <c r="A34" s="34" t="s">
        <v>131</v>
      </c>
      <c r="B34" s="31" t="s">
        <v>40</v>
      </c>
      <c r="C34" s="128"/>
      <c r="E34" s="31" t="s">
        <v>42</v>
      </c>
      <c r="F34" s="31" t="s">
        <v>119</v>
      </c>
      <c r="G34" s="31" t="s">
        <v>49</v>
      </c>
      <c r="H34" s="32" t="s">
        <v>38</v>
      </c>
    </row>
    <row r="35" spans="1:9" ht="42">
      <c r="A35" s="34" t="s">
        <v>132</v>
      </c>
      <c r="B35" s="31" t="s">
        <v>40</v>
      </c>
      <c r="C35" s="128"/>
      <c r="E35" s="31" t="s">
        <v>42</v>
      </c>
      <c r="F35" s="31" t="s">
        <v>119</v>
      </c>
      <c r="G35" s="31" t="s">
        <v>49</v>
      </c>
      <c r="H35" s="32" t="s">
        <v>38</v>
      </c>
    </row>
    <row r="36" spans="1:9" ht="42">
      <c r="A36" s="34" t="s">
        <v>133</v>
      </c>
      <c r="B36" s="31" t="s">
        <v>40</v>
      </c>
      <c r="C36" s="128"/>
      <c r="E36" s="31" t="s">
        <v>42</v>
      </c>
      <c r="F36" s="31" t="s">
        <v>119</v>
      </c>
      <c r="G36" s="31" t="s">
        <v>49</v>
      </c>
      <c r="H36" s="32" t="s">
        <v>38</v>
      </c>
    </row>
    <row r="37" spans="1:9" ht="42">
      <c r="A37" s="34" t="s">
        <v>134</v>
      </c>
      <c r="B37" s="31" t="s">
        <v>40</v>
      </c>
      <c r="C37" s="128"/>
      <c r="E37" s="31" t="s">
        <v>42</v>
      </c>
      <c r="F37" s="31" t="s">
        <v>119</v>
      </c>
      <c r="G37" s="31" t="s">
        <v>49</v>
      </c>
      <c r="H37" s="32" t="s">
        <v>38</v>
      </c>
    </row>
    <row r="38" spans="1:9" ht="42">
      <c r="A38" s="34" t="s">
        <v>135</v>
      </c>
      <c r="B38" s="31" t="s">
        <v>40</v>
      </c>
      <c r="C38" s="128"/>
      <c r="E38" s="31" t="s">
        <v>42</v>
      </c>
      <c r="F38" s="31" t="s">
        <v>119</v>
      </c>
      <c r="G38" s="31" t="s">
        <v>49</v>
      </c>
      <c r="H38" s="32" t="s">
        <v>38</v>
      </c>
    </row>
    <row r="39" spans="1:9" ht="42">
      <c r="A39" s="34" t="s">
        <v>136</v>
      </c>
      <c r="B39" s="31" t="s">
        <v>40</v>
      </c>
      <c r="C39" s="128"/>
      <c r="E39" s="31" t="s">
        <v>42</v>
      </c>
      <c r="F39" s="31" t="s">
        <v>119</v>
      </c>
      <c r="G39" s="31" t="s">
        <v>49</v>
      </c>
      <c r="H39" s="32" t="s">
        <v>38</v>
      </c>
    </row>
    <row r="40" spans="1:9" ht="42">
      <c r="A40" s="34" t="s">
        <v>137</v>
      </c>
      <c r="B40" s="31" t="s">
        <v>40</v>
      </c>
      <c r="C40" s="128"/>
      <c r="E40" s="31" t="s">
        <v>42</v>
      </c>
      <c r="F40" s="31" t="s">
        <v>119</v>
      </c>
      <c r="G40" s="31" t="s">
        <v>49</v>
      </c>
      <c r="H40" s="32" t="s">
        <v>38</v>
      </c>
    </row>
    <row r="41" spans="1:9" ht="42">
      <c r="A41" s="34" t="s">
        <v>138</v>
      </c>
      <c r="B41" s="31" t="s">
        <v>40</v>
      </c>
      <c r="C41" s="128"/>
      <c r="E41" s="31" t="s">
        <v>42</v>
      </c>
      <c r="F41" s="31" t="s">
        <v>119</v>
      </c>
      <c r="G41" s="31" t="s">
        <v>49</v>
      </c>
      <c r="H41" s="32" t="s">
        <v>38</v>
      </c>
    </row>
    <row r="42" spans="1:9" ht="42">
      <c r="A42" s="34" t="s">
        <v>139</v>
      </c>
      <c r="B42" s="31" t="s">
        <v>40</v>
      </c>
      <c r="C42" s="128"/>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topLeftCell="G25"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1639</v>
      </c>
      <c r="J4" s="17" t="str">
        <f>CONCATENATE("Logical: ",B4)</f>
        <v>Logical: CancerUnderStudyI4rc</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1">
        <v>0</v>
      </c>
      <c r="B8" s="11" t="s">
        <v>1629</v>
      </c>
      <c r="C8" s="104" t="s">
        <v>1647</v>
      </c>
      <c r="D8" s="12" t="s">
        <v>1648</v>
      </c>
      <c r="E8" s="11">
        <v>0</v>
      </c>
      <c r="F8" s="11">
        <v>1</v>
      </c>
      <c r="G8" s="11" t="s">
        <v>164</v>
      </c>
      <c r="H8" s="12"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1">
        <v>1</v>
      </c>
      <c r="B9" s="11" t="s">
        <v>1630</v>
      </c>
      <c r="C9" s="104" t="s">
        <v>1502</v>
      </c>
      <c r="D9" s="12" t="s">
        <v>1649</v>
      </c>
      <c r="E9" s="11">
        <v>0</v>
      </c>
      <c r="F9" s="11">
        <v>1</v>
      </c>
      <c r="G9" s="11" t="s">
        <v>1631</v>
      </c>
      <c r="H9" s="12"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1">
        <v>2</v>
      </c>
      <c r="B10" s="14" t="s">
        <v>1634</v>
      </c>
      <c r="C10" s="106" t="s">
        <v>1650</v>
      </c>
      <c r="D10" s="106" t="s">
        <v>1651</v>
      </c>
      <c r="E10" s="11">
        <v>0</v>
      </c>
      <c r="F10" s="11">
        <v>1</v>
      </c>
      <c r="G10" s="11" t="s">
        <v>1</v>
      </c>
      <c r="H10" s="12"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1">
        <v>3</v>
      </c>
      <c r="B11" s="14" t="s">
        <v>1686</v>
      </c>
      <c r="C11" s="104" t="s">
        <v>1652</v>
      </c>
      <c r="D11" s="12" t="s">
        <v>1652</v>
      </c>
      <c r="E11" s="11">
        <v>0</v>
      </c>
      <c r="F11" s="11">
        <v>1</v>
      </c>
      <c r="G11" s="11" t="s">
        <v>2</v>
      </c>
      <c r="I11" s="26"/>
      <c r="J11" s="12" t="str">
        <f t="shared" si="0"/>
        <v>* histologyWho2017Subgroup 0..1 BackboneElement ##34#Histology WHO 2017 subgroup##34# ##334#Histology WHO 2017 subgroup##334#</v>
      </c>
      <c r="L11" s="12" t="str">
        <f t="shared" si="1"/>
        <v/>
      </c>
    </row>
    <row r="12" spans="1:12" ht="44.25">
      <c r="A12" s="11">
        <v>4</v>
      </c>
      <c r="B12" s="11" t="s">
        <v>1687</v>
      </c>
      <c r="C12" s="104" t="s">
        <v>1518</v>
      </c>
      <c r="D12" s="12" t="s">
        <v>1521</v>
      </c>
      <c r="E12" s="11">
        <v>0</v>
      </c>
      <c r="F12" s="11">
        <v>1</v>
      </c>
      <c r="G12" s="11" t="s">
        <v>1</v>
      </c>
      <c r="H12" s="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1">
        <v>5</v>
      </c>
      <c r="B13" s="11" t="s">
        <v>1688</v>
      </c>
      <c r="C13" s="105" t="s">
        <v>1524</v>
      </c>
      <c r="D13" s="51" t="s">
        <v>1527</v>
      </c>
      <c r="E13" s="11">
        <v>0</v>
      </c>
      <c r="F13" s="11">
        <v>1</v>
      </c>
      <c r="G13" s="11" t="s">
        <v>1</v>
      </c>
      <c r="H13" s="2"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1">
        <v>6</v>
      </c>
      <c r="B14" s="11" t="s">
        <v>1689</v>
      </c>
      <c r="C14" s="104" t="s">
        <v>1530</v>
      </c>
      <c r="D14" s="12" t="s">
        <v>1533</v>
      </c>
      <c r="E14" s="11">
        <v>0</v>
      </c>
      <c r="F14" s="11">
        <v>1</v>
      </c>
      <c r="G14" s="11" t="s">
        <v>1</v>
      </c>
      <c r="H14" s="12"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1">
        <v>7</v>
      </c>
      <c r="B15" s="11" t="s">
        <v>1690</v>
      </c>
      <c r="C15" s="104" t="s">
        <v>1536</v>
      </c>
      <c r="D15" s="12" t="s">
        <v>1539</v>
      </c>
      <c r="E15" s="11">
        <v>0</v>
      </c>
      <c r="F15" s="11">
        <v>1</v>
      </c>
      <c r="G15" s="11" t="s">
        <v>1</v>
      </c>
      <c r="H15" s="12"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1">
        <v>8</v>
      </c>
      <c r="B16" s="11" t="s">
        <v>1691</v>
      </c>
      <c r="C16" s="12" t="s">
        <v>1653</v>
      </c>
      <c r="D16" s="11" t="s">
        <v>1545</v>
      </c>
      <c r="E16" s="11">
        <v>0</v>
      </c>
      <c r="F16" s="11">
        <v>1</v>
      </c>
      <c r="G16" s="11" t="s">
        <v>1</v>
      </c>
      <c r="H16" s="12"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1">
        <v>9</v>
      </c>
      <c r="B17" s="11" t="s">
        <v>1632</v>
      </c>
      <c r="C17" s="11" t="s">
        <v>1654</v>
      </c>
      <c r="D17" s="11" t="s">
        <v>1655</v>
      </c>
      <c r="E17" s="11">
        <v>0</v>
      </c>
      <c r="F17" s="11">
        <v>1</v>
      </c>
      <c r="G17" s="11" t="s">
        <v>1</v>
      </c>
      <c r="H17" s="12"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1">
        <v>10</v>
      </c>
      <c r="B18" s="11" t="s">
        <v>1633</v>
      </c>
      <c r="C18" s="11" t="s">
        <v>1656</v>
      </c>
      <c r="D18" s="11" t="s">
        <v>1655</v>
      </c>
      <c r="E18" s="11">
        <v>0</v>
      </c>
      <c r="F18" s="11">
        <v>1</v>
      </c>
      <c r="G18" s="11" t="s">
        <v>1</v>
      </c>
      <c r="H18" s="12"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1">
        <v>11</v>
      </c>
      <c r="B19" s="11" t="s">
        <v>1692</v>
      </c>
      <c r="C19" s="12" t="s">
        <v>1559</v>
      </c>
      <c r="D19" s="12" t="s">
        <v>1559</v>
      </c>
      <c r="E19" s="11">
        <v>0</v>
      </c>
      <c r="F19" s="11">
        <v>1</v>
      </c>
      <c r="G19" s="11" t="s">
        <v>2</v>
      </c>
      <c r="H19" s="12"/>
      <c r="J19" s="12" t="str">
        <f t="shared" si="0"/>
        <v>* subsite 0..1 BackboneElement ##34#Subsite##34# ##334#Subsite##334#</v>
      </c>
      <c r="L19" s="12" t="str">
        <f t="shared" si="1"/>
        <v/>
      </c>
    </row>
    <row r="20" spans="1:13" ht="44.25">
      <c r="A20" s="11">
        <v>12</v>
      </c>
      <c r="B20" s="11" t="s">
        <v>1693</v>
      </c>
      <c r="C20" s="12" t="s">
        <v>1560</v>
      </c>
      <c r="D20" s="12" t="s">
        <v>1562</v>
      </c>
      <c r="E20" s="11">
        <v>0</v>
      </c>
      <c r="F20" s="11">
        <v>1</v>
      </c>
      <c r="G20" s="11" t="s">
        <v>1</v>
      </c>
      <c r="H20" s="12"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1">
        <v>13</v>
      </c>
      <c r="B21" s="11" t="s">
        <v>1694</v>
      </c>
      <c r="C21" s="12" t="s">
        <v>1566</v>
      </c>
      <c r="D21" s="12" t="s">
        <v>1567</v>
      </c>
      <c r="E21" s="11">
        <v>0</v>
      </c>
      <c r="F21" s="11">
        <v>1</v>
      </c>
      <c r="G21" s="11" t="s">
        <v>1</v>
      </c>
      <c r="H21" s="12"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1">
        <v>14</v>
      </c>
      <c r="B22" s="11" t="s">
        <v>1695</v>
      </c>
      <c r="C22" s="12" t="s">
        <v>1569</v>
      </c>
      <c r="D22" s="12" t="s">
        <v>1570</v>
      </c>
      <c r="E22" s="11">
        <v>0</v>
      </c>
      <c r="F22" s="11">
        <v>1</v>
      </c>
      <c r="G22" s="11" t="s">
        <v>1</v>
      </c>
      <c r="H22" s="1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1">
        <v>15</v>
      </c>
      <c r="B23" s="11" t="s">
        <v>1696</v>
      </c>
      <c r="C23" s="12" t="s">
        <v>1572</v>
      </c>
      <c r="D23" s="12" t="s">
        <v>1573</v>
      </c>
      <c r="E23" s="11">
        <v>0</v>
      </c>
      <c r="F23" s="11">
        <v>1</v>
      </c>
      <c r="G23" s="11" t="s">
        <v>1</v>
      </c>
      <c r="H23" s="12"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1">
        <v>16</v>
      </c>
      <c r="B24" s="11" t="s">
        <v>1697</v>
      </c>
      <c r="C24" s="12" t="s">
        <v>1575</v>
      </c>
      <c r="D24" s="12" t="s">
        <v>1576</v>
      </c>
      <c r="E24" s="11">
        <v>0</v>
      </c>
      <c r="F24" s="11">
        <v>1</v>
      </c>
      <c r="G24" s="11" t="s">
        <v>1</v>
      </c>
      <c r="H24" s="12"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1">
        <v>17</v>
      </c>
      <c r="B25" s="11" t="s">
        <v>1698</v>
      </c>
      <c r="C25" s="12" t="s">
        <v>1578</v>
      </c>
      <c r="D25" s="12" t="s">
        <v>1579</v>
      </c>
      <c r="E25" s="11">
        <v>0</v>
      </c>
      <c r="F25" s="11">
        <v>1</v>
      </c>
      <c r="G25" s="11" t="s">
        <v>1</v>
      </c>
      <c r="H25" s="12"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18</v>
      </c>
      <c r="B26" s="11" t="s">
        <v>1699</v>
      </c>
      <c r="C26" s="12" t="s">
        <v>1581</v>
      </c>
      <c r="D26" s="12" t="s">
        <v>1582</v>
      </c>
      <c r="E26" s="11">
        <v>0</v>
      </c>
      <c r="F26" s="11">
        <v>1</v>
      </c>
      <c r="G26" s="11" t="s">
        <v>1</v>
      </c>
      <c r="H26" s="12"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1">
        <v>19</v>
      </c>
      <c r="B27" s="11" t="s">
        <v>1700</v>
      </c>
      <c r="C27" s="12" t="s">
        <v>1584</v>
      </c>
      <c r="D27" s="11" t="s">
        <v>1657</v>
      </c>
      <c r="E27" s="11">
        <v>0</v>
      </c>
      <c r="F27" s="11">
        <v>1</v>
      </c>
      <c r="G27" s="11" t="s">
        <v>1</v>
      </c>
      <c r="H27" s="12"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1">
        <v>20</v>
      </c>
      <c r="B28" s="11" t="s">
        <v>1701</v>
      </c>
      <c r="C28" s="12" t="s">
        <v>1588</v>
      </c>
      <c r="D28" s="11" t="s">
        <v>1658</v>
      </c>
      <c r="E28" s="11">
        <v>0</v>
      </c>
      <c r="F28" s="11">
        <v>1</v>
      </c>
      <c r="G28" s="11" t="s">
        <v>1</v>
      </c>
      <c r="H28" s="12"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1">
        <v>21</v>
      </c>
      <c r="B29" s="11" t="s">
        <v>1702</v>
      </c>
      <c r="C29" s="12" t="s">
        <v>876</v>
      </c>
      <c r="D29" s="11" t="s">
        <v>1593</v>
      </c>
      <c r="E29" s="11">
        <v>0</v>
      </c>
      <c r="F29" s="11">
        <v>1</v>
      </c>
      <c r="G29" s="11" t="s">
        <v>1631</v>
      </c>
      <c r="H29" s="12"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1">
        <v>22</v>
      </c>
      <c r="B30" s="11" t="s">
        <v>1703</v>
      </c>
      <c r="C30" s="12" t="s">
        <v>1595</v>
      </c>
      <c r="D30" s="11" t="s">
        <v>1596</v>
      </c>
      <c r="E30" s="11">
        <v>0</v>
      </c>
      <c r="F30" s="11">
        <v>1</v>
      </c>
      <c r="G30" s="11" t="s">
        <v>1</v>
      </c>
      <c r="H30" s="12"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1">
        <v>23</v>
      </c>
      <c r="B31" s="11" t="s">
        <v>1704</v>
      </c>
      <c r="C31" s="12" t="s">
        <v>1599</v>
      </c>
      <c r="D31" s="11" t="s">
        <v>1601</v>
      </c>
      <c r="E31" s="11">
        <v>0</v>
      </c>
      <c r="F31" s="11">
        <v>1</v>
      </c>
      <c r="G31" s="11" t="s">
        <v>1</v>
      </c>
      <c r="H31" s="12"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1">
        <v>24</v>
      </c>
      <c r="B32" s="11" t="s">
        <v>1604</v>
      </c>
      <c r="C32" s="12" t="s">
        <v>1604</v>
      </c>
      <c r="D32" s="11" t="s">
        <v>1605</v>
      </c>
      <c r="E32" s="11">
        <v>0</v>
      </c>
      <c r="F32" s="11">
        <v>1</v>
      </c>
      <c r="G32" s="11" t="s">
        <v>1</v>
      </c>
      <c r="H32" s="1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1">
        <v>25</v>
      </c>
      <c r="B33" s="11" t="s">
        <v>1705</v>
      </c>
      <c r="C33" s="12" t="s">
        <v>1659</v>
      </c>
      <c r="D33" s="11" t="s">
        <v>1608</v>
      </c>
      <c r="E33" s="11">
        <v>0</v>
      </c>
      <c r="F33" s="11">
        <v>1</v>
      </c>
      <c r="G33" s="11" t="s">
        <v>1</v>
      </c>
      <c r="H33" s="12"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1">
        <v>26</v>
      </c>
      <c r="B34" s="11" t="s">
        <v>1706</v>
      </c>
      <c r="C34" s="12" t="s">
        <v>1660</v>
      </c>
      <c r="D34" s="11" t="s">
        <v>1611</v>
      </c>
      <c r="E34" s="11">
        <v>0</v>
      </c>
      <c r="F34" s="11">
        <v>1</v>
      </c>
      <c r="G34" s="11" t="s">
        <v>1</v>
      </c>
      <c r="H34" s="12"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1">
        <v>27</v>
      </c>
      <c r="B35" s="11" t="s">
        <v>1707</v>
      </c>
      <c r="C35" s="12" t="s">
        <v>1661</v>
      </c>
      <c r="D35" s="11" t="s">
        <v>1662</v>
      </c>
      <c r="E35" s="11">
        <v>0</v>
      </c>
      <c r="F35" s="11">
        <v>1</v>
      </c>
      <c r="G35" s="11" t="s">
        <v>1631</v>
      </c>
      <c r="H35" s="12"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1">
        <v>28</v>
      </c>
      <c r="B36" s="11" t="s">
        <v>1708</v>
      </c>
      <c r="C36" s="12" t="s">
        <v>1663</v>
      </c>
      <c r="D36" s="11" t="s">
        <v>1664</v>
      </c>
      <c r="E36" s="11">
        <v>0</v>
      </c>
      <c r="F36" s="11">
        <v>1</v>
      </c>
      <c r="G36" s="11" t="s">
        <v>1631</v>
      </c>
      <c r="H36" s="12"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1">
        <v>29</v>
      </c>
      <c r="B37" s="11" t="s">
        <v>1709</v>
      </c>
      <c r="C37" s="12" t="s">
        <v>1665</v>
      </c>
      <c r="D37" s="11" t="s">
        <v>1622</v>
      </c>
      <c r="E37" s="11">
        <v>0</v>
      </c>
      <c r="F37" s="11">
        <v>1</v>
      </c>
      <c r="G37" s="11" t="s">
        <v>1</v>
      </c>
      <c r="H37" s="12"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1">
        <v>30</v>
      </c>
      <c r="B38" s="11" t="s">
        <v>1710</v>
      </c>
      <c r="C38" s="12" t="s">
        <v>1666</v>
      </c>
      <c r="D38" s="11" t="s">
        <v>1667</v>
      </c>
      <c r="E38" s="11">
        <v>0</v>
      </c>
      <c r="F38" s="11">
        <v>1</v>
      </c>
      <c r="G38" s="11" t="s">
        <v>1631</v>
      </c>
      <c r="H38" s="12"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1">
        <v>31</v>
      </c>
      <c r="B39" s="11" t="s">
        <v>1711</v>
      </c>
      <c r="C39" s="12" t="s">
        <v>1626</v>
      </c>
      <c r="D39" s="11" t="s">
        <v>153</v>
      </c>
      <c r="E39" s="11">
        <v>0</v>
      </c>
      <c r="F39" s="11">
        <v>1</v>
      </c>
      <c r="G39" s="11" t="s">
        <v>165</v>
      </c>
      <c r="H39" s="12"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B7" sqref="B7"/>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1637</v>
      </c>
      <c r="E9" s="28" t="str">
        <f>CONCATENATE("* -&gt; ##34#",C9,"##34#")</f>
        <v>* -&gt; ##34#TBD##34#</v>
      </c>
      <c r="H9" s="7"/>
      <c r="I9" s="7"/>
      <c r="J9" s="7"/>
      <c r="K9" s="7"/>
      <c r="L9" s="7"/>
      <c r="M9" s="7"/>
      <c r="N9" s="7"/>
      <c r="O9" s="7"/>
    </row>
    <row r="10" spans="1:15">
      <c r="A10" s="11"/>
      <c r="B10" s="11" t="str">
        <f>CancerUnderStudy!B8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1637</v>
      </c>
      <c r="E11" s="12" t="str">
        <f t="shared" si="0"/>
        <v>* ageAtDiagnosis -&gt; ##34#TBD##34#</v>
      </c>
      <c r="H11" s="7"/>
      <c r="I11" s="7"/>
      <c r="J11" s="7"/>
      <c r="K11" s="7"/>
      <c r="L11" s="7"/>
      <c r="M11" s="7"/>
      <c r="N11" s="7"/>
      <c r="O11" s="7"/>
    </row>
    <row r="12" spans="1:15">
      <c r="A12" s="11"/>
      <c r="B12" s="11" t="str">
        <f>CancerUnderStudy!B10</f>
        <v>histologyGroup</v>
      </c>
      <c r="C12" s="11" t="s">
        <v>1637</v>
      </c>
      <c r="E12" s="12" t="str">
        <f t="shared" si="0"/>
        <v>* histologyGroup -&gt; ##34#TBD##34#</v>
      </c>
      <c r="H12" s="7"/>
      <c r="I12" s="7"/>
      <c r="J12" s="7"/>
      <c r="K12" s="7"/>
      <c r="L12" s="7"/>
      <c r="M12" s="7"/>
      <c r="N12" s="7"/>
      <c r="O12" s="7"/>
    </row>
    <row r="13" spans="1:15">
      <c r="A13" s="11"/>
      <c r="B13" s="11" t="str">
        <f>CancerUnderStudy!B11</f>
        <v>histologyWho2017Subgroup</v>
      </c>
      <c r="C13" s="11" t="s">
        <v>1637</v>
      </c>
      <c r="E13" s="12" t="str">
        <f t="shared" si="0"/>
        <v>* histologyWho2017Subgroup -&gt; ##34#TBD##34#</v>
      </c>
      <c r="H13" s="7"/>
      <c r="I13" s="7"/>
      <c r="J13" s="7"/>
      <c r="K13" s="7"/>
      <c r="L13" s="7"/>
      <c r="M13" s="7"/>
      <c r="N13" s="7"/>
      <c r="O13" s="7"/>
    </row>
    <row r="14" spans="1:15">
      <c r="A14" s="11"/>
      <c r="B14" s="11" t="str">
        <f>CancerUnderStudy!B12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CancerUnderStudy!B15</f>
        <v>histologyWho2017Subgroup.OdontogenicCarcinoma</v>
      </c>
      <c r="C17" s="11" t="s">
        <v>1637</v>
      </c>
      <c r="E17" s="12" t="str">
        <f t="shared" si="0"/>
        <v>* histologyWho2017Subgroup.OdontogenicCarcinoma -&gt; ##34#TBD##34#</v>
      </c>
    </row>
    <row r="18" spans="1:5">
      <c r="A18" s="11"/>
      <c r="B18" s="11" t="str">
        <f>CancerUnderStudy!B16</f>
        <v>histologyWho2017Subgroup.SNUC</v>
      </c>
      <c r="C18" s="11" t="s">
        <v>1637</v>
      </c>
      <c r="E18" s="12" t="str">
        <f t="shared" si="0"/>
        <v>* histologyWho2017Subgroup.SNUC -&gt; ##34#TBD##34#</v>
      </c>
    </row>
    <row r="19" spans="1:5">
      <c r="A19" s="11"/>
      <c r="B19" s="11" t="str">
        <f>CancerUnderStudy!B17</f>
        <v>siteRare</v>
      </c>
      <c r="C19" s="11" t="s">
        <v>1637</v>
      </c>
      <c r="E19" s="12" t="str">
        <f t="shared" si="0"/>
        <v>* siteRare -&gt; ##34#TBD##34#</v>
      </c>
    </row>
    <row r="20" spans="1:5">
      <c r="A20" s="11"/>
      <c r="B20" s="11" t="str">
        <f>CancerUnderStudy!B18</f>
        <v>siteCommonAndRare</v>
      </c>
      <c r="C20" s="11" t="s">
        <v>1637</v>
      </c>
      <c r="E20" s="12" t="str">
        <f t="shared" si="0"/>
        <v>* siteCommonAndRare -&gt; ##34#TBD##34#</v>
      </c>
    </row>
    <row r="21" spans="1:5">
      <c r="B21" s="11" t="str">
        <f>CancerUnderStudy!B19</f>
        <v>subsite</v>
      </c>
      <c r="C21" s="11" t="s">
        <v>1637</v>
      </c>
      <c r="E21" s="12" t="str">
        <f t="shared" si="0"/>
        <v>* subsite -&gt; ##34#TBD##34#</v>
      </c>
    </row>
    <row r="22" spans="1:5">
      <c r="B22" s="11" t="str">
        <f>CancerUnderStudy!B20</f>
        <v>subsite.nasalCavityAndParanasalSinusesSubsite</v>
      </c>
      <c r="C22" s="11" t="s">
        <v>1637</v>
      </c>
      <c r="E22" s="12" t="str">
        <f t="shared" si="0"/>
        <v>* subsite.nasalCavityAndParanasalSinusesSubsite -&gt; ##34#TBD##34#</v>
      </c>
    </row>
    <row r="23" spans="1:5">
      <c r="B23" s="11" t="str">
        <f>CancerUnderStudy!B21</f>
        <v>subsite.nasopharynxSubsite</v>
      </c>
      <c r="C23" s="11" t="s">
        <v>1637</v>
      </c>
      <c r="E23" s="12" t="str">
        <f t="shared" si="0"/>
        <v>* subsite.nasopharynxSubsite -&gt; ##34#TBD##34#</v>
      </c>
    </row>
    <row r="24" spans="1:5">
      <c r="B24" s="11" t="str">
        <f>CancerUnderStudy!B22</f>
        <v>subsite.hypopharynxSubsite</v>
      </c>
      <c r="C24" s="11" t="s">
        <v>1637</v>
      </c>
      <c r="E24" s="12" t="str">
        <f t="shared" si="0"/>
        <v>* subsite.hypopharynxSubsite -&gt; ##34#TBD##34#</v>
      </c>
    </row>
    <row r="25" spans="1:5">
      <c r="B25" s="11" t="str">
        <f>CancerUnderStudy!B23</f>
        <v>subsite.oropharynxSubsite</v>
      </c>
      <c r="C25" s="11" t="s">
        <v>1637</v>
      </c>
      <c r="E25" s="12" t="str">
        <f t="shared" si="0"/>
        <v>* subsite.oropharynxSubsite -&gt; ##34#TBD##34#</v>
      </c>
    </row>
    <row r="26" spans="1:5">
      <c r="B26" s="11" t="str">
        <f>CancerUnderStudy!B24</f>
        <v>subsite.larynxSubsite</v>
      </c>
      <c r="C26" s="11" t="s">
        <v>1637</v>
      </c>
      <c r="E26" s="12" t="str">
        <f t="shared" si="0"/>
        <v>* subsite.larynxSubsite -&gt; ##34#TBD##34#</v>
      </c>
    </row>
    <row r="27" spans="1:5">
      <c r="B27" s="11" t="str">
        <f>CancerUnderStudy!B25</f>
        <v>subsite.oralCavitySubsite</v>
      </c>
      <c r="C27" s="11" t="s">
        <v>1637</v>
      </c>
      <c r="E27" s="12" t="str">
        <f t="shared" si="0"/>
        <v>* subsite.oralCavitySubsite -&gt; ##34#TBD##34#</v>
      </c>
    </row>
    <row r="28" spans="1:5">
      <c r="B28" s="11" t="str">
        <f>CancerUnderStudy!B26</f>
        <v>subsite.lipSubsite</v>
      </c>
      <c r="C28" s="11" t="s">
        <v>1637</v>
      </c>
      <c r="E28" s="12" t="str">
        <f t="shared" si="0"/>
        <v>* subsite.lipSubsite -&gt; ##34#TBD##34#</v>
      </c>
    </row>
    <row r="29" spans="1:5">
      <c r="B29" s="11" t="str">
        <f>CancerUnderStudy!B27</f>
        <v>plasmaticEbvDnaAtBaseline</v>
      </c>
      <c r="C29" s="11" t="s">
        <v>1637</v>
      </c>
      <c r="E29" s="12" t="str">
        <f t="shared" si="0"/>
        <v>* plasmaticEbvDnaAtBaseline -&gt; ##34#TBD##34#</v>
      </c>
    </row>
    <row r="30" spans="1:5">
      <c r="B30" s="11" t="str">
        <f>CancerUnderStudy!B28</f>
        <v>primerType</v>
      </c>
      <c r="C30" s="11" t="s">
        <v>1637</v>
      </c>
      <c r="E30" s="12" t="str">
        <f t="shared" si="0"/>
        <v>* primerType -&gt; ##34#TBD##34#</v>
      </c>
    </row>
    <row r="31" spans="1:5">
      <c r="B31" s="11" t="str">
        <f>CancerUnderStudy!B29</f>
        <v>copyNumber</v>
      </c>
      <c r="C31" s="11" t="s">
        <v>1637</v>
      </c>
      <c r="E31" s="12" t="str">
        <f t="shared" si="0"/>
        <v>* copyNumber -&gt; ##34#TBD##34#</v>
      </c>
    </row>
    <row r="32" spans="1:5">
      <c r="B32" s="11" t="str">
        <f>CancerUnderStudy!B30</f>
        <v>hpvStatus</v>
      </c>
      <c r="C32" s="11" t="s">
        <v>1637</v>
      </c>
      <c r="E32" s="12" t="str">
        <f t="shared" si="0"/>
        <v>* hpvStatus -&gt; ##34#TBD##34#</v>
      </c>
    </row>
    <row r="33" spans="2:5">
      <c r="B33" s="11" t="str">
        <f>CancerUnderStudy!B31</f>
        <v>hpvStatusDetectedBy</v>
      </c>
      <c r="C33" s="11" t="s">
        <v>1637</v>
      </c>
      <c r="E33" s="12" t="str">
        <f t="shared" si="0"/>
        <v>* hpvStatusDetectedBy -&gt; ##34#TBD##34#</v>
      </c>
    </row>
    <row r="34" spans="2:5">
      <c r="B34" s="11" t="str">
        <f>CancerUnderStudy!B32</f>
        <v>p16</v>
      </c>
      <c r="C34" s="11" t="s">
        <v>1637</v>
      </c>
      <c r="E34" s="12" t="str">
        <f t="shared" si="0"/>
        <v>* p16 -&gt; ##34#TBD##34#</v>
      </c>
    </row>
    <row r="35" spans="2:5">
      <c r="B35" s="11" t="str">
        <f>CancerUnderStudy!B33</f>
        <v>pdL1</v>
      </c>
      <c r="C35" s="11" t="s">
        <v>1637</v>
      </c>
      <c r="E35" s="12" t="str">
        <f t="shared" si="0"/>
        <v>* pdL1 -&gt; ##34#TBD##34#</v>
      </c>
    </row>
    <row r="36" spans="2:5">
      <c r="B36" s="11" t="str">
        <f>CancerUnderStudy!B34</f>
        <v>pdL1Method</v>
      </c>
      <c r="C36" s="11" t="s">
        <v>1637</v>
      </c>
      <c r="E36" s="12" t="str">
        <f t="shared" si="0"/>
        <v>* pdL1Method -&gt; ##34#TBD##34#</v>
      </c>
    </row>
    <row r="37" spans="2:5">
      <c r="B37" s="11" t="str">
        <f>CancerUnderStudy!B35</f>
        <v>pdL1CpsValue</v>
      </c>
      <c r="C37" s="11" t="s">
        <v>1637</v>
      </c>
      <c r="E37" s="12" t="str">
        <f t="shared" si="0"/>
        <v>* pdL1CpsValue -&gt; ##34#TBD##34#</v>
      </c>
    </row>
    <row r="38" spans="2:5">
      <c r="B38" s="11" t="str">
        <f>CancerUnderStudy!B36</f>
        <v>pdL1TpsValue</v>
      </c>
      <c r="C38" s="11" t="s">
        <v>1637</v>
      </c>
      <c r="E38" s="12" t="str">
        <f t="shared" si="0"/>
        <v>* pdL1TpsValue -&gt; ##34#TBD##34#</v>
      </c>
    </row>
    <row r="39" spans="2:5">
      <c r="B39" s="11" t="str">
        <f>CancerUnderStudy!B37</f>
        <v>crpCReactiveProteinTested</v>
      </c>
      <c r="C39" s="11" t="s">
        <v>1637</v>
      </c>
      <c r="E39" s="12" t="str">
        <f t="shared" si="0"/>
        <v>* crpCReactiveProteinTested -&gt; ##34#TBD##34#</v>
      </c>
    </row>
    <row r="40" spans="2:5">
      <c r="B40" s="11" t="str">
        <f>CancerUnderStudy!B38</f>
        <v>cReactiveProteinCrpMgDl</v>
      </c>
      <c r="C40" s="11" t="s">
        <v>1637</v>
      </c>
      <c r="E40" s="12" t="str">
        <f t="shared" si="0"/>
        <v>* cReactiveProteinCrpMgDl -&gt; ##34#TBD##34#</v>
      </c>
    </row>
    <row r="41" spans="2:5">
      <c r="B41" s="11" t="str">
        <f>CancerUnderStudy!B39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workbookViewId="0">
      <selection activeCell="B7" sqref="B7"/>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1638</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##334#Cancer Under Study
Maturity Level: 0 Draft##334#</v>
      </c>
    </row>
    <row r="8" spans="3:7" ht="29.5">
      <c r="C8" s="12" t="str">
        <f>IF(CancerUnderStudy!J8="*  ..  ##34###34# ##334###334#","//--- END",CancerUnderStudy!J8)</f>
        <v>* diagnosisDate 0..1 date ##34#Date of diagnosis biopsy or surgical piece##34# ##334#Date of the procedure from which the specimen was obtained that allowed the histological diagnosis##334#</v>
      </c>
    </row>
    <row r="9" spans="3:7">
      <c r="C9" s="12" t="str">
        <f>IF(CancerUnderStudy!J9="*  ..  ##34###34# ##334###334#","//--- END",CancerUnderStudy!J9)</f>
        <v>* ageAtDiagnosis 0..1 integer ##34#Age at diagnosis manual##34# ##334#Age of the patient at the time of the diagnosis##334#</v>
      </c>
    </row>
    <row r="10" spans="3:7" ht="29.5">
      <c r="C10" s="12" t="str">
        <f>IF(CancerUnderStudy!J10="*  ..  ##34###34# ##334###334#","//--- END",CancerUnderStudy!J10)</f>
        <v>* histologyGroup 0..1 string ##34#Histology WHO 2017 group##34# ##334#Histology of prymary tumour  according to WHO 2017 clasification##334#</v>
      </c>
    </row>
    <row r="11" spans="3:7" ht="29.5">
      <c r="C11" s="12" t="str">
        <f>IF(CancerUnderStudy!J11="*  ..  ##34###34# ##334###334#","//--- END",CancerUnderStudy!J11)</f>
        <v>* histologyWho2017Subgroup 0..1 BackboneElement ##34#Histology WHO 2017 subgroup##34# ##334#Histology WHO 2017 subgroup##334#</v>
      </c>
    </row>
    <row r="12" spans="3:7" ht="29.5">
      <c r="C12" s="12" t="str">
        <f>IF(CancerUnderStudy!J12="*  ..  ##34###34# ##334###334#","//--- END",CancerUnderStudy!J12)</f>
        <v>* histologyWho2017Subgroup.Squamous 0..1 string ##34#Histology subgroup Squamous##34# ##334#Specifies the histological subgroup for squamous cancers##334#</v>
      </c>
    </row>
    <row r="13" spans="3:7" ht="29.5">
      <c r="C13" s="12" t="str">
        <f>IF(CancerUnderStudy!J13="*  ..  ##34###34# ##334###334#","//--- END",CancerUnderStudy!J13)</f>
        <v>* histologyWho2017Subgroup.Adenocarcinoma 0..1 string ##34#Histology subgroup Adenocarcinoma##34# ##334#Specifies the histological subgroup for adenocarcinomas##334#</v>
      </c>
    </row>
    <row r="14" spans="3:7" ht="29.5">
      <c r="C14" s="12" t="str">
        <f>IF(CancerUnderStudy!J14="*  ..  ##34###34# ##334###334#","//--- END",CancerUnderStudy!J14)</f>
        <v>* histologyWho2017Subgroup.Neuroendocrine 0..1 string ##34#Histology subgroup Neuroendocrine##34# ##334#Specifies the histological subgroup for neuroendocrine cancers ##334#</v>
      </c>
    </row>
    <row r="15" spans="3:7" ht="29.5">
      <c r="C15" s="12" t="str">
        <f>IF(CancerUnderStudy!J15="*  ..  ##34###34# ##334###334#","//--- END",CancerUnderStudy!J15)</f>
        <v>* histologyWho2017Subgroup.OdontogenicCarcinoma 0..1 string ##34#Histology subgroup Odontogenic carcinoma##34# ##334#Specifies the histological subgroup for odontogenic carcinomas##334#</v>
      </c>
    </row>
    <row r="16" spans="3:7" ht="29.5">
      <c r="C16" s="12" t="str">
        <f>IF(CancerUnderStudy!J16="*  ..  ##34###34# ##334###334#","//--- END",CancerUnderStudy!J16)</f>
        <v>* histologyWho2017Subgroup.SNUC 0..1 string ##34#Histology subgroup Sinonasal undifferentiated carcinoma SNUC##34# ##334#Specifies the histological subgroup for sinonasl undifferentiated carcinomas##334#</v>
      </c>
    </row>
    <row r="17" spans="3:3">
      <c r="C17" s="12" t="str">
        <f>IF(CancerUnderStudy!J17="*  ..  ##34###34# ##334###334#","//--- END",CancerUnderStudy!J17)</f>
        <v>* siteRare 0..1 string ##34#Site  rare AJCC##34# ##334#Describe the primary tumor site according to AJCC ##334#</v>
      </c>
    </row>
    <row r="18" spans="3:3" ht="29.5">
      <c r="C18" s="12" t="str">
        <f>IF(CancerUnderStudy!J18="*  ..  ##34###34# ##334###334#","//--- END",CancerUnderStudy!J18)</f>
        <v>* siteCommonAndRare 0..1 string ##34#Site common and rare AJCC##34# ##334#Describe the primary tumor site according to AJCC ##334#</v>
      </c>
    </row>
    <row r="19" spans="3:3">
      <c r="C19" s="12" t="str">
        <f>IF(CancerUnderStudy!J19="*  ..  ##34###34# ##334###334#","//--- END",CancerUnderStudy!J19)</f>
        <v>* subsite 0..1 BackboneElement ##34#Subsite##34# ##334#Subsite##334#</v>
      </c>
    </row>
    <row r="20" spans="3:3" ht="29.5">
      <c r="C20" s="12" t="str">
        <f>IF(CancerUnderStudy!J20="*  ..  ##34###34# ##334###334#","//--- END",CancerUnderStudy!J20)</f>
        <v>* subsite.nasalCavityAndParanasalSinusesSubsite 0..1 string ##34#Nasal cavity and paranasal sinuses subsite##34# ##334#Specifies the subsite for cancers occurred in nasal cavity and paranasal sinusess##334#</v>
      </c>
    </row>
    <row r="21" spans="3:3" ht="29.5">
      <c r="C21" s="12" t="str">
        <f>IF(CancerUnderStudy!J21="*  ..  ##34###34# ##334###334#","//--- END",CancerUnderStudy!J21)</f>
        <v>* subsite.nasopharynxSubsite 0..1 string ##34#Nasopharynx  subsite##34# ##334#Specifies the subsite for cancers occurred in nasopharynx##334#</v>
      </c>
    </row>
    <row r="22" spans="3:3" ht="29.5">
      <c r="C22" s="12" t="str">
        <f>IF(CancerUnderStudy!J22="*  ..  ##34###34# ##334###334#","//--- END",CancerUnderStudy!J22)</f>
        <v>* subsite.hypopharynxSubsite 0..1 string ##34#Hypopharynx subsite##34# ##334#Specifies the subsite for cancers occurred in hypopharynx##334#</v>
      </c>
    </row>
    <row r="23" spans="3:3" ht="29.5">
      <c r="C23" s="12" t="str">
        <f>IF(CancerUnderStudy!J23="*  ..  ##34###34# ##334###334#","//--- END",CancerUnderStudy!J23)</f>
        <v>* subsite.oropharynxSubsite 0..1 string ##34#Oropharynx subsite##34# ##334#Specifies the subsite for cancers occurred in oropharynx##334#</v>
      </c>
    </row>
    <row r="24" spans="3:3">
      <c r="C24" s="12" t="str">
        <f>IF(CancerUnderStudy!J24="*  ..  ##34###34# ##334###334#","//--- END",CancerUnderStudy!J24)</f>
        <v>* subsite.larynxSubsite 0..1 string ##34#Larynx subsite##34# ##334#Specifies the subsite for cancers occurred in larynx##334#</v>
      </c>
    </row>
    <row r="25" spans="3:3" ht="29.5">
      <c r="C25" s="12" t="str">
        <f>IF(CancerUnderStudy!J25="*  ..  ##34###34# ##334###334#","//--- END",CancerUnderStudy!J25)</f>
        <v>* subsite.oralCavitySubsite 0..1 string ##34#Oral cavity subsite##34# ##334#Specifies the subsite for cancers occurred in oral cavity##334#</v>
      </c>
    </row>
    <row r="26" spans="3:3">
      <c r="C26" s="12" t="str">
        <f>IF(CancerUnderStudy!J26="*  ..  ##34###34# ##334###334#","//--- END",CancerUnderStudy!J26)</f>
        <v>* subsite.lipSubsite 0..1 string ##34#Lip subsite##34# ##334#Specifies the subsite for cancers occurred in lip##334#</v>
      </c>
    </row>
    <row r="27" spans="3:3" ht="29.5">
      <c r="C27" s="12" t="str">
        <f>IF(CancerUnderStudy!J27="*  ..  ##34###34# ##334###334#","//--- END",CancerUnderStudy!J27)</f>
        <v>* plasmaticEbvDnaAtBaseline 0..1 string ##34#Plasmatic EBV DNA at baseline##34# ##334#Describes the result of EBV DNA plasma testing before treatment in NPC type II and III WHO ##334#</v>
      </c>
    </row>
    <row r="28" spans="3:3" ht="29.5">
      <c r="C28" s="12" t="str">
        <f>IF(CancerUnderStudy!J28="*  ..  ##34###34# ##334###334#","//--- END",CancerUnderStudy!J28)</f>
        <v>* primerType 0..1 string ##34#Primer type##34# ##334#Describes the primer used for EBV DNA plasma testing t in NPC type II and Type III WHO ##334#</v>
      </c>
    </row>
    <row r="29" spans="3:3">
      <c r="C29" s="12" t="str">
        <f>IF(CancerUnderStudy!J29="*  ..  ##34###34# ##334###334#","//--- END",CancerUnderStudy!J29)</f>
        <v>* copyNumber 0..1 integer ##34#Copy Number##34# ##334#Copy number of EBVDNA##334#</v>
      </c>
    </row>
    <row r="30" spans="3:3">
      <c r="C30" s="12" t="str">
        <f>IF(CancerUnderStudy!J30="*  ..  ##34###34# ##334###334#","//--- END",CancerUnderStudy!J30)</f>
        <v>* hpvStatus 0..1 string ##34#HPV status##34# ##334#Describes the result of HPV tumor testing in oral carcinoma ##334#</v>
      </c>
    </row>
    <row r="31" spans="3:3" ht="29.5">
      <c r="C31" s="12" t="str">
        <f>IF(CancerUnderStudy!J31="*  ..  ##34###34# ##334###334#","//--- END",CancerUnderStudy!J31)</f>
        <v>* hpvStatusDetectedBy 0..1 string ##34#HPV status detected by##34# ##334#Describes the technique used for HPV tumour testing in orall carcinoma##334#</v>
      </c>
    </row>
    <row r="32" spans="3:3">
      <c r="C32" s="12" t="str">
        <f>IF(CancerUnderStudy!J32="*  ..  ##34###34# ##334###334#","//--- END",CancerUnderStudy!J32)</f>
        <v>* p16 0..1 string ##34#p16##34# ##334#Describes the result of p16 tumour testing in oral carcinoma##334#</v>
      </c>
    </row>
    <row r="33" spans="3:3">
      <c r="C33" s="12" t="str">
        <f>IF(CancerUnderStudy!J33="*  ..  ##34###34# ##334###334#","//--- END",CancerUnderStudy!J33)</f>
        <v>* pdL1 0..1 string ##34#PDL1##34# ##334#Describes the result of PDL tumour testing in oral carcinoma##334#</v>
      </c>
    </row>
    <row r="34" spans="3:3" ht="29.5">
      <c r="C34" s="12" t="str">
        <f>IF(CancerUnderStudy!J34="*  ..  ##34###34# ##334###334#","//--- END",CancerUnderStudy!J34)</f>
        <v>* pdL1Method 0..1 string ##34#PDL1 Method##34# ##334#Describes the technique used for PDL tumour testing in oral carcinoma##334#</v>
      </c>
    </row>
    <row r="35" spans="3:3">
      <c r="C35" s="12" t="str">
        <f>IF(CancerUnderStudy!J35="*  ..  ##34###34# ##334###334#","//--- END",CancerUnderStudy!J35)</f>
        <v>* pdL1CpsValue 0..1 integer ##34#PDL1 CPS value##34# ##334#Result of PDL1CPS testing when performed##334#</v>
      </c>
    </row>
    <row r="36" spans="3:3">
      <c r="C36" s="12" t="str">
        <f>IF(CancerUnderStudy!J36="*  ..  ##34###34# ##334###334#","//--- END",CancerUnderStudy!J36)</f>
        <v>* pdL1TpsValue 0..1 integer ##34#PDL1 TPS value##34# ##334#Result of PDL1TPS testing when performed##334#</v>
      </c>
    </row>
    <row r="37" spans="3:3" ht="29.5">
      <c r="C37" s="12" t="str">
        <f>IF(CancerUnderStudy!J37="*  ..  ##34###34# ##334###334#","//--- END",CancerUnderStudy!J37)</f>
        <v>* crpCReactiveProteinTested 0..1 string ##34#CRP  C reactive protein tested ##34# ##334#Describes the result of C reactive protein testing##334#</v>
      </c>
    </row>
    <row r="38" spans="3:3" ht="29.5">
      <c r="C38" s="12" t="str">
        <f>IF(CancerUnderStudy!J38="*  ..  ##34###34# ##334###334#","//--- END",CancerUnderStudy!J38)</f>
        <v>* cReactiveProteinCrpMgDl 0..1 integer ##34#C reactive protein  CRP mgdl##34# ##334#Result of CRP testing when performed##334#</v>
      </c>
    </row>
    <row r="39" spans="3:3">
      <c r="C39" s="12" t="str">
        <f>IF(CancerUnderStudy!J39="*  ..  ##34###34# ##334###334#","//--- END",CancerUnderStudy!J39)</f>
        <v>* instrumentStatus 0..1 boolean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1644</v>
      </c>
    </row>
    <row r="47" spans="3:3">
      <c r="C47" s="25" t="s">
        <v>20</v>
      </c>
    </row>
    <row r="48" spans="3:3">
      <c r="C48" s="25" t="s">
        <v>1644</v>
      </c>
    </row>
    <row r="49" spans="3:3" ht="44.25">
      <c r="C49" s="12" t="str">
        <f>IF(CancerUnderStudy!L8="*  ..  ##34###34# ##334###334#","//--- END",CancerUnderStudy!L8)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IF(CancerUnderStudy!L9="*  ..  ##34###34# ##334###334#","//--- END",CancerUnderStudy!L9)</f>
        <v>* ageAtDiagnosis ^comment = ##334#An integer value  0 We use the 1 value for unknown Automatic  calculation from date of birth and date of diagnosis##334#</v>
      </c>
    </row>
    <row r="51" spans="3:3">
      <c r="C51" s="12" t="str">
        <f>IF(CancerUnderStudy!L10="*  ..  ##34###34# ##334###334#","//--- END",CancerUnderStudy!L10)</f>
        <v>* histologyGroup ^comment = ##334#A value in the WHO 2017 HN classification list##334#</v>
      </c>
    </row>
    <row r="52" spans="3:3">
      <c r="C52" s="12" t="str">
        <f>IF(CancerUnderStudy!L11="*  ..  ##34###34# ##334###334#","//--- END",CancerUnderStudy!L11)</f>
        <v/>
      </c>
    </row>
    <row r="53" spans="3:3">
      <c r="C53" s="12" t="str">
        <f>IF(CancerUnderStudy!L12="*  ..  ##34###34# ##334###334#","//--- END",CancerUnderStudy!L12)</f>
        <v>* histologyWho2017Subgroup.Squamous ^comment = ##334#A value in the WHO 2017 HN squamous classification list##334#</v>
      </c>
    </row>
    <row r="54" spans="3:3" ht="29.5">
      <c r="C54" s="12" t="str">
        <f>IF(CancerUnderStudy!L13="*  ..  ##34###34# ##334###334#","//--- END",CancerUnderStudy!L13)</f>
        <v>* histologyWho2017Subgroup.Adenocarcinoma ^comment = ##334#A value in the WHO 2017 HN adenocarcinoma classification list##334#</v>
      </c>
    </row>
    <row r="55" spans="3:3" ht="29.5">
      <c r="C55" s="12" t="str">
        <f>IF(CancerUnderStudy!L14="*  ..  ##34###34# ##334###334#","//--- END",CancerUnderStudy!L14)</f>
        <v>* histologyWho2017Subgroup.Neuroendocrine ^comment = ##334#A value in the WHO 2017 HN neuroendocrine classification list##334#</v>
      </c>
    </row>
    <row r="56" spans="3:3" ht="29.5">
      <c r="C56" s="12" t="str">
        <f>IF(CancerUnderStudy!L15="*  ..  ##34###34# ##334###334#","//--- END",CancerUnderStudy!L15)</f>
        <v>* histologyWho2017Subgroup.OdontogenicCarcinoma ^comment = ##334#A value in the WHO 2017 HN odontogenic carcinoma classification list##334#</v>
      </c>
    </row>
    <row r="57" spans="3:3">
      <c r="C57" s="12" t="str">
        <f>IF(CancerUnderStudy!L16="*  ..  ##34###34# ##334###334#","//--- END",CancerUnderStudy!L16)</f>
        <v>* histologyWho2017Subgroup.SNUC ^comment = ##334#A value in the WHO 2017 HN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histologyWho2017Subgroup -&gt; ##34#TBD##34#</v>
      </c>
    </row>
    <row r="100" spans="3:3">
      <c r="C100" s="12" t="str">
        <f>IF('CancerUnderStudy-Map-1'!E14="*  -&gt; ##34###34#","// --END",'CancerUnderStudy-Map-1'!E14)</f>
        <v>* histologyWho2017Subgroup.Squamous -&gt; ##34#TBD##34#</v>
      </c>
    </row>
    <row r="101" spans="3:3">
      <c r="C101" s="12" t="str">
        <f>IF('CancerUnderStudy-Map-1'!E15="*  -&gt; ##34###34#","// --END",'CancerUnderStudy-Map-1'!E15)</f>
        <v>* histologyWho2017Subgroup.Adenocarcinoma -&gt; ##34#TBD##34#</v>
      </c>
    </row>
    <row r="102" spans="3:3">
      <c r="C102" s="12" t="str">
        <f>IF('CancerUnderStudy-Map-1'!E16="*  -&gt; ##34###34#","// --END",'CancerUnderStudy-Map-1'!E16)</f>
        <v>* histologyWho2017Subgroup.Neuroendocrine -&gt; ##34#TBD##34#</v>
      </c>
    </row>
    <row r="103" spans="3:3">
      <c r="C103" s="12" t="str">
        <f>IF('CancerUnderStudy-Map-1'!E17="*  -&gt; ##34###34#","// --END",'CancerUnderStudy-Map-1'!E17)</f>
        <v>* histologyWho2017Subgroup.OdontogenicCarcinoma -&gt; ##34#TBD##34#</v>
      </c>
    </row>
    <row r="104" spans="3:3">
      <c r="C104" s="12" t="str">
        <f>IF('CancerUnderStudy-Map-1'!E18="*  -&gt; ##34###34#","// --END",'CancerUnderStudy-Map-1'!E18)</f>
        <v>* histologyWho2017Subgroup.SNUC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 biopsy or surgical piece</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 biopsy or surgical piece##34#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 manual</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 manual##34#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CancerUnderStudy.histologyWho2017Subgroup</v>
      </c>
      <c r="C13" s="11" t="str">
        <f>CancerUnderStudy!C11</f>
        <v>Histology WHO 2017 subgroup</v>
      </c>
      <c r="D13" s="11"/>
      <c r="E13" s="11"/>
      <c r="F13" s="68" t="s">
        <v>1434</v>
      </c>
      <c r="G13" s="62"/>
      <c r="H13" s="12" t="str">
        <f t="shared" si="0"/>
        <v>* group[=].element[+].code = #CancerUnderStudy.histologyWho2017Subgroup</v>
      </c>
      <c r="I13" s="12" t="str">
        <f t="shared" si="1"/>
        <v>* group[=].element[=].display = ##34#Histology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CancerUnderStudy.histologyWho2017Subgroup.Squamous</v>
      </c>
      <c r="C14" s="11" t="str">
        <f>CancerUnderStudy!C12</f>
        <v>Histology subgroup Squamous</v>
      </c>
      <c r="D14" s="11"/>
      <c r="E14" s="11"/>
      <c r="F14" s="68" t="s">
        <v>1434</v>
      </c>
      <c r="G14" s="62"/>
      <c r="H14" s="12" t="str">
        <f t="shared" si="0"/>
        <v>* group[=].element[+].code = #CancerUnderStudy.histologyWho2017Subgroup.Squamous</v>
      </c>
      <c r="I14" s="12" t="str">
        <f t="shared" si="1"/>
        <v>* group[=].element[=].display = ##34#Histology subgroup Squamous##34#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CancerUnderStudy.histologyWho2017Subgroup.Adenocarcinoma</v>
      </c>
      <c r="C15" s="11" t="str">
        <f>CancerUnderStudy!C13</f>
        <v>Histology subgroup Adenocarcinoma</v>
      </c>
      <c r="D15" s="11" t="str">
        <f>ConvertOsiris!I4</f>
        <v>Patient.Gender</v>
      </c>
      <c r="E15" s="11" t="str">
        <f>ConvertOsiris!J4</f>
        <v>Gender [C2]</v>
      </c>
      <c r="F15" s="68" t="s">
        <v>1443</v>
      </c>
      <c r="G15" s="62"/>
      <c r="H15" s="12" t="str">
        <f t="shared" si="0"/>
        <v>* group[=].element[+].code = #CancerUnderStudy.histologyWho2017Subgroup.Adenocarcinoma</v>
      </c>
      <c r="I15" s="12" t="str">
        <f t="shared" si="1"/>
        <v>* group[=].element[=].display = ##34#Histology subgroup Adenocarcinoma##34#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CancerUnderStudy.histologyWho2017Subgroup.Neuroendocrine</v>
      </c>
      <c r="C16" s="11" t="str">
        <f>CancerUnderStudy!C14</f>
        <v>Histology subgroup Neuroendocrine</v>
      </c>
      <c r="D16" s="11" t="str">
        <f>ConvertOsiris!I5</f>
        <v>Patient.Ethnicity</v>
      </c>
      <c r="E16" s="11" t="str">
        <f>ConvertOsiris!J5</f>
        <v>Ethnicity [C3]</v>
      </c>
      <c r="F16" s="68" t="s">
        <v>1441</v>
      </c>
      <c r="G16" s="62"/>
      <c r="H16" s="12" t="str">
        <f t="shared" si="0"/>
        <v>* group[=].element[+].code = #CancerUnderStudy.histologyWho2017Subgroup.Neuroendocrine</v>
      </c>
      <c r="I16" s="12" t="str">
        <f t="shared" si="1"/>
        <v>* group[=].element[=].display = ##34#Histology subgroup Neuroendocrine##34#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 biopsy or surgical piece##34#</v>
      </c>
    </row>
    <row r="17" spans="1:17" ht="44.25">
      <c r="A17" s="63"/>
      <c r="B17" s="11" t="str">
        <f>$B$10&amp;"."&amp;CancerUnderStudy!B15</f>
        <v>CancerUnderStudy.histologyWho2017Subgroup.OdontogenicCarcinoma</v>
      </c>
      <c r="C17" s="11" t="str">
        <f>CancerUnderStudy!C15</f>
        <v>Histology subgroup Odontogenic carcinoma</v>
      </c>
      <c r="D17" s="11"/>
      <c r="E17" s="12"/>
      <c r="F17" s="68" t="s">
        <v>1434</v>
      </c>
      <c r="G17" s="62"/>
      <c r="H17" s="12" t="str">
        <f t="shared" si="0"/>
        <v>* group[=].element[+].code = #CancerUnderStudy.histologyWho2017Subgroup.OdontogenicCarcinoma</v>
      </c>
      <c r="I17" s="12" t="str">
        <f t="shared" si="1"/>
        <v>* group[=].element[=].display = ##34#Histology subgroup Odontogenic carcinoma##34#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 manual##34#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#CancerUnderStudy.histologyWho2017Subgroup</v>
      </c>
    </row>
    <row r="26" spans="1:17">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#CancerUnderStudy.histologyWho2017Subgroup.Squamous</v>
      </c>
    </row>
    <row r="31" spans="1:17" s="2" customFormat="1">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##34#Histology subgroup Squamous##34#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#CancerUnderStudy.histologyWho2017Subgroup.Adenocarcinoma</v>
      </c>
    </row>
    <row r="36" spans="1:17" s="2" customFormat="1">
      <c r="A36"/>
      <c r="B36" s="11"/>
      <c r="C36"/>
      <c r="F36" s="62"/>
      <c r="G36" s="62"/>
      <c r="I36" s="62"/>
      <c r="J36" s="62"/>
      <c r="K36" s="62"/>
      <c r="L36" s="70"/>
      <c r="N36" s="11">
        <v>27</v>
      </c>
      <c r="O36" s="11">
        <f t="shared" si="5"/>
        <v>5</v>
      </c>
      <c r="P36" s="11">
        <f t="shared" si="6"/>
        <v>2</v>
      </c>
      <c r="Q36" s="12" t="str" cm="1">
        <f t="array" ref="Q36">INDEX('CancerUnderStudy-ConceptMap'!$H$10:$L$264,O36+1,P36)</f>
        <v>* group[=].element[=].display = ##34#Histology subgroup Adenocarcinoma##34#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#CancerUnderStudy.histologyWho2017Subgroup.Neuroendocrine</v>
      </c>
    </row>
    <row r="41" spans="1:17" s="2" customFormat="1">
      <c r="A41"/>
      <c r="B41" s="11"/>
      <c r="C41"/>
      <c r="F41" s="62"/>
      <c r="G41" s="62"/>
      <c r="I41" s="62"/>
      <c r="J41" s="62"/>
      <c r="K41" s="62"/>
      <c r="L41" s="62"/>
      <c r="N41" s="11">
        <v>32</v>
      </c>
      <c r="O41" s="11">
        <f t="shared" si="5"/>
        <v>6</v>
      </c>
      <c r="P41" s="11">
        <f t="shared" si="6"/>
        <v>2</v>
      </c>
      <c r="Q41" s="12" t="str" cm="1">
        <f t="array" ref="Q41">INDEX('CancerUnderStudy-ConceptMap'!$H$10:$L$264,O41+1,P41)</f>
        <v>* group[=].element[=].display = ##34#Histology subgroup Neuroendocrine##34#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#CancerUnderStudy.histologyWho2017Subgroup.OdontogenicCarcinoma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##34#Histology subgroup Odontogenic carcinoma##34#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 biopsy or surgical piece##34#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 manual##34#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#CancerUnderStudy.histologyWho2017Subgroup</v>
      </c>
    </row>
    <row r="36" spans="2:2">
      <c r="B36" s="12" t="str">
        <f>IF('CancerUnderStudy-ConceptMap'!Q26=0,"//---END",'CancerUnderStudy-ConceptMap'!Q26)</f>
        <v>* group[=].element[=].display = ##34#Histology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#CancerUnderStudy.histologyWho2017Subgroup.Squamous</v>
      </c>
    </row>
    <row r="41" spans="2:2">
      <c r="B41" s="12" t="str">
        <f>IF('CancerUnderStudy-ConceptMap'!Q31=0,"//---END",'CancerUnderStudy-ConceptMap'!Q31)</f>
        <v>* group[=].element[=].display = ##34#Histology subgroup Squamous##34#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#CancerUnderStudy.histologyWho2017Subgroup.Adenocarcinoma</v>
      </c>
    </row>
    <row r="46" spans="2:2">
      <c r="B46" s="12" t="str">
        <f>IF('CancerUnderStudy-ConceptMap'!Q36=0,"//---END",'CancerUnderStudy-ConceptMap'!Q36)</f>
        <v>* group[=].element[=].display = ##34#Histology subgroup Adenocarcinoma##34#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#CancerUnderStudy.histologyWho2017Subgroup.Neuroendocrine</v>
      </c>
    </row>
    <row r="51" spans="2:2">
      <c r="B51" s="12" t="str">
        <f>IF('CancerUnderStudy-ConceptMap'!Q41=0,"//---END",'CancerUnderStudy-ConceptMap'!Q41)</f>
        <v>* group[=].element[=].display = ##34#Histology subgroup Neuroendocrine##34#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#CancerUnderStudy.histologyWho2017Subgroup.OdontogenicCarcinoma</v>
      </c>
    </row>
    <row r="56" spans="2:2">
      <c r="B56" s="12" t="str">
        <f>IF('CancerUnderStudy-ConceptMap'!Q46=0,"//---END",'CancerUnderStudy-ConceptMap'!Q46)</f>
        <v>* group[=].element[=].display = ##34#Histology subgroup Odontogenic carcinoma##34#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topLeftCell="H1" workbookViewId="0">
      <selection activeCell="B10" sqref="B10:F1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tabSelected="1" workbookViewId="0">
      <selection activeCell="B4" sqref="B4"/>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1712</v>
      </c>
      <c r="J4" s="17" t="str">
        <f>CONCATENATE("Logical: ",B4)</f>
        <v>Logical: StagingI4rc</v>
      </c>
    </row>
    <row r="5" spans="1:12">
      <c r="A5" s="15" t="s">
        <v>17</v>
      </c>
      <c r="B5" s="47" t="s">
        <v>1713</v>
      </c>
      <c r="J5" s="17" t="str">
        <f>CONCATENATE("Id: ",B5)</f>
        <v>Id: Staging</v>
      </c>
    </row>
    <row r="6" spans="1:12">
      <c r="A6" s="15" t="s">
        <v>11</v>
      </c>
      <c r="B6" s="48" t="s">
        <v>1713</v>
      </c>
      <c r="J6" s="18" t="str">
        <f>CONCATENATE("Title: ##34#",B6,"##34#")</f>
        <v>Title: ##34#Staging##34#</v>
      </c>
    </row>
    <row r="7" spans="1:12" ht="30.25" thickBot="1">
      <c r="A7" s="27" t="s">
        <v>3</v>
      </c>
      <c r="B7" s="52" t="s">
        <v>1714</v>
      </c>
      <c r="C7" s="9" t="s">
        <v>4</v>
      </c>
      <c r="D7" s="1" t="s">
        <v>5</v>
      </c>
      <c r="E7" s="3" t="s">
        <v>6</v>
      </c>
      <c r="F7" s="3" t="s">
        <v>7</v>
      </c>
      <c r="G7" s="3" t="s">
        <v>8</v>
      </c>
      <c r="H7" s="107" t="s">
        <v>1641</v>
      </c>
      <c r="J7" s="18" t="str">
        <f>CONCATENATE("Description: "," ##334#",B7,"##334#",)</f>
        <v>Description:  ##334#Staging
Maturity Level: 0 Draft##334#</v>
      </c>
    </row>
    <row r="8" spans="1:12" ht="29.5">
      <c r="A8" s="108">
        <v>0</v>
      </c>
      <c r="B8" s="110" t="s">
        <v>1715</v>
      </c>
      <c r="C8" t="s">
        <v>1716</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11"/>
      <c r="B9" s="77" t="s">
        <v>1717</v>
      </c>
      <c r="C9" s="77" t="s">
        <v>1718</v>
      </c>
      <c r="D9" s="112" t="s">
        <v>1719</v>
      </c>
      <c r="E9" s="77">
        <v>0</v>
      </c>
      <c r="F9" s="77">
        <v>1</v>
      </c>
      <c r="G9" s="77" t="s">
        <v>2</v>
      </c>
      <c r="H9" s="77"/>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8">
        <v>1</v>
      </c>
      <c r="B10" s="77" t="s">
        <v>1947</v>
      </c>
      <c r="C10" s="77" t="s">
        <v>40</v>
      </c>
      <c r="D10" s="2" t="s">
        <v>1720</v>
      </c>
      <c r="E10">
        <v>0</v>
      </c>
      <c r="F10">
        <v>1</v>
      </c>
      <c r="G10" t="s">
        <v>165</v>
      </c>
      <c r="H10" t="s">
        <v>1721</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8">
        <v>2</v>
      </c>
      <c r="B11" s="77" t="s">
        <v>1722</v>
      </c>
      <c r="C11" t="s">
        <v>1723</v>
      </c>
      <c r="D11" s="2" t="s">
        <v>1724</v>
      </c>
      <c r="E11">
        <v>0</v>
      </c>
      <c r="F11">
        <v>1</v>
      </c>
      <c r="G11" t="s">
        <v>1</v>
      </c>
      <c r="H11" t="s">
        <v>1725</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8">
        <v>3</v>
      </c>
      <c r="B12" s="77" t="s">
        <v>1726</v>
      </c>
      <c r="C12" t="s">
        <v>1727</v>
      </c>
      <c r="D12" s="2" t="s">
        <v>1728</v>
      </c>
      <c r="E12">
        <v>0</v>
      </c>
      <c r="F12">
        <v>1</v>
      </c>
      <c r="G12" t="s">
        <v>1</v>
      </c>
      <c r="H12" t="s">
        <v>1725</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8">
        <v>4</v>
      </c>
      <c r="B13" s="77" t="s">
        <v>1729</v>
      </c>
      <c r="C13" t="s">
        <v>1730</v>
      </c>
      <c r="D13" s="2" t="s">
        <v>1731</v>
      </c>
      <c r="E13">
        <v>0</v>
      </c>
      <c r="F13">
        <v>1</v>
      </c>
      <c r="G13" t="s">
        <v>1</v>
      </c>
      <c r="H13" t="s">
        <v>1721</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8">
        <v>5</v>
      </c>
      <c r="B14" s="77" t="s">
        <v>1732</v>
      </c>
      <c r="C14" t="s">
        <v>1733</v>
      </c>
      <c r="D14" s="2" t="s">
        <v>1734</v>
      </c>
      <c r="E14">
        <v>0</v>
      </c>
      <c r="F14">
        <v>1</v>
      </c>
      <c r="G14" t="s">
        <v>1</v>
      </c>
      <c r="H14" t="s">
        <v>1721</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8">
        <v>6</v>
      </c>
      <c r="B15" s="77" t="s">
        <v>1735</v>
      </c>
      <c r="C15" t="s">
        <v>1736</v>
      </c>
      <c r="D15" s="2" t="s">
        <v>1737</v>
      </c>
      <c r="E15">
        <v>0</v>
      </c>
      <c r="F15">
        <v>1</v>
      </c>
      <c r="G15" t="s">
        <v>1</v>
      </c>
      <c r="H15" t="s">
        <v>1721</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8">
        <v>7</v>
      </c>
      <c r="B16" s="77" t="s">
        <v>1738</v>
      </c>
      <c r="C16" t="s">
        <v>1739</v>
      </c>
      <c r="D16" s="2" t="s">
        <v>1740</v>
      </c>
      <c r="E16">
        <v>0</v>
      </c>
      <c r="F16">
        <v>1</v>
      </c>
      <c r="G16" t="s">
        <v>1</v>
      </c>
      <c r="H16" t="s">
        <v>1721</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8">
        <v>8</v>
      </c>
      <c r="B17" s="77" t="s">
        <v>1741</v>
      </c>
      <c r="C17" t="s">
        <v>1742</v>
      </c>
      <c r="D17" s="2" t="s">
        <v>1743</v>
      </c>
      <c r="E17">
        <v>0</v>
      </c>
      <c r="F17">
        <v>1</v>
      </c>
      <c r="G17" t="s">
        <v>1</v>
      </c>
      <c r="H17" t="s">
        <v>1721</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8">
        <v>9</v>
      </c>
      <c r="B18" s="77" t="s">
        <v>1744</v>
      </c>
      <c r="C18" t="s">
        <v>1745</v>
      </c>
      <c r="D18" s="2" t="s">
        <v>1746</v>
      </c>
      <c r="E18">
        <v>0</v>
      </c>
      <c r="F18">
        <v>1</v>
      </c>
      <c r="G18" t="s">
        <v>1</v>
      </c>
      <c r="H18" t="s">
        <v>1721</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8">
        <v>10</v>
      </c>
      <c r="B19" s="77" t="s">
        <v>1747</v>
      </c>
      <c r="C19" t="s">
        <v>1748</v>
      </c>
      <c r="D19" s="2" t="s">
        <v>1749</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8"/>
      <c r="B20" s="77" t="s">
        <v>1750</v>
      </c>
      <c r="C20" s="77" t="s">
        <v>1751</v>
      </c>
      <c r="D20" s="112" t="s">
        <v>1752</v>
      </c>
      <c r="E20" s="77">
        <v>0</v>
      </c>
      <c r="F20" s="77">
        <v>1</v>
      </c>
      <c r="G20" s="77" t="s">
        <v>2</v>
      </c>
      <c r="H20" s="77"/>
      <c r="J20" s="12" t="str">
        <f t="shared" si="0"/>
        <v>* imagingforneckPerformed 0..1 BackboneElement ##34#Imaging for neck##34# ##334#Imaging study for the neck##334#</v>
      </c>
      <c r="L20" s="12" t="str">
        <f t="shared" si="1"/>
        <v/>
      </c>
    </row>
    <row r="21" spans="1:13" ht="29.5">
      <c r="A21" s="108">
        <v>11</v>
      </c>
      <c r="B21" s="77" t="s">
        <v>1753</v>
      </c>
      <c r="C21" t="s">
        <v>1751</v>
      </c>
      <c r="D21" s="2" t="s">
        <v>1754</v>
      </c>
      <c r="E21">
        <v>0</v>
      </c>
      <c r="F21">
        <v>1</v>
      </c>
      <c r="G21" t="s">
        <v>1</v>
      </c>
      <c r="H21" t="s">
        <v>1721</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8">
        <v>12</v>
      </c>
      <c r="B22" s="77" t="s">
        <v>1755</v>
      </c>
      <c r="C22" t="s">
        <v>1723</v>
      </c>
      <c r="D22" s="2" t="s">
        <v>1756</v>
      </c>
      <c r="E22">
        <v>0</v>
      </c>
      <c r="F22">
        <v>1</v>
      </c>
      <c r="G22" t="s">
        <v>1</v>
      </c>
      <c r="H22" t="s">
        <v>1721</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8">
        <v>13</v>
      </c>
      <c r="B23" s="77" t="s">
        <v>1757</v>
      </c>
      <c r="C23" t="s">
        <v>1727</v>
      </c>
      <c r="D23" s="2" t="s">
        <v>1758</v>
      </c>
      <c r="E23">
        <v>0</v>
      </c>
      <c r="F23">
        <v>1</v>
      </c>
      <c r="G23" t="s">
        <v>1</v>
      </c>
      <c r="H23" t="s">
        <v>1721</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8">
        <v>14</v>
      </c>
      <c r="B24" s="77" t="s">
        <v>1759</v>
      </c>
      <c r="C24" t="s">
        <v>1730</v>
      </c>
      <c r="D24" s="2" t="s">
        <v>1760</v>
      </c>
      <c r="E24">
        <v>0</v>
      </c>
      <c r="F24">
        <v>1</v>
      </c>
      <c r="G24" t="s">
        <v>1</v>
      </c>
      <c r="H24" t="s">
        <v>1721</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8">
        <v>15</v>
      </c>
      <c r="B25" s="77" t="s">
        <v>1761</v>
      </c>
      <c r="C25" t="s">
        <v>1733</v>
      </c>
      <c r="D25" s="2" t="s">
        <v>1762</v>
      </c>
      <c r="E25">
        <v>0</v>
      </c>
      <c r="F25">
        <v>1</v>
      </c>
      <c r="G25" t="s">
        <v>1</v>
      </c>
      <c r="H25" t="s">
        <v>1721</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8">
        <v>16</v>
      </c>
      <c r="B26" s="77" t="s">
        <v>1763</v>
      </c>
      <c r="C26" t="s">
        <v>1736</v>
      </c>
      <c r="D26" s="2" t="s">
        <v>1764</v>
      </c>
      <c r="E26">
        <v>0</v>
      </c>
      <c r="F26">
        <v>1</v>
      </c>
      <c r="G26" t="s">
        <v>1</v>
      </c>
      <c r="H26" t="s">
        <v>1721</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8">
        <v>17</v>
      </c>
      <c r="B27" s="77" t="s">
        <v>1765</v>
      </c>
      <c r="C27" t="s">
        <v>1742</v>
      </c>
      <c r="D27" s="2" t="s">
        <v>1766</v>
      </c>
      <c r="E27">
        <v>0</v>
      </c>
      <c r="F27">
        <v>1</v>
      </c>
      <c r="G27" t="s">
        <v>1</v>
      </c>
      <c r="H27" t="s">
        <v>1721</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8">
        <v>18</v>
      </c>
      <c r="B28" s="77" t="s">
        <v>1767</v>
      </c>
      <c r="C28" t="s">
        <v>1745</v>
      </c>
      <c r="D28" s="2" t="s">
        <v>1768</v>
      </c>
      <c r="E28">
        <v>0</v>
      </c>
      <c r="F28">
        <v>1</v>
      </c>
      <c r="G28" t="s">
        <v>1</v>
      </c>
      <c r="H28" t="s">
        <v>1721</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8">
        <v>19</v>
      </c>
      <c r="B29" s="77" t="s">
        <v>1769</v>
      </c>
      <c r="C29" t="s">
        <v>1770</v>
      </c>
      <c r="D29" s="2" t="s">
        <v>1771</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8"/>
      <c r="B30" s="77" t="s">
        <v>1772</v>
      </c>
      <c r="C30" s="77" t="s">
        <v>1773</v>
      </c>
      <c r="D30" s="112" t="s">
        <v>1774</v>
      </c>
      <c r="E30" s="77">
        <v>0</v>
      </c>
      <c r="F30" s="77">
        <v>1</v>
      </c>
      <c r="G30" s="77" t="s">
        <v>2</v>
      </c>
      <c r="H30"/>
      <c r="J30" s="12" t="str">
        <f t="shared" si="0"/>
        <v>* imagingformetastasisPerformed 0..1 BackboneElement ##34#Imaging for metastasis ##34# ##334#Imaging study for metastasis##334#</v>
      </c>
      <c r="L30" s="12" t="str">
        <f t="shared" si="1"/>
        <v/>
      </c>
    </row>
    <row r="31" spans="1:13" ht="59">
      <c r="A31" s="108">
        <v>20</v>
      </c>
      <c r="B31" s="77" t="s">
        <v>1775</v>
      </c>
      <c r="C31" t="s">
        <v>1773</v>
      </c>
      <c r="D31" s="2" t="s">
        <v>1776</v>
      </c>
      <c r="E31">
        <v>0</v>
      </c>
      <c r="F31">
        <v>1</v>
      </c>
      <c r="G31" t="s">
        <v>1</v>
      </c>
      <c r="H31" t="s">
        <v>1721</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8">
        <v>21</v>
      </c>
      <c r="B32" s="77" t="s">
        <v>1777</v>
      </c>
      <c r="C32" t="s">
        <v>1723</v>
      </c>
      <c r="D32" s="2" t="s">
        <v>1778</v>
      </c>
      <c r="E32">
        <v>0</v>
      </c>
      <c r="F32">
        <v>1</v>
      </c>
      <c r="G32" t="s">
        <v>1</v>
      </c>
      <c r="H32" t="s">
        <v>1721</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8">
        <v>22</v>
      </c>
      <c r="B33" s="77" t="s">
        <v>1779</v>
      </c>
      <c r="C33" t="s">
        <v>1727</v>
      </c>
      <c r="D33" s="2" t="s">
        <v>1780</v>
      </c>
      <c r="E33">
        <v>0</v>
      </c>
      <c r="F33">
        <v>1</v>
      </c>
      <c r="G33" t="s">
        <v>1</v>
      </c>
      <c r="H33" t="s">
        <v>1721</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8">
        <v>23</v>
      </c>
      <c r="B34" s="77" t="s">
        <v>1781</v>
      </c>
      <c r="C34" t="s">
        <v>1730</v>
      </c>
      <c r="D34" s="2" t="s">
        <v>1782</v>
      </c>
      <c r="E34">
        <v>0</v>
      </c>
      <c r="F34">
        <v>1</v>
      </c>
      <c r="G34" t="s">
        <v>1</v>
      </c>
      <c r="H34" t="s">
        <v>1721</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8">
        <v>24</v>
      </c>
      <c r="B35" s="77" t="s">
        <v>1783</v>
      </c>
      <c r="C35" t="s">
        <v>1733</v>
      </c>
      <c r="D35" s="2" t="s">
        <v>1784</v>
      </c>
      <c r="E35">
        <v>0</v>
      </c>
      <c r="F35">
        <v>1</v>
      </c>
      <c r="G35" t="s">
        <v>1</v>
      </c>
      <c r="H35" t="s">
        <v>1721</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8">
        <v>25</v>
      </c>
      <c r="B36" s="77" t="s">
        <v>1785</v>
      </c>
      <c r="C36" t="s">
        <v>1736</v>
      </c>
      <c r="D36" s="2" t="s">
        <v>1786</v>
      </c>
      <c r="E36">
        <v>0</v>
      </c>
      <c r="F36">
        <v>1</v>
      </c>
      <c r="G36" t="s">
        <v>1</v>
      </c>
      <c r="H36" t="s">
        <v>1721</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8">
        <v>26</v>
      </c>
      <c r="B37" s="77" t="s">
        <v>1787</v>
      </c>
      <c r="C37" t="s">
        <v>1742</v>
      </c>
      <c r="D37" s="2" t="s">
        <v>1766</v>
      </c>
      <c r="E37">
        <v>0</v>
      </c>
      <c r="F37">
        <v>1</v>
      </c>
      <c r="G37" t="s">
        <v>1</v>
      </c>
      <c r="H37" t="s">
        <v>1721</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8">
        <v>27</v>
      </c>
      <c r="B38" s="77" t="s">
        <v>1788</v>
      </c>
      <c r="C38" t="s">
        <v>1745</v>
      </c>
      <c r="D38" s="2" t="s">
        <v>1789</v>
      </c>
      <c r="E38">
        <v>0</v>
      </c>
      <c r="F38">
        <v>1</v>
      </c>
      <c r="G38" t="s">
        <v>1</v>
      </c>
      <c r="H38" t="s">
        <v>1721</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8">
        <v>28</v>
      </c>
      <c r="B39" s="77" t="s">
        <v>1790</v>
      </c>
      <c r="C39" t="s">
        <v>1791</v>
      </c>
      <c r="D39" s="2" t="s">
        <v>1792</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8">
        <v>29</v>
      </c>
      <c r="B40" s="110" t="s">
        <v>1793</v>
      </c>
      <c r="C40" t="s">
        <v>1794</v>
      </c>
      <c r="D40" s="2"/>
      <c r="E40">
        <v>0</v>
      </c>
      <c r="F40">
        <v>1</v>
      </c>
      <c r="G40" t="s">
        <v>2</v>
      </c>
      <c r="H40"/>
      <c r="J40" s="12" t="str">
        <f t="shared" si="0"/>
        <v>* clinicalStage 0..1 BackboneElement ##34#Clinical  stage##34# ##334###334#</v>
      </c>
      <c r="L40" s="12" t="str">
        <f t="shared" si="1"/>
        <v/>
      </c>
    </row>
    <row r="41" spans="1:12" ht="29.5">
      <c r="A41" s="108">
        <v>30</v>
      </c>
      <c r="B41" s="77" t="s">
        <v>1795</v>
      </c>
      <c r="C41" t="s">
        <v>1796</v>
      </c>
      <c r="D41" s="2" t="s">
        <v>1797</v>
      </c>
      <c r="E41">
        <v>0</v>
      </c>
      <c r="F41">
        <v>1</v>
      </c>
      <c r="G41" t="s">
        <v>1</v>
      </c>
      <c r="H41" t="s">
        <v>1798</v>
      </c>
      <c r="J41" s="12" t="str">
        <f t="shared" si="0"/>
        <v>* clinicalStage.ct 0..1 string ##34#cT##34# ##334#Specifies the clinical T##334#</v>
      </c>
      <c r="L41" s="12" t="str">
        <f t="shared" si="1"/>
        <v>* clinicalStage.ct ^comment = ##334#A string value for the clinical T Unknown if empty##334#</v>
      </c>
    </row>
    <row r="42" spans="1:12" ht="29.5">
      <c r="A42" s="108">
        <v>31</v>
      </c>
      <c r="B42" s="77" t="s">
        <v>1799</v>
      </c>
      <c r="C42" t="s">
        <v>1800</v>
      </c>
      <c r="D42" s="2" t="s">
        <v>1801</v>
      </c>
      <c r="E42">
        <v>0</v>
      </c>
      <c r="F42">
        <v>1</v>
      </c>
      <c r="G42" t="s">
        <v>1</v>
      </c>
      <c r="H42" t="s">
        <v>1802</v>
      </c>
      <c r="J42" s="12" t="str">
        <f t="shared" si="0"/>
        <v>* clinicalStage.cn 0..1 string ##34#cN##34# ##334#Specifies the clinical N##334#</v>
      </c>
      <c r="L42" s="12" t="str">
        <f t="shared" si="1"/>
        <v>* clinicalStage.cn ^comment = ##334#A string value for the clinical N Unknown if empty##334#</v>
      </c>
    </row>
    <row r="43" spans="1:12" ht="59">
      <c r="A43" s="108">
        <v>32</v>
      </c>
      <c r="B43" s="77" t="s">
        <v>1803</v>
      </c>
      <c r="C43" t="s">
        <v>1804</v>
      </c>
      <c r="D43" s="2" t="s">
        <v>1805</v>
      </c>
      <c r="E43">
        <v>0</v>
      </c>
      <c r="F43">
        <v>1</v>
      </c>
      <c r="G43" t="s">
        <v>1</v>
      </c>
      <c r="H43" t="s">
        <v>1806</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8">
        <v>33</v>
      </c>
      <c r="B44" s="77" t="s">
        <v>1807</v>
      </c>
      <c r="C44" t="s">
        <v>1808</v>
      </c>
      <c r="D44" s="2" t="s">
        <v>1809</v>
      </c>
      <c r="E44">
        <v>0</v>
      </c>
      <c r="F44">
        <v>1</v>
      </c>
      <c r="G44" t="s">
        <v>1</v>
      </c>
      <c r="H44" t="s">
        <v>1810</v>
      </c>
      <c r="J44" s="12" t="str">
        <f t="shared" si="0"/>
        <v>* clinicalStage.cm 0..1 string ##34#cM##34# ##334#Specifies the clinical M##334#</v>
      </c>
      <c r="L44" s="12" t="str">
        <f t="shared" si="1"/>
        <v>* clinicalStage.cm ^comment = ##334#A string value for the clinical M Unknown if empty##334#</v>
      </c>
    </row>
    <row r="45" spans="1:12" ht="29.5">
      <c r="A45" s="108">
        <v>34</v>
      </c>
      <c r="B45" s="77" t="s">
        <v>1811</v>
      </c>
      <c r="C45" t="s">
        <v>1812</v>
      </c>
      <c r="D45" s="2" t="s">
        <v>1813</v>
      </c>
      <c r="E45">
        <v>0</v>
      </c>
      <c r="F45">
        <v>1</v>
      </c>
      <c r="G45" t="s">
        <v>1</v>
      </c>
      <c r="H45" t="s">
        <v>1814</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8">
        <v>35</v>
      </c>
      <c r="B46" s="77" t="s">
        <v>1815</v>
      </c>
      <c r="C46" t="s">
        <v>1816</v>
      </c>
      <c r="D46" s="2" t="s">
        <v>1817</v>
      </c>
      <c r="E46">
        <v>0</v>
      </c>
      <c r="F46">
        <v>1</v>
      </c>
      <c r="G46" t="s">
        <v>1</v>
      </c>
      <c r="H46" t="s">
        <v>1818</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8">
        <v>36</v>
      </c>
      <c r="B47" s="113" t="s">
        <v>1819</v>
      </c>
      <c r="C47" s="113" t="s">
        <v>1820</v>
      </c>
      <c r="D47" s="114" t="s">
        <v>1821</v>
      </c>
      <c r="E47" s="113">
        <v>0</v>
      </c>
      <c r="F47" s="113">
        <v>1</v>
      </c>
      <c r="G47" s="113" t="s">
        <v>1</v>
      </c>
      <c r="H47" s="113"/>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11"/>
      <c r="B48" s="77" t="s">
        <v>1822</v>
      </c>
      <c r="C48" s="77" t="s">
        <v>1823</v>
      </c>
      <c r="D48" s="77" t="s">
        <v>1823</v>
      </c>
      <c r="E48" s="77">
        <v>0</v>
      </c>
      <c r="F48" s="77" t="s">
        <v>9</v>
      </c>
      <c r="G48" s="77" t="s">
        <v>2</v>
      </c>
      <c r="H48"/>
      <c r="J48" s="12" t="str">
        <f t="shared" si="0"/>
        <v>* metastasisSite 0..* BackboneElement ##34#Site of Metastasis##34# ##334#Site of Metastasis##334#</v>
      </c>
      <c r="L48" s="12" t="str">
        <f t="shared" si="1"/>
        <v/>
      </c>
    </row>
    <row r="49" spans="1:12" ht="29.5">
      <c r="A49" s="108">
        <v>37</v>
      </c>
      <c r="B49" s="77" t="s">
        <v>1824</v>
      </c>
      <c r="C49" t="s">
        <v>1825</v>
      </c>
      <c r="D49" s="2" t="s">
        <v>1826</v>
      </c>
      <c r="E49">
        <v>0</v>
      </c>
      <c r="F49">
        <v>1</v>
      </c>
      <c r="G49" t="s">
        <v>1</v>
      </c>
      <c r="H49"/>
      <c r="J49" s="12" t="str">
        <f t="shared" si="0"/>
        <v>* metastasisSite.softTissue 0..1 string ##34#Soft tissue##34# ##334#Describes if site of metastasic disease  is soft tissue##334#</v>
      </c>
      <c r="L49" s="12" t="str">
        <f t="shared" si="1"/>
        <v/>
      </c>
    </row>
    <row r="50" spans="1:12" ht="29.5">
      <c r="A50" s="108">
        <v>38</v>
      </c>
      <c r="B50" s="77" t="s">
        <v>1827</v>
      </c>
      <c r="C50" t="s">
        <v>1828</v>
      </c>
      <c r="D50" s="2" t="s">
        <v>1829</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c r="A51" s="108">
        <v>39</v>
      </c>
      <c r="B51" s="77" t="s">
        <v>1830</v>
      </c>
      <c r="C51" t="s">
        <v>1831</v>
      </c>
      <c r="D51" s="2" t="s">
        <v>1832</v>
      </c>
      <c r="E51">
        <v>0</v>
      </c>
      <c r="F51">
        <v>1</v>
      </c>
      <c r="G51" s="77" t="s">
        <v>1</v>
      </c>
      <c r="H51"/>
      <c r="J51" s="12" t="str">
        <f t="shared" si="0"/>
        <v>* metastasisSite.lung 0..1 string ##34#lung##34# ##334#Describes if site of metastasic disease  is lung##334#</v>
      </c>
      <c r="L51" s="12" t="str">
        <f t="shared" si="1"/>
        <v/>
      </c>
    </row>
    <row r="52" spans="1:12" ht="29.5">
      <c r="A52" s="108">
        <v>40</v>
      </c>
      <c r="B52" s="77" t="s">
        <v>1833</v>
      </c>
      <c r="C52" t="s">
        <v>1834</v>
      </c>
      <c r="D52" s="2" t="s">
        <v>1835</v>
      </c>
      <c r="E52">
        <v>0</v>
      </c>
      <c r="F52">
        <v>1</v>
      </c>
      <c r="G52" s="77" t="s">
        <v>1</v>
      </c>
      <c r="H52"/>
      <c r="J52" s="12" t="str">
        <f t="shared" si="0"/>
        <v>* metastasisSite.bone 0..1 string ##34#bone##34# ##334#Describes if site of metastasic disease  is bone##334#</v>
      </c>
      <c r="L52" s="12" t="str">
        <f t="shared" si="1"/>
        <v/>
      </c>
    </row>
    <row r="53" spans="1:12" ht="29.5">
      <c r="A53" s="108">
        <v>41</v>
      </c>
      <c r="B53" s="77" t="s">
        <v>1836</v>
      </c>
      <c r="C53" t="s">
        <v>1837</v>
      </c>
      <c r="D53" s="2" t="s">
        <v>1838</v>
      </c>
      <c r="E53">
        <v>0</v>
      </c>
      <c r="F53">
        <v>1</v>
      </c>
      <c r="G53" s="77" t="s">
        <v>1</v>
      </c>
      <c r="H53"/>
      <c r="J53" s="12" t="str">
        <f t="shared" si="0"/>
        <v>* metastasisSite.liver 0..1 string ##34#liver##34# ##334#Describes if site of metastasic disease  is liver##334#</v>
      </c>
      <c r="L53" s="12" t="str">
        <f t="shared" si="1"/>
        <v/>
      </c>
    </row>
    <row r="54" spans="1:12" ht="29.5">
      <c r="A54" s="108">
        <v>42</v>
      </c>
      <c r="B54" s="77" t="s">
        <v>1839</v>
      </c>
      <c r="C54" t="s">
        <v>1840</v>
      </c>
      <c r="D54" s="2" t="s">
        <v>1841</v>
      </c>
      <c r="E54">
        <v>0</v>
      </c>
      <c r="F54">
        <v>1</v>
      </c>
      <c r="G54" s="77" t="s">
        <v>1</v>
      </c>
      <c r="H54"/>
      <c r="J54" s="12" t="str">
        <f t="shared" si="0"/>
        <v>* metastasisSite.pleura 0..1 string ##34#pleura##34# ##334#Describes if site of metastasic disease  is pleura##334#</v>
      </c>
      <c r="L54" s="12" t="str">
        <f t="shared" si="1"/>
        <v/>
      </c>
    </row>
    <row r="55" spans="1:12" ht="29.5">
      <c r="A55" s="108">
        <v>43</v>
      </c>
      <c r="B55" s="77" t="s">
        <v>1842</v>
      </c>
      <c r="C55" t="s">
        <v>1843</v>
      </c>
      <c r="D55" s="2" t="s">
        <v>1844</v>
      </c>
      <c r="E55">
        <v>0</v>
      </c>
      <c r="F55">
        <v>1</v>
      </c>
      <c r="G55" s="77" t="s">
        <v>1</v>
      </c>
      <c r="H55"/>
      <c r="J55" s="12" t="str">
        <f t="shared" si="0"/>
        <v>* metastasisSite.peritoneum 0..1 string ##34#peritoneum##34# ##334#Describes if site of metastasic disease  is peritoneum##334#</v>
      </c>
      <c r="L55" s="12" t="str">
        <f t="shared" si="1"/>
        <v/>
      </c>
    </row>
    <row r="56" spans="1:12" ht="29.5">
      <c r="A56" s="108">
        <v>44</v>
      </c>
      <c r="B56" s="77" t="s">
        <v>1845</v>
      </c>
      <c r="C56" t="s">
        <v>1846</v>
      </c>
      <c r="D56" s="2" t="s">
        <v>1847</v>
      </c>
      <c r="E56">
        <v>0</v>
      </c>
      <c r="F56">
        <v>1</v>
      </c>
      <c r="G56" s="77" t="s">
        <v>1</v>
      </c>
      <c r="H56"/>
      <c r="J56" s="12" t="str">
        <f t="shared" si="0"/>
        <v>* metastasisSite.brain 0..1 string ##34#brain##34# ##334#Describes if site of metastasic disease  is brain##334#</v>
      </c>
      <c r="L56" s="12" t="str">
        <f t="shared" si="1"/>
        <v/>
      </c>
    </row>
    <row r="57" spans="1:12" ht="29.5">
      <c r="A57" s="108">
        <v>45</v>
      </c>
      <c r="B57" s="77" t="s">
        <v>1848</v>
      </c>
      <c r="C57" t="s">
        <v>1849</v>
      </c>
      <c r="D57" s="2" t="s">
        <v>1850</v>
      </c>
      <c r="E57">
        <v>0</v>
      </c>
      <c r="F57">
        <v>1</v>
      </c>
      <c r="G57" s="77" t="s">
        <v>1</v>
      </c>
      <c r="H57"/>
      <c r="J57" s="12" t="str">
        <f t="shared" si="0"/>
        <v>* metastasisSite.otherViscera 0..1 string ##34#other viscera##34# ##334#Describes if site of metastasic disease  is other viscera##334#</v>
      </c>
      <c r="L57" s="12" t="str">
        <f t="shared" si="1"/>
        <v/>
      </c>
    </row>
    <row r="58" spans="1:12" ht="29.5">
      <c r="A58" s="108">
        <v>46</v>
      </c>
      <c r="B58" s="77" t="s">
        <v>1851</v>
      </c>
      <c r="C58" t="s">
        <v>1852</v>
      </c>
      <c r="D58" s="2" t="s">
        <v>1853</v>
      </c>
      <c r="E58">
        <v>0</v>
      </c>
      <c r="F58">
        <v>1</v>
      </c>
      <c r="G58" s="77" t="s">
        <v>1</v>
      </c>
      <c r="H58"/>
      <c r="J58" s="12" t="str">
        <f t="shared" si="0"/>
        <v>* metastasisSite.unknown 0..1 string ##34#unknown##34# ##334#Describes if site of metastasic disease  is unknown##334#</v>
      </c>
      <c r="L58" s="12" t="str">
        <f t="shared" si="1"/>
        <v/>
      </c>
    </row>
    <row r="59" spans="1:12" ht="44.25">
      <c r="A59" s="108">
        <v>47</v>
      </c>
      <c r="B59" s="110" t="s">
        <v>1854</v>
      </c>
      <c r="C59" t="s">
        <v>1855</v>
      </c>
      <c r="D59" s="2" t="s">
        <v>1856</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c r="A60" s="108">
        <v>48</v>
      </c>
      <c r="B60" s="110" t="s">
        <v>1857</v>
      </c>
      <c r="C60" t="s">
        <v>1858</v>
      </c>
      <c r="D60" s="77" t="s">
        <v>1858</v>
      </c>
      <c r="E60">
        <v>0</v>
      </c>
      <c r="F60">
        <v>1</v>
      </c>
      <c r="G60" t="s">
        <v>2</v>
      </c>
      <c r="H60"/>
      <c r="J60" s="12" t="str">
        <f t="shared" si="0"/>
        <v>* pathologicalStage 0..1 BackboneElement ##34#Pathological stage##34# ##334#Pathological stage##334#</v>
      </c>
      <c r="L60" s="12" t="str">
        <f t="shared" si="1"/>
        <v/>
      </c>
    </row>
    <row r="61" spans="1:12" ht="29.5">
      <c r="A61" s="108">
        <v>49</v>
      </c>
      <c r="B61" s="77" t="s">
        <v>1859</v>
      </c>
      <c r="C61" t="s">
        <v>1860</v>
      </c>
      <c r="D61" s="2" t="s">
        <v>1861</v>
      </c>
      <c r="E61">
        <v>0</v>
      </c>
      <c r="F61">
        <v>1</v>
      </c>
      <c r="G61" t="s">
        <v>1</v>
      </c>
      <c r="H61" t="s">
        <v>1862</v>
      </c>
      <c r="J61" s="12" t="str">
        <f t="shared" si="0"/>
        <v>* pathologicalStage.pt 0..1 string ##34#pT##34# ##334#Specifies the pathological T##334#</v>
      </c>
      <c r="L61" s="12" t="str">
        <f t="shared" si="1"/>
        <v>* pathologicalStage.pt ^comment = ##334#A string value from pathological T##334#</v>
      </c>
    </row>
    <row r="62" spans="1:12" ht="29.5">
      <c r="A62" s="108">
        <v>50</v>
      </c>
      <c r="B62" s="77" t="s">
        <v>1863</v>
      </c>
      <c r="C62" t="s">
        <v>1864</v>
      </c>
      <c r="D62" s="2" t="s">
        <v>1865</v>
      </c>
      <c r="E62">
        <v>0</v>
      </c>
      <c r="F62">
        <v>1</v>
      </c>
      <c r="G62" t="s">
        <v>1</v>
      </c>
      <c r="H62" t="s">
        <v>1866</v>
      </c>
      <c r="J62" s="12" t="str">
        <f t="shared" si="0"/>
        <v>* pathologicalStage.pn 0..1 string ##34#pN##34# ##334#Specifies the pathological N##334#</v>
      </c>
      <c r="L62" s="12" t="str">
        <f t="shared" si="1"/>
        <v>* pathologicalStage.pn ^comment = ##334#A string value from pathological N##334#</v>
      </c>
    </row>
    <row r="63" spans="1:12" ht="44.25">
      <c r="A63" s="108">
        <v>51</v>
      </c>
      <c r="B63" s="115" t="s">
        <v>1867</v>
      </c>
      <c r="C63" t="s">
        <v>1868</v>
      </c>
      <c r="D63" s="2" t="s">
        <v>1869</v>
      </c>
      <c r="E63">
        <v>0</v>
      </c>
      <c r="F63">
        <v>1</v>
      </c>
      <c r="G63" t="s">
        <v>1</v>
      </c>
      <c r="H63" t="s">
        <v>1870</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8">
        <v>52</v>
      </c>
      <c r="B64" s="115" t="s">
        <v>1871</v>
      </c>
      <c r="C64" t="s">
        <v>1872</v>
      </c>
      <c r="D64" s="2" t="s">
        <v>1873</v>
      </c>
      <c r="E64">
        <v>0</v>
      </c>
      <c r="F64">
        <v>1</v>
      </c>
      <c r="G64" s="77" t="s">
        <v>1631</v>
      </c>
      <c r="H64" t="s">
        <v>1874</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8">
        <v>53</v>
      </c>
      <c r="B65" s="115" t="s">
        <v>1875</v>
      </c>
      <c r="C65" t="s">
        <v>1876</v>
      </c>
      <c r="D65" s="2" t="s">
        <v>1877</v>
      </c>
      <c r="E65">
        <v>0</v>
      </c>
      <c r="F65">
        <v>1</v>
      </c>
      <c r="G65" t="s">
        <v>1</v>
      </c>
      <c r="H65" t="s">
        <v>1878</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8">
        <v>54</v>
      </c>
      <c r="B66" s="115" t="s">
        <v>1879</v>
      </c>
      <c r="C66" t="s">
        <v>1880</v>
      </c>
      <c r="D66" s="2" t="s">
        <v>1881</v>
      </c>
      <c r="E66">
        <v>0</v>
      </c>
      <c r="F66">
        <v>1</v>
      </c>
      <c r="G66" s="77" t="s">
        <v>1631</v>
      </c>
      <c r="H66" t="s">
        <v>1882</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8">
        <v>55</v>
      </c>
      <c r="B67" s="115" t="s">
        <v>1883</v>
      </c>
      <c r="C67" t="s">
        <v>1884</v>
      </c>
      <c r="D67" s="2" t="s">
        <v>1885</v>
      </c>
      <c r="E67">
        <v>0</v>
      </c>
      <c r="F67">
        <v>1</v>
      </c>
      <c r="G67" t="s">
        <v>1</v>
      </c>
      <c r="H67" t="s">
        <v>1886</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8">
        <v>56</v>
      </c>
      <c r="B68" s="115" t="s">
        <v>1887</v>
      </c>
      <c r="C68" t="s">
        <v>1888</v>
      </c>
      <c r="D68" s="2" t="s">
        <v>1889</v>
      </c>
      <c r="E68">
        <v>0</v>
      </c>
      <c r="F68">
        <v>1</v>
      </c>
      <c r="G68" t="s">
        <v>1</v>
      </c>
      <c r="H68" t="s">
        <v>1890</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8">
        <v>57</v>
      </c>
      <c r="B69" s="115" t="s">
        <v>1891</v>
      </c>
      <c r="C69" t="s">
        <v>1892</v>
      </c>
      <c r="D69" s="2" t="s">
        <v>1893</v>
      </c>
      <c r="E69">
        <v>0</v>
      </c>
      <c r="F69">
        <v>1</v>
      </c>
      <c r="G69" t="s">
        <v>1631</v>
      </c>
      <c r="H69" t="s">
        <v>1894</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8">
        <v>58</v>
      </c>
      <c r="B70" s="115" t="s">
        <v>1895</v>
      </c>
      <c r="C70" t="s">
        <v>1896</v>
      </c>
      <c r="D70" s="2" t="s">
        <v>1897</v>
      </c>
      <c r="E70">
        <v>0</v>
      </c>
      <c r="F70">
        <v>1</v>
      </c>
      <c r="G70" t="s">
        <v>1631</v>
      </c>
      <c r="H70" t="s">
        <v>1898</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8">
        <v>59</v>
      </c>
      <c r="B71" s="115" t="s">
        <v>1899</v>
      </c>
      <c r="C71" t="s">
        <v>1900</v>
      </c>
      <c r="D71" s="2" t="s">
        <v>1901</v>
      </c>
      <c r="E71">
        <v>0</v>
      </c>
      <c r="F71">
        <v>1</v>
      </c>
      <c r="G71" t="s">
        <v>1631</v>
      </c>
      <c r="H71" t="s">
        <v>1902</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8">
        <v>60</v>
      </c>
      <c r="B72" s="115" t="s">
        <v>1903</v>
      </c>
      <c r="C72" t="s">
        <v>1904</v>
      </c>
      <c r="D72" s="2" t="s">
        <v>1905</v>
      </c>
      <c r="E72">
        <v>0</v>
      </c>
      <c r="F72">
        <v>1</v>
      </c>
      <c r="G72" t="s">
        <v>1631</v>
      </c>
      <c r="H72" t="s">
        <v>1906</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8">
        <v>61</v>
      </c>
      <c r="B73" s="115" t="s">
        <v>1907</v>
      </c>
      <c r="C73" t="s">
        <v>1908</v>
      </c>
      <c r="D73" s="2" t="s">
        <v>1909</v>
      </c>
      <c r="E73">
        <v>0</v>
      </c>
      <c r="F73">
        <v>1</v>
      </c>
      <c r="G73" t="s">
        <v>1631</v>
      </c>
      <c r="H73" t="s">
        <v>1910</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8">
        <v>62</v>
      </c>
      <c r="B74" s="115" t="s">
        <v>1911</v>
      </c>
      <c r="C74" t="s">
        <v>1912</v>
      </c>
      <c r="D74" s="2" t="s">
        <v>1913</v>
      </c>
      <c r="E74">
        <v>0</v>
      </c>
      <c r="F74">
        <v>1</v>
      </c>
      <c r="G74" t="s">
        <v>1631</v>
      </c>
      <c r="H74" t="s">
        <v>1914</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8">
        <v>63</v>
      </c>
      <c r="B75" s="115" t="s">
        <v>1915</v>
      </c>
      <c r="C75" t="s">
        <v>1916</v>
      </c>
      <c r="D75" s="2" t="s">
        <v>1917</v>
      </c>
      <c r="E75">
        <v>0</v>
      </c>
      <c r="F75">
        <v>1</v>
      </c>
      <c r="G75" t="s">
        <v>1</v>
      </c>
      <c r="H75" t="s">
        <v>1918</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8">
        <v>64</v>
      </c>
      <c r="B76" s="115" t="s">
        <v>1919</v>
      </c>
      <c r="C76" t="s">
        <v>1920</v>
      </c>
      <c r="D76" s="2" t="s">
        <v>1921</v>
      </c>
      <c r="E76">
        <v>0</v>
      </c>
      <c r="F76">
        <v>1</v>
      </c>
      <c r="G76" t="s">
        <v>1</v>
      </c>
      <c r="H76" t="s">
        <v>1922</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8">
        <v>65</v>
      </c>
      <c r="B77" s="115" t="s">
        <v>1923</v>
      </c>
      <c r="C77" t="s">
        <v>1924</v>
      </c>
      <c r="D77" s="2" t="s">
        <v>1925</v>
      </c>
      <c r="E77">
        <v>0</v>
      </c>
      <c r="F77">
        <v>1</v>
      </c>
      <c r="G77" t="s">
        <v>1</v>
      </c>
      <c r="H77" t="s">
        <v>1926</v>
      </c>
      <c r="J77" s="12" t="str">
        <f t="shared" si="2"/>
        <v>* pm 0..1 string ##34#pM##34# ##334#Specifies the pathological M##334#</v>
      </c>
      <c r="L77" s="12" t="str">
        <f t="shared" si="3"/>
        <v>* pm ^comment = ##334#A string describing the pathological M##334#</v>
      </c>
    </row>
    <row r="78" spans="1:12" ht="29.5">
      <c r="A78" s="108">
        <v>66</v>
      </c>
      <c r="B78" s="115" t="s">
        <v>1927</v>
      </c>
      <c r="C78" t="s">
        <v>1928</v>
      </c>
      <c r="D78" s="2" t="s">
        <v>1929</v>
      </c>
      <c r="E78">
        <v>0</v>
      </c>
      <c r="F78">
        <v>1</v>
      </c>
      <c r="G78" t="s">
        <v>1</v>
      </c>
      <c r="H78" t="s">
        <v>1930</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8">
        <v>67</v>
      </c>
      <c r="B79" s="115" t="s">
        <v>1931</v>
      </c>
      <c r="C79" t="s">
        <v>1816</v>
      </c>
      <c r="D79" s="77" t="s">
        <v>1816</v>
      </c>
      <c r="E79">
        <v>0</v>
      </c>
      <c r="F79">
        <v>1</v>
      </c>
      <c r="G79" t="s">
        <v>2</v>
      </c>
      <c r="H79"/>
      <c r="J79" s="12" t="str">
        <f t="shared" si="2"/>
        <v>* ajccEdition 0..1 BackboneElement ##34#Ajcc edition##34# ##334#Ajcc edition##334#</v>
      </c>
      <c r="L79" s="12" t="str">
        <f t="shared" si="3"/>
        <v/>
      </c>
    </row>
    <row r="80" spans="1:12">
      <c r="A80" s="108">
        <v>68</v>
      </c>
      <c r="B80" s="115" t="s">
        <v>1932</v>
      </c>
      <c r="C80" t="s">
        <v>1820</v>
      </c>
      <c r="D80" s="77" t="s">
        <v>1820</v>
      </c>
      <c r="E80">
        <v>0</v>
      </c>
      <c r="F80">
        <v>1</v>
      </c>
      <c r="G80" t="s">
        <v>2</v>
      </c>
      <c r="H80"/>
      <c r="J80" s="12" t="str">
        <f t="shared" si="2"/>
        <v>* mSite 0..1 BackboneElement ##34#M site##34# ##334#M site##334#</v>
      </c>
      <c r="L80" s="12" t="str">
        <f t="shared" si="3"/>
        <v/>
      </c>
    </row>
    <row r="81" spans="1:12" ht="29.5">
      <c r="A81" s="108">
        <v>69</v>
      </c>
      <c r="B81" s="115" t="s">
        <v>1933</v>
      </c>
      <c r="C81" t="s">
        <v>1934</v>
      </c>
      <c r="D81" s="77" t="s">
        <v>1934</v>
      </c>
      <c r="E81">
        <v>0</v>
      </c>
      <c r="F81">
        <v>1</v>
      </c>
      <c r="G81" t="s">
        <v>2</v>
      </c>
      <c r="H81"/>
      <c r="J81" s="12" t="str">
        <f t="shared" si="2"/>
        <v>* softTissue 0..1 BackboneElement ##34#Soft Tissue##34# ##334#Soft Tissue##334#</v>
      </c>
      <c r="L81" s="12" t="str">
        <f t="shared" si="3"/>
        <v/>
      </c>
    </row>
    <row r="82" spans="1:12" ht="29.5">
      <c r="A82" s="108">
        <v>70</v>
      </c>
      <c r="B82" s="115" t="s">
        <v>1935</v>
      </c>
      <c r="C82" t="s">
        <v>1828</v>
      </c>
      <c r="D82" s="77" t="s">
        <v>1828</v>
      </c>
      <c r="E82">
        <v>0</v>
      </c>
      <c r="F82">
        <v>1</v>
      </c>
      <c r="G82" t="s">
        <v>2</v>
      </c>
      <c r="H82"/>
      <c r="J82" s="12" t="str">
        <f t="shared" si="2"/>
        <v>* distantLymphNode 0..1 BackboneElement ##34#distant lymph node##34# ##334#distant lymph node##334#</v>
      </c>
      <c r="L82" s="12" t="str">
        <f t="shared" si="3"/>
        <v/>
      </c>
    </row>
    <row r="83" spans="1:12">
      <c r="A83" s="108">
        <v>71</v>
      </c>
      <c r="B83" s="115" t="s">
        <v>1831</v>
      </c>
      <c r="C83" t="s">
        <v>1831</v>
      </c>
      <c r="D83" s="77" t="s">
        <v>1831</v>
      </c>
      <c r="E83">
        <v>0</v>
      </c>
      <c r="F83">
        <v>1</v>
      </c>
      <c r="G83" t="s">
        <v>2</v>
      </c>
      <c r="H83"/>
      <c r="J83" s="12" t="str">
        <f t="shared" si="2"/>
        <v>* lung 0..1 BackboneElement ##34#lung##34# ##334#lung##334#</v>
      </c>
      <c r="L83" s="12" t="str">
        <f t="shared" si="3"/>
        <v/>
      </c>
    </row>
    <row r="84" spans="1:12">
      <c r="A84" s="108">
        <v>72</v>
      </c>
      <c r="B84" s="115" t="s">
        <v>1834</v>
      </c>
      <c r="C84" t="s">
        <v>1834</v>
      </c>
      <c r="D84" s="77" t="s">
        <v>1834</v>
      </c>
      <c r="E84">
        <v>0</v>
      </c>
      <c r="F84">
        <v>1</v>
      </c>
      <c r="G84" t="s">
        <v>2</v>
      </c>
      <c r="H84"/>
      <c r="J84" s="12" t="str">
        <f t="shared" si="2"/>
        <v>* bone 0..1 BackboneElement ##34#bone##34# ##334#bone##334#</v>
      </c>
      <c r="L84" s="12" t="str">
        <f t="shared" si="3"/>
        <v/>
      </c>
    </row>
    <row r="85" spans="1:12">
      <c r="A85" s="108">
        <v>73</v>
      </c>
      <c r="B85" s="115" t="s">
        <v>1837</v>
      </c>
      <c r="C85" t="s">
        <v>1837</v>
      </c>
      <c r="D85" s="77" t="s">
        <v>1837</v>
      </c>
      <c r="E85">
        <v>0</v>
      </c>
      <c r="F85">
        <v>1</v>
      </c>
      <c r="G85" t="s">
        <v>2</v>
      </c>
      <c r="H85"/>
      <c r="J85" s="12" t="str">
        <f t="shared" si="2"/>
        <v>* liver 0..1 BackboneElement ##34#liver##34# ##334#liver##334#</v>
      </c>
      <c r="L85" s="12" t="str">
        <f t="shared" si="3"/>
        <v/>
      </c>
    </row>
    <row r="86" spans="1:12">
      <c r="A86" s="108">
        <v>74</v>
      </c>
      <c r="B86" s="115" t="s">
        <v>1840</v>
      </c>
      <c r="C86" t="s">
        <v>1840</v>
      </c>
      <c r="D86" s="77" t="s">
        <v>1840</v>
      </c>
      <c r="E86">
        <v>0</v>
      </c>
      <c r="F86">
        <v>1</v>
      </c>
      <c r="G86" t="s">
        <v>2</v>
      </c>
      <c r="H86"/>
      <c r="J86" s="12" t="str">
        <f t="shared" si="2"/>
        <v>* pleura 0..1 BackboneElement ##34#pleura##34# ##334#pleura##334#</v>
      </c>
      <c r="L86" s="12" t="str">
        <f t="shared" si="3"/>
        <v/>
      </c>
    </row>
    <row r="87" spans="1:12" ht="29.5">
      <c r="A87" s="108">
        <v>75</v>
      </c>
      <c r="B87" s="115" t="s">
        <v>1843</v>
      </c>
      <c r="C87" t="s">
        <v>1843</v>
      </c>
      <c r="D87" s="77" t="s">
        <v>1843</v>
      </c>
      <c r="E87">
        <v>0</v>
      </c>
      <c r="F87">
        <v>1</v>
      </c>
      <c r="G87" t="s">
        <v>2</v>
      </c>
      <c r="H87"/>
      <c r="J87" s="12" t="str">
        <f t="shared" si="2"/>
        <v>* peritoneum 0..1 BackboneElement ##34#peritoneum##34# ##334#peritoneum##334#</v>
      </c>
      <c r="L87" s="12" t="str">
        <f t="shared" si="3"/>
        <v/>
      </c>
    </row>
    <row r="88" spans="1:12">
      <c r="A88" s="108">
        <v>76</v>
      </c>
      <c r="B88" s="115" t="s">
        <v>1846</v>
      </c>
      <c r="C88" t="s">
        <v>1846</v>
      </c>
      <c r="D88" s="77" t="s">
        <v>1846</v>
      </c>
      <c r="E88">
        <v>0</v>
      </c>
      <c r="F88">
        <v>1</v>
      </c>
      <c r="G88" t="s">
        <v>2</v>
      </c>
      <c r="H88"/>
      <c r="J88" s="12" t="str">
        <f t="shared" si="2"/>
        <v>* brain 0..1 BackboneElement ##34#brain##34# ##334#brain##334#</v>
      </c>
      <c r="L88" s="12" t="str">
        <f t="shared" si="3"/>
        <v/>
      </c>
    </row>
    <row r="89" spans="1:12" ht="29.5">
      <c r="A89" s="108">
        <v>77</v>
      </c>
      <c r="B89" s="115" t="s">
        <v>1936</v>
      </c>
      <c r="C89" t="s">
        <v>1849</v>
      </c>
      <c r="D89" s="77" t="s">
        <v>1849</v>
      </c>
      <c r="E89">
        <v>0</v>
      </c>
      <c r="F89">
        <v>1</v>
      </c>
      <c r="G89" t="s">
        <v>2</v>
      </c>
      <c r="H89"/>
      <c r="J89" s="12" t="str">
        <f t="shared" si="2"/>
        <v>* otherViscera 0..1 BackboneElement ##34#other viscera##34# ##334#other viscera##334#</v>
      </c>
      <c r="L89" s="12" t="str">
        <f t="shared" si="3"/>
        <v/>
      </c>
    </row>
    <row r="90" spans="1:12" ht="29.5">
      <c r="A90" s="108">
        <v>78</v>
      </c>
      <c r="B90" s="115" t="s">
        <v>1937</v>
      </c>
      <c r="C90" t="s">
        <v>1938</v>
      </c>
      <c r="D90" s="2" t="s">
        <v>1939</v>
      </c>
      <c r="E90">
        <v>0</v>
      </c>
      <c r="F90">
        <v>1</v>
      </c>
      <c r="G90" t="s">
        <v>1</v>
      </c>
      <c r="H90" t="s">
        <v>1940</v>
      </c>
      <c r="J90" s="12" t="str">
        <f t="shared" si="2"/>
        <v>* msite 0..1 string ##34#M SITE##34# ##334#Specifices the M SITE##334#</v>
      </c>
      <c r="L90" s="12" t="str">
        <f t="shared" si="3"/>
        <v>* msite ^comment = ##334#A string or list of string describing where is the metastatic disease##334#</v>
      </c>
    </row>
    <row r="91" spans="1:12" ht="29.5">
      <c r="A91" s="108">
        <v>79</v>
      </c>
      <c r="B91" s="115" t="s">
        <v>1852</v>
      </c>
      <c r="C91" t="s">
        <v>1852</v>
      </c>
      <c r="D91" s="77" t="s">
        <v>1852</v>
      </c>
      <c r="E91">
        <v>0</v>
      </c>
      <c r="F91">
        <v>1</v>
      </c>
      <c r="G91" t="s">
        <v>2</v>
      </c>
      <c r="H91"/>
      <c r="J91" s="12" t="str">
        <f t="shared" si="2"/>
        <v>* unknown 0..1 BackboneElement ##34#unknown##34# ##334#unknown##334#</v>
      </c>
      <c r="L91" s="12" t="str">
        <f t="shared" si="3"/>
        <v/>
      </c>
    </row>
    <row r="92" spans="1:12" ht="29.5">
      <c r="A92" s="108">
        <v>80</v>
      </c>
      <c r="B92" s="115" t="s">
        <v>1941</v>
      </c>
      <c r="C92" t="s">
        <v>1942</v>
      </c>
      <c r="D92" s="77" t="s">
        <v>1942</v>
      </c>
      <c r="E92">
        <v>0</v>
      </c>
      <c r="F92">
        <v>1</v>
      </c>
      <c r="G92" t="s">
        <v>2</v>
      </c>
      <c r="H92"/>
      <c r="J92" s="12" t="str">
        <f t="shared" si="2"/>
        <v>* pathologicalStagingDefinedBy 0..1 BackboneElement ##34#Pathological staging defined by##34# ##334#Pathological staging defined by##334#</v>
      </c>
      <c r="L92" s="12" t="str">
        <f t="shared" si="3"/>
        <v/>
      </c>
    </row>
    <row r="93" spans="1:12" ht="29.5">
      <c r="A93" s="108">
        <v>81</v>
      </c>
      <c r="B93" s="115" t="s">
        <v>1711</v>
      </c>
      <c r="C93" t="s">
        <v>1626</v>
      </c>
      <c r="D93" s="77" t="s">
        <v>1626</v>
      </c>
      <c r="E93">
        <v>0</v>
      </c>
      <c r="F93">
        <v>1</v>
      </c>
      <c r="G93" t="s">
        <v>2</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1945</v>
      </c>
      <c r="E4" s="20" t="str">
        <f>CONCATENATE("Mapping: ",C4)</f>
        <v>Mapping: I4RCStaging2Fhir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1946</v>
      </c>
      <c r="E6" s="21" t="str">
        <f>CONCATENATE("Title: ##34#",C6,"##34#")</f>
        <v>Title: ##34#Idea4RC Staging model to FHIR R4 Map##34#</v>
      </c>
      <c r="H6" s="7"/>
      <c r="I6" s="7"/>
      <c r="J6" s="7"/>
      <c r="K6" s="7"/>
      <c r="L6" s="7"/>
      <c r="M6" s="7"/>
      <c r="N6" s="7"/>
      <c r="O6" s="7"/>
    </row>
    <row r="7" spans="1:15" ht="15.5" thickBot="1">
      <c r="B7" s="10" t="s">
        <v>19</v>
      </c>
      <c r="C7" s="8" t="str">
        <f>B9</f>
        <v>Staging</v>
      </c>
      <c r="E7" s="21" t="str">
        <f>CONCATENATE("Source: ",C7)</f>
        <v>Source: Staging</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Staging!B5</f>
        <v>Staging</v>
      </c>
      <c r="C9" s="6" t="s">
        <v>1637</v>
      </c>
      <c r="E9" s="28" t="str">
        <f>CONCATENATE("* -&gt; ##34#",C9,"##34#")</f>
        <v>* -&gt; ##34#TBD##34#</v>
      </c>
      <c r="H9" s="7"/>
      <c r="I9" s="7"/>
      <c r="J9" s="7"/>
      <c r="K9" s="7"/>
      <c r="L9" s="7"/>
      <c r="M9" s="7"/>
      <c r="N9" s="7"/>
      <c r="O9" s="7"/>
    </row>
    <row r="10" spans="1:15">
      <c r="A10" s="11"/>
      <c r="B10" s="11" t="str">
        <f>Staging!B8</f>
        <v>stagingProceduresDoneBy</v>
      </c>
      <c r="C10" s="11" t="s">
        <v>1637</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1637</v>
      </c>
      <c r="E11" s="12" t="str">
        <f t="shared" si="0"/>
        <v>* imagingPerformed -&gt; ##34#TBD##34#</v>
      </c>
      <c r="H11" s="7"/>
      <c r="I11" s="7"/>
      <c r="J11" s="7"/>
      <c r="K11" s="7"/>
      <c r="L11" s="7"/>
      <c r="M11" s="7"/>
      <c r="N11" s="7"/>
      <c r="O11" s="7"/>
    </row>
    <row r="12" spans="1:15">
      <c r="A12" s="11"/>
      <c r="B12" s="11" t="str">
        <f>Staging!B10</f>
        <v>imagingPerformed.flag</v>
      </c>
      <c r="C12" s="11" t="s">
        <v>1637</v>
      </c>
      <c r="E12" s="12" t="str">
        <f t="shared" si="0"/>
        <v>* imagingPerformed.flag -&gt; ##34#TBD##34#</v>
      </c>
      <c r="H12" s="7"/>
      <c r="I12" s="7"/>
      <c r="J12" s="7"/>
      <c r="K12" s="7"/>
      <c r="L12" s="7"/>
      <c r="M12" s="7"/>
      <c r="N12" s="7"/>
      <c r="O12" s="7"/>
    </row>
    <row r="13" spans="1:15">
      <c r="A13" s="11"/>
      <c r="B13" s="11" t="str">
        <f>Staging!B11</f>
        <v>imagingPerformed.cTPerformed</v>
      </c>
      <c r="C13" s="11" t="s">
        <v>1637</v>
      </c>
      <c r="E13" s="12" t="str">
        <f t="shared" si="0"/>
        <v>* imagingPerformed.cTPerformed -&gt; ##34#TBD##34#</v>
      </c>
      <c r="H13" s="7"/>
      <c r="I13" s="7"/>
      <c r="J13" s="7"/>
      <c r="K13" s="7"/>
      <c r="L13" s="7"/>
      <c r="M13" s="7"/>
      <c r="N13" s="7"/>
      <c r="O13" s="7"/>
    </row>
    <row r="14" spans="1:15">
      <c r="A14" s="11"/>
      <c r="B14" s="11" t="str">
        <f>Staging!B12</f>
        <v>imagingPerformed.mRIPerformed</v>
      </c>
      <c r="C14" s="11" t="s">
        <v>1637</v>
      </c>
      <c r="E14" s="12" t="str">
        <f t="shared" si="0"/>
        <v>* imagingPerformed.mRIPerformed -&gt; ##34#TBD##34#</v>
      </c>
      <c r="H14" s="7"/>
      <c r="I14" s="7"/>
      <c r="J14" s="7"/>
      <c r="K14" s="7"/>
      <c r="L14" s="7"/>
      <c r="M14" s="7"/>
      <c r="N14" s="7"/>
      <c r="O14" s="7"/>
    </row>
    <row r="15" spans="1:15">
      <c r="A15" s="11"/>
      <c r="B15" s="11" t="str">
        <f>Staging!B13</f>
        <v>imagingPerformed.uSPerformed</v>
      </c>
      <c r="C15" s="11" t="s">
        <v>1637</v>
      </c>
      <c r="E15" s="12" t="str">
        <f t="shared" si="0"/>
        <v>* imagingPerformed.uSPerformed -&gt; ##34#TBD##34#</v>
      </c>
      <c r="H15" s="7"/>
      <c r="I15" s="7"/>
      <c r="J15" s="7"/>
      <c r="K15" s="7"/>
      <c r="L15" s="7"/>
      <c r="M15" s="7"/>
      <c r="N15" s="7"/>
      <c r="O15" s="7"/>
    </row>
    <row r="16" spans="1:15">
      <c r="A16" s="11"/>
      <c r="B16" s="11" t="str">
        <f>Staging!B14</f>
        <v>imagingPerformed.fDGPETPerformed</v>
      </c>
      <c r="C16" s="11" t="s">
        <v>1637</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1637</v>
      </c>
      <c r="E17" s="12" t="str">
        <f t="shared" si="0"/>
        <v>* imagingPerformed.pETwithothertracersPerformed -&gt; ##34#TBD##34#</v>
      </c>
    </row>
    <row r="18" spans="1:5">
      <c r="A18" s="11"/>
      <c r="B18" s="11" t="str">
        <f>Staging!B16</f>
        <v>imagingPerformed.opticaldigitalmethodsegnarrowbandimagingPerformed</v>
      </c>
      <c r="C18" s="11" t="s">
        <v>1637</v>
      </c>
      <c r="E18" s="12" t="str">
        <f t="shared" si="0"/>
        <v>* imagingPerformed.opticaldigitalmethodsegnarrowbandimagingPerformed -&gt; ##34#TBD##34#</v>
      </c>
    </row>
    <row r="19" spans="1:5">
      <c r="A19" s="11"/>
      <c r="B19" s="11" t="str">
        <f>Staging!B17</f>
        <v>imagingPerformed.cTPETPerformed</v>
      </c>
      <c r="C19" s="11" t="s">
        <v>1637</v>
      </c>
      <c r="E19" s="12" t="str">
        <f t="shared" si="0"/>
        <v>* imagingPerformed.cTPETPerformed -&gt; ##34#TBD##34#</v>
      </c>
    </row>
    <row r="20" spans="1:5">
      <c r="A20" s="11"/>
      <c r="B20" s="11" t="str">
        <f>Staging!B18</f>
        <v>imagingPerformed.unknownPerformed</v>
      </c>
      <c r="C20" s="11" t="s">
        <v>1637</v>
      </c>
      <c r="E20" s="12" t="str">
        <f t="shared" si="0"/>
        <v>* imagingPerformed.unknownPerformed -&gt; ##34#TBD##34#</v>
      </c>
    </row>
    <row r="21" spans="1:5">
      <c r="B21" s="11" t="str">
        <f>Staging!B19</f>
        <v>imagingPerformed.otherimagingforprimarysitePerformed</v>
      </c>
      <c r="C21" s="11" t="s">
        <v>1637</v>
      </c>
      <c r="E21" s="12" t="str">
        <f t="shared" si="0"/>
        <v>* imagingPerformed.otherimagingforprimarysitePerformed -&gt; ##34#TBD##34#</v>
      </c>
    </row>
    <row r="22" spans="1:5">
      <c r="B22" s="11" t="str">
        <f>Staging!B20</f>
        <v>imagingforneckPerformed</v>
      </c>
      <c r="C22" s="11" t="s">
        <v>1637</v>
      </c>
      <c r="E22" s="12" t="str">
        <f t="shared" si="0"/>
        <v>* imagingforneckPerformed -&gt; ##34#TBD##34#</v>
      </c>
    </row>
    <row r="23" spans="1:5">
      <c r="B23" s="11" t="str">
        <f>Staging!B21</f>
        <v>imagingforneckPerformed.flag</v>
      </c>
      <c r="C23" s="11" t="s">
        <v>1637</v>
      </c>
      <c r="E23" s="12" t="str">
        <f t="shared" si="0"/>
        <v>* imagingforneckPerformed.flag -&gt; ##34#TBD##34#</v>
      </c>
    </row>
    <row r="24" spans="1:5">
      <c r="B24" s="11" t="str">
        <f>Staging!B22</f>
        <v>imagingforneckPerformed.cTPerformed</v>
      </c>
      <c r="C24" s="11" t="s">
        <v>1637</v>
      </c>
      <c r="E24" s="12" t="str">
        <f t="shared" si="0"/>
        <v>* imagingforneckPerformed.cTPerformed -&gt; ##34#TBD##34#</v>
      </c>
    </row>
    <row r="25" spans="1:5">
      <c r="B25" s="11" t="str">
        <f>Staging!B23</f>
        <v>imagingforneckPerformed.mRIPerformed</v>
      </c>
      <c r="C25" s="11" t="s">
        <v>1637</v>
      </c>
      <c r="E25" s="12" t="str">
        <f t="shared" si="0"/>
        <v>* imagingforneckPerformed.mRIPerformed -&gt; ##34#TBD##34#</v>
      </c>
    </row>
    <row r="26" spans="1:5">
      <c r="B26" s="11" t="str">
        <f>Staging!B24</f>
        <v>imagingforneckPerformed.uSPerformed</v>
      </c>
      <c r="C26" s="11" t="s">
        <v>1637</v>
      </c>
      <c r="E26" s="12" t="str">
        <f t="shared" si="0"/>
        <v>* imagingforneckPerformed.uSPerformed -&gt; ##34#TBD##34#</v>
      </c>
    </row>
    <row r="27" spans="1:5">
      <c r="B27" s="11" t="str">
        <f>Staging!B25</f>
        <v>imagingforneckPerformed.fDGPETPerformed</v>
      </c>
      <c r="C27" s="11" t="s">
        <v>1637</v>
      </c>
      <c r="E27" s="12" t="str">
        <f t="shared" si="0"/>
        <v>* imagingforneckPerformed.fDGPETPerformed -&gt; ##34#TBD##34#</v>
      </c>
    </row>
    <row r="28" spans="1:5">
      <c r="B28" s="11" t="str">
        <f>Staging!B26</f>
        <v>imagingforneckPerformed.pETwithothertracersPerformed</v>
      </c>
      <c r="C28" s="11" t="s">
        <v>1637</v>
      </c>
      <c r="E28" s="12" t="str">
        <f t="shared" si="0"/>
        <v>* imagingforneckPerformed.pETwithothertracersPerformed -&gt; ##34#TBD##34#</v>
      </c>
    </row>
    <row r="29" spans="1:5">
      <c r="B29" s="11" t="str">
        <f>Staging!B27</f>
        <v>imagingforneckPerformed.cTPETPerformed</v>
      </c>
      <c r="C29" s="11" t="s">
        <v>1637</v>
      </c>
      <c r="E29" s="12" t="str">
        <f t="shared" si="0"/>
        <v>* imagingforneckPerformed.cTPETPerformed -&gt; ##34#TBD##34#</v>
      </c>
    </row>
    <row r="30" spans="1:5">
      <c r="B30" s="11" t="str">
        <f>Staging!B28</f>
        <v>imagingforneckPerformed.unknownPerformed</v>
      </c>
      <c r="C30" s="11" t="s">
        <v>1637</v>
      </c>
      <c r="E30" s="12" t="str">
        <f t="shared" si="0"/>
        <v>* imagingforneckPerformed.unknownPerformed -&gt; ##34#TBD##34#</v>
      </c>
    </row>
    <row r="31" spans="1:5">
      <c r="B31" s="11" t="str">
        <f>Staging!B29</f>
        <v>imagingforneckPerformed.otherimagingforneckPerformed</v>
      </c>
      <c r="C31" s="11" t="s">
        <v>1637</v>
      </c>
      <c r="E31" s="12" t="str">
        <f t="shared" si="0"/>
        <v>* imagingforneckPerformed.otherimagingforneckPerformed -&gt; ##34#TBD##34#</v>
      </c>
    </row>
    <row r="32" spans="1:5">
      <c r="B32" s="11" t="str">
        <f>Staging!B30</f>
        <v>imagingformetastasisPerformed</v>
      </c>
      <c r="C32" s="11" t="s">
        <v>1637</v>
      </c>
      <c r="E32" s="12" t="str">
        <f t="shared" si="0"/>
        <v>* imagingformetastasisPerformed -&gt; ##34#TBD##34#</v>
      </c>
    </row>
    <row r="33" spans="2:5">
      <c r="B33" s="11" t="str">
        <f>Staging!B31</f>
        <v>imagingformetastasisPerformed.imagingformetastasisPerformed</v>
      </c>
      <c r="C33" s="11" t="s">
        <v>1637</v>
      </c>
      <c r="E33" s="12" t="str">
        <f t="shared" si="0"/>
        <v>* imagingformetastasisPerformed.imagingformetastasisPerformed -&gt; ##34#TBD##34#</v>
      </c>
    </row>
    <row r="34" spans="2:5">
      <c r="B34" s="11" t="str">
        <f>Staging!B32</f>
        <v>imagingformetastasisPerformed.cTPerformed</v>
      </c>
      <c r="C34" s="11" t="s">
        <v>1637</v>
      </c>
      <c r="E34" s="12" t="str">
        <f t="shared" si="0"/>
        <v>* imagingformetastasisPerformed.cTPerformed -&gt; ##34#TBD##34#</v>
      </c>
    </row>
    <row r="35" spans="2:5">
      <c r="B35" s="11" t="str">
        <f>Staging!B33</f>
        <v>imagingformetastasisPerformed.mRIPerformed</v>
      </c>
      <c r="C35" s="11" t="s">
        <v>1637</v>
      </c>
      <c r="E35" s="12" t="str">
        <f t="shared" si="0"/>
        <v>* imagingformetastasisPerformed.mRIPerformed -&gt; ##34#TBD##34#</v>
      </c>
    </row>
    <row r="36" spans="2:5">
      <c r="B36" s="11" t="str">
        <f>Staging!B34</f>
        <v>imagingformetastasisPerformed.uSPerformed</v>
      </c>
      <c r="C36" s="11" t="s">
        <v>1637</v>
      </c>
      <c r="E36" s="12" t="str">
        <f t="shared" si="0"/>
        <v>* imagingformetastasisPerformed.uSPerformed -&gt; ##34#TBD##34#</v>
      </c>
    </row>
    <row r="37" spans="2:5">
      <c r="B37" s="11" t="str">
        <f>Staging!B35</f>
        <v>imagingformetastasisPerformed.fDGPETPerformed</v>
      </c>
      <c r="C37" s="11" t="s">
        <v>1637</v>
      </c>
      <c r="E37" s="12" t="str">
        <f t="shared" si="0"/>
        <v>* imagingformetastasisPerformed.fDGPETPerformed -&gt; ##34#TBD##34#</v>
      </c>
    </row>
    <row r="38" spans="2:5">
      <c r="B38" s="11" t="str">
        <f>Staging!B36</f>
        <v>imagingformetastasisPerformed.pETwithothertracersPerformed</v>
      </c>
      <c r="C38" s="11" t="s">
        <v>1637</v>
      </c>
      <c r="E38" s="12" t="str">
        <f t="shared" si="0"/>
        <v>* imagingformetastasisPerformed.pETwithothertracersPerformed -&gt; ##34#TBD##34#</v>
      </c>
    </row>
    <row r="39" spans="2:5">
      <c r="B39" s="11" t="str">
        <f>Staging!B37</f>
        <v>imagingformetastasisPerformed.cTPETPerformed</v>
      </c>
      <c r="C39" s="11" t="s">
        <v>1637</v>
      </c>
      <c r="E39" s="12" t="str">
        <f t="shared" si="0"/>
        <v>* imagingformetastasisPerformed.cTPETPerformed -&gt; ##34#TBD##34#</v>
      </c>
    </row>
    <row r="40" spans="2:5">
      <c r="B40" s="11" t="str">
        <f>Staging!B38</f>
        <v>imagingformetastasisPerformed.unknownPerformed</v>
      </c>
      <c r="C40" s="11" t="s">
        <v>1637</v>
      </c>
      <c r="E40" s="12" t="str">
        <f t="shared" si="0"/>
        <v>* imagingformetastasisPerformed.unknownPerformed -&gt; ##34#TBD##34#</v>
      </c>
    </row>
    <row r="41" spans="2:5">
      <c r="B41" s="11" t="str">
        <f>Staging!B39</f>
        <v>imagingformetastasisPerformed.otherimagingformetastaticdiseasePerformed</v>
      </c>
      <c r="C41" s="11" t="s">
        <v>1637</v>
      </c>
      <c r="E41" s="12" t="str">
        <f t="shared" si="0"/>
        <v>* imagingformetastasisPerformed.otherimagingformetastaticdiseasePerformed -&gt; ##34#TBD##34#</v>
      </c>
    </row>
    <row r="42" spans="2:5">
      <c r="B42" s="11" t="str">
        <f>Staging!B40</f>
        <v>clinicalStage</v>
      </c>
      <c r="C42" s="11" t="s">
        <v>1637</v>
      </c>
      <c r="E42" s="12" t="str">
        <f t="shared" si="0"/>
        <v>* clinicalStage -&gt; ##34#TBD##34#</v>
      </c>
    </row>
    <row r="43" spans="2:5">
      <c r="B43" s="11" t="str">
        <f>Staging!B41</f>
        <v>clinicalStage.ct</v>
      </c>
      <c r="C43" s="11" t="s">
        <v>1637</v>
      </c>
      <c r="E43" s="12" t="str">
        <f t="shared" si="0"/>
        <v>* clinicalStage.ct -&gt; ##34#TBD##34#</v>
      </c>
    </row>
    <row r="44" spans="2:5">
      <c r="B44" s="11" t="str">
        <f>Staging!B42</f>
        <v>clinicalStage.cn</v>
      </c>
      <c r="C44" s="11" t="s">
        <v>1637</v>
      </c>
      <c r="E44" s="12" t="str">
        <f t="shared" si="0"/>
        <v>* clinicalStage.cn -&gt; ##34#TBD##34#</v>
      </c>
    </row>
    <row r="45" spans="2:5">
      <c r="B45" s="11" t="str">
        <f>Staging!B43</f>
        <v>clinicalStage.radiologicalExtraNodalExtensionRene</v>
      </c>
      <c r="C45" s="11" t="s">
        <v>1637</v>
      </c>
      <c r="E45" s="12" t="str">
        <f t="shared" si="0"/>
        <v>* clinicalStage.radiologicalExtraNodalExtensionRene -&gt; ##34#TBD##34#</v>
      </c>
    </row>
    <row r="46" spans="2:5">
      <c r="B46" s="11" t="str">
        <f>Staging!B44</f>
        <v>clinicalStage.cm</v>
      </c>
      <c r="C46" s="11" t="s">
        <v>1637</v>
      </c>
      <c r="E46" s="12" t="str">
        <f t="shared" si="0"/>
        <v>* clinicalStage.cm -&gt; ##34#TBD##34#</v>
      </c>
    </row>
    <row r="47" spans="2:5">
      <c r="B47" s="11" t="str">
        <f>Staging!B45</f>
        <v>clinicalStage.clinicalStaging</v>
      </c>
      <c r="C47" s="11" t="s">
        <v>1637</v>
      </c>
      <c r="E47" s="12" t="str">
        <f t="shared" si="0"/>
        <v>* clinicalStage.clinicalStaging -&gt; ##34#TBD##34#</v>
      </c>
    </row>
    <row r="48" spans="2:5">
      <c r="B48" s="11" t="str">
        <f>Staging!B46</f>
        <v>clinicalStage.ajccEdition</v>
      </c>
      <c r="C48" s="11" t="s">
        <v>1637</v>
      </c>
      <c r="E48" s="12" t="str">
        <f t="shared" si="0"/>
        <v>* clinicalStage.ajccEdition -&gt; ##34#TBD##34#</v>
      </c>
    </row>
    <row r="49" spans="2:5">
      <c r="B49" s="11" t="str">
        <f>Staging!B47</f>
        <v>clinicalStage.nan</v>
      </c>
      <c r="C49" s="11" t="s">
        <v>1637</v>
      </c>
      <c r="E49" s="12" t="str">
        <f t="shared" si="0"/>
        <v>* clinicalStage.nan -&gt; ##34#TBD##34#</v>
      </c>
    </row>
    <row r="50" spans="2:5">
      <c r="B50" s="11" t="str">
        <f>Staging!B48</f>
        <v>metastasisSite</v>
      </c>
      <c r="C50" s="11" t="s">
        <v>1637</v>
      </c>
      <c r="E50" s="12" t="str">
        <f t="shared" si="0"/>
        <v>* metastasisSite -&gt; ##34#TBD##34#</v>
      </c>
    </row>
    <row r="51" spans="2:5">
      <c r="B51" s="11" t="str">
        <f>Staging!B49</f>
        <v>metastasisSite.softTissue</v>
      </c>
      <c r="C51" s="11" t="s">
        <v>1637</v>
      </c>
      <c r="E51" s="12" t="str">
        <f t="shared" si="0"/>
        <v>* metastasisSite.softTissue -&gt; ##34#TBD##34#</v>
      </c>
    </row>
    <row r="52" spans="2:5">
      <c r="B52" s="11" t="str">
        <f>Staging!B50</f>
        <v>metastasisSite.distantLymphNode</v>
      </c>
      <c r="C52" s="11" t="s">
        <v>1637</v>
      </c>
      <c r="E52" s="12" t="str">
        <f t="shared" si="0"/>
        <v>* metastasisSite.distantLymphNode -&gt; ##34#TBD##34#</v>
      </c>
    </row>
    <row r="53" spans="2:5">
      <c r="B53" s="11" t="str">
        <f>Staging!B51</f>
        <v>metastasisSite.lung</v>
      </c>
      <c r="C53" s="11" t="s">
        <v>1637</v>
      </c>
      <c r="E53" s="12" t="str">
        <f t="shared" si="0"/>
        <v>* metastasisSite.lung -&gt; ##34#TBD##34#</v>
      </c>
    </row>
    <row r="54" spans="2:5">
      <c r="B54" s="11" t="str">
        <f>Staging!B52</f>
        <v>metastasisSite.bone</v>
      </c>
      <c r="C54" s="11" t="s">
        <v>1637</v>
      </c>
      <c r="E54" s="12" t="str">
        <f t="shared" si="0"/>
        <v>* metastasisSite.bone -&gt; ##34#TBD##34#</v>
      </c>
    </row>
    <row r="55" spans="2:5">
      <c r="B55" s="11" t="str">
        <f>Staging!B53</f>
        <v>metastasisSite.liver</v>
      </c>
      <c r="C55" s="11" t="s">
        <v>1637</v>
      </c>
      <c r="E55" s="12" t="str">
        <f t="shared" si="0"/>
        <v>* metastasisSite.liver -&gt; ##34#TBD##34#</v>
      </c>
    </row>
    <row r="56" spans="2:5">
      <c r="B56" s="11" t="str">
        <f>Staging!B54</f>
        <v>metastasisSite.pleura</v>
      </c>
      <c r="C56" s="11" t="s">
        <v>1637</v>
      </c>
      <c r="E56" s="12" t="str">
        <f t="shared" si="0"/>
        <v>* metastasisSite.pleura -&gt; ##34#TBD##34#</v>
      </c>
    </row>
    <row r="57" spans="2:5">
      <c r="B57" s="11" t="str">
        <f>Staging!B55</f>
        <v>metastasisSite.peritoneum</v>
      </c>
      <c r="C57" s="11" t="s">
        <v>1637</v>
      </c>
      <c r="E57" s="12" t="str">
        <f t="shared" si="0"/>
        <v>* metastasisSite.peritoneum -&gt; ##34#TBD##34#</v>
      </c>
    </row>
    <row r="58" spans="2:5">
      <c r="B58" s="11" t="str">
        <f>Staging!B56</f>
        <v>metastasisSite.brain</v>
      </c>
      <c r="C58" s="11" t="s">
        <v>1637</v>
      </c>
      <c r="E58" s="12" t="str">
        <f t="shared" si="0"/>
        <v>* metastasisSite.brain -&gt; ##34#TBD##34#</v>
      </c>
    </row>
    <row r="59" spans="2:5">
      <c r="B59" s="11" t="str">
        <f>Staging!B57</f>
        <v>metastasisSite.otherViscera</v>
      </c>
      <c r="C59" s="11" t="s">
        <v>1637</v>
      </c>
      <c r="E59" s="12" t="str">
        <f t="shared" si="0"/>
        <v>* metastasisSite.otherViscera -&gt; ##34#TBD##34#</v>
      </c>
    </row>
    <row r="60" spans="2:5">
      <c r="B60" s="11" t="str">
        <f>Staging!B58</f>
        <v>metastasisSite.unknown</v>
      </c>
      <c r="C60" s="11" t="s">
        <v>1637</v>
      </c>
      <c r="E60" s="12" t="str">
        <f t="shared" si="0"/>
        <v>* metastasisSite.unknown -&gt; ##34#TBD##34#</v>
      </c>
    </row>
    <row r="61" spans="2:5">
      <c r="B61" s="11" t="str">
        <f>Staging!B59</f>
        <v>clinicalStagingDefinedBy</v>
      </c>
      <c r="C61" s="11" t="s">
        <v>1637</v>
      </c>
      <c r="E61" s="12" t="str">
        <f t="shared" si="0"/>
        <v>* clinicalStagingDefinedBy -&gt; ##34#TBD##34#</v>
      </c>
    </row>
    <row r="62" spans="2:5">
      <c r="B62" s="11" t="str">
        <f>Staging!B60</f>
        <v>pathologicalStage</v>
      </c>
      <c r="C62" s="11" t="s">
        <v>1637</v>
      </c>
      <c r="E62" s="12" t="str">
        <f t="shared" si="0"/>
        <v>* pathologicalStage -&gt; ##34#TBD##34#</v>
      </c>
    </row>
    <row r="63" spans="2:5">
      <c r="B63" s="11" t="str">
        <f>Staging!B61</f>
        <v>pathologicalStage.pt</v>
      </c>
      <c r="C63" s="11" t="s">
        <v>1637</v>
      </c>
      <c r="E63" s="12" t="str">
        <f t="shared" si="0"/>
        <v>* pathologicalStage.pt -&gt; ##34#TBD##34#</v>
      </c>
    </row>
    <row r="64" spans="2:5">
      <c r="B64" s="11" t="str">
        <f>Staging!B62</f>
        <v>pathologicalStage.pn</v>
      </c>
      <c r="C64" s="11" t="s">
        <v>1637</v>
      </c>
      <c r="E64" s="12" t="str">
        <f t="shared" si="0"/>
        <v>* pathologicalStage.pn -&gt; ##34#TBD##34#</v>
      </c>
    </row>
    <row r="65" spans="2:5">
      <c r="B65" s="11" t="str">
        <f>Staging!B63</f>
        <v>extranodalExtensionEne</v>
      </c>
      <c r="C65" s="11" t="s">
        <v>1637</v>
      </c>
      <c r="E65" s="12" t="str">
        <f t="shared" si="0"/>
        <v>* extranodalExtensionEne -&gt; ##34#TBD##34#</v>
      </c>
    </row>
    <row r="66" spans="2:5">
      <c r="B66" s="11" t="str">
        <f>Staging!B64</f>
        <v>extranodalExtent</v>
      </c>
      <c r="C66" s="11" t="s">
        <v>1637</v>
      </c>
      <c r="E66" s="12" t="str">
        <f t="shared" si="0"/>
        <v>* extranodalExtent -&gt; ##34#TBD##34#</v>
      </c>
    </row>
    <row r="67" spans="2:5">
      <c r="B67" s="11" t="str">
        <f>Staging!B65</f>
        <v>marginsAfterSurgery</v>
      </c>
      <c r="C67" s="11" t="s">
        <v>1637</v>
      </c>
      <c r="E67" s="12" t="str">
        <f t="shared" si="0"/>
        <v>* marginsAfterSurgery -&gt; ##34#TBD##34#</v>
      </c>
    </row>
    <row r="68" spans="2:5">
      <c r="B68" s="11" t="str">
        <f>Staging!B66</f>
        <v>marginsAfterSurgeryIf5Mm</v>
      </c>
      <c r="C68" s="11" t="s">
        <v>1637</v>
      </c>
      <c r="E68" s="12" t="str">
        <f t="shared" si="0"/>
        <v>* marginsAfterSurgeryIf5Mm -&gt; ##34#TBD##34#</v>
      </c>
    </row>
    <row r="69" spans="2:5">
      <c r="B69" s="11" t="str">
        <f>Staging!B67</f>
        <v>sentinelNode</v>
      </c>
      <c r="C69" s="11" t="s">
        <v>1637</v>
      </c>
      <c r="E69" s="12" t="str">
        <f t="shared" si="0"/>
        <v>* sentinelNode -&gt; ##34#TBD##34#</v>
      </c>
    </row>
    <row r="70" spans="2:5">
      <c r="B70" s="11" t="str">
        <f>Staging!B68</f>
        <v>neckDissection</v>
      </c>
      <c r="C70" s="11" t="s">
        <v>1637</v>
      </c>
      <c r="E70" s="12" t="str">
        <f t="shared" si="0"/>
        <v>* neckDissection -&gt; ##34#TBD##34#</v>
      </c>
    </row>
    <row r="71" spans="2:5">
      <c r="B71" s="11" t="str">
        <f>Staging!B69</f>
        <v>numberOfLymphNodesRemovedRightSide</v>
      </c>
      <c r="C71" s="11" t="s">
        <v>1637</v>
      </c>
      <c r="E71" s="12" t="str">
        <f t="shared" si="0"/>
        <v>* numberOfLymphNodesRemovedRightSide -&gt; ##34#TBD##34#</v>
      </c>
    </row>
    <row r="72" spans="2:5">
      <c r="B72" s="11" t="str">
        <f>Staging!B70</f>
        <v>numberOfPositiveLymphNodesRightSide</v>
      </c>
      <c r="C72" s="11" t="s">
        <v>1637</v>
      </c>
      <c r="E72" s="12" t="str">
        <f t="shared" si="0"/>
        <v>* numberOfPositiveLymphNodesRightSide -&gt; ##34#TBD##34#</v>
      </c>
    </row>
    <row r="73" spans="2:5">
      <c r="B73" s="11" t="str">
        <f>Staging!B71</f>
        <v>lnrRightLymphNodeRatio</v>
      </c>
      <c r="C73" s="11" t="s">
        <v>1637</v>
      </c>
      <c r="E73" s="12" t="str">
        <f t="shared" si="0"/>
        <v>* lnrRightLymphNodeRatio -&gt; ##34#TBD##34#</v>
      </c>
    </row>
    <row r="74" spans="2:5">
      <c r="B74" s="11" t="str">
        <f>Staging!B72</f>
        <v>numberOfLymphNodesRemovedLeftSide</v>
      </c>
      <c r="C74" s="11" t="s">
        <v>1637</v>
      </c>
      <c r="E74" s="12" t="str">
        <f t="shared" ref="E74:E98" si="1">IF(B74=0,"*  -&gt; ##34###34#",CONCATENATE("* ",B74," -&gt; ##34#",C74,"##34#"))</f>
        <v>* numberOfLymphNodesRemovedLeftSide -&gt; ##34#TBD##34#</v>
      </c>
    </row>
    <row r="75" spans="2:5">
      <c r="B75" s="11" t="str">
        <f>Staging!B73</f>
        <v>numberOfPositiveLymphNodesLeftSide</v>
      </c>
      <c r="C75" s="11" t="s">
        <v>1637</v>
      </c>
      <c r="E75" s="12" t="str">
        <f t="shared" si="1"/>
        <v>* numberOfPositiveLymphNodesLeftSide -&gt; ##34#TBD##34#</v>
      </c>
    </row>
    <row r="76" spans="2:5">
      <c r="B76" s="11" t="str">
        <f>Staging!B74</f>
        <v>lnrLeftLymphNodeRatio</v>
      </c>
      <c r="C76" s="11" t="s">
        <v>1637</v>
      </c>
      <c r="E76" s="12" t="str">
        <f t="shared" si="1"/>
        <v>* lnrLeftLymphNodeRatio -&gt; ##34#TBD##34#</v>
      </c>
    </row>
    <row r="77" spans="2:5">
      <c r="B77" s="11" t="str">
        <f>Staging!B75</f>
        <v>lymphovascularSpaceInvasionLvsi</v>
      </c>
      <c r="C77" s="11" t="s">
        <v>1637</v>
      </c>
      <c r="E77" s="12" t="str">
        <f t="shared" si="1"/>
        <v>* lymphovascularSpaceInvasionLvsi -&gt; ##34#TBD##34#</v>
      </c>
    </row>
    <row r="78" spans="2:5">
      <c r="B78" s="11" t="str">
        <f>Staging!B76</f>
        <v>perineuralInvasionPni</v>
      </c>
      <c r="C78" s="11" t="s">
        <v>1637</v>
      </c>
      <c r="E78" s="12" t="str">
        <f t="shared" si="1"/>
        <v>* perineuralInvasionPni -&gt; ##34#TBD##34#</v>
      </c>
    </row>
    <row r="79" spans="2:5">
      <c r="B79" s="11" t="str">
        <f>Staging!B77</f>
        <v>pm</v>
      </c>
      <c r="C79" s="11" t="s">
        <v>1637</v>
      </c>
      <c r="E79" s="12" t="str">
        <f t="shared" si="1"/>
        <v>* pm -&gt; ##34#TBD##34#</v>
      </c>
    </row>
    <row r="80" spans="2:5">
      <c r="B80" s="11" t="str">
        <f>Staging!B78</f>
        <v>pathologicalStaging</v>
      </c>
      <c r="C80" s="11" t="s">
        <v>1637</v>
      </c>
      <c r="E80" s="12" t="str">
        <f t="shared" si="1"/>
        <v>* pathologicalStaging -&gt; ##34#TBD##34#</v>
      </c>
    </row>
    <row r="81" spans="2:5">
      <c r="B81" s="11" t="str">
        <f>Staging!B79</f>
        <v>ajccEdition</v>
      </c>
      <c r="C81" s="11" t="s">
        <v>1637</v>
      </c>
      <c r="E81" s="12" t="str">
        <f t="shared" si="1"/>
        <v>* ajccEdition -&gt; ##34#TBD##34#</v>
      </c>
    </row>
    <row r="82" spans="2:5">
      <c r="B82" s="11" t="str">
        <f>Staging!B80</f>
        <v>mSite</v>
      </c>
      <c r="C82" s="11" t="s">
        <v>1637</v>
      </c>
      <c r="E82" s="12" t="str">
        <f t="shared" si="1"/>
        <v>* mSite -&gt; ##34#TBD##34#</v>
      </c>
    </row>
    <row r="83" spans="2:5">
      <c r="B83" s="11" t="str">
        <f>Staging!B81</f>
        <v>softTissue</v>
      </c>
      <c r="C83" s="11" t="s">
        <v>1637</v>
      </c>
      <c r="E83" s="12" t="str">
        <f t="shared" si="1"/>
        <v>* softTissue -&gt; ##34#TBD##34#</v>
      </c>
    </row>
    <row r="84" spans="2:5">
      <c r="B84" s="11" t="str">
        <f>Staging!B82</f>
        <v>distantLymphNode</v>
      </c>
      <c r="C84" s="11" t="s">
        <v>1637</v>
      </c>
      <c r="E84" s="12" t="str">
        <f t="shared" si="1"/>
        <v>* distantLymphNode -&gt; ##34#TBD##34#</v>
      </c>
    </row>
    <row r="85" spans="2:5">
      <c r="B85" s="11" t="str">
        <f>Staging!B83</f>
        <v>lung</v>
      </c>
      <c r="C85" s="11" t="s">
        <v>1637</v>
      </c>
      <c r="E85" s="12" t="str">
        <f t="shared" si="1"/>
        <v>* lung -&gt; ##34#TBD##34#</v>
      </c>
    </row>
    <row r="86" spans="2:5">
      <c r="B86" s="11" t="str">
        <f>Staging!B84</f>
        <v>bone</v>
      </c>
      <c r="C86" s="11" t="s">
        <v>1637</v>
      </c>
      <c r="E86" s="12" t="str">
        <f t="shared" si="1"/>
        <v>* bone -&gt; ##34#TBD##34#</v>
      </c>
    </row>
    <row r="87" spans="2:5">
      <c r="B87" s="11" t="str">
        <f>Staging!B85</f>
        <v>liver</v>
      </c>
      <c r="C87" s="11" t="s">
        <v>1637</v>
      </c>
      <c r="E87" s="12" t="str">
        <f t="shared" si="1"/>
        <v>* liver -&gt; ##34#TBD##34#</v>
      </c>
    </row>
    <row r="88" spans="2:5">
      <c r="B88" s="11" t="str">
        <f>Staging!B86</f>
        <v>pleura</v>
      </c>
      <c r="C88" s="11" t="s">
        <v>1637</v>
      </c>
      <c r="E88" s="12" t="str">
        <f t="shared" si="1"/>
        <v>* pleura -&gt; ##34#TBD##34#</v>
      </c>
    </row>
    <row r="89" spans="2:5">
      <c r="B89" s="11" t="str">
        <f>Staging!B87</f>
        <v>peritoneum</v>
      </c>
      <c r="C89" s="11" t="s">
        <v>1637</v>
      </c>
      <c r="E89" s="12" t="str">
        <f t="shared" si="1"/>
        <v>* peritoneum -&gt; ##34#TBD##34#</v>
      </c>
    </row>
    <row r="90" spans="2:5">
      <c r="B90" s="11" t="str">
        <f>Staging!B88</f>
        <v>brain</v>
      </c>
      <c r="C90" s="11" t="s">
        <v>1637</v>
      </c>
      <c r="E90" s="12" t="str">
        <f t="shared" si="1"/>
        <v>* brain -&gt; ##34#TBD##34#</v>
      </c>
    </row>
    <row r="91" spans="2:5">
      <c r="B91" s="11" t="str">
        <f>Staging!B89</f>
        <v>otherViscera</v>
      </c>
      <c r="C91" s="11" t="s">
        <v>1637</v>
      </c>
      <c r="E91" s="12" t="str">
        <f t="shared" si="1"/>
        <v>* otherViscera -&gt; ##34#TBD##34#</v>
      </c>
    </row>
    <row r="92" spans="2:5">
      <c r="B92" s="11" t="str">
        <f>Staging!B90</f>
        <v>msite</v>
      </c>
      <c r="C92" s="11" t="s">
        <v>1637</v>
      </c>
      <c r="E92" s="12" t="str">
        <f t="shared" si="1"/>
        <v>* msite -&gt; ##34#TBD##34#</v>
      </c>
    </row>
    <row r="93" spans="2:5">
      <c r="B93" s="11" t="str">
        <f>Staging!B91</f>
        <v>unknown</v>
      </c>
      <c r="C93" s="11" t="s">
        <v>1637</v>
      </c>
      <c r="E93" s="12" t="str">
        <f t="shared" si="1"/>
        <v>* unknown -&gt; ##34#TBD##34#</v>
      </c>
    </row>
    <row r="94" spans="2:5">
      <c r="B94" s="11" t="str">
        <f>Staging!B92</f>
        <v>pathologicalStagingDefinedBy</v>
      </c>
      <c r="C94" s="11" t="s">
        <v>1637</v>
      </c>
      <c r="E94" s="12" t="str">
        <f t="shared" si="1"/>
        <v>* pathologicalStagingDefinedBy -&gt; ##34#TBD##34#</v>
      </c>
    </row>
    <row r="95" spans="2:5">
      <c r="B95" s="11" t="str">
        <f>Staging!B93</f>
        <v>instrumentStatus</v>
      </c>
      <c r="C95" s="11" t="s">
        <v>1637</v>
      </c>
      <c r="E95" s="12" t="str">
        <f t="shared" si="1"/>
        <v>* instrumentStatus -&gt; ##34#TBD##34#</v>
      </c>
    </row>
    <row r="96" spans="2:5">
      <c r="B96" s="11"/>
      <c r="C96" s="11" t="s">
        <v>1637</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4" t="str">
        <f>Staging!J1</f>
        <v>//===================================================</v>
      </c>
    </row>
    <row r="2" spans="3:7" ht="16.75" thickBot="1">
      <c r="C2" s="25" t="str">
        <f>Staging!J2</f>
        <v>//  Logical Model</v>
      </c>
      <c r="G2" s="30" t="s">
        <v>1944</v>
      </c>
    </row>
    <row r="3" spans="3:7">
      <c r="C3" s="25" t="str">
        <f>Staging!J3</f>
        <v>//===================================================</v>
      </c>
    </row>
    <row r="4" spans="3:7">
      <c r="C4" s="17" t="str">
        <f>Staging!J4</f>
        <v>Logical: StagingI4rc</v>
      </c>
    </row>
    <row r="5" spans="3:7">
      <c r="C5" s="17" t="str">
        <f>Staging!J5</f>
        <v>Id: Staging</v>
      </c>
    </row>
    <row r="6" spans="3:7">
      <c r="C6" s="17" t="str">
        <f>Staging!J6</f>
        <v>Title: ##34#Staging##34#</v>
      </c>
    </row>
    <row r="7" spans="3:7" ht="29.5">
      <c r="C7" s="17"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4" t="s">
        <v>1644</v>
      </c>
    </row>
    <row r="103" spans="3:3">
      <c r="C103" s="25" t="s">
        <v>1943</v>
      </c>
    </row>
    <row r="104" spans="3:3">
      <c r="C104" s="25" t="s">
        <v>1644</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4" t="str">
        <f>'Staging-Map-1'!E1</f>
        <v>// -------------------------------------------------------------------------------</v>
      </c>
    </row>
    <row r="198" spans="3:3">
      <c r="C198" s="25" t="str">
        <f>'Staging-Map-1'!E2</f>
        <v>//  Map to FHIR R4</v>
      </c>
    </row>
    <row r="199" spans="3:3">
      <c r="C199" s="25"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16"/>
    </row>
    <row r="297" spans="3:3">
      <c r="C297" s="116"/>
    </row>
    <row r="298" spans="3:3">
      <c r="C298" s="116"/>
    </row>
    <row r="299" spans="3:3">
      <c r="C299" s="116"/>
    </row>
    <row r="300" spans="3:3">
      <c r="C300" s="116"/>
    </row>
    <row r="301" spans="3:3">
      <c r="C301" s="116"/>
    </row>
    <row r="302" spans="3:3">
      <c r="C302" s="116"/>
    </row>
    <row r="303" spans="3:3">
      <c r="C303" s="116"/>
    </row>
    <row r="304" spans="3:3">
      <c r="C304" s="116"/>
    </row>
    <row r="305" spans="3:3">
      <c r="C305" s="116"/>
    </row>
    <row r="306" spans="3:3">
      <c r="C306" s="116"/>
    </row>
    <row r="307" spans="3:3">
      <c r="C307" s="11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Staging!B5</f>
        <v>Staging</v>
      </c>
      <c r="C10" s="6" t="str">
        <f>Staging!B6</f>
        <v>Staging</v>
      </c>
      <c r="D10" s="61" t="str">
        <f>ConvertOsiris!I2</f>
        <v>Patient</v>
      </c>
      <c r="E10" s="61" t="str">
        <f>ConvertOsiris!J2</f>
        <v>Patient</v>
      </c>
      <c r="F10" s="68" t="s">
        <v>1439</v>
      </c>
      <c r="G10" s="62"/>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63"/>
      <c r="B11" s="11" t="str">
        <f>$B$10&amp;"."&amp;Staging!B8</f>
        <v>Staging.stagingProceduresDoneBy</v>
      </c>
      <c r="C11" s="11" t="str">
        <f>Staging!C8</f>
        <v>Staging procedures done by</v>
      </c>
      <c r="D11" s="11" t="str">
        <f>ConvertOsiris!I6</f>
        <v>Patient.BirthDate</v>
      </c>
      <c r="E11" s="11" t="str">
        <f>ConvertOsiris!J6</f>
        <v>Birth Date [C4]</v>
      </c>
      <c r="F11" s="68" t="s">
        <v>1417</v>
      </c>
      <c r="G11" s="62"/>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63"/>
      <c r="B12" s="11" t="str">
        <f>$B$10&amp;"."&amp;Staging!B9</f>
        <v>Staging.imagingPerformed</v>
      </c>
      <c r="C12" s="11" t="str">
        <f>Staging!C9</f>
        <v>Imaging for primary site</v>
      </c>
      <c r="D12" s="11" t="str">
        <f>ConvertOsiris!I6</f>
        <v>Patient.BirthDate</v>
      </c>
      <c r="E12" s="11" t="str">
        <f>ConvertOsiris!J6</f>
        <v>Birth Date [C4]</v>
      </c>
      <c r="F12" s="68" t="s">
        <v>1439</v>
      </c>
      <c r="G12" s="62"/>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63"/>
      <c r="B13" s="11" t="str">
        <f>$B$10&amp;"."&amp;Staging!B11</f>
        <v>Staging.imagingPerformed.cTPerformed</v>
      </c>
      <c r="C13" s="11" t="str">
        <f>Staging!C11</f>
        <v>CT</v>
      </c>
      <c r="D13" s="11"/>
      <c r="E13" s="11"/>
      <c r="F13" s="68" t="s">
        <v>1434</v>
      </c>
      <c r="G13" s="62"/>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63"/>
      <c r="B14" s="11" t="str">
        <f>$B$10&amp;"."&amp;Staging!B12</f>
        <v>Staging.imagingPerformed.mRIPerformed</v>
      </c>
      <c r="C14" s="11" t="str">
        <f>Staging!C12</f>
        <v>MRI</v>
      </c>
      <c r="D14" s="11"/>
      <c r="E14" s="11"/>
      <c r="F14" s="68" t="s">
        <v>1434</v>
      </c>
      <c r="G14" s="62"/>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63"/>
      <c r="B15" s="11" t="str">
        <f>$B$10&amp;"."&amp;Staging!B13</f>
        <v>Staging.imagingPerformed.uSPerformed</v>
      </c>
      <c r="C15" s="11" t="str">
        <f>Staging!C13</f>
        <v>US</v>
      </c>
      <c r="D15" s="11" t="str">
        <f>ConvertOsiris!I4</f>
        <v>Patient.Gender</v>
      </c>
      <c r="E15" s="11" t="str">
        <f>ConvertOsiris!J4</f>
        <v>Gender [C2]</v>
      </c>
      <c r="F15" s="68" t="s">
        <v>1443</v>
      </c>
      <c r="G15" s="62"/>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63"/>
      <c r="B16" s="11" t="str">
        <f>$B$10&amp;"."&amp;Staging!B14</f>
        <v>Staging.imagingPerformed.fDGPETPerformed</v>
      </c>
      <c r="C16" s="11" t="str">
        <f>Staging!C14</f>
        <v>FDG PET</v>
      </c>
      <c r="D16" s="11" t="str">
        <f>ConvertOsiris!I5</f>
        <v>Patient.Ethnicity</v>
      </c>
      <c r="E16" s="11" t="str">
        <f>ConvertOsiris!J5</f>
        <v>Ethnicity [C3]</v>
      </c>
      <c r="F16" s="68" t="s">
        <v>1441</v>
      </c>
      <c r="G16" s="62"/>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63"/>
      <c r="B17" s="11" t="str">
        <f>$B$10&amp;"."&amp;Staging!B15</f>
        <v>Staging.imagingPerformed.pETwithothertracersPerformed</v>
      </c>
      <c r="C17" s="11" t="str">
        <f>Staging!C15</f>
        <v>PET with other tracers</v>
      </c>
      <c r="D17" s="11"/>
      <c r="E17" s="12"/>
      <c r="F17" s="68" t="s">
        <v>1434</v>
      </c>
      <c r="G17" s="62"/>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8"/>
      <c r="G21" s="62"/>
      <c r="J21" s="62"/>
      <c r="K21" s="62"/>
      <c r="L21" s="70"/>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8"/>
      <c r="G22" s="62"/>
      <c r="J22" s="62"/>
      <c r="K22" s="62"/>
      <c r="L22" s="70"/>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INDEX('Staging-ConceptMap'!$H$10:$L$264,O23+1,P23)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INDEX('Staging-ConceptMap'!$H$10:$L$264,O24+1,P24)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8"/>
      <c r="G26" s="62"/>
      <c r="J26" s="62"/>
      <c r="K26" s="62"/>
      <c r="L26" s="70"/>
      <c r="N26" s="11">
        <v>17</v>
      </c>
      <c r="O26" s="11">
        <f t="shared" si="5"/>
        <v>3</v>
      </c>
      <c r="P26" s="11">
        <f t="shared" si="6"/>
        <v>2</v>
      </c>
      <c r="Q26" s="12" t="str" cm="1">
        <f t="array" ref="Q26">INDEX('Staging-ConceptMap'!$H$10:$L$264,O26+1,P26)</f>
        <v>* group[=].element[=].display = ##34#CT##34#</v>
      </c>
    </row>
    <row r="27" spans="1:17">
      <c r="B27" s="11"/>
      <c r="C27" s="11"/>
      <c r="D27" s="11"/>
      <c r="E27" s="12"/>
      <c r="F27" s="68"/>
      <c r="G27" s="62"/>
      <c r="J27" s="62"/>
      <c r="K27" s="62"/>
      <c r="L27" s="70"/>
      <c r="N27" s="11">
        <v>18</v>
      </c>
      <c r="O27" s="11">
        <f t="shared" si="5"/>
        <v>3</v>
      </c>
      <c r="P27" s="11">
        <f t="shared" si="6"/>
        <v>3</v>
      </c>
      <c r="Q27" s="12" t="str" cm="1">
        <f t="array" ref="Q27">INDEX('Staging-ConceptMap'!$H$10:$L$264,O27+1,P27)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INDEX('Staging-ConceptMap'!$H$10:$L$264,O28+1,P28)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INDEX('Staging-ConceptMap'!$H$10:$L$264,O29+1,P29)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8"/>
      <c r="G31" s="62"/>
      <c r="I31"/>
      <c r="J31" s="62"/>
      <c r="K31" s="62"/>
      <c r="L31" s="70"/>
      <c r="N31" s="11">
        <v>22</v>
      </c>
      <c r="O31" s="11">
        <f t="shared" si="5"/>
        <v>4</v>
      </c>
      <c r="P31" s="11">
        <f t="shared" si="6"/>
        <v>2</v>
      </c>
      <c r="Q31" s="12" t="str" cm="1">
        <f t="array" ref="Q31">INDEX('Staging-ConceptMap'!$H$10:$L$264,O31+1,P31)</f>
        <v>* group[=].element[=].display = ##34#MRI##34#</v>
      </c>
    </row>
    <row r="32" spans="1:17" s="2" customFormat="1">
      <c r="A32"/>
      <c r="B32" s="65"/>
      <c r="C32" s="65"/>
      <c r="D32" s="65"/>
      <c r="F32" s="62"/>
      <c r="G32" s="62"/>
      <c r="I32"/>
      <c r="J32" s="62"/>
      <c r="K32" s="62"/>
      <c r="L32" s="70"/>
      <c r="N32" s="11">
        <v>23</v>
      </c>
      <c r="O32" s="11">
        <f t="shared" si="5"/>
        <v>4</v>
      </c>
      <c r="P32" s="11">
        <f t="shared" si="6"/>
        <v>3</v>
      </c>
      <c r="Q32" s="12" t="str" cm="1">
        <f t="array" ref="Q32">INDEX('Staging-ConceptMap'!$H$10:$L$264,O32+1,P32)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INDEX('Staging-ConceptMap'!$H$10:$L$264,O33+1,P33)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INDEX('Staging-ConceptMap'!$H$10:$L$264,O34+1,P34)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62"/>
      <c r="G36" s="62"/>
      <c r="I36" s="62"/>
      <c r="J36" s="62"/>
      <c r="K36" s="62"/>
      <c r="L36" s="70"/>
      <c r="N36" s="11">
        <v>27</v>
      </c>
      <c r="O36" s="11">
        <f t="shared" si="5"/>
        <v>5</v>
      </c>
      <c r="P36" s="11">
        <f t="shared" si="6"/>
        <v>2</v>
      </c>
      <c r="Q36" s="12" t="str" cm="1">
        <f t="array" ref="Q36">INDEX('Staging-ConceptMap'!$H$10:$L$264,O36+1,P36)</f>
        <v>* group[=].element[=].display = ##34#US##34#</v>
      </c>
    </row>
    <row r="37" spans="1:17" s="2" customFormat="1">
      <c r="A37"/>
      <c r="B37" s="11"/>
      <c r="C37"/>
      <c r="F37" s="62"/>
      <c r="G37" s="62"/>
      <c r="I37" s="62"/>
      <c r="J37" s="62"/>
      <c r="K37" s="62"/>
      <c r="L37" s="62"/>
      <c r="N37" s="11">
        <v>28</v>
      </c>
      <c r="O37" s="11">
        <f t="shared" si="5"/>
        <v>5</v>
      </c>
      <c r="P37" s="11">
        <f t="shared" si="6"/>
        <v>3</v>
      </c>
      <c r="Q37" s="12" t="str" cm="1">
        <f t="array" ref="Q37">INDEX('Staging-ConceptMap'!$H$10:$L$264,O37+1,P37)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INDEX('Staging-ConceptMap'!$H$10:$L$264,O38+1,P38)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INDEX('Staging-ConceptMap'!$H$10:$L$264,O39+1,P39)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62"/>
      <c r="G41" s="62"/>
      <c r="I41" s="62"/>
      <c r="J41" s="62"/>
      <c r="K41" s="62"/>
      <c r="L41" s="62"/>
      <c r="N41" s="11">
        <v>32</v>
      </c>
      <c r="O41" s="11">
        <f t="shared" si="5"/>
        <v>6</v>
      </c>
      <c r="P41" s="11">
        <f t="shared" si="6"/>
        <v>2</v>
      </c>
      <c r="Q41" s="12" t="str" cm="1">
        <f t="array" ref="Q41">INDEX('Staging-ConceptMap'!$H$10:$L$264,O41+1,P41)</f>
        <v>* group[=].element[=].display = ##34#FDG PET##34#</v>
      </c>
    </row>
    <row r="42" spans="1:17" s="2" customFormat="1">
      <c r="A42"/>
      <c r="B42" s="11"/>
      <c r="C42"/>
      <c r="F42" s="62"/>
      <c r="G42" s="62"/>
      <c r="I42" s="62"/>
      <c r="J42" s="62"/>
      <c r="K42" s="62"/>
      <c r="L42" s="62"/>
      <c r="N42" s="11">
        <v>33</v>
      </c>
      <c r="O42" s="11">
        <f t="shared" si="5"/>
        <v>6</v>
      </c>
      <c r="P42" s="11">
        <f t="shared" si="6"/>
        <v>3</v>
      </c>
      <c r="Q42" s="12" t="str" cm="1">
        <f t="array" ref="Q42">INDEX('Staging-ConceptMap'!$H$10:$L$264,O42+1,P42)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INDEX('Staging-ConceptMap'!$H$10:$L$264,O43+1,P43)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INDEX('Staging-ConceptMap'!$H$10:$L$264,O44+1,P44)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INDEX('Staging-ConceptMap'!$H$10:$L$264,O45+1,P45)</f>
        <v>* group[=].element[+].code = #Staging.imagingPerformed.pETwithothertracersPerformed</v>
      </c>
    </row>
    <row r="46" spans="1:17">
      <c r="F46" s="62"/>
      <c r="G46" s="62"/>
      <c r="I46" s="62"/>
      <c r="J46" s="62"/>
      <c r="K46" s="62"/>
      <c r="L46" s="62"/>
      <c r="N46" s="11">
        <v>37</v>
      </c>
      <c r="O46" s="11">
        <f t="shared" si="5"/>
        <v>7</v>
      </c>
      <c r="P46" s="11">
        <f t="shared" si="6"/>
        <v>2</v>
      </c>
      <c r="Q46" s="12" t="str" cm="1">
        <f t="array" ref="Q46">INDEX('Staging-ConceptMap'!$H$10:$L$264,O46+1,P46)</f>
        <v>* group[=].element[=].display = ##34#PET with other tracers##34#</v>
      </c>
    </row>
    <row r="47" spans="1:17">
      <c r="B47" t="s">
        <v>1412</v>
      </c>
      <c r="C47" t="s">
        <v>1413</v>
      </c>
      <c r="D47" t="s">
        <v>1414</v>
      </c>
      <c r="E47" t="s">
        <v>1415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1948</v>
      </c>
      <c r="J4" s="17" t="str">
        <f>CONCATENATE("Logical: ",B4)</f>
        <v>Logical: TreatmentI4rc</v>
      </c>
    </row>
    <row r="5" spans="1:12">
      <c r="A5" s="15" t="s">
        <v>17</v>
      </c>
      <c r="B5" s="47" t="s">
        <v>498</v>
      </c>
      <c r="J5" s="17" t="str">
        <f>CONCATENATE("Id: ",B5)</f>
        <v>Id: Treatment</v>
      </c>
    </row>
    <row r="6" spans="1:12">
      <c r="A6" s="15" t="s">
        <v>11</v>
      </c>
      <c r="B6" s="48" t="s">
        <v>498</v>
      </c>
      <c r="J6" s="18" t="str">
        <f>CONCATENATE("Title: ##34#",B6,"##34#")</f>
        <v>Title: ##34#Treatment##34#</v>
      </c>
    </row>
    <row r="7" spans="1:12" ht="29.5">
      <c r="A7" s="27" t="s">
        <v>3</v>
      </c>
      <c r="B7" s="117" t="s">
        <v>1949</v>
      </c>
      <c r="C7" s="9" t="s">
        <v>4</v>
      </c>
      <c r="D7" s="1" t="s">
        <v>5</v>
      </c>
      <c r="E7" s="3" t="s">
        <v>6</v>
      </c>
      <c r="F7" s="3" t="s">
        <v>7</v>
      </c>
      <c r="G7" s="3" t="s">
        <v>8</v>
      </c>
      <c r="H7" s="118" t="s">
        <v>1641</v>
      </c>
      <c r="J7" s="18" t="str">
        <f>CONCATENATE("Description: "," ##334#",B7,"##334#",)</f>
        <v>Description:  ##334#Treatment
Maturity Level: 0 Draft##334#</v>
      </c>
    </row>
    <row r="8" spans="1:12">
      <c r="A8" s="108">
        <v>0</v>
      </c>
      <c r="B8" s="2" t="s">
        <v>2248</v>
      </c>
      <c r="C8" s="2" t="s">
        <v>1950</v>
      </c>
      <c r="D8" s="119" t="s">
        <v>1950</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c r="A9" s="108">
        <v>1</v>
      </c>
      <c r="B9" s="2" t="s">
        <v>2249</v>
      </c>
      <c r="C9" s="2" t="s">
        <v>1951</v>
      </c>
      <c r="D9" s="2" t="s">
        <v>1952</v>
      </c>
      <c r="E9">
        <v>0</v>
      </c>
      <c r="F9">
        <v>1</v>
      </c>
      <c r="G9" t="s">
        <v>1</v>
      </c>
      <c r="H9" s="2" t="s">
        <v>1953</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8">
        <v>2</v>
      </c>
      <c r="B10" s="2" t="s">
        <v>2250</v>
      </c>
      <c r="C10" s="2" t="s">
        <v>1954</v>
      </c>
      <c r="D10" s="2" t="s">
        <v>1955</v>
      </c>
      <c r="E10">
        <v>0</v>
      </c>
      <c r="F10">
        <v>1</v>
      </c>
      <c r="G10" s="112" t="s">
        <v>164</v>
      </c>
      <c r="H10" s="2" t="s">
        <v>1668</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8">
        <v>3</v>
      </c>
      <c r="B11" s="2" t="s">
        <v>2251</v>
      </c>
      <c r="C11" s="2" t="s">
        <v>1956</v>
      </c>
      <c r="D11" s="2" t="s">
        <v>1957</v>
      </c>
      <c r="E11">
        <v>0</v>
      </c>
      <c r="F11">
        <v>1</v>
      </c>
      <c r="G11" s="112" t="s">
        <v>1</v>
      </c>
      <c r="H11" s="2" t="s">
        <v>1958</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8">
        <v>4</v>
      </c>
      <c r="B12" s="2" t="s">
        <v>2252</v>
      </c>
      <c r="C12" s="2" t="s">
        <v>1959</v>
      </c>
      <c r="D12" s="2" t="s">
        <v>1960</v>
      </c>
      <c r="E12">
        <v>0</v>
      </c>
      <c r="F12">
        <v>1</v>
      </c>
      <c r="G12" t="s">
        <v>1</v>
      </c>
      <c r="H12" s="2" t="s">
        <v>1961</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8">
        <v>5</v>
      </c>
      <c r="B13" s="2" t="s">
        <v>2253</v>
      </c>
      <c r="C13" s="2" t="s">
        <v>1962</v>
      </c>
      <c r="D13" s="2" t="s">
        <v>1963</v>
      </c>
      <c r="E13">
        <v>0</v>
      </c>
      <c r="F13">
        <v>1</v>
      </c>
      <c r="G13" t="s">
        <v>1</v>
      </c>
      <c r="H13" s="2" t="s">
        <v>1964</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11"/>
      <c r="B14" s="112" t="s">
        <v>2254</v>
      </c>
      <c r="C14" s="112" t="s">
        <v>1965</v>
      </c>
      <c r="D14" s="112" t="s">
        <v>1966</v>
      </c>
      <c r="E14" s="77">
        <v>0</v>
      </c>
      <c r="F14" s="112" t="s">
        <v>9</v>
      </c>
      <c r="G14" s="112" t="s">
        <v>2</v>
      </c>
      <c r="I14" s="26"/>
      <c r="J14" s="12" t="str">
        <f t="shared" si="0"/>
        <v>* surgicalProcedure 0..* BackboneElement ##34#Surgical procedure##34# ##334#Describes the procedure performed##334#</v>
      </c>
      <c r="L14" s="12" t="str">
        <f t="shared" si="1"/>
        <v/>
      </c>
    </row>
    <row r="15" spans="1:12" ht="59">
      <c r="A15" s="108">
        <v>6</v>
      </c>
      <c r="B15" s="112" t="s">
        <v>2255</v>
      </c>
      <c r="C15" s="2" t="s">
        <v>1967</v>
      </c>
      <c r="D15" s="2" t="s">
        <v>1968</v>
      </c>
      <c r="E15">
        <v>0</v>
      </c>
      <c r="F15">
        <v>1</v>
      </c>
      <c r="G15" t="s">
        <v>1</v>
      </c>
      <c r="H15" s="2" t="s">
        <v>1969</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8">
        <v>7</v>
      </c>
      <c r="B16" s="112" t="s">
        <v>2256</v>
      </c>
      <c r="C16" s="2" t="s">
        <v>1970</v>
      </c>
      <c r="D16" s="2" t="s">
        <v>1971</v>
      </c>
      <c r="E16">
        <v>0</v>
      </c>
      <c r="F16">
        <v>1</v>
      </c>
      <c r="G16" t="s">
        <v>1</v>
      </c>
      <c r="H16" s="2" t="s">
        <v>1972</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8">
        <v>8</v>
      </c>
      <c r="B17" s="112" t="s">
        <v>2257</v>
      </c>
      <c r="C17" s="2" t="s">
        <v>1973</v>
      </c>
      <c r="D17" s="2" t="s">
        <v>1974</v>
      </c>
      <c r="E17">
        <v>0</v>
      </c>
      <c r="F17">
        <v>1</v>
      </c>
      <c r="G17" t="s">
        <v>1</v>
      </c>
      <c r="H17" s="2" t="s">
        <v>1975</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8">
        <v>9</v>
      </c>
      <c r="B18" s="112" t="s">
        <v>2258</v>
      </c>
      <c r="C18" s="2" t="s">
        <v>1976</v>
      </c>
      <c r="D18" s="2" t="s">
        <v>1977</v>
      </c>
      <c r="E18">
        <v>0</v>
      </c>
      <c r="F18">
        <v>1</v>
      </c>
      <c r="G18" t="s">
        <v>1</v>
      </c>
      <c r="H18" s="2" t="s">
        <v>1978</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8">
        <v>10</v>
      </c>
      <c r="B19" s="112" t="s">
        <v>2259</v>
      </c>
      <c r="C19" s="2" t="s">
        <v>1979</v>
      </c>
      <c r="D19" s="2" t="s">
        <v>1980</v>
      </c>
      <c r="E19">
        <v>0</v>
      </c>
      <c r="F19">
        <v>1</v>
      </c>
      <c r="G19" t="s">
        <v>1</v>
      </c>
      <c r="H19" s="2" t="s">
        <v>1981</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8">
        <v>11</v>
      </c>
      <c r="B20" s="112" t="s">
        <v>2260</v>
      </c>
      <c r="C20" s="2" t="s">
        <v>1982</v>
      </c>
      <c r="D20" s="2" t="s">
        <v>1983</v>
      </c>
      <c r="E20">
        <v>0</v>
      </c>
      <c r="F20">
        <v>1</v>
      </c>
      <c r="G20" t="s">
        <v>1</v>
      </c>
      <c r="H20" s="2" t="s">
        <v>1984</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8">
        <v>12</v>
      </c>
      <c r="B21" s="112" t="s">
        <v>2261</v>
      </c>
      <c r="C21" s="2" t="s">
        <v>1985</v>
      </c>
      <c r="D21" s="2" t="s">
        <v>1986</v>
      </c>
      <c r="E21">
        <v>0</v>
      </c>
      <c r="F21">
        <v>1</v>
      </c>
      <c r="G21" t="s">
        <v>1</v>
      </c>
      <c r="H21" s="2" t="s">
        <v>1987</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8">
        <v>13</v>
      </c>
      <c r="B22" s="112" t="s">
        <v>2262</v>
      </c>
      <c r="C22" s="2" t="s">
        <v>1988</v>
      </c>
      <c r="D22" s="2" t="s">
        <v>1989</v>
      </c>
      <c r="E22">
        <v>0</v>
      </c>
      <c r="F22">
        <v>1</v>
      </c>
      <c r="G22" t="s">
        <v>1</v>
      </c>
      <c r="H22" s="2" t="s">
        <v>1990</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8">
        <v>14</v>
      </c>
      <c r="B23" s="112" t="s">
        <v>2263</v>
      </c>
      <c r="C23" s="2" t="s">
        <v>1991</v>
      </c>
      <c r="D23" s="2" t="s">
        <v>1992</v>
      </c>
      <c r="E23">
        <v>0</v>
      </c>
      <c r="F23">
        <v>1</v>
      </c>
      <c r="G23" t="s">
        <v>1</v>
      </c>
      <c r="H23" s="2" t="s">
        <v>1993</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8">
        <v>15</v>
      </c>
      <c r="B24" s="112" t="s">
        <v>2264</v>
      </c>
      <c r="C24" s="2" t="s">
        <v>1994</v>
      </c>
      <c r="D24" s="2" t="s">
        <v>1995</v>
      </c>
      <c r="E24">
        <v>0</v>
      </c>
      <c r="F24">
        <v>1</v>
      </c>
      <c r="G24" t="s">
        <v>1</v>
      </c>
      <c r="H24" s="2" t="s">
        <v>1996</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8"/>
      <c r="B25" s="112" t="s">
        <v>2265</v>
      </c>
      <c r="C25" s="112" t="s">
        <v>1997</v>
      </c>
      <c r="D25" s="112" t="s">
        <v>1998</v>
      </c>
      <c r="E25" s="77">
        <v>0</v>
      </c>
      <c r="F25" s="77">
        <v>1</v>
      </c>
      <c r="G25" s="77" t="s">
        <v>2</v>
      </c>
      <c r="J25" s="12" t="str">
        <f t="shared" si="0"/>
        <v>* reconstruction 0..1 BackboneElement ##34#Reconstruction##34# ##334#Reconstruction procedure that was performed after tomor removal to restore either shape or function##334#</v>
      </c>
      <c r="L25" s="12" t="str">
        <f t="shared" si="1"/>
        <v/>
      </c>
      <c r="M25"/>
    </row>
    <row r="26" spans="1:13" ht="44.25">
      <c r="A26" s="108">
        <v>16</v>
      </c>
      <c r="B26" s="112" t="s">
        <v>2266</v>
      </c>
      <c r="C26" s="2" t="s">
        <v>1997</v>
      </c>
      <c r="D26" s="2" t="s">
        <v>1999</v>
      </c>
      <c r="E26">
        <v>0</v>
      </c>
      <c r="F26">
        <v>1</v>
      </c>
      <c r="G26" t="s">
        <v>1</v>
      </c>
      <c r="H26" s="2" t="s">
        <v>2000</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8">
        <v>17</v>
      </c>
      <c r="B27" s="112" t="s">
        <v>2267</v>
      </c>
      <c r="C27" s="2" t="s">
        <v>2001</v>
      </c>
      <c r="D27" s="2" t="s">
        <v>2002</v>
      </c>
      <c r="E27">
        <v>0</v>
      </c>
      <c r="F27">
        <v>1</v>
      </c>
      <c r="G27" t="s">
        <v>1</v>
      </c>
      <c r="H27" s="2" t="s">
        <v>2003</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8">
        <v>18</v>
      </c>
      <c r="B28" s="112" t="s">
        <v>2268</v>
      </c>
      <c r="C28" s="2" t="s">
        <v>2004</v>
      </c>
      <c r="D28" s="2" t="s">
        <v>2005</v>
      </c>
      <c r="E28">
        <v>0</v>
      </c>
      <c r="F28">
        <v>1</v>
      </c>
      <c r="G28" t="s">
        <v>1</v>
      </c>
      <c r="H28" s="2" t="s">
        <v>2006</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8">
        <v>19</v>
      </c>
      <c r="B29" s="112" t="s">
        <v>2269</v>
      </c>
      <c r="C29" s="2" t="s">
        <v>2007</v>
      </c>
      <c r="D29" s="2" t="s">
        <v>2008</v>
      </c>
      <c r="E29">
        <v>0</v>
      </c>
      <c r="F29">
        <v>1</v>
      </c>
      <c r="G29" t="s">
        <v>1</v>
      </c>
      <c r="H29" s="2" t="s">
        <v>2009</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8">
        <v>20</v>
      </c>
      <c r="B30" s="2" t="s">
        <v>2270</v>
      </c>
      <c r="C30" s="2" t="s">
        <v>2010</v>
      </c>
      <c r="D30" s="2" t="s">
        <v>2011</v>
      </c>
      <c r="E30">
        <v>0</v>
      </c>
      <c r="F30">
        <v>1</v>
      </c>
      <c r="G30" t="s">
        <v>1</v>
      </c>
      <c r="H30" s="2" t="s">
        <v>2012</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8">
        <v>21</v>
      </c>
      <c r="B31" s="2" t="s">
        <v>2271</v>
      </c>
      <c r="C31" s="2" t="s">
        <v>2013</v>
      </c>
      <c r="D31" s="2" t="s">
        <v>2014</v>
      </c>
      <c r="E31">
        <v>0</v>
      </c>
      <c r="F31">
        <v>1</v>
      </c>
      <c r="G31" s="112" t="s">
        <v>164</v>
      </c>
      <c r="H31" s="2" t="s">
        <v>2014</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8">
        <v>22</v>
      </c>
      <c r="B32" s="2" t="s">
        <v>2272</v>
      </c>
      <c r="C32" s="2" t="s">
        <v>2015</v>
      </c>
      <c r="D32" s="2" t="s">
        <v>2016</v>
      </c>
      <c r="E32">
        <v>0</v>
      </c>
      <c r="F32">
        <v>1</v>
      </c>
      <c r="G32" s="112" t="s">
        <v>164</v>
      </c>
      <c r="J32" s="12" t="str">
        <f t="shared" si="0"/>
        <v>* dateOfNeckSurgeryDayUnknown 0..1 date ##34#Date of neck surgery day unknown##34# ##334#Describes if the day of neck surgery is unknwon##334#</v>
      </c>
      <c r="L32" s="12" t="str">
        <f t="shared" si="1"/>
        <v/>
      </c>
    </row>
    <row r="33" spans="1:12" ht="44.25">
      <c r="A33" s="108">
        <v>23</v>
      </c>
      <c r="B33" s="2" t="s">
        <v>2273</v>
      </c>
      <c r="C33" s="2" t="s">
        <v>2017</v>
      </c>
      <c r="D33" s="2" t="s">
        <v>2018</v>
      </c>
      <c r="E33">
        <v>0</v>
      </c>
      <c r="F33">
        <v>1</v>
      </c>
      <c r="G33" t="s">
        <v>1</v>
      </c>
      <c r="H33" s="2" t="s">
        <v>2019</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8">
        <v>24</v>
      </c>
      <c r="B34" s="2" t="s">
        <v>1887</v>
      </c>
      <c r="C34" s="2" t="s">
        <v>1888</v>
      </c>
      <c r="D34" s="2" t="s">
        <v>1889</v>
      </c>
      <c r="E34">
        <v>0</v>
      </c>
      <c r="F34">
        <v>1</v>
      </c>
      <c r="G34" t="s">
        <v>1</v>
      </c>
      <c r="H34" s="2" t="s">
        <v>2020</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8">
        <v>25</v>
      </c>
      <c r="B35" s="2" t="s">
        <v>2274</v>
      </c>
      <c r="C35" s="2" t="s">
        <v>2021</v>
      </c>
      <c r="D35" s="2" t="s">
        <v>2022</v>
      </c>
      <c r="E35">
        <v>0</v>
      </c>
      <c r="F35">
        <v>1</v>
      </c>
      <c r="G35" t="s">
        <v>1</v>
      </c>
      <c r="H35" s="2" t="s">
        <v>2023</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8">
        <v>26</v>
      </c>
      <c r="B36" s="2" t="s">
        <v>2275</v>
      </c>
      <c r="C36" s="2" t="s">
        <v>2024</v>
      </c>
      <c r="D36" s="2" t="s">
        <v>2025</v>
      </c>
      <c r="E36">
        <v>0</v>
      </c>
      <c r="F36">
        <v>1</v>
      </c>
      <c r="G36" t="s">
        <v>1</v>
      </c>
      <c r="H36" s="2" t="s">
        <v>2026</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8">
        <v>27</v>
      </c>
      <c r="B37" s="2" t="s">
        <v>2276</v>
      </c>
      <c r="C37" s="2" t="s">
        <v>2027</v>
      </c>
      <c r="D37" s="2" t="s">
        <v>2028</v>
      </c>
      <c r="E37">
        <v>0</v>
      </c>
      <c r="F37">
        <v>1</v>
      </c>
      <c r="G37" t="s">
        <v>1</v>
      </c>
      <c r="H37" s="2" t="s">
        <v>2029</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8">
        <v>28</v>
      </c>
      <c r="B38" s="2" t="s">
        <v>2277</v>
      </c>
      <c r="C38" s="2" t="s">
        <v>2030</v>
      </c>
      <c r="D38" s="2" t="s">
        <v>2031</v>
      </c>
      <c r="E38">
        <v>0</v>
      </c>
      <c r="F38">
        <v>1</v>
      </c>
      <c r="G38" t="s">
        <v>1</v>
      </c>
      <c r="H38" s="2" t="s">
        <v>2032</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8">
        <v>29</v>
      </c>
      <c r="B39" s="2" t="s">
        <v>2278</v>
      </c>
      <c r="C39" s="2" t="s">
        <v>2033</v>
      </c>
      <c r="D39" s="2" t="s">
        <v>2028</v>
      </c>
      <c r="E39">
        <v>0</v>
      </c>
      <c r="F39">
        <v>1</v>
      </c>
      <c r="G39" t="s">
        <v>1</v>
      </c>
      <c r="H39" s="2" t="s">
        <v>2029</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8">
        <v>30</v>
      </c>
      <c r="B40" s="2" t="s">
        <v>2279</v>
      </c>
      <c r="C40" s="2" t="s">
        <v>2034</v>
      </c>
      <c r="D40" s="2" t="s">
        <v>2035</v>
      </c>
      <c r="E40">
        <v>0</v>
      </c>
      <c r="F40">
        <v>1</v>
      </c>
      <c r="G40" t="s">
        <v>1</v>
      </c>
      <c r="H40" s="2" t="s">
        <v>2036</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8"/>
      <c r="B41" s="112" t="s">
        <v>2280</v>
      </c>
      <c r="C41" s="112" t="s">
        <v>2037</v>
      </c>
      <c r="D41" s="112" t="s">
        <v>2037</v>
      </c>
      <c r="E41" s="77">
        <v>0</v>
      </c>
      <c r="F41" s="77">
        <v>1</v>
      </c>
      <c r="G41" s="112" t="s">
        <v>2</v>
      </c>
      <c r="J41" s="12" t="str">
        <f t="shared" si="0"/>
        <v>* siteOfSurgeryOnMetastasis 0..1 BackboneElement ##34#Site of surgery on metastasis##34# ##334#Site of surgery on metastasis##334#</v>
      </c>
      <c r="L41" s="12" t="str">
        <f t="shared" si="1"/>
        <v/>
      </c>
    </row>
    <row r="42" spans="1:12" ht="44.25">
      <c r="A42" s="108">
        <v>31</v>
      </c>
      <c r="B42" s="2" t="s">
        <v>2281</v>
      </c>
      <c r="C42" s="112" t="s">
        <v>2038</v>
      </c>
      <c r="D42" s="2" t="s">
        <v>2039</v>
      </c>
      <c r="E42">
        <v>0</v>
      </c>
      <c r="F42">
        <v>1</v>
      </c>
      <c r="G42" s="77" t="s">
        <v>1</v>
      </c>
      <c r="J42" s="12" t="str">
        <f t="shared" si="0"/>
        <v>* siteOfSurgeryOnMetastasisSoftTissue 0..1 string ##34#Site of surgery on metastasis soft tissue##34# ##334#Describes if site of surgery on metastasis  is soft tissue##334#</v>
      </c>
      <c r="L42" s="12" t="str">
        <f t="shared" si="1"/>
        <v/>
      </c>
    </row>
    <row r="43" spans="1:12" ht="44.25">
      <c r="A43" s="108">
        <v>32</v>
      </c>
      <c r="B43" s="2" t="s">
        <v>2282</v>
      </c>
      <c r="C43" s="112" t="s">
        <v>2040</v>
      </c>
      <c r="D43" s="2" t="s">
        <v>2041</v>
      </c>
      <c r="E43">
        <v>0</v>
      </c>
      <c r="F43">
        <v>1</v>
      </c>
      <c r="G43" s="77"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8">
        <v>33</v>
      </c>
      <c r="B44" s="2" t="s">
        <v>2283</v>
      </c>
      <c r="C44" s="112" t="s">
        <v>2042</v>
      </c>
      <c r="D44" s="2" t="s">
        <v>2043</v>
      </c>
      <c r="E44">
        <v>0</v>
      </c>
      <c r="F44">
        <v>1</v>
      </c>
      <c r="G44" s="77" t="s">
        <v>1</v>
      </c>
      <c r="J44" s="12" t="str">
        <f t="shared" si="0"/>
        <v>* siteOfSurgeryOnMetastasisLung 0..1 string ##34#Site of surgery on metastasis lung##34# ##334#Describes if site of surgery on metastasis  is lung##334#</v>
      </c>
      <c r="L44" s="12" t="str">
        <f t="shared" si="1"/>
        <v/>
      </c>
    </row>
    <row r="45" spans="1:12" ht="44.25">
      <c r="A45" s="108">
        <v>34</v>
      </c>
      <c r="B45" s="2" t="s">
        <v>2284</v>
      </c>
      <c r="C45" s="112" t="s">
        <v>2044</v>
      </c>
      <c r="D45" s="2" t="s">
        <v>2045</v>
      </c>
      <c r="E45">
        <v>0</v>
      </c>
      <c r="F45">
        <v>1</v>
      </c>
      <c r="G45" s="77" t="s">
        <v>1</v>
      </c>
      <c r="J45" s="12" t="str">
        <f t="shared" si="0"/>
        <v>* siteOfSurgeryOnMetastasisBone 0..1 string ##34#Site of surgery on metastasis bone##34# ##334#Describes if site of surgery on metastasis  is bone##334#</v>
      </c>
      <c r="L45" s="12" t="str">
        <f t="shared" si="1"/>
        <v/>
      </c>
    </row>
    <row r="46" spans="1:12" ht="44.25">
      <c r="A46" s="108">
        <v>35</v>
      </c>
      <c r="B46" s="2" t="s">
        <v>2285</v>
      </c>
      <c r="C46" s="112" t="s">
        <v>2046</v>
      </c>
      <c r="D46" s="2" t="s">
        <v>2047</v>
      </c>
      <c r="E46">
        <v>0</v>
      </c>
      <c r="F46">
        <v>1</v>
      </c>
      <c r="G46" s="77" t="s">
        <v>1</v>
      </c>
      <c r="J46" s="12" t="str">
        <f t="shared" si="0"/>
        <v>* siteOfSurgeryOnMetastasisLiver 0..1 string ##34#Site of surgery on metastasis liver##34# ##334#Describes if site of surgery on metastasis  is liver##334#</v>
      </c>
      <c r="L46" s="12" t="str">
        <f t="shared" si="1"/>
        <v/>
      </c>
    </row>
    <row r="47" spans="1:12" ht="44.25">
      <c r="A47" s="108">
        <v>36</v>
      </c>
      <c r="B47" s="2" t="s">
        <v>2286</v>
      </c>
      <c r="C47" s="112" t="s">
        <v>2048</v>
      </c>
      <c r="D47" s="2" t="s">
        <v>2049</v>
      </c>
      <c r="E47">
        <v>0</v>
      </c>
      <c r="F47">
        <v>1</v>
      </c>
      <c r="G47" s="77" t="s">
        <v>1</v>
      </c>
      <c r="J47" s="12" t="str">
        <f t="shared" si="0"/>
        <v>* siteOfSurgeryOnMetastasisPleura 0..1 string ##34#Site of surgery on metastasis pleura##34# ##334#Describes if site of surgery on metastasis  is pleura##334#</v>
      </c>
      <c r="L47" s="12" t="str">
        <f t="shared" si="1"/>
        <v/>
      </c>
    </row>
    <row r="48" spans="1:12" ht="44.25">
      <c r="A48" s="108">
        <v>37</v>
      </c>
      <c r="B48" s="2" t="s">
        <v>2287</v>
      </c>
      <c r="C48" s="112" t="s">
        <v>2050</v>
      </c>
      <c r="D48" s="2" t="s">
        <v>2051</v>
      </c>
      <c r="E48">
        <v>0</v>
      </c>
      <c r="F48">
        <v>1</v>
      </c>
      <c r="G48" s="77" t="s">
        <v>1</v>
      </c>
      <c r="J48" s="12" t="str">
        <f t="shared" si="0"/>
        <v>* siteOfSurgeryOnMetastasisPeritoneum 0..1 string ##34#Site of surgery on metastasis peritoneum##34# ##334#Describes if site of surgery on metastasis  is peritoneum##334#</v>
      </c>
      <c r="L48" s="12" t="str">
        <f t="shared" si="1"/>
        <v/>
      </c>
    </row>
    <row r="49" spans="1:12" ht="44.25">
      <c r="A49" s="108">
        <v>38</v>
      </c>
      <c r="B49" s="2" t="s">
        <v>2288</v>
      </c>
      <c r="C49" s="112" t="s">
        <v>2052</v>
      </c>
      <c r="D49" s="2" t="s">
        <v>2053</v>
      </c>
      <c r="E49">
        <v>0</v>
      </c>
      <c r="F49">
        <v>1</v>
      </c>
      <c r="G49" s="77" t="s">
        <v>1</v>
      </c>
      <c r="J49" s="12" t="str">
        <f t="shared" si="0"/>
        <v>* siteOfSurgeryOnMetastasisBrain 0..1 string ##34#Site of surgery on metastasis brain##34# ##334#Describes if site of surgery on metastasis  is brain##334#</v>
      </c>
      <c r="L49" s="12" t="str">
        <f t="shared" si="1"/>
        <v/>
      </c>
    </row>
    <row r="50" spans="1:12" ht="44.25">
      <c r="A50" s="108">
        <v>39</v>
      </c>
      <c r="B50" s="2" t="s">
        <v>2289</v>
      </c>
      <c r="C50" s="112" t="s">
        <v>2054</v>
      </c>
      <c r="D50" s="2" t="s">
        <v>2055</v>
      </c>
      <c r="E50">
        <v>0</v>
      </c>
      <c r="F50">
        <v>1</v>
      </c>
      <c r="G50" s="77" t="s">
        <v>1</v>
      </c>
      <c r="J50" s="12" t="str">
        <f t="shared" si="0"/>
        <v>* siteOfSurgeryOnMetastasisOtherViscera 0..1 string ##34#Site of surgery on metastasis other viscera##34# ##334#Describes if site of surgery on metastasis  is other viscera##334#</v>
      </c>
      <c r="L50" s="12" t="str">
        <f t="shared" si="1"/>
        <v/>
      </c>
    </row>
    <row r="51" spans="1:12" ht="44.25">
      <c r="A51" s="108">
        <v>40</v>
      </c>
      <c r="B51" s="2" t="s">
        <v>2290</v>
      </c>
      <c r="C51" s="112" t="s">
        <v>2056</v>
      </c>
      <c r="D51" s="2" t="s">
        <v>2057</v>
      </c>
      <c r="E51">
        <v>0</v>
      </c>
      <c r="F51">
        <v>1</v>
      </c>
      <c r="G51" s="77" t="s">
        <v>1</v>
      </c>
      <c r="J51" s="12" t="str">
        <f t="shared" si="0"/>
        <v>* siteOfSurgeryOnMetastasisUnknown 0..1 string ##34#Site of surgery on metastasis unknown##34# ##334#Describes if site of surgery on metastasis  is unknown##334#</v>
      </c>
      <c r="L51" s="12" t="str">
        <f t="shared" si="1"/>
        <v/>
      </c>
    </row>
    <row r="52" spans="1:12" ht="44.25">
      <c r="A52" s="108">
        <v>41</v>
      </c>
      <c r="B52" s="115" t="s">
        <v>2291</v>
      </c>
      <c r="C52" s="2" t="s">
        <v>2058</v>
      </c>
      <c r="D52" s="2" t="s">
        <v>2059</v>
      </c>
      <c r="E52">
        <v>0</v>
      </c>
      <c r="F52">
        <v>1</v>
      </c>
      <c r="G52" s="77" t="s">
        <v>164</v>
      </c>
      <c r="H52" s="2" t="s">
        <v>2060</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8">
        <v>42</v>
      </c>
      <c r="B53" s="115" t="s">
        <v>2292</v>
      </c>
      <c r="C53" s="2" t="s">
        <v>2061</v>
      </c>
      <c r="D53" s="2" t="s">
        <v>2062</v>
      </c>
      <c r="E53">
        <v>0</v>
      </c>
      <c r="F53">
        <v>1</v>
      </c>
      <c r="G53" t="s">
        <v>1</v>
      </c>
      <c r="H53" s="2" t="s">
        <v>2063</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8">
        <v>43</v>
      </c>
      <c r="B54" s="115" t="s">
        <v>2293</v>
      </c>
      <c r="C54" s="2" t="s">
        <v>2064</v>
      </c>
      <c r="D54" s="2" t="s">
        <v>2062</v>
      </c>
      <c r="E54">
        <v>0</v>
      </c>
      <c r="F54">
        <v>1</v>
      </c>
      <c r="G54" t="s">
        <v>1</v>
      </c>
      <c r="H54" s="2" t="s">
        <v>2065</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8">
        <v>44</v>
      </c>
      <c r="B55" s="115" t="s">
        <v>2294</v>
      </c>
      <c r="C55" s="2" t="s">
        <v>2066</v>
      </c>
      <c r="D55" s="2" t="s">
        <v>2067</v>
      </c>
      <c r="E55">
        <v>0</v>
      </c>
      <c r="F55">
        <v>1</v>
      </c>
      <c r="G55" t="s">
        <v>1</v>
      </c>
      <c r="H55" s="2" t="s">
        <v>2068</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8">
        <v>45</v>
      </c>
      <c r="B56" s="115" t="s">
        <v>2295</v>
      </c>
      <c r="C56" s="2" t="s">
        <v>2069</v>
      </c>
      <c r="D56" s="2" t="s">
        <v>2070</v>
      </c>
      <c r="E56">
        <v>0</v>
      </c>
      <c r="F56">
        <v>1</v>
      </c>
      <c r="G56" s="77" t="s">
        <v>164</v>
      </c>
      <c r="H56" s="2" t="s">
        <v>2060</v>
      </c>
      <c r="J56" s="12" t="str">
        <f t="shared" si="0"/>
        <v>* dateOfUnplannedSurgery 0..1 date ##34#Date of unplanned surgery##34# ##334#Date of the unplanned surgery##334#</v>
      </c>
      <c r="L56" s="12" t="str">
        <f t="shared" si="1"/>
        <v>* dateOfUnplannedSurgery ^comment = ##334#A date##334#</v>
      </c>
    </row>
    <row r="57" spans="1:12" ht="177">
      <c r="A57" s="108">
        <v>46</v>
      </c>
      <c r="B57" s="115" t="s">
        <v>2296</v>
      </c>
      <c r="C57" s="2" t="s">
        <v>2071</v>
      </c>
      <c r="D57" s="2" t="s">
        <v>1877</v>
      </c>
      <c r="E57">
        <v>0</v>
      </c>
      <c r="F57">
        <v>1</v>
      </c>
      <c r="G57" t="s">
        <v>1</v>
      </c>
      <c r="H57" s="2" t="s">
        <v>2072</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8">
        <v>47</v>
      </c>
      <c r="B58" s="115" t="s">
        <v>2297</v>
      </c>
      <c r="C58" s="2" t="s">
        <v>2073</v>
      </c>
      <c r="D58" s="2" t="s">
        <v>2074</v>
      </c>
      <c r="E58">
        <v>0</v>
      </c>
      <c r="F58">
        <v>1</v>
      </c>
      <c r="G58" t="s">
        <v>1</v>
      </c>
      <c r="H58" s="2" t="s">
        <v>2075</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8">
        <v>48</v>
      </c>
      <c r="B59" s="115" t="s">
        <v>2298</v>
      </c>
      <c r="C59" s="2" t="s">
        <v>2076</v>
      </c>
      <c r="D59" s="112" t="s">
        <v>2076</v>
      </c>
      <c r="E59">
        <v>0</v>
      </c>
      <c r="F59">
        <v>1</v>
      </c>
      <c r="G59" t="s">
        <v>2</v>
      </c>
      <c r="J59" s="12" t="str">
        <f t="shared" si="0"/>
        <v>* systemicTreament 0..1 BackboneElement ##34#Systemic Treament##34# ##334#Systemic Treament##334#</v>
      </c>
      <c r="L59" s="12" t="str">
        <f t="shared" si="1"/>
        <v/>
      </c>
    </row>
    <row r="60" spans="1:12" ht="59">
      <c r="A60" s="108">
        <v>49</v>
      </c>
      <c r="B60" s="115" t="s">
        <v>2299</v>
      </c>
      <c r="C60" s="2" t="s">
        <v>2077</v>
      </c>
      <c r="D60" s="2" t="s">
        <v>2078</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8">
        <v>50</v>
      </c>
      <c r="B61" s="115" t="s">
        <v>2300</v>
      </c>
      <c r="C61" s="2" t="s">
        <v>2079</v>
      </c>
      <c r="D61" s="2" t="s">
        <v>2080</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8">
        <v>51</v>
      </c>
      <c r="B62" s="115" t="s">
        <v>2301</v>
      </c>
      <c r="C62" s="2" t="s">
        <v>2081</v>
      </c>
      <c r="D62" s="2" t="s">
        <v>2082</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8">
        <v>52</v>
      </c>
      <c r="B63" s="115" t="s">
        <v>2302</v>
      </c>
      <c r="C63" s="2" t="s">
        <v>2083</v>
      </c>
      <c r="D63" s="2" t="s">
        <v>2084</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8">
        <v>53</v>
      </c>
      <c r="B64" s="115" t="s">
        <v>2303</v>
      </c>
      <c r="C64" s="2" t="s">
        <v>2085</v>
      </c>
      <c r="D64" s="2" t="s">
        <v>2086</v>
      </c>
      <c r="E64">
        <v>0</v>
      </c>
      <c r="F64">
        <v>1</v>
      </c>
      <c r="G64" s="112" t="s">
        <v>164</v>
      </c>
      <c r="J64" s="12" t="str">
        <f t="shared" si="0"/>
        <v>* startDateSystemicTreatment 0..1 date ##34#Start date systemic treatment##34# ##334#Specifies when systemic treatment begins##334#</v>
      </c>
      <c r="L64" s="12" t="str">
        <f t="shared" si="1"/>
        <v/>
      </c>
    </row>
    <row r="65" spans="1:12" ht="44.25">
      <c r="A65" s="108">
        <v>54</v>
      </c>
      <c r="B65" s="115" t="s">
        <v>2304</v>
      </c>
      <c r="C65" s="2" t="s">
        <v>2087</v>
      </c>
      <c r="D65" s="2" t="s">
        <v>2088</v>
      </c>
      <c r="E65">
        <v>0</v>
      </c>
      <c r="F65">
        <v>1</v>
      </c>
      <c r="G65" s="112" t="s">
        <v>164</v>
      </c>
      <c r="J65" s="12" t="str">
        <f t="shared" si="0"/>
        <v>* startDateSystemicTreatmentDayUnknown 0..1 date ##34#Start date systemic treatment  day unknown##34# ##334#Describes if the day of start systemic treatment is unknwon##334#</v>
      </c>
      <c r="L65" s="12" t="str">
        <f t="shared" si="1"/>
        <v/>
      </c>
    </row>
    <row r="66" spans="1:12" ht="29.5">
      <c r="A66" s="108">
        <v>55</v>
      </c>
      <c r="B66" s="115" t="s">
        <v>2305</v>
      </c>
      <c r="C66" s="2" t="s">
        <v>2089</v>
      </c>
      <c r="D66" s="2" t="s">
        <v>2090</v>
      </c>
      <c r="E66">
        <v>0</v>
      </c>
      <c r="F66">
        <v>1</v>
      </c>
      <c r="G66" s="112" t="s">
        <v>164</v>
      </c>
      <c r="J66" s="12" t="str">
        <f t="shared" si="0"/>
        <v>* endDateSystemicTreatment 0..1 date ##34#End date systemic treatment##34# ##334#Specifies when systemic treatment ends##334#</v>
      </c>
      <c r="L66" s="12" t="str">
        <f t="shared" si="1"/>
        <v/>
      </c>
    </row>
    <row r="67" spans="1:12" ht="44.25">
      <c r="A67" s="108">
        <v>56</v>
      </c>
      <c r="B67" s="115" t="s">
        <v>2306</v>
      </c>
      <c r="C67" s="2" t="s">
        <v>2091</v>
      </c>
      <c r="D67" s="2" t="s">
        <v>2092</v>
      </c>
      <c r="E67">
        <v>0</v>
      </c>
      <c r="F67">
        <v>1</v>
      </c>
      <c r="G67" s="112" t="s">
        <v>164</v>
      </c>
      <c r="J67" s="12" t="str">
        <f t="shared" si="0"/>
        <v>* endDateSystemicTreatmentDayUnknown 0..1 date ##34#End date systemic treatment  day unknown##34# ##334#Describes if the day of end of systemic treatment is unknwon##334#</v>
      </c>
      <c r="L67" s="12" t="str">
        <f t="shared" si="1"/>
        <v/>
      </c>
    </row>
    <row r="68" spans="1:12" ht="88.5">
      <c r="A68" s="108">
        <v>57</v>
      </c>
      <c r="B68" s="115" t="s">
        <v>2307</v>
      </c>
      <c r="C68" s="2" t="s">
        <v>2093</v>
      </c>
      <c r="D68" s="2" t="s">
        <v>2094</v>
      </c>
      <c r="E68">
        <v>0</v>
      </c>
      <c r="F68">
        <v>1</v>
      </c>
      <c r="G68" t="s">
        <v>1631</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8">
        <v>58</v>
      </c>
      <c r="B69" s="115" t="s">
        <v>2308</v>
      </c>
      <c r="C69" s="2" t="s">
        <v>2095</v>
      </c>
      <c r="D69" s="2" t="s">
        <v>2096</v>
      </c>
      <c r="E69">
        <v>0</v>
      </c>
      <c r="F69">
        <v>1</v>
      </c>
      <c r="G69" s="77"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8">
        <v>59</v>
      </c>
      <c r="B70" s="115" t="s">
        <v>2309</v>
      </c>
      <c r="C70" s="2" t="s">
        <v>2097</v>
      </c>
      <c r="D70" s="2" t="s">
        <v>2098</v>
      </c>
      <c r="E70">
        <v>0</v>
      </c>
      <c r="F70">
        <v>1</v>
      </c>
      <c r="G70" s="112" t="s">
        <v>1</v>
      </c>
      <c r="J70" s="12" t="str">
        <f t="shared" si="0"/>
        <v>* drugs1 0..1 string ##34#Drugs 1##34# ##334#autosuggested functionality for realtime searching within biomedical ontologies##334#</v>
      </c>
      <c r="L70" s="12" t="str">
        <f t="shared" si="1"/>
        <v/>
      </c>
    </row>
    <row r="71" spans="1:12" ht="29.5">
      <c r="A71" s="108">
        <v>60</v>
      </c>
      <c r="B71" s="115" t="s">
        <v>2310</v>
      </c>
      <c r="C71" s="2" t="s">
        <v>2099</v>
      </c>
      <c r="D71" s="2" t="s">
        <v>2098</v>
      </c>
      <c r="E71">
        <v>0</v>
      </c>
      <c r="F71">
        <v>1</v>
      </c>
      <c r="G71" s="112" t="s">
        <v>1</v>
      </c>
      <c r="J71" s="12" t="str">
        <f t="shared" si="0"/>
        <v>* drugs2 0..1 string ##34#Drugs 2##34# ##334#autosuggested functionality for realtime searching within biomedical ontologies##334#</v>
      </c>
      <c r="L71" s="12" t="str">
        <f t="shared" si="1"/>
        <v/>
      </c>
    </row>
    <row r="72" spans="1:12" ht="29.5">
      <c r="A72" s="108">
        <v>61</v>
      </c>
      <c r="B72" s="115" t="s">
        <v>2311</v>
      </c>
      <c r="C72" s="2" t="s">
        <v>2100</v>
      </c>
      <c r="D72" s="2" t="s">
        <v>2098</v>
      </c>
      <c r="E72">
        <v>0</v>
      </c>
      <c r="F72">
        <v>1</v>
      </c>
      <c r="G72" s="112" t="s">
        <v>1</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8">
        <v>62</v>
      </c>
      <c r="B73" s="115" t="s">
        <v>2312</v>
      </c>
      <c r="C73" s="2" t="s">
        <v>2101</v>
      </c>
      <c r="D73" s="2" t="s">
        <v>2102</v>
      </c>
      <c r="E73">
        <v>0</v>
      </c>
      <c r="F73">
        <v>1</v>
      </c>
      <c r="G73" s="112"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8">
        <v>63</v>
      </c>
      <c r="B74" s="115" t="s">
        <v>1701</v>
      </c>
      <c r="C74" s="2" t="s">
        <v>1588</v>
      </c>
      <c r="D74" s="2" t="s">
        <v>2103</v>
      </c>
      <c r="E74">
        <v>0</v>
      </c>
      <c r="F74">
        <v>1</v>
      </c>
      <c r="G74" t="s">
        <v>1</v>
      </c>
      <c r="J74" s="12" t="str">
        <f t="shared" si="2"/>
        <v>* primerType 0..1 string ##34#Primer type##34# ##334#Describes the primer used for EBV DNA plasma testing duringin NPC type II and Type III WHO##334#</v>
      </c>
      <c r="L74" s="12" t="str">
        <f t="shared" si="3"/>
        <v/>
      </c>
    </row>
    <row r="75" spans="1:12" ht="29.5">
      <c r="A75" s="108">
        <v>64</v>
      </c>
      <c r="B75" s="115" t="s">
        <v>1702</v>
      </c>
      <c r="C75" s="2" t="s">
        <v>876</v>
      </c>
      <c r="D75" s="2" t="s">
        <v>2104</v>
      </c>
      <c r="E75">
        <v>0</v>
      </c>
      <c r="F75">
        <v>1</v>
      </c>
      <c r="G75" t="s">
        <v>1631</v>
      </c>
      <c r="J75" s="12" t="str">
        <f t="shared" si="2"/>
        <v>* copyNumber 0..1 integer ##34#Copy Number##34# ##334#Copy number of EBVDNA in NPC##334#</v>
      </c>
      <c r="L75" s="12" t="str">
        <f t="shared" si="3"/>
        <v/>
      </c>
    </row>
    <row r="76" spans="1:12" ht="44.25">
      <c r="A76" s="108">
        <v>65</v>
      </c>
      <c r="B76" s="115" t="s">
        <v>2313</v>
      </c>
      <c r="C76" s="2" t="s">
        <v>2105</v>
      </c>
      <c r="D76" s="2" t="s">
        <v>2106</v>
      </c>
      <c r="E76">
        <v>0</v>
      </c>
      <c r="F76">
        <v>1</v>
      </c>
      <c r="G76" s="112"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8">
        <v>66</v>
      </c>
      <c r="B77" s="113" t="s">
        <v>2404</v>
      </c>
      <c r="C77" s="2" t="s">
        <v>1588</v>
      </c>
      <c r="D77" s="2" t="s">
        <v>2107</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c r="A78" s="108">
        <v>67</v>
      </c>
      <c r="B78" s="115" t="s">
        <v>1702</v>
      </c>
      <c r="C78" s="2" t="s">
        <v>876</v>
      </c>
      <c r="D78" s="2" t="s">
        <v>2104</v>
      </c>
      <c r="E78">
        <v>0</v>
      </c>
      <c r="F78">
        <v>1</v>
      </c>
      <c r="G78" t="s">
        <v>1631</v>
      </c>
      <c r="J78" s="12" t="str">
        <f t="shared" si="2"/>
        <v>* copyNumber 0..1 integer ##34#Copy Number##34# ##334#Copy number of EBVDNA in NPC##334#</v>
      </c>
      <c r="L78" s="12" t="str">
        <f t="shared" si="3"/>
        <v/>
      </c>
    </row>
    <row r="79" spans="1:12" ht="44.25">
      <c r="A79" s="108">
        <v>68</v>
      </c>
      <c r="B79" s="115" t="s">
        <v>2314</v>
      </c>
      <c r="C79" s="2" t="s">
        <v>2108</v>
      </c>
      <c r="D79" s="2" t="s">
        <v>2109</v>
      </c>
      <c r="E79">
        <v>0</v>
      </c>
      <c r="F79">
        <v>1</v>
      </c>
      <c r="G79" t="s">
        <v>1</v>
      </c>
      <c r="J79" s="12" t="str">
        <f t="shared" si="2"/>
        <v>* reasonForEndOfTreatment 0..1 string ##34#Reason for end of treatment##34# ##334#Clarifies the reasons why the treatment ended or was interrupted##334#</v>
      </c>
      <c r="L79" s="12" t="str">
        <f t="shared" si="3"/>
        <v/>
      </c>
    </row>
    <row r="80" spans="1:12" ht="29.5">
      <c r="A80" s="108">
        <v>69</v>
      </c>
      <c r="B80" s="115" t="s">
        <v>2315</v>
      </c>
      <c r="C80" s="2" t="s">
        <v>2110</v>
      </c>
      <c r="D80" s="2" t="s">
        <v>2111</v>
      </c>
      <c r="E80">
        <v>0</v>
      </c>
      <c r="F80">
        <v>1</v>
      </c>
      <c r="G80" t="s">
        <v>1</v>
      </c>
      <c r="J80" s="12" t="str">
        <f t="shared" si="2"/>
        <v>* regimenChanged 0..1 string ##34#Regimen changed##34# ##334#Clarifies if the regimen drug changed after a toxicity or a patient intolerance##334#</v>
      </c>
      <c r="L80" s="12" t="str">
        <f t="shared" si="3"/>
        <v/>
      </c>
    </row>
    <row r="81" spans="1:12" ht="73.75">
      <c r="A81" s="108">
        <v>70</v>
      </c>
      <c r="B81" s="113" t="s">
        <v>2395</v>
      </c>
      <c r="C81" s="2" t="s">
        <v>2112</v>
      </c>
      <c r="D81" s="2" t="s">
        <v>2113</v>
      </c>
      <c r="E81">
        <v>0</v>
      </c>
      <c r="F81">
        <v>1</v>
      </c>
      <c r="G81" s="77"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8">
        <v>71</v>
      </c>
      <c r="B82" s="113" t="s">
        <v>2396</v>
      </c>
      <c r="C82" s="2" t="s">
        <v>2114</v>
      </c>
      <c r="D82" s="2" t="s">
        <v>2115</v>
      </c>
      <c r="E82">
        <v>0</v>
      </c>
      <c r="F82">
        <v>1</v>
      </c>
      <c r="G82" s="112" t="s">
        <v>1</v>
      </c>
      <c r="J82" s="12" t="str">
        <f t="shared" si="2"/>
        <v>* regimenChanged-otherDrug1 0..1 string ##34#Other Drug1##34# ##334#Specifies the drug if not present in the regimen list up to 3 selection##334#</v>
      </c>
      <c r="L82" s="12" t="str">
        <f t="shared" si="3"/>
        <v/>
      </c>
    </row>
    <row r="83" spans="1:12" ht="29.5">
      <c r="A83" s="108">
        <v>72</v>
      </c>
      <c r="B83" s="113" t="s">
        <v>2397</v>
      </c>
      <c r="C83" s="2" t="s">
        <v>2116</v>
      </c>
      <c r="D83" s="112" t="s">
        <v>2116</v>
      </c>
      <c r="E83">
        <v>0</v>
      </c>
      <c r="F83">
        <v>1</v>
      </c>
      <c r="G83" t="s">
        <v>2</v>
      </c>
      <c r="J83" s="12" t="str">
        <f t="shared" si="2"/>
        <v>* regimenChanged-otherDrug2 0..1 BackboneElement ##34#Other Drug2##34# ##334#Other Drug2##334#</v>
      </c>
      <c r="L83" s="12" t="str">
        <f t="shared" si="3"/>
        <v/>
      </c>
    </row>
    <row r="84" spans="1:12" ht="29.5">
      <c r="A84" s="108">
        <v>73</v>
      </c>
      <c r="B84" s="113" t="s">
        <v>2398</v>
      </c>
      <c r="C84" s="2" t="s">
        <v>2117</v>
      </c>
      <c r="D84" s="112" t="s">
        <v>2117</v>
      </c>
      <c r="E84">
        <v>0</v>
      </c>
      <c r="F84">
        <v>1</v>
      </c>
      <c r="G84" t="s">
        <v>2</v>
      </c>
      <c r="J84" s="12" t="str">
        <f t="shared" si="2"/>
        <v>* regimenChanged-otherDrug3 0..1 BackboneElement ##34#Other Drug3##34# ##334#Other Drug3##334#</v>
      </c>
      <c r="L84" s="12" t="str">
        <f t="shared" si="3"/>
        <v/>
      </c>
    </row>
    <row r="85" spans="1:12" ht="44.25">
      <c r="A85" s="108">
        <v>74</v>
      </c>
      <c r="B85" s="115" t="s">
        <v>2316</v>
      </c>
      <c r="C85" s="2" t="s">
        <v>2118</v>
      </c>
      <c r="D85" s="2" t="s">
        <v>2119</v>
      </c>
      <c r="E85">
        <v>0</v>
      </c>
      <c r="F85">
        <v>1</v>
      </c>
      <c r="G85" s="77" t="s">
        <v>164</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8">
        <v>75</v>
      </c>
      <c r="B86" s="115" t="s">
        <v>2317</v>
      </c>
      <c r="C86" s="2" t="s">
        <v>2120</v>
      </c>
      <c r="D86" s="2" t="s">
        <v>2121</v>
      </c>
      <c r="E86">
        <v>0</v>
      </c>
      <c r="F86">
        <v>1</v>
      </c>
      <c r="G86" s="77" t="s">
        <v>164</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8">
        <v>76</v>
      </c>
      <c r="B87" s="115" t="s">
        <v>2318</v>
      </c>
      <c r="C87" s="2" t="s">
        <v>2122</v>
      </c>
      <c r="D87" s="2" t="s">
        <v>2123</v>
      </c>
      <c r="E87">
        <v>0</v>
      </c>
      <c r="F87">
        <v>1</v>
      </c>
      <c r="G87" s="77" t="s">
        <v>164</v>
      </c>
      <c r="J87" s="12" t="str">
        <f t="shared" si="2"/>
        <v>* endDateRegimenChanged 0..1 date ##34#End date regimen changed##34# ##334#specifies when the new  systemic treatment endsif a combination please specify the end of the last drug##334#</v>
      </c>
      <c r="L87" s="12" t="str">
        <f t="shared" si="3"/>
        <v/>
      </c>
    </row>
    <row r="88" spans="1:12" ht="44.25">
      <c r="A88" s="108">
        <v>77</v>
      </c>
      <c r="B88" s="115" t="s">
        <v>2319</v>
      </c>
      <c r="C88" s="2" t="s">
        <v>2124</v>
      </c>
      <c r="D88" s="2" t="s">
        <v>2125</v>
      </c>
      <c r="E88">
        <v>0</v>
      </c>
      <c r="F88">
        <v>1</v>
      </c>
      <c r="G88" s="77" t="s">
        <v>164</v>
      </c>
      <c r="J88" s="12" t="str">
        <f t="shared" si="2"/>
        <v>* endDateRegimenChangedDayUnknown 0..1 date ##34#End  date regimen changed  day unknown##34# ##334#Describes if the day of the end of the systemic treatment is unknwon##334#</v>
      </c>
      <c r="L88" s="12" t="str">
        <f t="shared" si="3"/>
        <v/>
      </c>
    </row>
    <row r="89" spans="1:12" ht="44.25">
      <c r="A89" s="108">
        <v>78</v>
      </c>
      <c r="B89" s="113" t="s">
        <v>2399</v>
      </c>
      <c r="C89" s="2" t="s">
        <v>2108</v>
      </c>
      <c r="D89" s="2" t="s">
        <v>2109</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c r="A90" s="108">
        <v>79</v>
      </c>
      <c r="B90" s="115" t="s">
        <v>2320</v>
      </c>
      <c r="C90" s="2" t="s">
        <v>2126</v>
      </c>
      <c r="D90" s="2" t="s">
        <v>2127</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8">
        <v>80</v>
      </c>
      <c r="B91" s="115" t="s">
        <v>2321</v>
      </c>
      <c r="C91" s="2" t="s">
        <v>2128</v>
      </c>
      <c r="D91" s="2" t="s">
        <v>2129</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8">
        <v>81</v>
      </c>
      <c r="B92" s="115" t="s">
        <v>2322</v>
      </c>
      <c r="C92" s="2" t="s">
        <v>2130</v>
      </c>
      <c r="D92" s="2" t="s">
        <v>2131</v>
      </c>
      <c r="E92">
        <v>0</v>
      </c>
      <c r="F92">
        <v>1</v>
      </c>
      <c r="G92" t="s">
        <v>1</v>
      </c>
      <c r="J92" s="12" t="str">
        <f t="shared" si="2"/>
        <v>* systemicTreatment2 0..1 string ##34#Systemic treatment 2##34# ##334#Specifies if another systemic treatment was performed##334#</v>
      </c>
      <c r="L92" s="12" t="str">
        <f t="shared" si="3"/>
        <v/>
      </c>
    </row>
    <row r="93" spans="1:12">
      <c r="A93" s="108">
        <v>82</v>
      </c>
      <c r="B93" s="115" t="s">
        <v>2323</v>
      </c>
      <c r="C93" s="2" t="s">
        <v>2132</v>
      </c>
      <c r="D93" s="2"/>
      <c r="E93">
        <v>0</v>
      </c>
      <c r="F93">
        <v>1</v>
      </c>
      <c r="G93" t="s">
        <v>2</v>
      </c>
      <c r="J93" s="12" t="str">
        <f t="shared" si="2"/>
        <v>* radiotherapy 0..1 BackboneElement ##34#Radiotherapy##34# ##334###334#</v>
      </c>
      <c r="L93" s="12" t="str">
        <f t="shared" si="3"/>
        <v/>
      </c>
    </row>
    <row r="94" spans="1:12" ht="59">
      <c r="A94" s="108">
        <v>83</v>
      </c>
      <c r="B94" s="115" t="s">
        <v>2324</v>
      </c>
      <c r="C94" s="2" t="s">
        <v>2133</v>
      </c>
      <c r="D94" s="2" t="s">
        <v>2134</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8">
        <v>84</v>
      </c>
      <c r="B95" s="115" t="s">
        <v>2301</v>
      </c>
      <c r="C95" s="2" t="s">
        <v>2081</v>
      </c>
      <c r="D95" s="2" t="s">
        <v>2135</v>
      </c>
      <c r="E95">
        <v>0</v>
      </c>
      <c r="F95">
        <v>1</v>
      </c>
      <c r="G95" t="s">
        <v>1</v>
      </c>
      <c r="J95" s="12" t="str">
        <f t="shared" si="2"/>
        <v>* intent 0..1 string ##34#Intent##34# ##334#Radiotherapy intent refers to whether the intention of treatment is to cure the patient or to treat symptoms and palliate##334#</v>
      </c>
      <c r="L95" s="12" t="str">
        <f t="shared" si="3"/>
        <v/>
      </c>
    </row>
    <row r="96" spans="1:12" ht="44.25">
      <c r="A96" s="108">
        <v>85</v>
      </c>
      <c r="B96" s="113" t="s">
        <v>2405</v>
      </c>
      <c r="C96" s="2" t="s">
        <v>2083</v>
      </c>
      <c r="D96" s="2" t="s">
        <v>2136</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8">
        <v>86</v>
      </c>
      <c r="B97" s="115" t="s">
        <v>2325</v>
      </c>
      <c r="C97" s="2" t="s">
        <v>2137</v>
      </c>
      <c r="D97" s="2" t="s">
        <v>2138</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8">
        <v>87</v>
      </c>
      <c r="B98" s="115" t="s">
        <v>2326</v>
      </c>
      <c r="C98" s="2" t="s">
        <v>2139</v>
      </c>
      <c r="D98" s="2" t="s">
        <v>2140</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8">
        <v>88</v>
      </c>
      <c r="B99" s="113" t="s">
        <v>2400</v>
      </c>
      <c r="C99" s="2" t="s">
        <v>2141</v>
      </c>
      <c r="D99" s="2"/>
      <c r="E99">
        <v>0</v>
      </c>
      <c r="F99">
        <v>1</v>
      </c>
      <c r="G99" t="s">
        <v>2</v>
      </c>
      <c r="J99" s="12" t="str">
        <f t="shared" si="2"/>
        <v>* beamQuality-otherSpecify 0..1 BackboneElement ##34#Other specify ##34# ##334###334#</v>
      </c>
      <c r="L99" s="12" t="str">
        <f t="shared" si="3"/>
        <v/>
      </c>
    </row>
    <row r="100" spans="1:12" ht="29.5">
      <c r="A100" s="108">
        <v>89</v>
      </c>
      <c r="B100" s="115" t="s">
        <v>2328</v>
      </c>
      <c r="C100" s="2" t="s">
        <v>2142</v>
      </c>
      <c r="D100" s="2" t="s">
        <v>2143</v>
      </c>
      <c r="E100">
        <v>0</v>
      </c>
      <c r="F100">
        <v>1</v>
      </c>
      <c r="G100" t="s">
        <v>1</v>
      </c>
      <c r="J100" s="12" t="str">
        <f t="shared" si="2"/>
        <v>* treatmentTechnique 0..1 string ##34#Treatment technique##34# ##334#Refers to the type of radiotherapy treatment delivered##334#</v>
      </c>
      <c r="L100" s="12" t="str">
        <f t="shared" si="3"/>
        <v/>
      </c>
    </row>
    <row r="101" spans="1:12" ht="29.5">
      <c r="A101" s="108">
        <v>90</v>
      </c>
      <c r="B101" s="120" t="s">
        <v>2401</v>
      </c>
      <c r="C101" s="2" t="s">
        <v>2144</v>
      </c>
      <c r="D101" s="2"/>
      <c r="E101">
        <v>0</v>
      </c>
      <c r="F101">
        <v>1</v>
      </c>
      <c r="G101" t="s">
        <v>2</v>
      </c>
      <c r="J101" s="12" t="str">
        <f t="shared" si="2"/>
        <v>* treatmentTechnique-otherSpecify 0..1 BackboneElement ##34#Other specify##34# ##334###334#</v>
      </c>
      <c r="L101" s="12" t="str">
        <f t="shared" si="3"/>
        <v/>
      </c>
    </row>
    <row r="102" spans="1:12" ht="44.25">
      <c r="A102" s="108">
        <v>91</v>
      </c>
      <c r="B102" s="115" t="s">
        <v>2329</v>
      </c>
      <c r="C102" s="2" t="s">
        <v>2145</v>
      </c>
      <c r="D102" s="2" t="s">
        <v>2146</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8">
        <v>92</v>
      </c>
      <c r="B103" s="115" t="s">
        <v>2330</v>
      </c>
      <c r="C103" s="2" t="s">
        <v>2147</v>
      </c>
      <c r="D103" s="2" t="s">
        <v>2148</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8">
        <v>93</v>
      </c>
      <c r="B104" s="115" t="s">
        <v>2331</v>
      </c>
      <c r="C104" s="2" t="s">
        <v>2149</v>
      </c>
      <c r="D104" s="2" t="s">
        <v>2150</v>
      </c>
      <c r="E104">
        <v>0</v>
      </c>
      <c r="F104">
        <v>1</v>
      </c>
      <c r="G104" s="77" t="s">
        <v>2151</v>
      </c>
      <c r="J104" s="12" t="str">
        <f t="shared" si="2"/>
        <v>* totalDoseTdGy 0..1 Quantity ##34#Total Dose TD Gy##34# ##334#Refers to the total dose delivered to the patient in Gy##334#</v>
      </c>
      <c r="L104" s="12" t="str">
        <f t="shared" si="3"/>
        <v/>
      </c>
    </row>
    <row r="105" spans="1:12" ht="29.5">
      <c r="A105" s="108">
        <v>94</v>
      </c>
      <c r="B105" s="115" t="s">
        <v>2332</v>
      </c>
      <c r="C105" s="2" t="s">
        <v>2152</v>
      </c>
      <c r="D105" s="2" t="s">
        <v>2153</v>
      </c>
      <c r="E105">
        <v>0</v>
      </c>
      <c r="F105">
        <v>1</v>
      </c>
      <c r="G105" s="77" t="s">
        <v>2151</v>
      </c>
      <c r="J105" s="12" t="str">
        <f t="shared" si="2"/>
        <v>* fractionSizeFs 0..1 Quantity ##34#Fraction Size FS##34# ##334#Refers to the Dose per fraction delivered to the patient##334#</v>
      </c>
      <c r="L105" s="12" t="str">
        <f t="shared" si="3"/>
        <v/>
      </c>
    </row>
    <row r="106" spans="1:12" ht="29.5">
      <c r="A106" s="108">
        <v>95</v>
      </c>
      <c r="B106" s="115" t="s">
        <v>2333</v>
      </c>
      <c r="C106" s="2" t="s">
        <v>2154</v>
      </c>
      <c r="D106" s="2" t="s">
        <v>2155</v>
      </c>
      <c r="E106">
        <v>0</v>
      </c>
      <c r="F106">
        <v>1</v>
      </c>
      <c r="G106" s="77" t="s">
        <v>1631</v>
      </c>
      <c r="J106" s="12" t="str">
        <f t="shared" si="2"/>
        <v>* numberOfFractions 0..1 integer ##34#Number of fractions##34# ##334#Refers to the total number of fractions delivered to the patient##334#</v>
      </c>
      <c r="L106" s="12" t="str">
        <f t="shared" si="3"/>
        <v/>
      </c>
    </row>
    <row r="107" spans="1:12" ht="29.5">
      <c r="A107" s="108">
        <v>96</v>
      </c>
      <c r="B107" s="115" t="s">
        <v>2334</v>
      </c>
      <c r="C107" s="2" t="s">
        <v>2156</v>
      </c>
      <c r="D107" s="2" t="s">
        <v>2157</v>
      </c>
      <c r="E107">
        <v>0</v>
      </c>
      <c r="F107">
        <v>1</v>
      </c>
      <c r="G107" s="77" t="s">
        <v>2151</v>
      </c>
      <c r="J107" s="12" t="str">
        <f t="shared" si="2"/>
        <v>* totalHighDoseGy 0..1 Quantity ##34#Total High Dose Gy##34# ##334#Refers to the highest dose delivered to the patient##334#</v>
      </c>
      <c r="L107" s="12" t="str">
        <f t="shared" si="3"/>
        <v/>
      </c>
    </row>
    <row r="108" spans="1:12" ht="59">
      <c r="A108" s="108">
        <v>97</v>
      </c>
      <c r="B108" s="115" t="s">
        <v>2335</v>
      </c>
      <c r="C108" s="2" t="s">
        <v>2158</v>
      </c>
      <c r="D108" s="2" t="s">
        <v>2159</v>
      </c>
      <c r="E108">
        <v>0</v>
      </c>
      <c r="F108">
        <v>1</v>
      </c>
      <c r="G108" s="77" t="s">
        <v>2151</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8">
        <v>98</v>
      </c>
      <c r="B109" s="115" t="s">
        <v>2336</v>
      </c>
      <c r="C109" s="2" t="s">
        <v>2160</v>
      </c>
      <c r="D109" s="2" t="s">
        <v>2161</v>
      </c>
      <c r="E109">
        <v>0</v>
      </c>
      <c r="F109">
        <v>1</v>
      </c>
      <c r="G109" s="77" t="s">
        <v>2151</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8">
        <v>99</v>
      </c>
      <c r="B110" s="115" t="s">
        <v>2337</v>
      </c>
      <c r="C110" s="2" t="s">
        <v>2162</v>
      </c>
      <c r="D110" s="2" t="s">
        <v>2163</v>
      </c>
      <c r="E110">
        <v>0</v>
      </c>
      <c r="F110">
        <v>1</v>
      </c>
      <c r="G110" s="77" t="s">
        <v>2151</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8">
        <v>100</v>
      </c>
      <c r="B111" s="115" t="s">
        <v>2338</v>
      </c>
      <c r="C111" s="2" t="s">
        <v>2164</v>
      </c>
      <c r="D111" s="2" t="s">
        <v>2165</v>
      </c>
      <c r="E111">
        <v>0</v>
      </c>
      <c r="F111">
        <v>1</v>
      </c>
      <c r="G111" s="77" t="s">
        <v>2151</v>
      </c>
      <c r="J111" s="12" t="str">
        <f t="shared" si="2"/>
        <v>* totalLowDoseGy 0..1 Quantity ##34#Total Low Dose Gy##34# ##334#The lowest dose prescribed to the patients tumor##334#</v>
      </c>
      <c r="L111" s="12" t="str">
        <f t="shared" si="3"/>
        <v/>
      </c>
    </row>
    <row r="112" spans="1:12" ht="59">
      <c r="A112" s="108">
        <v>101</v>
      </c>
      <c r="B112" s="115" t="s">
        <v>2339</v>
      </c>
      <c r="C112" s="2" t="s">
        <v>2166</v>
      </c>
      <c r="D112" s="2" t="s">
        <v>2167</v>
      </c>
      <c r="E112">
        <v>0</v>
      </c>
      <c r="F112">
        <v>1</v>
      </c>
      <c r="G112" s="77" t="s">
        <v>2151</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8">
        <v>102</v>
      </c>
      <c r="B113" s="115" t="s">
        <v>2340</v>
      </c>
      <c r="C113" s="2" t="s">
        <v>2168</v>
      </c>
      <c r="D113" s="2" t="s">
        <v>2169</v>
      </c>
      <c r="E113">
        <v>0</v>
      </c>
      <c r="F113">
        <v>1</v>
      </c>
      <c r="G113" s="77" t="s">
        <v>2</v>
      </c>
      <c r="J113" s="12" t="str">
        <f t="shared" si="2"/>
        <v>* fractionationPattern 0..1 BackboneElement ##34#Fractionation Pattern##34# ##334#Refers to the pattern of how the radiation was delivered##334#</v>
      </c>
      <c r="L113" s="12" t="str">
        <f t="shared" si="3"/>
        <v/>
      </c>
    </row>
    <row r="114" spans="1:12" ht="73.75">
      <c r="A114" s="108">
        <v>103</v>
      </c>
      <c r="B114" s="115" t="s">
        <v>2341</v>
      </c>
      <c r="C114" s="2" t="s">
        <v>2170</v>
      </c>
      <c r="D114" s="2" t="s">
        <v>2171</v>
      </c>
      <c r="E114">
        <v>0</v>
      </c>
      <c r="F114">
        <v>1</v>
      </c>
      <c r="G114" s="77"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8">
        <v>104</v>
      </c>
      <c r="B115" s="115" t="s">
        <v>2342</v>
      </c>
      <c r="C115" s="2" t="s">
        <v>2172</v>
      </c>
      <c r="D115" s="2" t="s">
        <v>2173</v>
      </c>
      <c r="E115">
        <v>0</v>
      </c>
      <c r="F115">
        <v>1</v>
      </c>
      <c r="G115" s="77"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8">
        <v>105</v>
      </c>
      <c r="B116" s="115" t="s">
        <v>2343</v>
      </c>
      <c r="C116" s="2" t="s">
        <v>2174</v>
      </c>
      <c r="D116" s="2" t="s">
        <v>2175</v>
      </c>
      <c r="E116">
        <v>0</v>
      </c>
      <c r="F116">
        <v>1</v>
      </c>
      <c r="G116" s="77"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8">
        <v>106</v>
      </c>
      <c r="B117" s="115" t="s">
        <v>2344</v>
      </c>
      <c r="C117" s="2" t="s">
        <v>2176</v>
      </c>
      <c r="D117" s="2" t="s">
        <v>2177</v>
      </c>
      <c r="E117">
        <v>0</v>
      </c>
      <c r="F117">
        <v>1</v>
      </c>
      <c r="G117" s="77"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8">
        <v>107</v>
      </c>
      <c r="B118" s="115" t="s">
        <v>2345</v>
      </c>
      <c r="C118" s="2" t="s">
        <v>2178</v>
      </c>
      <c r="D118" s="2" t="s">
        <v>2179</v>
      </c>
      <c r="E118">
        <v>0</v>
      </c>
      <c r="F118">
        <v>1</v>
      </c>
      <c r="G118" s="77" t="s">
        <v>1</v>
      </c>
      <c r="J118" s="12" t="str">
        <f t="shared" si="2"/>
        <v>* otherSpecify2 0..1 string ##34#Other specify 2##34# ##334#Specifies if the second beam quality is other##334#</v>
      </c>
      <c r="L118" s="12" t="str">
        <f t="shared" si="3"/>
        <v/>
      </c>
    </row>
    <row r="119" spans="1:12" ht="44.25">
      <c r="A119" s="108">
        <v>108</v>
      </c>
      <c r="B119" s="115" t="s">
        <v>2346</v>
      </c>
      <c r="C119" s="2" t="s">
        <v>2180</v>
      </c>
      <c r="D119" s="2" t="s">
        <v>2181</v>
      </c>
      <c r="E119">
        <v>0</v>
      </c>
      <c r="F119">
        <v>1</v>
      </c>
      <c r="G119" s="77" t="s">
        <v>1</v>
      </c>
      <c r="J119" s="12" t="str">
        <f t="shared" si="2"/>
        <v>* treatmentTechnique2 0..1 string ##34#Treatment technique2##34# ##334#Refers to the type of radiotherapy treatment delivered as second beam##334#</v>
      </c>
      <c r="L119" s="12" t="str">
        <f t="shared" si="3"/>
        <v/>
      </c>
    </row>
    <row r="120" spans="1:12" ht="88.5">
      <c r="A120" s="108">
        <v>109</v>
      </c>
      <c r="B120" s="115" t="s">
        <v>2347</v>
      </c>
      <c r="C120" s="2" t="s">
        <v>2182</v>
      </c>
      <c r="D120" s="2" t="s">
        <v>2183</v>
      </c>
      <c r="E120">
        <v>0</v>
      </c>
      <c r="F120">
        <v>1</v>
      </c>
      <c r="G120" s="77"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8">
        <v>110</v>
      </c>
      <c r="B121" s="115" t="s">
        <v>2348</v>
      </c>
      <c r="C121" s="2" t="s">
        <v>2184</v>
      </c>
      <c r="D121" s="2" t="s">
        <v>2185</v>
      </c>
      <c r="E121">
        <v>0</v>
      </c>
      <c r="F121">
        <v>1</v>
      </c>
      <c r="G121" s="77" t="s">
        <v>164</v>
      </c>
      <c r="J121" s="12" t="str">
        <f t="shared" si="2"/>
        <v>* startDate 0..1 date ##34#Start date##34# ##334#Date when  the first radiation treatment was delivered##334#</v>
      </c>
      <c r="L121" s="12" t="str">
        <f t="shared" si="3"/>
        <v/>
      </c>
    </row>
    <row r="122" spans="1:12" ht="44.25">
      <c r="A122" s="108">
        <v>111</v>
      </c>
      <c r="B122" s="115" t="s">
        <v>2349</v>
      </c>
      <c r="C122" s="2" t="s">
        <v>2186</v>
      </c>
      <c r="D122" s="2" t="s">
        <v>2187</v>
      </c>
      <c r="E122">
        <v>0</v>
      </c>
      <c r="F122">
        <v>1</v>
      </c>
      <c r="G122" s="77" t="s">
        <v>164</v>
      </c>
      <c r="J122" s="12" t="str">
        <f t="shared" si="2"/>
        <v>* startDateRadiotherapyDayUnknown 0..1 date ##34#Start date radiotherapy day unknown##34# ##334#Describes if the day of start radiotherapy  is unknwon##334#</v>
      </c>
      <c r="L122" s="12" t="str">
        <f t="shared" si="3"/>
        <v/>
      </c>
    </row>
    <row r="123" spans="1:12" ht="29.5">
      <c r="A123" s="108">
        <v>112</v>
      </c>
      <c r="B123" s="115" t="s">
        <v>2350</v>
      </c>
      <c r="C123" s="2" t="s">
        <v>2188</v>
      </c>
      <c r="D123" s="2" t="s">
        <v>2189</v>
      </c>
      <c r="E123">
        <v>0</v>
      </c>
      <c r="F123">
        <v>1</v>
      </c>
      <c r="G123" s="77" t="s">
        <v>164</v>
      </c>
      <c r="J123" s="12" t="str">
        <f t="shared" si="2"/>
        <v>* endDate 0..1 date ##34#End  date##34# ##334#Date when the last radiation treatment ended##334#</v>
      </c>
      <c r="L123" s="12" t="str">
        <f t="shared" si="3"/>
        <v/>
      </c>
    </row>
    <row r="124" spans="1:12" ht="44.25">
      <c r="A124" s="108">
        <v>113</v>
      </c>
      <c r="B124" s="115" t="s">
        <v>2351</v>
      </c>
      <c r="C124" s="2" t="s">
        <v>2190</v>
      </c>
      <c r="D124" s="2" t="s">
        <v>2191</v>
      </c>
      <c r="E124">
        <v>0</v>
      </c>
      <c r="F124">
        <v>1</v>
      </c>
      <c r="G124" s="77" t="s">
        <v>164</v>
      </c>
      <c r="J124" s="12" t="str">
        <f t="shared" si="2"/>
        <v>* endDateRadiotherapyDayUnknown 0..1 date ##34#End date radiotherapy day unknown##34# ##334#Describes if the day of end of radiotherapy  is unknwon##334#</v>
      </c>
      <c r="L124" s="12" t="str">
        <f t="shared" si="3"/>
        <v/>
      </c>
    </row>
    <row r="125" spans="1:12" ht="73.75">
      <c r="A125" s="108">
        <v>114</v>
      </c>
      <c r="B125" s="115" t="s">
        <v>2352</v>
      </c>
      <c r="C125" s="2" t="s">
        <v>2192</v>
      </c>
      <c r="D125" s="2" t="s">
        <v>2193</v>
      </c>
      <c r="E125">
        <v>0</v>
      </c>
      <c r="F125">
        <v>1</v>
      </c>
      <c r="G125" s="77"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8">
        <v>115</v>
      </c>
      <c r="B126" s="115" t="s">
        <v>2353</v>
      </c>
      <c r="C126" s="2" t="s">
        <v>2194</v>
      </c>
      <c r="D126" s="2" t="s">
        <v>2195</v>
      </c>
      <c r="E126">
        <v>0</v>
      </c>
      <c r="F126">
        <v>1</v>
      </c>
      <c r="G126" s="77" t="s">
        <v>2151</v>
      </c>
      <c r="J126" s="12" t="str">
        <f t="shared" si="2"/>
        <v>* treatmentDaysMissed 0..1 Quantity ##34#Treatment days missed##34# ##334#Refers to the number of days missed during treatment##334#</v>
      </c>
      <c r="L126" s="12" t="str">
        <f t="shared" si="3"/>
        <v/>
      </c>
    </row>
    <row r="127" spans="1:12" ht="44.25">
      <c r="A127" s="108">
        <v>116</v>
      </c>
      <c r="B127" s="115" t="s">
        <v>2354</v>
      </c>
      <c r="C127" s="2" t="s">
        <v>2196</v>
      </c>
      <c r="D127" s="2" t="s">
        <v>2197</v>
      </c>
      <c r="E127">
        <v>0</v>
      </c>
      <c r="F127">
        <v>1</v>
      </c>
      <c r="G127" s="77" t="s">
        <v>2151</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8">
        <v>117</v>
      </c>
      <c r="B128" s="115" t="s">
        <v>2355</v>
      </c>
      <c r="C128" s="2" t="s">
        <v>2198</v>
      </c>
      <c r="D128" s="2" t="s">
        <v>2199</v>
      </c>
      <c r="E128">
        <v>0</v>
      </c>
      <c r="F128">
        <v>1</v>
      </c>
      <c r="G128" s="77" t="s">
        <v>2151</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8">
        <v>118</v>
      </c>
      <c r="B129" s="115" t="s">
        <v>2356</v>
      </c>
      <c r="C129" s="2" t="s">
        <v>2200</v>
      </c>
      <c r="D129" s="2" t="s">
        <v>2201</v>
      </c>
      <c r="E129">
        <v>0</v>
      </c>
      <c r="F129">
        <v>1</v>
      </c>
      <c r="G129" s="77"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8">
        <v>119</v>
      </c>
      <c r="B130" s="115" t="s">
        <v>2357</v>
      </c>
      <c r="C130" s="2" t="s">
        <v>2202</v>
      </c>
      <c r="D130" s="112" t="s">
        <v>2202</v>
      </c>
      <c r="E130">
        <v>0</v>
      </c>
      <c r="F130">
        <v>1</v>
      </c>
      <c r="G130" t="s">
        <v>2</v>
      </c>
      <c r="J130" s="12" t="str">
        <f t="shared" si="2"/>
        <v>* primary 0..1 BackboneElement ##34#Primary ##34# ##334#Primary ##334#</v>
      </c>
      <c r="L130" s="12" t="str">
        <f t="shared" si="3"/>
        <v/>
      </c>
    </row>
    <row r="131" spans="1:12">
      <c r="A131" s="108">
        <v>120</v>
      </c>
      <c r="B131" s="115" t="s">
        <v>2358</v>
      </c>
      <c r="C131" s="2" t="s">
        <v>2203</v>
      </c>
      <c r="D131" s="112" t="s">
        <v>2203</v>
      </c>
      <c r="E131">
        <v>0</v>
      </c>
      <c r="F131">
        <v>1</v>
      </c>
      <c r="G131" t="s">
        <v>2</v>
      </c>
      <c r="J131" s="12" t="str">
        <f t="shared" si="2"/>
        <v>* neck 0..1 BackboneElement ##34#Neck ##34# ##334#Neck ##334#</v>
      </c>
      <c r="L131" s="12" t="str">
        <f t="shared" si="3"/>
        <v/>
      </c>
    </row>
    <row r="132" spans="1:12" ht="29.5">
      <c r="A132" s="108">
        <v>121</v>
      </c>
      <c r="B132" s="115" t="s">
        <v>2359</v>
      </c>
      <c r="C132" s="2" t="s">
        <v>2204</v>
      </c>
      <c r="D132" s="112" t="s">
        <v>2204</v>
      </c>
      <c r="E132">
        <v>0</v>
      </c>
      <c r="F132">
        <v>1</v>
      </c>
      <c r="G132" t="s">
        <v>2</v>
      </c>
      <c r="J132" s="12" t="str">
        <f t="shared" si="2"/>
        <v>* primaryAndIpsilateralNeck 0..1 BackboneElement ##34#Primary and Ipsilateral Neck##34# ##334#Primary and Ipsilateral Neck##334#</v>
      </c>
      <c r="L132" s="12" t="str">
        <f t="shared" si="3"/>
        <v/>
      </c>
    </row>
    <row r="133" spans="1:12" ht="29.5">
      <c r="A133" s="108">
        <v>122</v>
      </c>
      <c r="B133" s="115" t="s">
        <v>2360</v>
      </c>
      <c r="C133" s="2" t="s">
        <v>2205</v>
      </c>
      <c r="D133" s="112" t="s">
        <v>2205</v>
      </c>
      <c r="E133">
        <v>0</v>
      </c>
      <c r="F133">
        <v>1</v>
      </c>
      <c r="G133" t="s">
        <v>2</v>
      </c>
      <c r="J133" s="12" t="str">
        <f t="shared" si="2"/>
        <v>* primaryAndBilateralNeck 0..1 BackboneElement ##34#Primary and Bilateral Neck##34# ##334#Primary and Bilateral Neck##334#</v>
      </c>
      <c r="L133" s="12" t="str">
        <f t="shared" si="3"/>
        <v/>
      </c>
    </row>
    <row r="134" spans="1:12" ht="29.5">
      <c r="A134" s="108">
        <v>123</v>
      </c>
      <c r="B134" s="115" t="s">
        <v>2361</v>
      </c>
      <c r="C134" s="2" t="s">
        <v>2206</v>
      </c>
      <c r="D134" s="112" t="s">
        <v>2206</v>
      </c>
      <c r="E134">
        <v>0</v>
      </c>
      <c r="F134">
        <v>1</v>
      </c>
      <c r="G134" t="s">
        <v>2</v>
      </c>
      <c r="J134" s="12" t="str">
        <f t="shared" si="2"/>
        <v>* distantMetastasis 0..1 BackboneElement ##34#Distant Metastasis##34# ##334#Distant Metastasis##334#</v>
      </c>
      <c r="L134" s="12" t="str">
        <f t="shared" si="3"/>
        <v/>
      </c>
    </row>
    <row r="135" spans="1:12" ht="44.25">
      <c r="A135" s="108">
        <v>124</v>
      </c>
      <c r="B135" s="115" t="s">
        <v>2362</v>
      </c>
      <c r="C135" s="2" t="s">
        <v>2207</v>
      </c>
      <c r="D135" s="2" t="s">
        <v>2208</v>
      </c>
      <c r="E135">
        <v>0</v>
      </c>
      <c r="F135">
        <v>1</v>
      </c>
      <c r="G135" s="77"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8">
        <v>125</v>
      </c>
      <c r="B136" s="59" t="s">
        <v>2363</v>
      </c>
      <c r="C136" s="2" t="s">
        <v>2209</v>
      </c>
      <c r="D136" s="112" t="s">
        <v>2209</v>
      </c>
      <c r="E136">
        <v>0</v>
      </c>
      <c r="F136">
        <v>1</v>
      </c>
      <c r="G136" t="s">
        <v>2</v>
      </c>
      <c r="J136" s="12" t="str">
        <f t="shared" ref="J136:J177" si="4">CONCATENATE("* ",B136, " ",E136,"..",F136," ",G136," ##34#",C136,"##34# ##334#",D136,"##334#")</f>
        <v>* lung
 0..1 BackboneElement ##34#Lung
##34# ##334#Lung
##334#</v>
      </c>
      <c r="L136" s="12" t="str">
        <f t="shared" si="3"/>
        <v/>
      </c>
    </row>
    <row r="137" spans="1:12" ht="59">
      <c r="A137" s="108">
        <v>126</v>
      </c>
      <c r="B137" s="59" t="s">
        <v>2364</v>
      </c>
      <c r="C137" s="2" t="s">
        <v>2210</v>
      </c>
      <c r="D137" s="112" t="s">
        <v>2210</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8">
        <v>127</v>
      </c>
      <c r="B138" s="59" t="s">
        <v>2365</v>
      </c>
      <c r="C138" s="2" t="s">
        <v>2211</v>
      </c>
      <c r="D138" s="112" t="s">
        <v>2211</v>
      </c>
      <c r="E138">
        <v>0</v>
      </c>
      <c r="F138">
        <v>1</v>
      </c>
      <c r="G138" t="s">
        <v>2</v>
      </c>
      <c r="J138" s="12" t="str">
        <f t="shared" si="4"/>
        <v>* bone
 0..1 BackboneElement ##34#Bone
##34# ##334#Bone
##334#</v>
      </c>
      <c r="L138" s="12" t="str">
        <f t="shared" si="5"/>
        <v/>
      </c>
    </row>
    <row r="139" spans="1:12" ht="59">
      <c r="A139" s="108">
        <v>128</v>
      </c>
      <c r="B139" s="59" t="s">
        <v>2366</v>
      </c>
      <c r="C139" s="2" t="s">
        <v>2212</v>
      </c>
      <c r="D139" s="112" t="s">
        <v>2212</v>
      </c>
      <c r="E139">
        <v>0</v>
      </c>
      <c r="F139">
        <v>1</v>
      </c>
      <c r="G139" t="s">
        <v>2</v>
      </c>
      <c r="J139" s="12" t="str">
        <f t="shared" si="4"/>
        <v>* softTissue
 0..1 BackboneElement ##34#Soft Tissue
##34# ##334#Soft Tissue
##334#</v>
      </c>
      <c r="L139" s="12" t="str">
        <f t="shared" si="5"/>
        <v/>
      </c>
    </row>
    <row r="140" spans="1:12" ht="59">
      <c r="A140" s="108">
        <v>129</v>
      </c>
      <c r="B140" s="59" t="s">
        <v>2367</v>
      </c>
      <c r="C140" s="2" t="s">
        <v>2213</v>
      </c>
      <c r="D140" s="112" t="s">
        <v>2213</v>
      </c>
      <c r="E140">
        <v>0</v>
      </c>
      <c r="F140">
        <v>1</v>
      </c>
      <c r="G140" t="s">
        <v>2</v>
      </c>
      <c r="J140" s="12" t="str">
        <f t="shared" si="4"/>
        <v>* liver
 0..1 BackboneElement ##34#Liver
##34# ##334#Liver
##334#</v>
      </c>
      <c r="L140" s="12" t="str">
        <f t="shared" si="5"/>
        <v/>
      </c>
    </row>
    <row r="141" spans="1:12" ht="29.5">
      <c r="A141" s="108">
        <v>130</v>
      </c>
      <c r="B141" s="115" t="s">
        <v>1852</v>
      </c>
      <c r="C141" s="2" t="s">
        <v>1745</v>
      </c>
      <c r="D141" s="112" t="s">
        <v>1745</v>
      </c>
      <c r="E141">
        <v>0</v>
      </c>
      <c r="F141">
        <v>1</v>
      </c>
      <c r="G141" t="s">
        <v>2</v>
      </c>
      <c r="J141" s="12" t="str">
        <f t="shared" si="4"/>
        <v>* unknown 0..1 BackboneElement ##34#Unknown##34# ##334#Unknown##334#</v>
      </c>
      <c r="L141" s="12" t="str">
        <f t="shared" si="5"/>
        <v/>
      </c>
    </row>
    <row r="142" spans="1:12">
      <c r="A142" s="108">
        <v>131</v>
      </c>
      <c r="B142" s="115" t="s">
        <v>2368</v>
      </c>
      <c r="C142" s="2" t="s">
        <v>2214</v>
      </c>
      <c r="D142" s="112" t="s">
        <v>2214</v>
      </c>
      <c r="E142">
        <v>0</v>
      </c>
      <c r="F142">
        <v>1</v>
      </c>
      <c r="G142" t="s">
        <v>2</v>
      </c>
      <c r="J142" s="12" t="str">
        <f t="shared" si="4"/>
        <v>* other 0..1 BackboneElement ##34#Other ##34# ##334#Other ##334#</v>
      </c>
      <c r="L142" s="12" t="str">
        <f t="shared" si="5"/>
        <v/>
      </c>
    </row>
    <row r="143" spans="1:12" ht="29.5">
      <c r="A143" s="108">
        <v>132</v>
      </c>
      <c r="B143" s="115" t="s">
        <v>2327</v>
      </c>
      <c r="C143" s="2" t="s">
        <v>2144</v>
      </c>
      <c r="D143" s="112" t="s">
        <v>2144</v>
      </c>
      <c r="E143">
        <v>0</v>
      </c>
      <c r="F143">
        <v>1</v>
      </c>
      <c r="G143" t="s">
        <v>2</v>
      </c>
      <c r="J143" s="12" t="str">
        <f t="shared" si="4"/>
        <v>* otherSpecify 0..1 BackboneElement ##34#Other specify##34# ##334#Other specify##334#</v>
      </c>
      <c r="L143" s="12" t="str">
        <f t="shared" si="5"/>
        <v/>
      </c>
    </row>
    <row r="144" spans="1:12" ht="59">
      <c r="A144" s="108">
        <v>133</v>
      </c>
      <c r="B144" s="115" t="s">
        <v>2369</v>
      </c>
      <c r="C144" s="2" t="s">
        <v>2215</v>
      </c>
      <c r="D144" s="2" t="s">
        <v>2216</v>
      </c>
      <c r="E144">
        <v>0</v>
      </c>
      <c r="F144">
        <v>1</v>
      </c>
      <c r="G144" s="77"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8">
        <v>134</v>
      </c>
      <c r="B145" s="115" t="s">
        <v>2370</v>
      </c>
      <c r="C145" s="2" t="s">
        <v>2217</v>
      </c>
      <c r="D145" s="2" t="s">
        <v>2218</v>
      </c>
      <c r="E145">
        <v>0</v>
      </c>
      <c r="F145">
        <v>1</v>
      </c>
      <c r="G145" s="77" t="s">
        <v>1</v>
      </c>
      <c r="J145" s="12" t="str">
        <f t="shared" si="4"/>
        <v>* neckLevelsIrradiatedLeft 0..1 string ##34#Neck Levels Irradiated Left##34# ##334#Same as above but for the left neck##334#</v>
      </c>
      <c r="L145" s="12" t="str">
        <f t="shared" si="5"/>
        <v/>
      </c>
    </row>
    <row r="146" spans="1:12" ht="44.25">
      <c r="A146" s="108">
        <v>135</v>
      </c>
      <c r="B146" s="115" t="s">
        <v>2371</v>
      </c>
      <c r="C146" s="2" t="s">
        <v>2219</v>
      </c>
      <c r="D146" s="2" t="s">
        <v>2220</v>
      </c>
      <c r="E146">
        <v>0</v>
      </c>
      <c r="F146">
        <v>1</v>
      </c>
      <c r="G146" s="77" t="s">
        <v>1</v>
      </c>
      <c r="J146" s="12" t="str">
        <f t="shared" si="4"/>
        <v>* ctvHighExpansion 0..1 string ##34#CTV High Expansion##34# ##334#Refers to the margin that was used from GTV to CTV for the highest prescription dose##334#</v>
      </c>
      <c r="L146" s="12" t="str">
        <f t="shared" si="5"/>
        <v/>
      </c>
    </row>
    <row r="147" spans="1:12" ht="29.5">
      <c r="A147" s="108">
        <v>136</v>
      </c>
      <c r="B147" s="115" t="s">
        <v>2372</v>
      </c>
      <c r="C147" s="2" t="s">
        <v>2221</v>
      </c>
      <c r="D147" s="2" t="s">
        <v>2222</v>
      </c>
      <c r="E147">
        <v>0</v>
      </c>
      <c r="F147">
        <v>1</v>
      </c>
      <c r="G147" s="77" t="s">
        <v>1</v>
      </c>
      <c r="J147" s="12" t="str">
        <f t="shared" si="4"/>
        <v>* ptvHighExpansion 0..1 string ##34#PTV High expansion##34# ##334#Refers to the margin that was used from CTV to PTV##334#</v>
      </c>
      <c r="L147" s="12" t="str">
        <f t="shared" si="5"/>
        <v/>
      </c>
    </row>
    <row r="148" spans="1:12" ht="29.5">
      <c r="A148" s="108">
        <v>137</v>
      </c>
      <c r="B148" s="115" t="s">
        <v>2373</v>
      </c>
      <c r="C148" s="2" t="s">
        <v>2223</v>
      </c>
      <c r="D148" s="2" t="s">
        <v>2224</v>
      </c>
      <c r="E148">
        <v>0</v>
      </c>
      <c r="F148">
        <v>1</v>
      </c>
      <c r="G148" s="77" t="s">
        <v>1</v>
      </c>
      <c r="J148" s="12" t="str">
        <f t="shared" si="4"/>
        <v>* v60OfSkin 0..1 string ##34#V60 of Skin##34# ##334#Refers to the volume of skin receiving at least 60 Gy##334#</v>
      </c>
      <c r="L148" s="12" t="str">
        <f t="shared" si="5"/>
        <v/>
      </c>
    </row>
    <row r="149" spans="1:12" ht="88.5">
      <c r="A149" s="108">
        <v>138</v>
      </c>
      <c r="B149" s="115" t="s">
        <v>2374</v>
      </c>
      <c r="C149" s="2" t="s">
        <v>2225</v>
      </c>
      <c r="D149" s="2" t="s">
        <v>2183</v>
      </c>
      <c r="E149">
        <v>0</v>
      </c>
      <c r="F149">
        <v>1</v>
      </c>
      <c r="G149" s="77"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8">
        <v>139</v>
      </c>
      <c r="B150" s="115" t="s">
        <v>2375</v>
      </c>
      <c r="C150" s="2" t="s">
        <v>2226</v>
      </c>
      <c r="D150" s="2" t="s">
        <v>2227</v>
      </c>
      <c r="E150">
        <v>0</v>
      </c>
      <c r="F150">
        <v>1</v>
      </c>
      <c r="G150" s="77" t="s">
        <v>1</v>
      </c>
      <c r="J150" s="12" t="str">
        <f t="shared" si="4"/>
        <v>* hospitalizedDuringRt 0..1 string ##34#Hospitalized during RT##34# ##334#Did the patient has been hospitalized during RT##334#</v>
      </c>
      <c r="L150" s="12" t="str">
        <f t="shared" si="5"/>
        <v/>
      </c>
    </row>
    <row r="151" spans="1:12" ht="29.5">
      <c r="A151" s="108">
        <v>140</v>
      </c>
      <c r="B151" s="115" t="s">
        <v>2376</v>
      </c>
      <c r="C151" s="2" t="s">
        <v>2228</v>
      </c>
      <c r="D151" s="2" t="s">
        <v>2229</v>
      </c>
      <c r="E151">
        <v>0</v>
      </c>
      <c r="F151">
        <v>1</v>
      </c>
      <c r="G151" s="77" t="s">
        <v>1</v>
      </c>
      <c r="J151" s="12" t="str">
        <f t="shared" si="4"/>
        <v>* carotidBlowout 0..1 string ##34#Carotid Blowout ##34# ##334#Did the patient develop a carotid blow out during or after radiation##334#</v>
      </c>
      <c r="L151" s="12" t="str">
        <f t="shared" si="5"/>
        <v/>
      </c>
    </row>
    <row r="152" spans="1:12" ht="29.5">
      <c r="A152" s="108">
        <v>141</v>
      </c>
      <c r="B152" s="115" t="s">
        <v>2377</v>
      </c>
      <c r="C152" s="2" t="s">
        <v>2230</v>
      </c>
      <c r="D152" s="2" t="s">
        <v>2231</v>
      </c>
      <c r="E152">
        <v>0</v>
      </c>
      <c r="F152">
        <v>1</v>
      </c>
      <c r="G152" s="77" t="s">
        <v>1</v>
      </c>
      <c r="J152" s="12" t="str">
        <f t="shared" si="4"/>
        <v>* feedingTubeDuringRt 0..1 string ##34#Feeding Tube during RT##34# ##334#Was a feeding tube required after RT##334#</v>
      </c>
      <c r="L152" s="12" t="str">
        <f t="shared" si="5"/>
        <v/>
      </c>
    </row>
    <row r="153" spans="1:12" ht="44.25">
      <c r="A153" s="108">
        <v>142</v>
      </c>
      <c r="B153" s="115" t="s">
        <v>2378</v>
      </c>
      <c r="C153" s="2" t="s">
        <v>2232</v>
      </c>
      <c r="D153" s="2" t="s">
        <v>2233</v>
      </c>
      <c r="E153">
        <v>0</v>
      </c>
      <c r="F153">
        <v>1</v>
      </c>
      <c r="G153" s="77" t="s">
        <v>1</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8">
        <v>143</v>
      </c>
      <c r="B154" s="115" t="s">
        <v>2379</v>
      </c>
      <c r="C154" s="2" t="s">
        <v>2234</v>
      </c>
      <c r="D154" s="2" t="s">
        <v>2235</v>
      </c>
      <c r="E154">
        <v>0</v>
      </c>
      <c r="F154">
        <v>1</v>
      </c>
      <c r="G154" s="77" t="s">
        <v>1</v>
      </c>
      <c r="J154" s="12" t="str">
        <f t="shared" si="4"/>
        <v>* smokingDuringRt 0..1 string ##34#Smoking during RT##34# ##334#Did the patient smoke cigarettes during radiation##334#</v>
      </c>
      <c r="L154" s="12" t="str">
        <f t="shared" si="5"/>
        <v/>
      </c>
    </row>
    <row r="155" spans="1:12" ht="29.5">
      <c r="A155" s="108">
        <v>144</v>
      </c>
      <c r="B155" s="115" t="s">
        <v>2380</v>
      </c>
      <c r="C155" s="2" t="s">
        <v>2236</v>
      </c>
      <c r="D155" s="2" t="s">
        <v>2237</v>
      </c>
      <c r="E155">
        <v>0</v>
      </c>
      <c r="F155">
        <v>1</v>
      </c>
      <c r="G155" s="77" t="s">
        <v>1</v>
      </c>
      <c r="J155" s="12" t="str">
        <f t="shared" si="4"/>
        <v>* alcoholDuringRt 0..1 string ##34#Alcohol during RT##34# ##334#Did the patient drink alcohol during radiation##334#</v>
      </c>
      <c r="L155" s="12" t="str">
        <f t="shared" si="5"/>
        <v/>
      </c>
    </row>
    <row r="156" spans="1:12" ht="29.5">
      <c r="A156" s="108">
        <v>145</v>
      </c>
      <c r="B156" s="115" t="s">
        <v>2381</v>
      </c>
      <c r="C156" s="2" t="s">
        <v>2238</v>
      </c>
      <c r="D156" s="112" t="s">
        <v>2238</v>
      </c>
      <c r="E156">
        <v>0</v>
      </c>
      <c r="F156">
        <v>1</v>
      </c>
      <c r="G156" t="s">
        <v>2</v>
      </c>
      <c r="J156" s="12" t="str">
        <f t="shared" si="4"/>
        <v>* otherTypeOfTreatment 0..1 BackboneElement ##34#Other type of treatment##34# ##334#Other type of treatment##334#</v>
      </c>
      <c r="L156" s="12" t="str">
        <f t="shared" si="5"/>
        <v/>
      </c>
    </row>
    <row r="157" spans="1:12" ht="29.5">
      <c r="A157" s="108">
        <v>146</v>
      </c>
      <c r="B157" s="115" t="s">
        <v>2382</v>
      </c>
      <c r="C157" s="2" t="s">
        <v>2239</v>
      </c>
      <c r="D157" s="112" t="s">
        <v>2239</v>
      </c>
      <c r="E157">
        <v>0</v>
      </c>
      <c r="F157">
        <v>1</v>
      </c>
      <c r="G157" t="s">
        <v>2</v>
      </c>
      <c r="J157" s="12" t="str">
        <f t="shared" si="4"/>
        <v>* otherTreatmentPerformed 0..1 BackboneElement ##34#Other treatment performed##34# ##334#Other treatment performed##334#</v>
      </c>
      <c r="L157" s="12" t="str">
        <f t="shared" si="5"/>
        <v/>
      </c>
    </row>
    <row r="158" spans="1:12" ht="29.5">
      <c r="A158" s="108">
        <v>147</v>
      </c>
      <c r="B158" s="115" t="s">
        <v>2383</v>
      </c>
      <c r="C158" s="2" t="s">
        <v>2240</v>
      </c>
      <c r="D158" s="112" t="s">
        <v>2240</v>
      </c>
      <c r="E158">
        <v>0</v>
      </c>
      <c r="F158">
        <v>1</v>
      </c>
      <c r="G158" t="s">
        <v>2</v>
      </c>
      <c r="J158" s="12" t="str">
        <f t="shared" si="4"/>
        <v>* dateOfStart 0..1 BackboneElement ##34#Date of start other treatment ##34# ##334#Date of start other treatment ##334#</v>
      </c>
      <c r="L158" s="12" t="str">
        <f t="shared" si="5"/>
        <v/>
      </c>
    </row>
    <row r="159" spans="1:12" ht="44.25">
      <c r="A159" s="108">
        <v>148</v>
      </c>
      <c r="B159" s="115" t="s">
        <v>2384</v>
      </c>
      <c r="C159" s="2" t="s">
        <v>2241</v>
      </c>
      <c r="D159" s="112" t="s">
        <v>2241</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c r="A160" s="108">
        <v>149</v>
      </c>
      <c r="B160" s="115" t="s">
        <v>2385</v>
      </c>
      <c r="C160" s="2" t="s">
        <v>2242</v>
      </c>
      <c r="D160" s="112" t="s">
        <v>2242</v>
      </c>
      <c r="E160">
        <v>0</v>
      </c>
      <c r="F160">
        <v>1</v>
      </c>
      <c r="G160" t="s">
        <v>2</v>
      </c>
      <c r="J160" s="12" t="str">
        <f t="shared" si="4"/>
        <v>* dateOfEnd 0..1 BackboneElement ##34#Date of end other treatment ##34# ##334#Date of end other treatment ##334#</v>
      </c>
      <c r="L160" s="12" t="str">
        <f t="shared" si="5"/>
        <v/>
      </c>
    </row>
    <row r="161" spans="1:12" ht="44.25">
      <c r="A161" s="108">
        <v>150</v>
      </c>
      <c r="B161" s="115" t="s">
        <v>2386</v>
      </c>
      <c r="C161" s="2" t="s">
        <v>2243</v>
      </c>
      <c r="D161" s="112" t="s">
        <v>2243</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c r="A162" s="108">
        <v>151</v>
      </c>
      <c r="B162" s="115" t="s">
        <v>2387</v>
      </c>
      <c r="C162" s="2" t="s">
        <v>321</v>
      </c>
      <c r="D162" s="112" t="s">
        <v>321</v>
      </c>
      <c r="E162">
        <v>0</v>
      </c>
      <c r="F162">
        <v>1</v>
      </c>
      <c r="G162" t="s">
        <v>2</v>
      </c>
      <c r="J162" s="12" t="str">
        <f t="shared" si="4"/>
        <v>* type 0..1 BackboneElement ##34#Type##34# ##334#Type##334#</v>
      </c>
      <c r="L162" s="12" t="str">
        <f t="shared" si="5"/>
        <v/>
      </c>
    </row>
    <row r="163" spans="1:12" ht="29.5">
      <c r="A163" s="108">
        <v>152</v>
      </c>
      <c r="B163" s="115" t="s">
        <v>2388</v>
      </c>
      <c r="C163" s="2" t="s">
        <v>2225</v>
      </c>
      <c r="D163" s="112" t="s">
        <v>2225</v>
      </c>
      <c r="E163">
        <v>0</v>
      </c>
      <c r="F163">
        <v>1</v>
      </c>
      <c r="G163" t="s">
        <v>2</v>
      </c>
      <c r="J163" s="12" t="str">
        <f t="shared" si="4"/>
        <v>* treatmentCompleted 0..1 BackboneElement ##34#Treatment Completed as Planned ##34# ##334#Treatment Completed as Planned ##334#</v>
      </c>
      <c r="L163" s="12" t="str">
        <f t="shared" si="5"/>
        <v/>
      </c>
    </row>
    <row r="164" spans="1:12" ht="29.5">
      <c r="A164" s="108">
        <v>153</v>
      </c>
      <c r="B164" s="115" t="s">
        <v>2389</v>
      </c>
      <c r="C164" s="2" t="s">
        <v>2244</v>
      </c>
      <c r="D164" s="112" t="s">
        <v>2244</v>
      </c>
      <c r="E164">
        <v>0</v>
      </c>
      <c r="F164">
        <v>1</v>
      </c>
      <c r="G164" t="s">
        <v>2</v>
      </c>
      <c r="J164" s="12" t="str">
        <f t="shared" si="4"/>
        <v>* overallTreatmentResponse 0..1 BackboneElement ##34#Overall treatment response##34# ##334#Overall treatment response##334#</v>
      </c>
      <c r="L164" s="12" t="str">
        <f t="shared" si="5"/>
        <v/>
      </c>
    </row>
    <row r="165" spans="1:12" ht="59">
      <c r="A165" s="108">
        <v>154</v>
      </c>
      <c r="B165" s="113" t="s">
        <v>2406</v>
      </c>
      <c r="C165" s="2" t="s">
        <v>2126</v>
      </c>
      <c r="D165" s="112" t="s">
        <v>2126</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8">
        <v>155</v>
      </c>
      <c r="B166" s="115" t="s">
        <v>2390</v>
      </c>
      <c r="C166" s="2" t="s">
        <v>2128</v>
      </c>
      <c r="D166" s="112" t="s">
        <v>2128</v>
      </c>
      <c r="E166">
        <v>0</v>
      </c>
      <c r="F166">
        <v>1</v>
      </c>
      <c r="G166" t="s">
        <v>2</v>
      </c>
      <c r="J166" s="12" t="str">
        <f t="shared" si="4"/>
        <v>* treatmentResponseDefineddone 0..1 BackboneElement ##34#Treatment response defineddone##34# ##334#Treatment response defineddone##334#</v>
      </c>
      <c r="L166" s="12" t="str">
        <f t="shared" si="5"/>
        <v/>
      </c>
    </row>
    <row r="167" spans="1:12" ht="44.25">
      <c r="A167" s="108">
        <v>156</v>
      </c>
      <c r="B167" s="115" t="s">
        <v>2391</v>
      </c>
      <c r="C167" s="2" t="s">
        <v>2245</v>
      </c>
      <c r="D167" s="112" t="s">
        <v>2245</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c r="A168" s="108">
        <v>157</v>
      </c>
      <c r="B168" s="115" t="s">
        <v>2392</v>
      </c>
      <c r="C168" s="2" t="s">
        <v>2246</v>
      </c>
      <c r="D168" s="112" t="s">
        <v>2246</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c r="A169" s="108">
        <v>158</v>
      </c>
      <c r="B169" s="115" t="s">
        <v>2393</v>
      </c>
      <c r="C169" s="2" t="s">
        <v>2247</v>
      </c>
      <c r="D169" s="112" t="s">
        <v>2247</v>
      </c>
      <c r="E169">
        <v>0</v>
      </c>
      <c r="F169">
        <v>1</v>
      </c>
      <c r="G169" t="s">
        <v>2</v>
      </c>
      <c r="J169" s="12" t="str">
        <f t="shared" si="4"/>
        <v>* clinicalTrialCode 0..1 BackboneElement ##34#Clinical trial code##34# ##334#Clinical trial code##334#</v>
      </c>
      <c r="L169" s="12" t="str">
        <f t="shared" si="5"/>
        <v/>
      </c>
    </row>
    <row r="170" spans="1:12" ht="29.5">
      <c r="A170" s="108">
        <v>159</v>
      </c>
      <c r="B170" s="121" t="s">
        <v>1711</v>
      </c>
      <c r="C170" s="2" t="s">
        <v>1626</v>
      </c>
      <c r="D170" s="112" t="s">
        <v>1626</v>
      </c>
      <c r="E170">
        <v>0</v>
      </c>
      <c r="F170">
        <v>1</v>
      </c>
      <c r="G170" t="s">
        <v>2</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2402</v>
      </c>
      <c r="E4" s="20" t="str">
        <f>CONCATENATE("Mapping: ",C4)</f>
        <v>Mapping: I4RCTreatment2Fhir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2403</v>
      </c>
      <c r="E6" s="21" t="str">
        <f>CONCATENATE("Title: ##34#",C6,"##34#")</f>
        <v>Title: ##34#Idea4RC Treatment model to FHIR R4 Map##34#</v>
      </c>
      <c r="H6" s="7"/>
      <c r="I6" s="7"/>
      <c r="J6" s="7"/>
      <c r="K6" s="7"/>
      <c r="L6" s="7"/>
      <c r="M6" s="7"/>
      <c r="N6" s="7"/>
      <c r="O6" s="7"/>
    </row>
    <row r="7" spans="1:15" ht="15.5" thickBot="1">
      <c r="B7" s="10" t="s">
        <v>19</v>
      </c>
      <c r="C7" s="8" t="str">
        <f>B9</f>
        <v>Treatment</v>
      </c>
      <c r="E7" s="21" t="str">
        <f>CONCATENATE("Source: ",C7)</f>
        <v>Source: Treatment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Treatment!B5</f>
        <v>Treatment</v>
      </c>
      <c r="C9" s="6" t="s">
        <v>1637</v>
      </c>
      <c r="E9" s="28" t="str">
        <f>CONCATENATE("* -&gt; ##34#",C9,"##34#")</f>
        <v>* -&gt; ##34#TBD##34#</v>
      </c>
      <c r="H9" s="7"/>
      <c r="I9" s="7"/>
      <c r="J9" s="7"/>
      <c r="K9" s="7"/>
      <c r="L9" s="7"/>
      <c r="M9" s="7"/>
      <c r="N9" s="7"/>
      <c r="O9" s="7"/>
    </row>
    <row r="10" spans="1:15">
      <c r="A10" s="11"/>
      <c r="B10" s="11" t="str">
        <f>Treatment!B8</f>
        <v>surgery</v>
      </c>
      <c r="C10" s="11" t="s">
        <v>1637</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1637</v>
      </c>
      <c r="E11" s="12" t="str">
        <f t="shared" si="0"/>
        <v>* surgeryPerformed -&gt; ##34#TBD##34#</v>
      </c>
      <c r="H11" s="7"/>
      <c r="I11" s="7"/>
      <c r="J11" s="7"/>
      <c r="K11" s="7"/>
      <c r="L11" s="7"/>
      <c r="M11" s="7"/>
      <c r="N11" s="7"/>
      <c r="O11" s="7"/>
    </row>
    <row r="12" spans="1:15">
      <c r="A12" s="11"/>
      <c r="B12" s="11" t="str">
        <f>Treatment!B10</f>
        <v>dateOfTumourSurgery</v>
      </c>
      <c r="C12" s="11" t="s">
        <v>1637</v>
      </c>
      <c r="E12" s="12" t="str">
        <f t="shared" si="0"/>
        <v>* dateOfTumourSurgery -&gt; ##34#TBD##34#</v>
      </c>
      <c r="H12" s="7"/>
      <c r="I12" s="7"/>
      <c r="J12" s="7"/>
      <c r="K12" s="7"/>
      <c r="L12" s="7"/>
      <c r="M12" s="7"/>
      <c r="N12" s="7"/>
      <c r="O12" s="7"/>
    </row>
    <row r="13" spans="1:15">
      <c r="A13" s="11"/>
      <c r="B13" s="11" t="str">
        <f>Treatment!B11</f>
        <v>surgeryIntention</v>
      </c>
      <c r="C13" s="11" t="s">
        <v>1637</v>
      </c>
      <c r="E13" s="12" t="str">
        <f t="shared" si="0"/>
        <v>* surgeryIntention -&gt; ##34#TBD##34#</v>
      </c>
      <c r="H13" s="7"/>
      <c r="I13" s="7"/>
      <c r="J13" s="7"/>
      <c r="K13" s="7"/>
      <c r="L13" s="7"/>
      <c r="M13" s="7"/>
      <c r="N13" s="7"/>
      <c r="O13" s="7"/>
    </row>
    <row r="14" spans="1:15">
      <c r="A14" s="11"/>
      <c r="B14" s="11" t="str">
        <f>Treatment!B12</f>
        <v>tumorSurgeryApproach</v>
      </c>
      <c r="C14" s="11" t="s">
        <v>1637</v>
      </c>
      <c r="E14" s="12" t="str">
        <f t="shared" si="0"/>
        <v>* tumorSurgeryApproach -&gt; ##34#TBD##34#</v>
      </c>
      <c r="H14" s="7"/>
      <c r="I14" s="7"/>
      <c r="J14" s="7"/>
      <c r="K14" s="7"/>
      <c r="L14" s="7"/>
      <c r="M14" s="7"/>
      <c r="N14" s="7"/>
      <c r="O14" s="7"/>
    </row>
    <row r="15" spans="1:15">
      <c r="A15" s="11"/>
      <c r="B15" s="11" t="str">
        <f>Treatment!B13</f>
        <v>tumorSurgeryDevice</v>
      </c>
      <c r="C15" s="11" t="s">
        <v>1637</v>
      </c>
      <c r="E15" s="12" t="str">
        <f t="shared" si="0"/>
        <v>* tumorSurgeryDevice -&gt; ##34#TBD##34#</v>
      </c>
      <c r="H15" s="7"/>
      <c r="I15" s="7"/>
      <c r="J15" s="7"/>
      <c r="K15" s="7"/>
      <c r="L15" s="7"/>
      <c r="M15" s="7"/>
      <c r="N15" s="7"/>
      <c r="O15" s="7"/>
    </row>
    <row r="16" spans="1:15">
      <c r="A16" s="11"/>
      <c r="B16" s="11" t="str">
        <f>Treatment!B14</f>
        <v>surgicalProcedure</v>
      </c>
      <c r="C16" s="11" t="s">
        <v>1637</v>
      </c>
      <c r="E16" s="12" t="str">
        <f t="shared" si="0"/>
        <v>* surgicalProcedure -&gt; ##34#TBD##34#</v>
      </c>
      <c r="H16" s="7"/>
      <c r="I16" s="7"/>
      <c r="J16" s="7"/>
      <c r="K16" s="7"/>
      <c r="L16" s="7"/>
      <c r="M16" s="7"/>
      <c r="N16" s="7"/>
      <c r="O16" s="7"/>
    </row>
    <row r="17" spans="1:5">
      <c r="A17" s="11"/>
      <c r="B17" s="11" t="str">
        <f>Treatment!B15</f>
        <v>surgicalProcedure.surgicalProcedureNasopharynx</v>
      </c>
      <c r="C17" s="11" t="s">
        <v>1637</v>
      </c>
      <c r="E17" s="12" t="str">
        <f t="shared" si="0"/>
        <v>* surgicalProcedure.surgicalProcedureNasopharynx -&gt; ##34#TBD##34#</v>
      </c>
    </row>
    <row r="18" spans="1:5">
      <c r="A18" s="11"/>
      <c r="B18" s="11" t="str">
        <f>Treatment!B16</f>
        <v>surgicalProcedure.surgicalProcedureNasalCavityAndParanasalSinus</v>
      </c>
      <c r="C18" s="11" t="s">
        <v>1637</v>
      </c>
      <c r="E18" s="12" t="str">
        <f t="shared" si="0"/>
        <v>* surgicalProcedure.surgicalProcedureNasalCavityAndParanasalSinus -&gt; ##34#TBD##34#</v>
      </c>
    </row>
    <row r="19" spans="1:5">
      <c r="A19" s="11"/>
      <c r="B19" s="11" t="str">
        <f>Treatment!B17</f>
        <v>surgicalProcedure.surgicalProcedureSalivaryGland</v>
      </c>
      <c r="C19" s="11" t="s">
        <v>1637</v>
      </c>
      <c r="E19" s="12" t="str">
        <f t="shared" si="0"/>
        <v>* surgicalProcedure.surgicalProcedureSalivaryGland -&gt; ##34#TBD##34#</v>
      </c>
    </row>
    <row r="20" spans="1:5">
      <c r="A20" s="11"/>
      <c r="B20" s="11" t="str">
        <f>Treatment!B18</f>
        <v>surgicalProcedure.surgicalProcedureEar</v>
      </c>
      <c r="C20" s="11" t="s">
        <v>1637</v>
      </c>
      <c r="E20" s="12" t="str">
        <f t="shared" si="0"/>
        <v>* surgicalProcedure.surgicalProcedureEar -&gt; ##34#TBD##34#</v>
      </c>
    </row>
    <row r="21" spans="1:5">
      <c r="B21" s="11" t="str">
        <f>Treatment!B19</f>
        <v>surgicalProcedure.surgicalProcedureLip</v>
      </c>
      <c r="C21" s="11" t="s">
        <v>1637</v>
      </c>
      <c r="E21" s="12" t="str">
        <f t="shared" si="0"/>
        <v>* surgicalProcedure.surgicalProcedureLip -&gt; ##34#TBD##34#</v>
      </c>
    </row>
    <row r="22" spans="1:5">
      <c r="B22" s="11" t="str">
        <f>Treatment!B20</f>
        <v>surgicalProcedure.surgicalProcedureOralCavity</v>
      </c>
      <c r="C22" s="11" t="s">
        <v>1637</v>
      </c>
      <c r="E22" s="12" t="str">
        <f t="shared" si="0"/>
        <v>* surgicalProcedure.surgicalProcedureOralCavity -&gt; ##34#TBD##34#</v>
      </c>
    </row>
    <row r="23" spans="1:5">
      <c r="B23" s="11" t="str">
        <f>Treatment!B21</f>
        <v>surgicalProcedure.surgicalProcedureMandibulectomy</v>
      </c>
      <c r="C23" s="11" t="s">
        <v>1637</v>
      </c>
      <c r="E23" s="12" t="str">
        <f t="shared" si="0"/>
        <v>* surgicalProcedure.surgicalProcedureMandibulectomy -&gt; ##34#TBD##34#</v>
      </c>
    </row>
    <row r="24" spans="1:5">
      <c r="B24" s="11" t="str">
        <f>Treatment!B22</f>
        <v>surgicalProcedure.surgicalProcedureOropharynx</v>
      </c>
      <c r="C24" s="11" t="s">
        <v>1637</v>
      </c>
      <c r="E24" s="12" t="str">
        <f t="shared" si="0"/>
        <v>* surgicalProcedure.surgicalProcedureOropharynx -&gt; ##34#TBD##34#</v>
      </c>
    </row>
    <row r="25" spans="1:5">
      <c r="B25" s="11" t="str">
        <f>Treatment!B23</f>
        <v>surgicalProcedure.surgicalProcedureHypopharynx</v>
      </c>
      <c r="C25" s="11" t="s">
        <v>1637</v>
      </c>
      <c r="E25" s="12" t="str">
        <f t="shared" si="0"/>
        <v>* surgicalProcedure.surgicalProcedureHypopharynx -&gt; ##34#TBD##34#</v>
      </c>
    </row>
    <row r="26" spans="1:5">
      <c r="B26" s="11" t="str">
        <f>Treatment!B24</f>
        <v>surgicalProcedure.surgicalProcedureLarynx</v>
      </c>
      <c r="C26" s="11" t="s">
        <v>1637</v>
      </c>
      <c r="E26" s="12" t="str">
        <f t="shared" si="0"/>
        <v>* surgicalProcedure.surgicalProcedureLarynx -&gt; ##34#TBD##34#</v>
      </c>
    </row>
    <row r="27" spans="1:5">
      <c r="B27" s="11" t="str">
        <f>Treatment!B25</f>
        <v>reconstruction</v>
      </c>
      <c r="C27" s="11" t="s">
        <v>1637</v>
      </c>
      <c r="E27" s="12" t="str">
        <f t="shared" si="0"/>
        <v>* reconstruction -&gt; ##34#TBD##34#</v>
      </c>
    </row>
    <row r="28" spans="1:5">
      <c r="B28" s="11" t="str">
        <f>Treatment!B26</f>
        <v>reconstruction.flag</v>
      </c>
      <c r="C28" s="11" t="s">
        <v>1637</v>
      </c>
      <c r="E28" s="12" t="str">
        <f t="shared" si="0"/>
        <v>* reconstruction.flag -&gt; ##34#TBD##34#</v>
      </c>
    </row>
    <row r="29" spans="1:5">
      <c r="B29" s="11" t="str">
        <f>Treatment!B27</f>
        <v>reconstruction.reconstructionType</v>
      </c>
      <c r="C29" s="11" t="s">
        <v>1637</v>
      </c>
      <c r="E29" s="12" t="str">
        <f t="shared" si="0"/>
        <v>* reconstruction.reconstructionType -&gt; ##34#TBD##34#</v>
      </c>
    </row>
    <row r="30" spans="1:5">
      <c r="B30" s="11" t="str">
        <f>Treatment!B28</f>
        <v>reconstruction.firstFlapUsedForReconstruction</v>
      </c>
      <c r="C30" s="11" t="s">
        <v>1637</v>
      </c>
      <c r="E30" s="12" t="str">
        <f t="shared" si="0"/>
        <v>* reconstruction.firstFlapUsedForReconstruction -&gt; ##34#TBD##34#</v>
      </c>
    </row>
    <row r="31" spans="1:5">
      <c r="B31" s="11" t="str">
        <f>Treatment!B29</f>
        <v>reconstruction.secondFlapUsedForReconstruction</v>
      </c>
      <c r="C31" s="11" t="s">
        <v>1637</v>
      </c>
      <c r="E31" s="12" t="str">
        <f t="shared" si="0"/>
        <v>* reconstruction.secondFlapUsedForReconstruction -&gt; ##34#TBD##34#</v>
      </c>
    </row>
    <row r="32" spans="1:5">
      <c r="B32" s="11" t="str">
        <f>Treatment!B30</f>
        <v>neckSurgery</v>
      </c>
      <c r="C32" s="11" t="s">
        <v>1637</v>
      </c>
      <c r="E32" s="12" t="str">
        <f t="shared" si="0"/>
        <v>* neckSurgery -&gt; ##34#TBD##34#</v>
      </c>
    </row>
    <row r="33" spans="2:5">
      <c r="B33" s="11" t="str">
        <f>Treatment!B31</f>
        <v>dateOfNeckSurgeryIfDifferentFromDateOfTumorSiteSurgery</v>
      </c>
      <c r="C33" s="11" t="s">
        <v>1637</v>
      </c>
      <c r="E33" s="12" t="str">
        <f t="shared" si="0"/>
        <v>* dateOfNeckSurgeryIfDifferentFromDateOfTumorSiteSurgery -&gt; ##34#TBD##34#</v>
      </c>
    </row>
    <row r="34" spans="2:5">
      <c r="B34" s="11" t="str">
        <f>Treatment!B32</f>
        <v>dateOfNeckSurgeryDayUnknown</v>
      </c>
      <c r="C34" s="11" t="s">
        <v>1637</v>
      </c>
      <c r="E34" s="12" t="str">
        <f t="shared" si="0"/>
        <v>* dateOfNeckSurgeryDayUnknown -&gt; ##34#TBD##34#</v>
      </c>
    </row>
    <row r="35" spans="2:5">
      <c r="B35" s="11" t="str">
        <f>Treatment!B33</f>
        <v>nodePicking</v>
      </c>
      <c r="C35" s="11" t="s">
        <v>1637</v>
      </c>
      <c r="E35" s="12" t="str">
        <f t="shared" si="0"/>
        <v>* nodePicking -&gt; ##34#TBD##34#</v>
      </c>
    </row>
    <row r="36" spans="2:5">
      <c r="B36" s="11" t="str">
        <f>Treatment!B34</f>
        <v>neckDissection</v>
      </c>
      <c r="C36" s="11" t="s">
        <v>1637</v>
      </c>
      <c r="E36" s="12" t="str">
        <f t="shared" si="0"/>
        <v>* neckDissection -&gt; ##34#TBD##34#</v>
      </c>
    </row>
    <row r="37" spans="2:5">
      <c r="B37" s="11" t="str">
        <f>Treatment!B35</f>
        <v>lateralityOfTheDissection</v>
      </c>
      <c r="C37" s="11" t="s">
        <v>1637</v>
      </c>
      <c r="E37" s="12" t="str">
        <f t="shared" si="0"/>
        <v>* lateralityOfTheDissection -&gt; ##34#TBD##34#</v>
      </c>
    </row>
    <row r="38" spans="2:5">
      <c r="B38" s="11" t="str">
        <f>Treatment!B36</f>
        <v>surgicalProcedureRightNeck</v>
      </c>
      <c r="C38" s="11" t="s">
        <v>1637</v>
      </c>
      <c r="E38" s="12" t="str">
        <f t="shared" si="0"/>
        <v>* surgicalProcedureRightNeck -&gt; ##34#TBD##34#</v>
      </c>
    </row>
    <row r="39" spans="2:5">
      <c r="B39" s="11" t="str">
        <f>Treatment!B37</f>
        <v>surgicalProcedureRightNeckLevelsDissected</v>
      </c>
      <c r="C39" s="11" t="s">
        <v>1637</v>
      </c>
      <c r="E39" s="12" t="str">
        <f t="shared" si="0"/>
        <v>* surgicalProcedureRightNeckLevelsDissected -&gt; ##34#TBD##34#</v>
      </c>
    </row>
    <row r="40" spans="2:5">
      <c r="B40" s="11" t="str">
        <f>Treatment!B38</f>
        <v>surgicalProcedureLeftNeck</v>
      </c>
      <c r="C40" s="11" t="s">
        <v>1637</v>
      </c>
      <c r="E40" s="12" t="str">
        <f t="shared" si="0"/>
        <v>* surgicalProcedureLeftNeck -&gt; ##34#TBD##34#</v>
      </c>
    </row>
    <row r="41" spans="2:5">
      <c r="B41" s="11" t="str">
        <f>Treatment!B39</f>
        <v>surgicalProcedureLeftNeckLevelsDissected</v>
      </c>
      <c r="C41" s="11" t="s">
        <v>1637</v>
      </c>
      <c r="E41" s="12" t="str">
        <f t="shared" si="0"/>
        <v>* surgicalProcedureLeftNeckLevelsDissected -&gt; ##34#TBD##34#</v>
      </c>
    </row>
    <row r="42" spans="2:5">
      <c r="B42" s="11" t="str">
        <f>Treatment!B40</f>
        <v>surgeryOnM</v>
      </c>
      <c r="C42" s="11" t="s">
        <v>1637</v>
      </c>
      <c r="E42" s="12" t="str">
        <f t="shared" si="0"/>
        <v>* surgeryOnM -&gt; ##34#TBD##34#</v>
      </c>
    </row>
    <row r="43" spans="2:5">
      <c r="B43" s="11" t="str">
        <f>Treatment!B41</f>
        <v>siteOfSurgeryOnMetastasis</v>
      </c>
      <c r="C43" s="11" t="s">
        <v>1637</v>
      </c>
      <c r="E43" s="12" t="str">
        <f t="shared" si="0"/>
        <v>* siteOfSurgeryOnMetastasis -&gt; ##34#TBD##34#</v>
      </c>
    </row>
    <row r="44" spans="2:5">
      <c r="B44" s="11" t="str">
        <f>Treatment!B42</f>
        <v>siteOfSurgeryOnMetastasisSoftTissue</v>
      </c>
      <c r="C44" s="11" t="s">
        <v>1637</v>
      </c>
      <c r="E44" s="12" t="str">
        <f t="shared" si="0"/>
        <v>* siteOfSurgeryOnMetastasisSoftTissue -&gt; ##34#TBD##34#</v>
      </c>
    </row>
    <row r="45" spans="2:5">
      <c r="B45" s="11" t="str">
        <f>Treatment!B43</f>
        <v>siteOfSurgeryOnMetastasisDistantLymphNodes</v>
      </c>
      <c r="C45" s="11" t="s">
        <v>1637</v>
      </c>
      <c r="E45" s="12" t="str">
        <f t="shared" si="0"/>
        <v>* siteOfSurgeryOnMetastasisDistantLymphNodes -&gt; ##34#TBD##34#</v>
      </c>
    </row>
    <row r="46" spans="2:5">
      <c r="B46" s="11" t="str">
        <f>Treatment!B44</f>
        <v>siteOfSurgeryOnMetastasisLung</v>
      </c>
      <c r="C46" s="11" t="s">
        <v>1637</v>
      </c>
      <c r="E46" s="12" t="str">
        <f t="shared" si="0"/>
        <v>* siteOfSurgeryOnMetastasisLung -&gt; ##34#TBD##34#</v>
      </c>
    </row>
    <row r="47" spans="2:5">
      <c r="B47" s="11" t="str">
        <f>Treatment!B45</f>
        <v>siteOfSurgeryOnMetastasisBone</v>
      </c>
      <c r="C47" s="11" t="s">
        <v>1637</v>
      </c>
      <c r="E47" s="12" t="str">
        <f t="shared" si="0"/>
        <v>* siteOfSurgeryOnMetastasisBone -&gt; ##34#TBD##34#</v>
      </c>
    </row>
    <row r="48" spans="2:5">
      <c r="B48" s="11" t="str">
        <f>Treatment!B46</f>
        <v>siteOfSurgeryOnMetastasisLiver</v>
      </c>
      <c r="C48" s="11" t="s">
        <v>1637</v>
      </c>
      <c r="E48" s="12" t="str">
        <f t="shared" si="0"/>
        <v>* siteOfSurgeryOnMetastasisLiver -&gt; ##34#TBD##34#</v>
      </c>
    </row>
    <row r="49" spans="2:5">
      <c r="B49" s="11" t="str">
        <f>Treatment!B47</f>
        <v>siteOfSurgeryOnMetastasisPleura</v>
      </c>
      <c r="C49" s="11" t="s">
        <v>1637</v>
      </c>
      <c r="E49" s="12" t="str">
        <f t="shared" si="0"/>
        <v>* siteOfSurgeryOnMetastasisPleura -&gt; ##34#TBD##34#</v>
      </c>
    </row>
    <row r="50" spans="2:5">
      <c r="B50" s="11" t="str">
        <f>Treatment!B48</f>
        <v>siteOfSurgeryOnMetastasisPeritoneum</v>
      </c>
      <c r="C50" s="11" t="s">
        <v>1637</v>
      </c>
      <c r="E50" s="12" t="str">
        <f t="shared" si="0"/>
        <v>* siteOfSurgeryOnMetastasisPeritoneum -&gt; ##34#TBD##34#</v>
      </c>
    </row>
    <row r="51" spans="2:5">
      <c r="B51" s="11" t="str">
        <f>Treatment!B49</f>
        <v>siteOfSurgeryOnMetastasisBrain</v>
      </c>
      <c r="C51" s="11" t="s">
        <v>1637</v>
      </c>
      <c r="E51" s="12" t="str">
        <f t="shared" si="0"/>
        <v>* siteOfSurgeryOnMetastasisBrain -&gt; ##34#TBD##34#</v>
      </c>
    </row>
    <row r="52" spans="2:5">
      <c r="B52" s="11" t="str">
        <f>Treatment!B50</f>
        <v>siteOfSurgeryOnMetastasisOtherViscera</v>
      </c>
      <c r="C52" s="11" t="s">
        <v>1637</v>
      </c>
      <c r="E52" s="12" t="str">
        <f t="shared" si="0"/>
        <v>* siteOfSurgeryOnMetastasisOtherViscera -&gt; ##34#TBD##34#</v>
      </c>
    </row>
    <row r="53" spans="2:5">
      <c r="B53" s="11" t="str">
        <f>Treatment!B51</f>
        <v>siteOfSurgeryOnMetastasisUnknown</v>
      </c>
      <c r="C53" s="11" t="s">
        <v>1637</v>
      </c>
      <c r="E53" s="12" t="str">
        <f t="shared" si="0"/>
        <v>* siteOfSurgeryOnMetastasisUnknown -&gt; ##34#TBD##34#</v>
      </c>
    </row>
    <row r="54" spans="2:5">
      <c r="B54" s="11" t="str">
        <f>Treatment!B52</f>
        <v>dateOfSurgeryOnMIfDifferentFromDateOfTumorSiteSurgery</v>
      </c>
      <c r="C54" s="11" t="s">
        <v>1637</v>
      </c>
      <c r="E54" s="12" t="str">
        <f t="shared" si="0"/>
        <v>* dateOfSurgeryOnMIfDifferentFromDateOfTumorSiteSurgery -&gt; ##34#TBD##34#</v>
      </c>
    </row>
    <row r="55" spans="2:5">
      <c r="B55" s="11" t="str">
        <f>Treatment!B53</f>
        <v>surgicalComplicationsClavienDindoClassificationPleaseSelectTheWorstOne</v>
      </c>
      <c r="C55" s="11" t="s">
        <v>1637</v>
      </c>
      <c r="E55" s="12" t="str">
        <f t="shared" si="0"/>
        <v>* surgicalComplicationsClavienDindoClassificationPleaseSelectTheWorstOne -&gt; ##34#TBD##34#</v>
      </c>
    </row>
    <row r="56" spans="2:5">
      <c r="B56" s="11" t="str">
        <f>Treatment!B54</f>
        <v>surgicalComplicationsClavienDindoClassification2ComplicationsPleaseSelectThe2WorstOne</v>
      </c>
      <c r="C56" s="11" t="s">
        <v>1637</v>
      </c>
      <c r="E56" s="12" t="str">
        <f t="shared" si="0"/>
        <v>* surgicalComplicationsClavienDindoClassification2ComplicationsPleaseSelectThe2WorstOne -&gt; ##34#TBD##34#</v>
      </c>
    </row>
    <row r="57" spans="2:5">
      <c r="B57" s="11" t="str">
        <f>Treatment!B55</f>
        <v>unplannedSurgery</v>
      </c>
      <c r="C57" s="11" t="s">
        <v>1637</v>
      </c>
      <c r="E57" s="12" t="str">
        <f t="shared" si="0"/>
        <v>* unplannedSurgery -&gt; ##34#TBD##34#</v>
      </c>
    </row>
    <row r="58" spans="2:5">
      <c r="B58" s="11" t="str">
        <f>Treatment!B56</f>
        <v>dateOfUnplannedSurgery</v>
      </c>
      <c r="C58" s="11" t="s">
        <v>1637</v>
      </c>
      <c r="E58" s="12" t="str">
        <f t="shared" si="0"/>
        <v>* dateOfUnplannedSurgery -&gt; ##34#TBD##34#</v>
      </c>
    </row>
    <row r="59" spans="2:5">
      <c r="B59" s="11" t="str">
        <f>Treatment!B57</f>
        <v>marginsAfterUnplannedSurgery</v>
      </c>
      <c r="C59" s="11" t="s">
        <v>1637</v>
      </c>
      <c r="E59" s="12" t="str">
        <f t="shared" si="0"/>
        <v>* marginsAfterUnplannedSurgery -&gt; ##34#TBD##34#</v>
      </c>
    </row>
    <row r="60" spans="2:5">
      <c r="B60" s="11" t="str">
        <f>Treatment!B58</f>
        <v>unplannedNeckSurgery</v>
      </c>
      <c r="C60" s="11" t="s">
        <v>1637</v>
      </c>
      <c r="E60" s="12" t="str">
        <f t="shared" si="0"/>
        <v>* unplannedNeckSurgery -&gt; ##34#TBD##34#</v>
      </c>
    </row>
    <row r="61" spans="2:5">
      <c r="B61" s="11" t="str">
        <f>Treatment!B59</f>
        <v>systemicTreament</v>
      </c>
      <c r="C61" s="11" t="s">
        <v>1637</v>
      </c>
      <c r="E61" s="12" t="str">
        <f t="shared" si="0"/>
        <v>* systemicTreament -&gt; ##34#TBD##34#</v>
      </c>
    </row>
    <row r="62" spans="2:5">
      <c r="B62" s="11" t="str">
        <f>Treatment!B60</f>
        <v>systemicTreatmentPerformed</v>
      </c>
      <c r="C62" s="11" t="s">
        <v>1637</v>
      </c>
      <c r="E62" s="12" t="str">
        <f t="shared" si="0"/>
        <v>* systemicTreatmentPerformed -&gt; ##34#TBD##34#</v>
      </c>
    </row>
    <row r="63" spans="2:5">
      <c r="B63" s="11" t="str">
        <f>Treatment!B61</f>
        <v>chooseTheSingleTreatment</v>
      </c>
      <c r="C63" s="11" t="s">
        <v>1637</v>
      </c>
      <c r="E63" s="12" t="str">
        <f t="shared" si="0"/>
        <v>* chooseTheSingleTreatment -&gt; ##34#TBD##34#</v>
      </c>
    </row>
    <row r="64" spans="2:5">
      <c r="B64" s="11" t="str">
        <f>Treatment!B62</f>
        <v>intent</v>
      </c>
      <c r="C64" s="11" t="s">
        <v>1637</v>
      </c>
      <c r="E64" s="12" t="str">
        <f t="shared" si="0"/>
        <v>* intent -&gt; ##34#TBD##34#</v>
      </c>
    </row>
    <row r="65" spans="2:5">
      <c r="B65" s="11" t="str">
        <f>Treatment!B63</f>
        <v>setting</v>
      </c>
      <c r="C65" s="11" t="s">
        <v>1637</v>
      </c>
      <c r="E65" s="12" t="str">
        <f t="shared" si="0"/>
        <v>* setting -&gt; ##34#TBD##34#</v>
      </c>
    </row>
    <row r="66" spans="2:5">
      <c r="B66" s="11" t="str">
        <f>Treatment!B64</f>
        <v>startDateSystemicTreatment</v>
      </c>
      <c r="C66" s="11" t="s">
        <v>1637</v>
      </c>
      <c r="E66" s="12" t="str">
        <f t="shared" si="0"/>
        <v>* startDateSystemicTreatment -&gt; ##34#TBD##34#</v>
      </c>
    </row>
    <row r="67" spans="2:5">
      <c r="B67" s="11" t="str">
        <f>Treatment!B65</f>
        <v>startDateSystemicTreatmentDayUnknown</v>
      </c>
      <c r="C67" s="11" t="s">
        <v>1637</v>
      </c>
      <c r="E67" s="12" t="str">
        <f t="shared" si="0"/>
        <v>* startDateSystemicTreatmentDayUnknown -&gt; ##34#TBD##34#</v>
      </c>
    </row>
    <row r="68" spans="2:5">
      <c r="B68" s="11" t="str">
        <f>Treatment!B66</f>
        <v>endDateSystemicTreatment</v>
      </c>
      <c r="C68" s="11" t="s">
        <v>1637</v>
      </c>
      <c r="E68" s="12" t="str">
        <f t="shared" si="0"/>
        <v>* endDateSystemicTreatment -&gt; ##34#TBD##34#</v>
      </c>
    </row>
    <row r="69" spans="2:5">
      <c r="B69" s="11" t="str">
        <f>Treatment!B67</f>
        <v>endDateSystemicTreatmentDayUnknown</v>
      </c>
      <c r="C69" s="11" t="s">
        <v>1637</v>
      </c>
      <c r="E69" s="12" t="str">
        <f t="shared" si="0"/>
        <v>* endDateSystemicTreatmentDayUnknown -&gt; ##34#TBD##34#</v>
      </c>
    </row>
    <row r="70" spans="2:5">
      <c r="B70" s="11" t="str">
        <f>Treatment!B68</f>
        <v>numberOfCyclesAdministrations</v>
      </c>
      <c r="C70" s="11" t="s">
        <v>1637</v>
      </c>
      <c r="E70" s="12" t="str">
        <f t="shared" si="0"/>
        <v>* numberOfCyclesAdministrations -&gt; ##34#TBD##34#</v>
      </c>
    </row>
    <row r="71" spans="2:5">
      <c r="B71" s="11" t="str">
        <f>Treatment!B69</f>
        <v>regimen</v>
      </c>
      <c r="C71" s="11" t="s">
        <v>1637</v>
      </c>
      <c r="E71" s="12" t="str">
        <f t="shared" si="0"/>
        <v>* regimen -&gt; ##34#TBD##34#</v>
      </c>
    </row>
    <row r="72" spans="2:5">
      <c r="B72" s="11" t="str">
        <f>Treatment!B70</f>
        <v>drugs1</v>
      </c>
      <c r="C72" s="11" t="s">
        <v>1637</v>
      </c>
      <c r="E72" s="12" t="str">
        <f t="shared" si="0"/>
        <v>* drugs1 -&gt; ##34#TBD##34#</v>
      </c>
    </row>
    <row r="73" spans="2:5">
      <c r="B73" s="11" t="str">
        <f>Treatment!B71</f>
        <v>drugs2</v>
      </c>
      <c r="C73" s="11" t="s">
        <v>1637</v>
      </c>
      <c r="E73" s="12" t="str">
        <f t="shared" si="0"/>
        <v>* drugs2 -&gt; ##34#TBD##34#</v>
      </c>
    </row>
    <row r="74" spans="2:5">
      <c r="B74" s="11" t="str">
        <f>Treatment!B72</f>
        <v>drugs3</v>
      </c>
      <c r="C74" s="11" t="s">
        <v>1637</v>
      </c>
      <c r="E74" s="12" t="str">
        <f t="shared" ref="E74:E137" si="1">IF(B74=0,"*  -&gt; ##34###34#",CONCATENATE("* ",B74," -&gt; ##34#",C74,"##34#"))</f>
        <v>* drugs3 -&gt; ##34#TBD##34#</v>
      </c>
    </row>
    <row r="75" spans="2:5">
      <c r="B75" s="11" t="str">
        <f>Treatment!B73</f>
        <v>plasmaticEbvDnaDuringSystemicTreatment</v>
      </c>
      <c r="C75" s="11" t="s">
        <v>1637</v>
      </c>
      <c r="E75" s="12" t="str">
        <f t="shared" si="1"/>
        <v>* plasmaticEbvDnaDuringSystemicTreatment -&gt; ##34#TBD##34#</v>
      </c>
    </row>
    <row r="76" spans="2:5">
      <c r="B76" s="11" t="str">
        <f>Treatment!B74</f>
        <v>primerType</v>
      </c>
      <c r="C76" s="11" t="s">
        <v>1637</v>
      </c>
      <c r="E76" s="12" t="str">
        <f t="shared" si="1"/>
        <v>* primerType -&gt; ##34#TBD##34#</v>
      </c>
    </row>
    <row r="77" spans="2:5">
      <c r="B77" s="11" t="str">
        <f>Treatment!B75</f>
        <v>copyNumber</v>
      </c>
      <c r="C77" s="11" t="s">
        <v>1637</v>
      </c>
      <c r="E77" s="12" t="str">
        <f t="shared" si="1"/>
        <v>* copyNumber -&gt; ##34#TBD##34#</v>
      </c>
    </row>
    <row r="78" spans="2:5">
      <c r="B78" s="11" t="str">
        <f>Treatment!B76</f>
        <v>plasmaticEbvDnaAfterSystemicTreatment</v>
      </c>
      <c r="C78" s="11" t="s">
        <v>1637</v>
      </c>
      <c r="E78" s="12" t="str">
        <f t="shared" si="1"/>
        <v>* plasmaticEbvDnaAfterSystemicTreatment -&gt; ##34#TBD##34#</v>
      </c>
    </row>
    <row r="79" spans="2:5">
      <c r="B79" s="11" t="str">
        <f>Treatment!B77</f>
        <v>afterTreatment-primerType</v>
      </c>
      <c r="C79" s="11" t="s">
        <v>1637</v>
      </c>
      <c r="E79" s="12" t="str">
        <f t="shared" si="1"/>
        <v>* afterTreatment-primerType -&gt; ##34#TBD##34#</v>
      </c>
    </row>
    <row r="80" spans="2:5">
      <c r="B80" s="11" t="str">
        <f>Treatment!B78</f>
        <v>copyNumber</v>
      </c>
      <c r="C80" s="11" t="s">
        <v>1637</v>
      </c>
      <c r="E80" s="12" t="str">
        <f t="shared" si="1"/>
        <v>* copyNumber -&gt; ##34#TBD##34#</v>
      </c>
    </row>
    <row r="81" spans="2:5">
      <c r="B81" s="11" t="str">
        <f>Treatment!B79</f>
        <v>reasonForEndOfTreatment</v>
      </c>
      <c r="C81" s="11" t="s">
        <v>1637</v>
      </c>
      <c r="E81" s="12" t="str">
        <f t="shared" si="1"/>
        <v>* reasonForEndOfTreatment -&gt; ##34#TBD##34#</v>
      </c>
    </row>
    <row r="82" spans="2:5">
      <c r="B82" s="11" t="str">
        <f>Treatment!B80</f>
        <v>regimenChanged</v>
      </c>
      <c r="C82" s="11" t="s">
        <v>1637</v>
      </c>
      <c r="E82" s="12" t="str">
        <f t="shared" si="1"/>
        <v>* regimenChanged -&gt; ##34#TBD##34#</v>
      </c>
    </row>
    <row r="83" spans="2:5">
      <c r="B83" s="11" t="str">
        <f>Treatment!B81</f>
        <v>regimenChanged-regimen</v>
      </c>
      <c r="C83" s="11" t="s">
        <v>1637</v>
      </c>
      <c r="E83" s="12" t="str">
        <f t="shared" si="1"/>
        <v>* regimenChanged-regimen -&gt; ##34#TBD##34#</v>
      </c>
    </row>
    <row r="84" spans="2:5">
      <c r="B84" s="11" t="str">
        <f>Treatment!B82</f>
        <v>regimenChanged-otherDrug1</v>
      </c>
      <c r="C84" s="11" t="s">
        <v>1637</v>
      </c>
      <c r="E84" s="12" t="str">
        <f t="shared" si="1"/>
        <v>* regimenChanged-otherDrug1 -&gt; ##34#TBD##34#</v>
      </c>
    </row>
    <row r="85" spans="2:5">
      <c r="B85" s="11" t="str">
        <f>Treatment!B83</f>
        <v>regimenChanged-otherDrug2</v>
      </c>
      <c r="C85" s="11" t="s">
        <v>1637</v>
      </c>
      <c r="E85" s="12" t="str">
        <f t="shared" si="1"/>
        <v>* regimenChanged-otherDrug2 -&gt; ##34#TBD##34#</v>
      </c>
    </row>
    <row r="86" spans="2:5">
      <c r="B86" s="11" t="str">
        <f>Treatment!B84</f>
        <v>regimenChanged-otherDrug3</v>
      </c>
      <c r="C86" s="11" t="s">
        <v>1637</v>
      </c>
      <c r="E86" s="12" t="str">
        <f t="shared" si="1"/>
        <v>* regimenChanged-otherDrug3 -&gt; ##34#TBD##34#</v>
      </c>
    </row>
    <row r="87" spans="2:5">
      <c r="B87" s="11" t="str">
        <f>Treatment!B85</f>
        <v>startDateRegimenChanged</v>
      </c>
      <c r="C87" s="11" t="s">
        <v>1637</v>
      </c>
      <c r="E87" s="12" t="str">
        <f t="shared" si="1"/>
        <v>* startDateRegimenChanged -&gt; ##34#TBD##34#</v>
      </c>
    </row>
    <row r="88" spans="2:5">
      <c r="B88" s="11" t="str">
        <f>Treatment!B86</f>
        <v>startDateRegimenChangedDayUnknown</v>
      </c>
      <c r="C88" s="11" t="s">
        <v>1637</v>
      </c>
      <c r="E88" s="12" t="str">
        <f t="shared" si="1"/>
        <v>* startDateRegimenChangedDayUnknown -&gt; ##34#TBD##34#</v>
      </c>
    </row>
    <row r="89" spans="2:5">
      <c r="B89" s="11" t="str">
        <f>Treatment!B87</f>
        <v>endDateRegimenChanged</v>
      </c>
      <c r="C89" s="11" t="s">
        <v>1637</v>
      </c>
      <c r="E89" s="12" t="str">
        <f t="shared" si="1"/>
        <v>* endDateRegimenChanged -&gt; ##34#TBD##34#</v>
      </c>
    </row>
    <row r="90" spans="2:5">
      <c r="B90" s="11" t="str">
        <f>Treatment!B88</f>
        <v>endDateRegimenChangedDayUnknown</v>
      </c>
      <c r="C90" s="11" t="s">
        <v>1637</v>
      </c>
      <c r="E90" s="12" t="str">
        <f t="shared" si="1"/>
        <v>* endDateRegimenChangedDayUnknown -&gt; ##34#TBD##34#</v>
      </c>
    </row>
    <row r="91" spans="2:5">
      <c r="B91" s="11" t="str">
        <f>Treatment!B89</f>
        <v>regimenChanged-reasonForEndOfTreatment</v>
      </c>
      <c r="C91" s="11" t="s">
        <v>1637</v>
      </c>
      <c r="E91" s="12" t="str">
        <f t="shared" si="1"/>
        <v>* regimenChanged-reasonForEndOfTreatment -&gt; ##34#TBD##34#</v>
      </c>
    </row>
    <row r="92" spans="2:5">
      <c r="B92" s="11" t="str">
        <f>Treatment!B90</f>
        <v>treatmentResponseBasedOnImagingAloneNoRecistOrOtherCriteria</v>
      </c>
      <c r="C92" s="11" t="s">
        <v>1637</v>
      </c>
      <c r="E92" s="12" t="str">
        <f t="shared" si="1"/>
        <v>* treatmentResponseBasedOnImagingAloneNoRecistOrOtherCriteria -&gt; ##34#TBD##34#</v>
      </c>
    </row>
    <row r="93" spans="2:5">
      <c r="B93" s="11" t="str">
        <f>Treatment!B91</f>
        <v>treatmentResponseDefinedDone</v>
      </c>
      <c r="C93" s="11" t="s">
        <v>1637</v>
      </c>
      <c r="E93" s="12" t="str">
        <f t="shared" si="1"/>
        <v>* treatmentResponseDefinedDone -&gt; ##34#TBD##34#</v>
      </c>
    </row>
    <row r="94" spans="2:5">
      <c r="B94" s="11" t="str">
        <f>Treatment!B92</f>
        <v>systemicTreatment2</v>
      </c>
      <c r="C94" s="11" t="s">
        <v>1637</v>
      </c>
      <c r="E94" s="12" t="str">
        <f t="shared" si="1"/>
        <v>* systemicTreatment2 -&gt; ##34#TBD##34#</v>
      </c>
    </row>
    <row r="95" spans="2:5">
      <c r="B95" s="11" t="str">
        <f>Treatment!B93</f>
        <v>radiotherapy</v>
      </c>
      <c r="C95" s="11" t="s">
        <v>1637</v>
      </c>
      <c r="E95" s="12" t="str">
        <f t="shared" si="1"/>
        <v>* radiotherapy -&gt; ##34#TBD##34#</v>
      </c>
    </row>
    <row r="96" spans="2:5">
      <c r="B96" s="11" t="str">
        <f>Treatment!B94</f>
        <v>radiotherapywhere</v>
      </c>
      <c r="C96" s="11" t="s">
        <v>1637</v>
      </c>
      <c r="E96" s="12" t="str">
        <f t="shared" si="1"/>
        <v>* radiotherapywhere -&gt; ##34#TBD##34#</v>
      </c>
    </row>
    <row r="97" spans="2:5">
      <c r="B97" s="11" t="str">
        <f>Treatment!B95</f>
        <v>intent</v>
      </c>
      <c r="C97" s="11" t="s">
        <v>1637</v>
      </c>
      <c r="E97" s="12" t="str">
        <f t="shared" si="1"/>
        <v>* intent -&gt; ##34#TBD##34#</v>
      </c>
    </row>
    <row r="98" spans="2:5">
      <c r="B98" s="11" t="str">
        <f>Treatment!B96</f>
        <v>setting-2</v>
      </c>
      <c r="C98" s="11" t="s">
        <v>1637</v>
      </c>
      <c r="E98" s="12" t="str">
        <f t="shared" si="1"/>
        <v>* setting-2 -&gt; ##34#TBD##34#</v>
      </c>
    </row>
    <row r="99" spans="2:5">
      <c r="B99" s="11" t="str">
        <f>Treatment!B97</f>
        <v>postoperativeRadiotherapyIndications</v>
      </c>
      <c r="C99" s="11" t="s">
        <v>1637</v>
      </c>
      <c r="E99" s="12" t="str">
        <f t="shared" si="1"/>
        <v>* postoperativeRadiotherapyIndications -&gt; ##34#TBD##34#</v>
      </c>
    </row>
    <row r="100" spans="2:5">
      <c r="B100" s="11" t="str">
        <f>Treatment!B98</f>
        <v>beamQuality</v>
      </c>
      <c r="C100" s="11" t="s">
        <v>1637</v>
      </c>
      <c r="E100" s="12" t="str">
        <f t="shared" si="1"/>
        <v>* beamQuality -&gt; ##34#TBD##34#</v>
      </c>
    </row>
    <row r="101" spans="2:5">
      <c r="B101" s="11" t="str">
        <f>Treatment!B99</f>
        <v>beamQuality-otherSpecify</v>
      </c>
      <c r="C101" s="11" t="s">
        <v>1637</v>
      </c>
      <c r="E101" s="12" t="str">
        <f t="shared" si="1"/>
        <v>* beamQuality-otherSpecify -&gt; ##34#TBD##34#</v>
      </c>
    </row>
    <row r="102" spans="2:5">
      <c r="B102" s="11" t="str">
        <f>Treatment!B100</f>
        <v>treatmentTechnique</v>
      </c>
      <c r="C102" s="11" t="s">
        <v>1637</v>
      </c>
      <c r="E102" s="12" t="str">
        <f t="shared" si="1"/>
        <v>* treatmentTechnique -&gt; ##34#TBD##34#</v>
      </c>
    </row>
    <row r="103" spans="2:5">
      <c r="B103" s="11" t="str">
        <f>Treatment!B101</f>
        <v>treatmentTechnique-otherSpecify</v>
      </c>
      <c r="C103" s="11" t="s">
        <v>1637</v>
      </c>
      <c r="E103" s="12" t="str">
        <f t="shared" si="1"/>
        <v>* treatmentTechnique-otherSpecify -&gt; ##34#TBD##34#</v>
      </c>
    </row>
    <row r="104" spans="2:5">
      <c r="B104" s="11" t="str">
        <f>Treatment!B102</f>
        <v>boostType</v>
      </c>
      <c r="C104" s="11" t="s">
        <v>1637</v>
      </c>
      <c r="E104" s="12" t="str">
        <f t="shared" si="1"/>
        <v>* boostType -&gt; ##34#TBD##34#</v>
      </c>
    </row>
    <row r="105" spans="2:5">
      <c r="B105" s="11" t="str">
        <f>Treatment!B103</f>
        <v>treatmentPlan</v>
      </c>
      <c r="C105" s="11" t="s">
        <v>1637</v>
      </c>
      <c r="E105" s="12" t="str">
        <f t="shared" si="1"/>
        <v>* treatmentPlan -&gt; ##34#TBD##34#</v>
      </c>
    </row>
    <row r="106" spans="2:5">
      <c r="B106" s="11" t="str">
        <f>Treatment!B104</f>
        <v>totalDoseTdGy</v>
      </c>
      <c r="C106" s="11" t="s">
        <v>1637</v>
      </c>
      <c r="E106" s="12" t="str">
        <f t="shared" si="1"/>
        <v>* totalDoseTdGy -&gt; ##34#TBD##34#</v>
      </c>
    </row>
    <row r="107" spans="2:5">
      <c r="B107" s="11" t="str">
        <f>Treatment!B105</f>
        <v>fractionSizeFs</v>
      </c>
      <c r="C107" s="11" t="s">
        <v>1637</v>
      </c>
      <c r="E107" s="12" t="str">
        <f t="shared" si="1"/>
        <v>* fractionSizeFs -&gt; ##34#TBD##34#</v>
      </c>
    </row>
    <row r="108" spans="2:5">
      <c r="B108" s="11" t="str">
        <f>Treatment!B106</f>
        <v>numberOfFractions</v>
      </c>
      <c r="C108" s="11" t="s">
        <v>1637</v>
      </c>
      <c r="E108" s="12" t="str">
        <f t="shared" si="1"/>
        <v>* numberOfFractions -&gt; ##34#TBD##34#</v>
      </c>
    </row>
    <row r="109" spans="2:5">
      <c r="B109" s="11" t="str">
        <f>Treatment!B107</f>
        <v>totalHighDoseGy</v>
      </c>
      <c r="C109" s="11" t="s">
        <v>1637</v>
      </c>
      <c r="E109" s="12" t="str">
        <f t="shared" si="1"/>
        <v>* totalHighDoseGy -&gt; ##34#TBD##34#</v>
      </c>
    </row>
    <row r="110" spans="2:5">
      <c r="B110" s="11" t="str">
        <f>Treatment!B108</f>
        <v>totalHighDoseFraction</v>
      </c>
      <c r="C110" s="11" t="s">
        <v>1637</v>
      </c>
      <c r="E110" s="12" t="str">
        <f t="shared" si="1"/>
        <v>* totalHighDoseFraction -&gt; ##34#TBD##34#</v>
      </c>
    </row>
    <row r="111" spans="2:5">
      <c r="B111" s="11" t="str">
        <f>Treatment!B109</f>
        <v>totalIntermediateDoseGy</v>
      </c>
      <c r="C111" s="11" t="s">
        <v>1637</v>
      </c>
      <c r="E111" s="12" t="str">
        <f t="shared" si="1"/>
        <v>* totalIntermediateDoseGy -&gt; ##34#TBD##34#</v>
      </c>
    </row>
    <row r="112" spans="2:5">
      <c r="B112" s="11" t="str">
        <f>Treatment!B110</f>
        <v>totalIntermediateDoseFraction</v>
      </c>
      <c r="C112" s="11" t="s">
        <v>1637</v>
      </c>
      <c r="E112" s="12" t="str">
        <f t="shared" si="1"/>
        <v>* totalIntermediateDoseFraction -&gt; ##34#TBD##34#</v>
      </c>
    </row>
    <row r="113" spans="2:5">
      <c r="B113" s="11" t="str">
        <f>Treatment!B111</f>
        <v>totalLowDoseGy</v>
      </c>
      <c r="C113" s="11" t="s">
        <v>1637</v>
      </c>
      <c r="E113" s="12" t="str">
        <f t="shared" si="1"/>
        <v>* totalLowDoseGy -&gt; ##34#TBD##34#</v>
      </c>
    </row>
    <row r="114" spans="2:5">
      <c r="B114" s="11" t="str">
        <f>Treatment!B112</f>
        <v>totalLowDoseFraction</v>
      </c>
      <c r="C114" s="11" t="s">
        <v>1637</v>
      </c>
      <c r="E114" s="12" t="str">
        <f t="shared" si="1"/>
        <v>* totalLowDoseFraction -&gt; ##34#TBD##34#</v>
      </c>
    </row>
    <row r="115" spans="2:5">
      <c r="B115" s="11" t="str">
        <f>Treatment!B113</f>
        <v>fractionationPattern</v>
      </c>
      <c r="C115" s="11" t="s">
        <v>1637</v>
      </c>
      <c r="E115" s="12" t="str">
        <f t="shared" si="1"/>
        <v>* fractionationPattern -&gt; ##34#TBD##34#</v>
      </c>
    </row>
    <row r="116" spans="2:5">
      <c r="B116" s="11" t="str">
        <f>Treatment!B114</f>
        <v>alteredFractionationScheme</v>
      </c>
      <c r="C116" s="11" t="s">
        <v>1637</v>
      </c>
      <c r="E116" s="12" t="str">
        <f t="shared" si="1"/>
        <v>* alteredFractionationScheme -&gt; ##34#TBD##34#</v>
      </c>
    </row>
    <row r="117" spans="2:5">
      <c r="B117" s="11" t="str">
        <f>Treatment!B115</f>
        <v>adaptiveRt</v>
      </c>
      <c r="C117" s="11" t="s">
        <v>1637</v>
      </c>
      <c r="E117" s="12" t="str">
        <f t="shared" si="1"/>
        <v>* adaptiveRt -&gt; ##34#TBD##34#</v>
      </c>
    </row>
    <row r="118" spans="2:5">
      <c r="B118" s="11" t="str">
        <f>Treatment!B116</f>
        <v>igrtImageGuideRadiotherapy</v>
      </c>
      <c r="C118" s="11" t="s">
        <v>1637</v>
      </c>
      <c r="E118" s="12" t="str">
        <f t="shared" si="1"/>
        <v>* igrtImageGuideRadiotherapy -&gt; ##34#TBD##34#</v>
      </c>
    </row>
    <row r="119" spans="2:5">
      <c r="B119" s="11" t="str">
        <f>Treatment!B117</f>
        <v>secondBeamQuality</v>
      </c>
      <c r="C119" s="11" t="s">
        <v>1637</v>
      </c>
      <c r="E119" s="12" t="str">
        <f t="shared" si="1"/>
        <v>* secondBeamQuality -&gt; ##34#TBD##34#</v>
      </c>
    </row>
    <row r="120" spans="2:5">
      <c r="B120" s="11" t="str">
        <f>Treatment!B118</f>
        <v>otherSpecify2</v>
      </c>
      <c r="C120" s="11" t="s">
        <v>1637</v>
      </c>
      <c r="E120" s="12" t="str">
        <f t="shared" si="1"/>
        <v>* otherSpecify2 -&gt; ##34#TBD##34#</v>
      </c>
    </row>
    <row r="121" spans="2:5">
      <c r="B121" s="11" t="str">
        <f>Treatment!B119</f>
        <v>treatmentTechnique2</v>
      </c>
      <c r="C121" s="11" t="s">
        <v>1637</v>
      </c>
      <c r="E121" s="12" t="str">
        <f t="shared" si="1"/>
        <v>* treatmentTechnique2 -&gt; ##34#TBD##34#</v>
      </c>
    </row>
    <row r="122" spans="2:5">
      <c r="B122" s="11" t="str">
        <f>Treatment!B120</f>
        <v>treatmentTechnique2OtherSpecify</v>
      </c>
      <c r="C122" s="11" t="s">
        <v>1637</v>
      </c>
      <c r="E122" s="12" t="str">
        <f t="shared" si="1"/>
        <v>* treatmentTechnique2OtherSpecify -&gt; ##34#TBD##34#</v>
      </c>
    </row>
    <row r="123" spans="2:5">
      <c r="B123" s="11" t="str">
        <f>Treatment!B121</f>
        <v>startDate</v>
      </c>
      <c r="C123" s="11" t="s">
        <v>1637</v>
      </c>
      <c r="E123" s="12" t="str">
        <f t="shared" si="1"/>
        <v>* startDate -&gt; ##34#TBD##34#</v>
      </c>
    </row>
    <row r="124" spans="2:5">
      <c r="B124" s="11" t="str">
        <f>Treatment!B122</f>
        <v>startDateRadiotherapyDayUnknown</v>
      </c>
      <c r="C124" s="11" t="s">
        <v>1637</v>
      </c>
      <c r="E124" s="12" t="str">
        <f t="shared" si="1"/>
        <v>* startDateRadiotherapyDayUnknown -&gt; ##34#TBD##34#</v>
      </c>
    </row>
    <row r="125" spans="2:5">
      <c r="B125" s="11" t="str">
        <f>Treatment!B123</f>
        <v>endDate</v>
      </c>
      <c r="C125" s="11" t="s">
        <v>1637</v>
      </c>
      <c r="E125" s="12" t="str">
        <f t="shared" si="1"/>
        <v>* endDate -&gt; ##34#TBD##34#</v>
      </c>
    </row>
    <row r="126" spans="2:5">
      <c r="B126" s="11" t="str">
        <f>Treatment!B124</f>
        <v>endDateRadiotherapyDayUnknown</v>
      </c>
      <c r="C126" s="11" t="s">
        <v>1637</v>
      </c>
      <c r="E126" s="12" t="str">
        <f t="shared" si="1"/>
        <v>* endDateRadiotherapyDayUnknown -&gt; ##34#TBD##34#</v>
      </c>
    </row>
    <row r="127" spans="2:5">
      <c r="B127" s="11" t="str">
        <f>Treatment!B125</f>
        <v>treatmentInterruption2DaysNotIncludingIntendedBreaks</v>
      </c>
      <c r="C127" s="11" t="s">
        <v>1637</v>
      </c>
      <c r="E127" s="12" t="str">
        <f t="shared" si="1"/>
        <v>* treatmentInterruption2DaysNotIncludingIntendedBreaks -&gt; ##34#TBD##34#</v>
      </c>
    </row>
    <row r="128" spans="2:5">
      <c r="B128" s="11" t="str">
        <f>Treatment!B126</f>
        <v>treatmentDaysMissed</v>
      </c>
      <c r="C128" s="11" t="s">
        <v>1637</v>
      </c>
      <c r="E128" s="12" t="str">
        <f t="shared" si="1"/>
        <v>* treatmentDaysMissed -&gt; ##34#TBD##34#</v>
      </c>
    </row>
    <row r="129" spans="2:5">
      <c r="B129" s="11" t="str">
        <f>Treatment!B127</f>
        <v>overallTreatmentTimeOtt</v>
      </c>
      <c r="C129" s="11" t="s">
        <v>1637</v>
      </c>
      <c r="E129" s="12" t="str">
        <f t="shared" si="1"/>
        <v>* overallTreatmentTimeOtt -&gt; ##34#TBD##34#</v>
      </c>
    </row>
    <row r="130" spans="2:5">
      <c r="B130" s="11" t="str">
        <f>Treatment!B128</f>
        <v>overallTreatmentTimeOttManualInDays</v>
      </c>
      <c r="C130" s="11" t="s">
        <v>1637</v>
      </c>
      <c r="E130" s="12" t="str">
        <f t="shared" si="1"/>
        <v>* overallTreatmentTimeOttManualInDays -&gt; ##34#TBD##34#</v>
      </c>
    </row>
    <row r="131" spans="2:5">
      <c r="B131" s="11" t="str">
        <f>Treatment!B129</f>
        <v>treatmentSites</v>
      </c>
      <c r="C131" s="11" t="s">
        <v>1637</v>
      </c>
      <c r="E131" s="12" t="str">
        <f t="shared" si="1"/>
        <v>* treatmentSites -&gt; ##34#TBD##34#</v>
      </c>
    </row>
    <row r="132" spans="2:5">
      <c r="B132" s="11" t="str">
        <f>Treatment!B130</f>
        <v>primary</v>
      </c>
      <c r="C132" s="11" t="s">
        <v>1637</v>
      </c>
      <c r="E132" s="12" t="str">
        <f t="shared" si="1"/>
        <v>* primary -&gt; ##34#TBD##34#</v>
      </c>
    </row>
    <row r="133" spans="2:5">
      <c r="B133" s="11" t="str">
        <f>Treatment!B131</f>
        <v>neck</v>
      </c>
      <c r="C133" s="11" t="s">
        <v>1637</v>
      </c>
      <c r="E133" s="12" t="str">
        <f t="shared" si="1"/>
        <v>* neck -&gt; ##34#TBD##34#</v>
      </c>
    </row>
    <row r="134" spans="2:5">
      <c r="B134" s="11" t="str">
        <f>Treatment!B132</f>
        <v>primaryAndIpsilateralNeck</v>
      </c>
      <c r="C134" s="11" t="s">
        <v>1637</v>
      </c>
      <c r="E134" s="12" t="str">
        <f t="shared" si="1"/>
        <v>* primaryAndIpsilateralNeck -&gt; ##34#TBD##34#</v>
      </c>
    </row>
    <row r="135" spans="2:5">
      <c r="B135" s="11" t="str">
        <f>Treatment!B133</f>
        <v>primaryAndBilateralNeck</v>
      </c>
      <c r="C135" s="11" t="s">
        <v>1637</v>
      </c>
      <c r="E135" s="12" t="str">
        <f t="shared" si="1"/>
        <v>* primaryAndBilateralNeck -&gt; ##34#TBD##34#</v>
      </c>
    </row>
    <row r="136" spans="2:5">
      <c r="B136" s="11" t="str">
        <f>Treatment!B134</f>
        <v>distantMetastasis</v>
      </c>
      <c r="C136" s="11" t="s">
        <v>1637</v>
      </c>
      <c r="E136" s="12" t="str">
        <f t="shared" si="1"/>
        <v>* distantMetastasis -&gt; ##34#TBD##34#</v>
      </c>
    </row>
    <row r="137" spans="2:5">
      <c r="B137" s="11" t="str">
        <f>Treatment!B135</f>
        <v>metastaticTreatmentSites</v>
      </c>
      <c r="C137" s="11" t="s">
        <v>1637</v>
      </c>
      <c r="E137" s="12" t="str">
        <f t="shared" si="1"/>
        <v>* metastaticTreatmentSites -&gt; ##34#TBD##34#</v>
      </c>
    </row>
    <row r="138" spans="2:5" ht="29.5">
      <c r="B138" s="11" t="str">
        <f>Treatment!B136</f>
        <v xml:space="preserve">lung
</v>
      </c>
      <c r="C138" s="11" t="s">
        <v>1637</v>
      </c>
      <c r="E138" s="12" t="str">
        <f t="shared" ref="E138:E177" si="2">IF(B138=0,"*  -&gt; ##34###34#",CONCATENATE("* ",B138," -&gt; ##34#",C138,"##34#"))</f>
        <v>* lung
 -&gt; ##34#TBD##34#</v>
      </c>
    </row>
    <row r="139" spans="2:5" ht="29.5">
      <c r="B139" s="11" t="str">
        <f>Treatment!B137</f>
        <v xml:space="preserve">mediastinum
</v>
      </c>
      <c r="C139" s="11" t="s">
        <v>1637</v>
      </c>
      <c r="E139" s="12" t="str">
        <f t="shared" si="2"/>
        <v>* mediastinum
 -&gt; ##34#TBD##34#</v>
      </c>
    </row>
    <row r="140" spans="2:5" ht="29.5">
      <c r="B140" s="11" t="str">
        <f>Treatment!B138</f>
        <v xml:space="preserve">bone
</v>
      </c>
      <c r="C140" s="11" t="s">
        <v>1637</v>
      </c>
      <c r="E140" s="12" t="str">
        <f t="shared" si="2"/>
        <v>* bone
 -&gt; ##34#TBD##34#</v>
      </c>
    </row>
    <row r="141" spans="2:5" ht="29.5">
      <c r="B141" s="11" t="str">
        <f>Treatment!B139</f>
        <v xml:space="preserve">softTissue
</v>
      </c>
      <c r="C141" s="11" t="s">
        <v>1637</v>
      </c>
      <c r="E141" s="12" t="str">
        <f t="shared" si="2"/>
        <v>* softTissue
 -&gt; ##34#TBD##34#</v>
      </c>
    </row>
    <row r="142" spans="2:5" ht="29.5">
      <c r="B142" s="11" t="str">
        <f>Treatment!B140</f>
        <v xml:space="preserve">liver
</v>
      </c>
      <c r="C142" s="11" t="s">
        <v>1637</v>
      </c>
      <c r="E142" s="12" t="str">
        <f t="shared" si="2"/>
        <v>* liver
 -&gt; ##34#TBD##34#</v>
      </c>
    </row>
    <row r="143" spans="2:5">
      <c r="B143" s="11" t="str">
        <f>Treatment!B141</f>
        <v>unknown</v>
      </c>
      <c r="C143" s="11" t="s">
        <v>1637</v>
      </c>
      <c r="E143" s="12" t="str">
        <f t="shared" si="2"/>
        <v>* unknown -&gt; ##34#TBD##34#</v>
      </c>
    </row>
    <row r="144" spans="2:5">
      <c r="B144" s="11" t="str">
        <f>Treatment!B142</f>
        <v>other</v>
      </c>
      <c r="C144" s="11" t="s">
        <v>1637</v>
      </c>
      <c r="E144" s="12" t="str">
        <f t="shared" si="2"/>
        <v>* other -&gt; ##34#TBD##34#</v>
      </c>
    </row>
    <row r="145" spans="2:5">
      <c r="B145" s="11" t="str">
        <f>Treatment!B143</f>
        <v>otherSpecify</v>
      </c>
      <c r="C145" s="11" t="s">
        <v>1637</v>
      </c>
      <c r="E145" s="12" t="str">
        <f t="shared" si="2"/>
        <v>* otherSpecify -&gt; ##34#TBD##34#</v>
      </c>
    </row>
    <row r="146" spans="2:5">
      <c r="B146" s="11" t="str">
        <f>Treatment!B144</f>
        <v>neckLevelsIrradiatedRight</v>
      </c>
      <c r="C146" s="11" t="s">
        <v>1637</v>
      </c>
      <c r="E146" s="12" t="str">
        <f t="shared" si="2"/>
        <v>* neckLevelsIrradiatedRight -&gt; ##34#TBD##34#</v>
      </c>
    </row>
    <row r="147" spans="2:5">
      <c r="B147" s="11" t="str">
        <f>Treatment!B145</f>
        <v>neckLevelsIrradiatedLeft</v>
      </c>
      <c r="C147" s="11" t="s">
        <v>1637</v>
      </c>
      <c r="E147" s="12" t="str">
        <f t="shared" si="2"/>
        <v>* neckLevelsIrradiatedLeft -&gt; ##34#TBD##34#</v>
      </c>
    </row>
    <row r="148" spans="2:5">
      <c r="B148" s="11" t="str">
        <f>Treatment!B146</f>
        <v>ctvHighExpansion</v>
      </c>
      <c r="C148" s="11" t="s">
        <v>1637</v>
      </c>
      <c r="E148" s="12" t="str">
        <f t="shared" si="2"/>
        <v>* ctvHighExpansion -&gt; ##34#TBD##34#</v>
      </c>
    </row>
    <row r="149" spans="2:5">
      <c r="B149" s="11" t="str">
        <f>Treatment!B147</f>
        <v>ptvHighExpansion</v>
      </c>
      <c r="C149" s="11" t="s">
        <v>1637</v>
      </c>
      <c r="E149" s="12" t="str">
        <f t="shared" si="2"/>
        <v>* ptvHighExpansion -&gt; ##34#TBD##34#</v>
      </c>
    </row>
    <row r="150" spans="2:5">
      <c r="B150" s="11" t="str">
        <f>Treatment!B148</f>
        <v>v60OfSkin</v>
      </c>
      <c r="C150" s="11" t="s">
        <v>1637</v>
      </c>
      <c r="E150" s="12" t="str">
        <f t="shared" si="2"/>
        <v>* v60OfSkin -&gt; ##34#TBD##34#</v>
      </c>
    </row>
    <row r="151" spans="2:5">
      <c r="B151" s="11" t="str">
        <f>Treatment!B149</f>
        <v>treatmentCompletedAsPlanned</v>
      </c>
      <c r="C151" s="11" t="s">
        <v>1637</v>
      </c>
      <c r="E151" s="12" t="str">
        <f t="shared" si="2"/>
        <v>* treatmentCompletedAsPlanned -&gt; ##34#TBD##34#</v>
      </c>
    </row>
    <row r="152" spans="2:5">
      <c r="B152" s="11" t="str">
        <f>Treatment!B150</f>
        <v>hospitalizedDuringRt</v>
      </c>
      <c r="C152" s="11" t="s">
        <v>1637</v>
      </c>
      <c r="E152" s="12" t="str">
        <f t="shared" si="2"/>
        <v>* hospitalizedDuringRt -&gt; ##34#TBD##34#</v>
      </c>
    </row>
    <row r="153" spans="2:5">
      <c r="B153" s="11" t="str">
        <f>Treatment!B151</f>
        <v>carotidBlowout</v>
      </c>
      <c r="C153" s="11" t="s">
        <v>1637</v>
      </c>
      <c r="E153" s="12" t="str">
        <f t="shared" si="2"/>
        <v>* carotidBlowout -&gt; ##34#TBD##34#</v>
      </c>
    </row>
    <row r="154" spans="2:5">
      <c r="B154" s="11" t="str">
        <f>Treatment!B152</f>
        <v>feedingTubeDuringRt</v>
      </c>
      <c r="C154" s="11" t="s">
        <v>1637</v>
      </c>
      <c r="E154" s="12" t="str">
        <f t="shared" si="2"/>
        <v>* feedingTubeDuringRt -&gt; ##34#TBD##34#</v>
      </c>
    </row>
    <row r="155" spans="2:5">
      <c r="B155" s="11" t="str">
        <f>Treatment!B153</f>
        <v>feedingTubeReason</v>
      </c>
      <c r="C155" s="11" t="s">
        <v>1637</v>
      </c>
      <c r="E155" s="12" t="str">
        <f t="shared" si="2"/>
        <v>* feedingTubeReason -&gt; ##34#TBD##34#</v>
      </c>
    </row>
    <row r="156" spans="2:5">
      <c r="B156" s="11" t="str">
        <f>Treatment!B154</f>
        <v>smokingDuringRt</v>
      </c>
      <c r="C156" s="11" t="s">
        <v>1637</v>
      </c>
      <c r="E156" s="12" t="str">
        <f t="shared" si="2"/>
        <v>* smokingDuringRt -&gt; ##34#TBD##34#</v>
      </c>
    </row>
    <row r="157" spans="2:5">
      <c r="B157" s="11" t="str">
        <f>Treatment!B155</f>
        <v>alcoholDuringRt</v>
      </c>
      <c r="C157" s="11" t="s">
        <v>1637</v>
      </c>
      <c r="E157" s="12" t="str">
        <f t="shared" si="2"/>
        <v>* alcoholDuringRt -&gt; ##34#TBD##34#</v>
      </c>
    </row>
    <row r="158" spans="2:5">
      <c r="B158" s="11" t="str">
        <f>Treatment!B156</f>
        <v>otherTypeOfTreatment</v>
      </c>
      <c r="C158" s="11" t="s">
        <v>1637</v>
      </c>
      <c r="E158" s="12" t="str">
        <f t="shared" si="2"/>
        <v>* otherTypeOfTreatment -&gt; ##34#TBD##34#</v>
      </c>
    </row>
    <row r="159" spans="2:5">
      <c r="B159" s="11" t="str">
        <f>Treatment!B157</f>
        <v>otherTreatmentPerformed</v>
      </c>
      <c r="C159" s="11" t="s">
        <v>1637</v>
      </c>
      <c r="E159" s="12" t="str">
        <f t="shared" si="2"/>
        <v>* otherTreatmentPerformed -&gt; ##34#TBD##34#</v>
      </c>
    </row>
    <row r="160" spans="2:5">
      <c r="B160" s="11" t="str">
        <f>Treatment!B158</f>
        <v>dateOfStart</v>
      </c>
      <c r="C160" s="11" t="s">
        <v>1637</v>
      </c>
      <c r="E160" s="12" t="str">
        <f t="shared" si="2"/>
        <v>* dateOfStart -&gt; ##34#TBD##34#</v>
      </c>
    </row>
    <row r="161" spans="2:5">
      <c r="B161" s="11" t="str">
        <f>Treatment!B159</f>
        <v>dateOfOtherTreatmentDayUnknown</v>
      </c>
      <c r="C161" s="11" t="s">
        <v>1637</v>
      </c>
      <c r="E161" s="12" t="str">
        <f t="shared" si="2"/>
        <v>* dateOfOtherTreatmentDayUnknown -&gt; ##34#TBD##34#</v>
      </c>
    </row>
    <row r="162" spans="2:5">
      <c r="B162" s="11" t="str">
        <f>Treatment!B160</f>
        <v>dateOfEnd</v>
      </c>
      <c r="C162" s="11" t="s">
        <v>1637</v>
      </c>
      <c r="E162" s="12" t="str">
        <f t="shared" si="2"/>
        <v>* dateOfEnd -&gt; ##34#TBD##34#</v>
      </c>
    </row>
    <row r="163" spans="2:5">
      <c r="B163" s="11" t="str">
        <f>Treatment!B161</f>
        <v>dateOfEndOtherTreatmentDayUnknown</v>
      </c>
      <c r="C163" s="11" t="s">
        <v>1637</v>
      </c>
      <c r="E163" s="12" t="str">
        <f t="shared" si="2"/>
        <v>* dateOfEndOtherTreatmentDayUnknown -&gt; ##34#TBD##34#</v>
      </c>
    </row>
    <row r="164" spans="2:5">
      <c r="B164" s="11" t="str">
        <f>Treatment!B162</f>
        <v>type</v>
      </c>
      <c r="C164" s="11" t="s">
        <v>1637</v>
      </c>
      <c r="E164" s="12" t="str">
        <f t="shared" si="2"/>
        <v>* type -&gt; ##34#TBD##34#</v>
      </c>
    </row>
    <row r="165" spans="2:5">
      <c r="B165" s="11" t="str">
        <f>Treatment!B163</f>
        <v>treatmentCompleted</v>
      </c>
      <c r="C165" s="11" t="s">
        <v>1637</v>
      </c>
      <c r="E165" s="12" t="str">
        <f t="shared" si="2"/>
        <v>* treatmentCompleted -&gt; ##34#TBD##34#</v>
      </c>
    </row>
    <row r="166" spans="2:5">
      <c r="B166" s="11" t="str">
        <f>Treatment!B164</f>
        <v>overallTreatmentResponse</v>
      </c>
      <c r="C166" s="11" t="s">
        <v>1637</v>
      </c>
      <c r="E166" s="12" t="str">
        <f t="shared" si="2"/>
        <v>* overallTreatmentResponse -&gt; ##34#TBD##34#</v>
      </c>
    </row>
    <row r="167" spans="2:5">
      <c r="B167" s="11" t="str">
        <f>Treatment!B165</f>
        <v>treatmentResponseBasedOnImagingAloneNoRecistOrOtherCriteria-2</v>
      </c>
      <c r="C167" s="11" t="s">
        <v>1637</v>
      </c>
      <c r="E167" s="12" t="str">
        <f t="shared" si="2"/>
        <v>* treatmentResponseBasedOnImagingAloneNoRecistOrOtherCriteria-2 -&gt; ##34#TBD##34#</v>
      </c>
    </row>
    <row r="168" spans="2:5">
      <c r="B168" s="11" t="str">
        <f>Treatment!B166</f>
        <v>treatmentResponseDefineddone</v>
      </c>
      <c r="C168" s="11" t="s">
        <v>1637</v>
      </c>
      <c r="E168" s="12" t="str">
        <f t="shared" si="2"/>
        <v>* treatmentResponseDefineddone -&gt; ##34#TBD##34#</v>
      </c>
    </row>
    <row r="169" spans="2:5">
      <c r="B169" s="11" t="str">
        <f>Treatment!B167</f>
        <v>patientIncludedInClinicalTrial</v>
      </c>
      <c r="C169" s="11" t="s">
        <v>1637</v>
      </c>
      <c r="E169" s="12" t="str">
        <f t="shared" si="2"/>
        <v>* patientIncludedInClinicalTrial -&gt; ##34#TBD##34#</v>
      </c>
    </row>
    <row r="170" spans="2:5">
      <c r="B170" s="11" t="str">
        <f>Treatment!B168</f>
        <v>patientIncludedInAClinicalTrial</v>
      </c>
      <c r="C170" s="11" t="s">
        <v>1637</v>
      </c>
      <c r="E170" s="12" t="str">
        <f t="shared" si="2"/>
        <v>* patientIncludedInAClinicalTrial -&gt; ##34#TBD##34#</v>
      </c>
    </row>
    <row r="171" spans="2:5">
      <c r="B171" s="11" t="str">
        <f>Treatment!B169</f>
        <v>clinicalTrialCode</v>
      </c>
      <c r="C171" s="11" t="s">
        <v>1637</v>
      </c>
      <c r="E171" s="12" t="str">
        <f t="shared" si="2"/>
        <v>* clinicalTrialCode -&gt; ##34#TBD##34#</v>
      </c>
    </row>
    <row r="172" spans="2:5">
      <c r="B172" s="11" t="str">
        <f>Treatment!B170</f>
        <v>instrumentStatus</v>
      </c>
      <c r="C172" s="11" t="s">
        <v>1637</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4" t="str">
        <f>Treatment!J1</f>
        <v>//===================================================</v>
      </c>
    </row>
    <row r="2" spans="3:7" ht="16.75" thickBot="1">
      <c r="C2" s="25" t="str">
        <f>Treatment!J2</f>
        <v>//  Logical Model</v>
      </c>
      <c r="G2" s="30" t="s">
        <v>2394</v>
      </c>
    </row>
    <row r="3" spans="3:7">
      <c r="C3" s="25" t="str">
        <f>Treatment!J3</f>
        <v>//===================================================</v>
      </c>
    </row>
    <row r="4" spans="3:7">
      <c r="C4" s="17" t="str">
        <f>Treatment!J4</f>
        <v>Logical: TreatmentI4rc</v>
      </c>
    </row>
    <row r="5" spans="3:7">
      <c r="C5" s="17" t="str">
        <f>Treatment!J5</f>
        <v>Id: Treatment</v>
      </c>
    </row>
    <row r="6" spans="3:7">
      <c r="C6" s="17" t="str">
        <f>Treatment!J6</f>
        <v>Title: ##34#Treatment##34#</v>
      </c>
    </row>
    <row r="7" spans="3:7" ht="29.5">
      <c r="C7" s="17"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4" t="s">
        <v>1644</v>
      </c>
    </row>
    <row r="188" spans="3:3">
      <c r="C188" s="25" t="s">
        <v>1943</v>
      </c>
    </row>
    <row r="189" spans="3:3">
      <c r="C189" s="25" t="s">
        <v>1644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4" t="str">
        <f>'Treatment-Map-1'!E1</f>
        <v>// -------------------------------------------------------------------------------</v>
      </c>
    </row>
    <row r="365" spans="3:3">
      <c r="C365" s="25" t="str">
        <f>'Treatment-Map-1'!E2</f>
        <v>//  Map to FHIR R4</v>
      </c>
    </row>
    <row r="366" spans="3:3">
      <c r="C366" s="25"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Treatment!B5</f>
        <v>Treatment</v>
      </c>
      <c r="C10" s="6" t="str">
        <f>Treatment!B6</f>
        <v>Treatment</v>
      </c>
      <c r="D10" s="61" t="str">
        <f>ConvertOsiris!I2</f>
        <v>Patient</v>
      </c>
      <c r="E10" s="61" t="str">
        <f>ConvertOsiris!J2</f>
        <v>Patient</v>
      </c>
      <c r="F10" s="68" t="s">
        <v>1439</v>
      </c>
      <c r="G10" s="62"/>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63"/>
      <c r="B11" s="11" t="str">
        <f>$B$10&amp;"."&amp;Treatment!B8</f>
        <v>Treatment.surgery</v>
      </c>
      <c r="C11" s="11" t="str">
        <f>Treatment!C8</f>
        <v xml:space="preserve">Surgery </v>
      </c>
      <c r="D11" s="11" t="str">
        <f>ConvertOsiris!I6</f>
        <v>Patient.BirthDate</v>
      </c>
      <c r="E11" s="11" t="str">
        <f>ConvertOsiris!J6</f>
        <v>Birth Date [C4]</v>
      </c>
      <c r="F11" s="68" t="s">
        <v>1417</v>
      </c>
      <c r="G11" s="62"/>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63"/>
      <c r="B12" s="11" t="str">
        <f>$B$10&amp;"."&amp;Treatment!B9</f>
        <v>Treatment.surgeryPerformed</v>
      </c>
      <c r="C12" s="11" t="str">
        <f>Treatment!C9</f>
        <v>Surgery performed</v>
      </c>
      <c r="D12" s="11" t="str">
        <f>ConvertOsiris!I6</f>
        <v>Patient.BirthDate</v>
      </c>
      <c r="E12" s="11" t="str">
        <f>ConvertOsiris!J6</f>
        <v>Birth Date [C4]</v>
      </c>
      <c r="F12" s="68" t="s">
        <v>1439</v>
      </c>
      <c r="G12" s="62"/>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63"/>
      <c r="B13" s="11" t="str">
        <f>$B$10&amp;"."&amp;Treatment!B11</f>
        <v>Treatment.surgeryIntention</v>
      </c>
      <c r="C13" s="11" t="str">
        <f>Treatment!C11</f>
        <v>Surgery intention</v>
      </c>
      <c r="D13" s="11"/>
      <c r="E13" s="11"/>
      <c r="F13" s="68" t="s">
        <v>1434</v>
      </c>
      <c r="G13" s="62"/>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63"/>
      <c r="B14" s="11" t="str">
        <f>$B$10&amp;"."&amp;Treatment!B12</f>
        <v>Treatment.tumorSurgeryApproach</v>
      </c>
      <c r="C14" s="11" t="str">
        <f>Treatment!C12</f>
        <v>Tumor surgery approach</v>
      </c>
      <c r="D14" s="11"/>
      <c r="E14" s="11"/>
      <c r="F14" s="68" t="s">
        <v>1434</v>
      </c>
      <c r="G14" s="62"/>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63"/>
      <c r="B15" s="11" t="str">
        <f>$B$10&amp;"."&amp;Treatment!B13</f>
        <v>Treatment.tumorSurgeryDevice</v>
      </c>
      <c r="C15" s="11" t="str">
        <f>Treatment!C13</f>
        <v>Tumor surgery device</v>
      </c>
      <c r="D15" s="11" t="str">
        <f>ConvertOsiris!I4</f>
        <v>Patient.Gender</v>
      </c>
      <c r="E15" s="11" t="str">
        <f>ConvertOsiris!J4</f>
        <v>Gender [C2]</v>
      </c>
      <c r="F15" s="68" t="s">
        <v>1443</v>
      </c>
      <c r="G15" s="62"/>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63"/>
      <c r="B16" s="11" t="str">
        <f>$B$10&amp;"."&amp;Treatment!B14</f>
        <v>Treatment.surgicalProcedure</v>
      </c>
      <c r="C16" s="11" t="str">
        <f>Treatment!C14</f>
        <v>Surgical procedure</v>
      </c>
      <c r="D16" s="11" t="str">
        <f>ConvertOsiris!I5</f>
        <v>Patient.Ethnicity</v>
      </c>
      <c r="E16" s="11" t="str">
        <f>ConvertOsiris!J5</f>
        <v>Ethnicity [C3]</v>
      </c>
      <c r="F16" s="68" t="s">
        <v>1441</v>
      </c>
      <c r="G16" s="62"/>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63"/>
      <c r="B17" s="11" t="str">
        <f>$B$10&amp;"."&amp;Treatment!B15</f>
        <v>Treatment.surgicalProcedure.surgicalProcedureNasopharynx</v>
      </c>
      <c r="C17" s="11" t="str">
        <f>Treatment!C15</f>
        <v>Surgical procedure Nasopharynx</v>
      </c>
      <c r="D17" s="11"/>
      <c r="E17" s="12"/>
      <c r="F17" s="68" t="s">
        <v>1434</v>
      </c>
      <c r="G17" s="62"/>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8"/>
      <c r="G21" s="62"/>
      <c r="J21" s="62"/>
      <c r="K21" s="62"/>
      <c r="L21" s="70"/>
      <c r="N21" s="11">
        <v>12</v>
      </c>
      <c r="O21" s="11">
        <f t="shared" si="5"/>
        <v>2</v>
      </c>
      <c r="P21" s="11">
        <f t="shared" si="6"/>
        <v>2</v>
      </c>
      <c r="Q21" s="12" t="str" cm="1">
        <f t="array" ref="Q21">INDEX('Treatment-ConceptMap'!$H$10:$L$264,O21+1,P21)</f>
        <v>* group[=].element[=].display = ##34#Surgery performed##34#</v>
      </c>
    </row>
    <row r="22" spans="1:17">
      <c r="B22" s="11"/>
      <c r="C22" s="11"/>
      <c r="D22" s="11"/>
      <c r="E22" s="12"/>
      <c r="F22" s="68"/>
      <c r="G22" s="62"/>
      <c r="J22" s="62"/>
      <c r="K22" s="62"/>
      <c r="L22" s="70"/>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INDEX('Treatment-ConceptMap'!$H$10:$L$264,O24+1,P24)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INDEX('Treatment-ConceptMap'!$H$10:$L$264,O25+1,P25)</f>
        <v>* group[=].element[+].code = #Treatment.surgeryIntention</v>
      </c>
    </row>
    <row r="26" spans="1:17">
      <c r="B26" s="11"/>
      <c r="C26" s="11"/>
      <c r="D26" s="11"/>
      <c r="E26" s="12"/>
      <c r="F26" s="68"/>
      <c r="G26" s="62"/>
      <c r="J26" s="62"/>
      <c r="K26" s="62"/>
      <c r="L26" s="70"/>
      <c r="N26" s="11">
        <v>17</v>
      </c>
      <c r="O26" s="11">
        <f t="shared" si="5"/>
        <v>3</v>
      </c>
      <c r="P26" s="11">
        <f t="shared" si="6"/>
        <v>2</v>
      </c>
      <c r="Q26" s="12" t="str" cm="1">
        <f t="array" ref="Q26">INDEX('Treatment-ConceptMap'!$H$10:$L$264,O26+1,P26)</f>
        <v>* group[=].element[=].display = ##34#Surgery intention##34#</v>
      </c>
    </row>
    <row r="27" spans="1:17">
      <c r="B27" s="11"/>
      <c r="C27" s="11"/>
      <c r="D27" s="11"/>
      <c r="E27" s="12"/>
      <c r="F27" s="68"/>
      <c r="G27" s="62"/>
      <c r="J27" s="62"/>
      <c r="K27" s="62"/>
      <c r="L27" s="70"/>
      <c r="N27" s="11">
        <v>18</v>
      </c>
      <c r="O27" s="11">
        <f t="shared" si="5"/>
        <v>3</v>
      </c>
      <c r="P27" s="11">
        <f t="shared" si="6"/>
        <v>3</v>
      </c>
      <c r="Q27" s="12" t="str" cm="1">
        <f t="array" ref="Q27">INDEX('Treatment-ConceptMap'!$H$10:$L$264,O27+1,P27)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INDEX('Treatment-ConceptMap'!$H$10:$L$264,O28+1,P28)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INDEX('Treatment-ConceptMap'!$H$10:$L$264,O29+1,P29)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8"/>
      <c r="G31" s="62"/>
      <c r="I31"/>
      <c r="J31" s="62"/>
      <c r="K31" s="62"/>
      <c r="L31" s="70"/>
      <c r="N31" s="11">
        <v>22</v>
      </c>
      <c r="O31" s="11">
        <f t="shared" si="5"/>
        <v>4</v>
      </c>
      <c r="P31" s="11">
        <f t="shared" si="6"/>
        <v>2</v>
      </c>
      <c r="Q31" s="12" t="str" cm="1">
        <f t="array" ref="Q31">INDEX('Treatment-ConceptMap'!$H$10:$L$264,O31+1,P31)</f>
        <v>* group[=].element[=].display = ##34#Tumor surgery approach##34#</v>
      </c>
    </row>
    <row r="32" spans="1:17" s="2" customFormat="1">
      <c r="A32"/>
      <c r="B32" s="65"/>
      <c r="C32" s="65"/>
      <c r="D32" s="65"/>
      <c r="F32" s="62"/>
      <c r="G32" s="62"/>
      <c r="I32"/>
      <c r="J32" s="62"/>
      <c r="K32" s="62"/>
      <c r="L32" s="70"/>
      <c r="N32" s="11">
        <v>23</v>
      </c>
      <c r="O32" s="11">
        <f t="shared" si="5"/>
        <v>4</v>
      </c>
      <c r="P32" s="11">
        <f t="shared" si="6"/>
        <v>3</v>
      </c>
      <c r="Q32" s="12" t="str" cm="1">
        <f t="array" ref="Q32">INDEX('Treatment-ConceptMap'!$H$10:$L$264,O32+1,P32)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INDEX('Treatment-ConceptMap'!$H$10:$L$264,O33+1,P33)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INDEX('Treatment-ConceptMap'!$H$10:$L$264,O34+1,P34)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INDEX('Treatment-ConceptMap'!$H$10:$L$264,O35+1,P35)</f>
        <v>* group[=].element[+].code = #Treatment.tumorSurgeryDevice</v>
      </c>
    </row>
    <row r="36" spans="1:17" s="2" customFormat="1">
      <c r="A36"/>
      <c r="B36" s="11"/>
      <c r="C36"/>
      <c r="F36" s="62"/>
      <c r="G36" s="62"/>
      <c r="I36" s="62"/>
      <c r="J36" s="62"/>
      <c r="K36" s="62"/>
      <c r="L36" s="70"/>
      <c r="N36" s="11">
        <v>27</v>
      </c>
      <c r="O36" s="11">
        <f t="shared" si="5"/>
        <v>5</v>
      </c>
      <c r="P36" s="11">
        <f t="shared" si="6"/>
        <v>2</v>
      </c>
      <c r="Q36" s="12" t="str" cm="1">
        <f t="array" ref="Q36">INDEX('Treatment-ConceptMap'!$H$10:$L$264,O36+1,P36)</f>
        <v>* group[=].element[=].display = ##34#Tumor surgery device##34#</v>
      </c>
    </row>
    <row r="37" spans="1:17" s="2" customFormat="1">
      <c r="A37"/>
      <c r="B37" s="11"/>
      <c r="C37"/>
      <c r="F37" s="62"/>
      <c r="G37" s="62"/>
      <c r="I37" s="62"/>
      <c r="J37" s="62"/>
      <c r="K37" s="62"/>
      <c r="L37" s="62"/>
      <c r="N37" s="11">
        <v>28</v>
      </c>
      <c r="O37" s="11">
        <f t="shared" si="5"/>
        <v>5</v>
      </c>
      <c r="P37" s="11">
        <f t="shared" si="6"/>
        <v>3</v>
      </c>
      <c r="Q37" s="12" t="str" cm="1">
        <f t="array" ref="Q37">INDEX('Treatment-ConceptMap'!$H$10:$L$264,O37+1,P37)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INDEX('Treatment-ConceptMap'!$H$10:$L$264,O38+1,P38)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INDEX('Treatment-ConceptMap'!$H$10:$L$264,O39+1,P39)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INDEX('Treatment-ConceptMap'!$H$10:$L$264,O40+1,P40)</f>
        <v>* group[=].element[+].code = #Treatment.surgicalProcedure</v>
      </c>
    </row>
    <row r="41" spans="1:17" s="2" customFormat="1">
      <c r="A41"/>
      <c r="B41" s="11"/>
      <c r="C41"/>
      <c r="F41" s="62"/>
      <c r="G41" s="62"/>
      <c r="I41" s="62"/>
      <c r="J41" s="62"/>
      <c r="K41" s="62"/>
      <c r="L41" s="62"/>
      <c r="N41" s="11">
        <v>32</v>
      </c>
      <c r="O41" s="11">
        <f t="shared" si="5"/>
        <v>6</v>
      </c>
      <c r="P41" s="11">
        <f t="shared" si="6"/>
        <v>2</v>
      </c>
      <c r="Q41" s="12" t="str" cm="1">
        <f t="array" ref="Q41">INDEX('Treatment-ConceptMap'!$H$10:$L$264,O41+1,P41)</f>
        <v>* group[=].element[=].display = ##34#Surgical procedure##34#</v>
      </c>
    </row>
    <row r="42" spans="1:17" s="2" customFormat="1">
      <c r="A42"/>
      <c r="B42" s="11"/>
      <c r="C42"/>
      <c r="F42" s="62"/>
      <c r="G42" s="62"/>
      <c r="I42" s="62"/>
      <c r="J42" s="62"/>
      <c r="K42" s="62"/>
      <c r="L42" s="62"/>
      <c r="N42" s="11">
        <v>33</v>
      </c>
      <c r="O42" s="11">
        <f t="shared" si="5"/>
        <v>6</v>
      </c>
      <c r="P42" s="11">
        <f t="shared" si="6"/>
        <v>3</v>
      </c>
      <c r="Q42" s="12" t="str" cm="1">
        <f t="array" ref="Q42">INDEX('Treatment-ConceptMap'!$H$10:$L$264,O42+1,P42)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INDEX('Treatment-ConceptMap'!$H$10:$L$264,O43+1,P43)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INDEX('Treatment-ConceptMap'!$H$10:$L$264,O44+1,P44)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INDEX('Treatment-ConceptMap'!$H$10:$L$264,O45+1,P45)</f>
        <v>* group[=].element[+].code = #Treatment.surgicalProcedure.surgicalProcedureNasopharynx</v>
      </c>
    </row>
    <row r="46" spans="1:17">
      <c r="F46" s="62"/>
      <c r="G46" s="62"/>
      <c r="I46" s="62"/>
      <c r="J46" s="62"/>
      <c r="K46" s="62"/>
      <c r="L46" s="62"/>
      <c r="N46" s="11">
        <v>37</v>
      </c>
      <c r="O46" s="11">
        <f t="shared" si="5"/>
        <v>7</v>
      </c>
      <c r="P46" s="11">
        <f t="shared" si="6"/>
        <v>2</v>
      </c>
      <c r="Q46" s="12" t="str" cm="1">
        <f t="array" ref="Q46">INDEX('Treatment-ConceptMap'!$H$10:$L$264,O46+1,P46)</f>
        <v>* group[=].element[=].display = ##34#Surgical procedure Nasopharynx##34#</v>
      </c>
    </row>
    <row r="47" spans="1:17">
      <c r="B47" t="s">
        <v>1412</v>
      </c>
      <c r="C47" t="s">
        <v>1413</v>
      </c>
      <c r="D47" t="s">
        <v>1414</v>
      </c>
      <c r="E47" t="s">
        <v>1415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CancerUnderStudy-test</vt:lpstr>
      <vt:lpstr>CancerUnderStudy-Map-1-test</vt:lpstr>
      <vt:lpstr>CancerUnderStudy-fsh-test</vt: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2023-05-26T16:31:15Z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