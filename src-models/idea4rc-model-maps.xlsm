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105" documentId="13_ncr:1_{1D853C1E-3A3B-4794-8914-0F0D38C2C53E}" xr6:coauthVersionLast="47" xr6:coauthVersionMax="47" xr10:uidLastSave="{18E4B366-D5A7-4E6A-84FF-3E1F0FFB0D18}"/>
  <bookViews>
    <workbookView xWindow="-90" yWindow="-21710" windowWidth="38620" windowHeight="21100" tabRatio="819" firstSheet="42" activeTab="44"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Map-1" sheetId="173" r:id="rId6"/>
    <sheet name="CancerEpisode-fsh" sheetId="174" r:id="rId7"/>
    <sheet name="CancerEpisode-ConceptMap-1" sheetId="178" r:id="rId8"/>
    <sheet name="CancerEpisode-ConceptMap-2" sheetId="186" r:id="rId9"/>
    <sheet name="CancerEpisode-CM-fsh" sheetId="179" r:id="rId10"/>
    <sheet name="Subject" sheetId="169" r:id="rId11"/>
    <sheet name="Subject-Map-1" sheetId="170" r:id="rId12"/>
    <sheet name="Subject-fsh" sheetId="171" r:id="rId13"/>
    <sheet name="Subject-ConceptMap-1" sheetId="180" r:id="rId14"/>
    <sheet name="Subject-ConceptMap-2" sheetId="182" r:id="rId15"/>
    <sheet name="Subject-ConceptMap-3" sheetId="183" r:id="rId16"/>
    <sheet name="Subject-ConceptMap-4" sheetId="184" r:id="rId17"/>
    <sheet name="Subject-ConceptMap-5" sheetId="185" r:id="rId18"/>
    <sheet name="Subject-CM-fsh" sheetId="181" r:id="rId19"/>
    <sheet name="EpisodeEvent-src" sheetId="192" r:id="rId20"/>
    <sheet name="EpisodeEvent" sheetId="193" r:id="rId21"/>
    <sheet name="EpisodeEvent-Map-1" sheetId="194" r:id="rId22"/>
    <sheet name="EpisodeEvent-fsh" sheetId="195" r:id="rId23"/>
    <sheet name="EpisodeEvent-ConceptMap-1" sheetId="196" r:id="rId24"/>
    <sheet name="EpisodeEvent-CM-fsh" sheetId="198" r:id="rId25"/>
    <sheet name="ClinicalStage-src" sheetId="187" r:id="rId26"/>
    <sheet name="ClinicalStage" sheetId="159" r:id="rId27"/>
    <sheet name="ClinicalStage-Map-1" sheetId="160" r:id="rId28"/>
    <sheet name="ClinicalStage-fsh" sheetId="161" r:id="rId29"/>
    <sheet name="ClinicalStage-ConceptMap-1" sheetId="199" r:id="rId30"/>
    <sheet name="ClinicalStage-ConceptMap-2" sheetId="201" r:id="rId31"/>
    <sheet name="ClinicalStage-ConceptMap-3" sheetId="202" r:id="rId32"/>
    <sheet name="ClinicalStage-ConceptMap-4" sheetId="203" r:id="rId33"/>
    <sheet name="ClinicalStage-CM-fsh" sheetId="200" r:id="rId34"/>
    <sheet name="PathologicalStage-src" sheetId="188" r:id="rId35"/>
    <sheet name="PathologicalStage" sheetId="189" r:id="rId36"/>
    <sheet name="PathologicalStage-fsh" sheetId="191" r:id="rId37"/>
    <sheet name="PathStage-ConceptMap-1" sheetId="204" r:id="rId38"/>
    <sheet name="PathStage-ConceptMap-2" sheetId="205" r:id="rId39"/>
    <sheet name="PathStage-ConceptMap-3" sheetId="206" r:id="rId40"/>
    <sheet name="PathStage-ConceptMap-4" sheetId="207" r:id="rId41"/>
    <sheet name="PathStage-CM-fsh" sheetId="208" r:id="rId42"/>
    <sheet name="SystemicTreatment" sheetId="164" r:id="rId43"/>
    <sheet name="SystemicTreatment-fsh" sheetId="166" r:id="rId44"/>
    <sheet name="Surgery" sheetId="209" r:id="rId45"/>
    <sheet name="Surgery-fsh" sheetId="210" r:id="rId46"/>
    <sheet name="Surgery-ConceptMap-1" sheetId="213" r:id="rId47"/>
    <sheet name="Surgery-CM-fsh" sheetId="214" r:id="rId48"/>
    <sheet name="Radiotherapy" sheetId="211" r:id="rId49"/>
    <sheet name="Radiotherapy-fsh" sheetId="212" r:id="rId50"/>
    <sheet name="Radiotherapy-ConceptMap-1" sheetId="215" r:id="rId51"/>
    <sheet name="Radiotherapy-CM-fsh" sheetId="216" r:id="rId52"/>
    <sheet name="ConvertOsiris" sheetId="138" r:id="rId53"/>
    <sheet name="Osiris" sheetId="141" r:id="rId54"/>
    <sheet name="Osiris-Map" sheetId="142" r:id="rId55"/>
    <sheet name="Osiris-fsh-noMap" sheetId="144" r:id="rId56"/>
    <sheet name="Osiris-fsh" sheetId="143" r:id="rId57"/>
    <sheet name="Osiris-ConceptMap" sheetId="145" r:id="rId58"/>
    <sheet name="Osiris-CM-fsh" sheetId="147" r:id="rId59"/>
    <sheet name="equivalence" sheetId="146" r:id="rId60"/>
  </sheets>
  <externalReferences>
    <externalReference r:id="rId61"/>
  </externalReferences>
  <definedNames>
    <definedName name="_xlnm._FilterDatabase" localSheetId="1" hidden="1">'2.Demographic &amp; life style'!$A$2:$S$47</definedName>
    <definedName name="_xlnm._FilterDatabase" localSheetId="4" hidden="1">CancerEpisode!$A$7:$M$39</definedName>
    <definedName name="_xlnm._FilterDatabase" localSheetId="52" hidden="1">ConvertOsiris!$D$2:$U$232</definedName>
    <definedName name="_xlnm._FilterDatabase" localSheetId="48" hidden="1">Radiotherapy!$A$7:$M$34</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8" l="1"/>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I19" i="215" s="1"/>
  <c r="C19" i="215"/>
  <c r="J19" i="215" s="1"/>
  <c r="B20" i="215"/>
  <c r="C20" i="215"/>
  <c r="B21" i="215"/>
  <c r="C21" i="215"/>
  <c r="J21" i="215" s="1"/>
  <c r="B22" i="215"/>
  <c r="C22" i="215"/>
  <c r="B23" i="215"/>
  <c r="C23" i="215"/>
  <c r="J23" i="215" s="1"/>
  <c r="B24" i="215"/>
  <c r="C24" i="215"/>
  <c r="B25" i="215"/>
  <c r="C25" i="215"/>
  <c r="B26" i="215"/>
  <c r="C26" i="215"/>
  <c r="B27" i="215"/>
  <c r="I27" i="215" s="1"/>
  <c r="C27" i="215"/>
  <c r="J27" i="215" s="1"/>
  <c r="B28" i="215"/>
  <c r="C28" i="215"/>
  <c r="B29" i="215"/>
  <c r="C29" i="215"/>
  <c r="J29" i="215" s="1"/>
  <c r="B30" i="215"/>
  <c r="C30" i="215"/>
  <c r="B31" i="215"/>
  <c r="I31" i="215" s="1"/>
  <c r="S111" i="215" s="1" a="1"/>
  <c r="S111" i="215" s="1"/>
  <c r="B115" i="216" s="1"/>
  <c r="C31" i="215"/>
  <c r="J31" i="215" s="1"/>
  <c r="B32" i="215"/>
  <c r="C32" i="215"/>
  <c r="B33" i="215"/>
  <c r="C33" i="215"/>
  <c r="J33" i="215" s="1"/>
  <c r="B34" i="215"/>
  <c r="C34" i="215"/>
  <c r="B35" i="215"/>
  <c r="C35" i="215"/>
  <c r="J35" i="215" s="1"/>
  <c r="B36" i="215"/>
  <c r="C36" i="215"/>
  <c r="B37" i="215"/>
  <c r="C37" i="215"/>
  <c r="B38" i="215"/>
  <c r="C38" i="215"/>
  <c r="C15" i="215"/>
  <c r="B15" i="215"/>
  <c r="B14" i="215"/>
  <c r="B15" i="216"/>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R148" i="215"/>
  <c r="Q148" i="215"/>
  <c r="R147" i="215"/>
  <c r="Q147" i="215"/>
  <c r="R146" i="215"/>
  <c r="Q146" i="215"/>
  <c r="S145" i="215" a="1"/>
  <c r="S145" i="215" s="1"/>
  <c r="B149" i="216" s="1"/>
  <c r="R145" i="215"/>
  <c r="Q145" i="215"/>
  <c r="R144" i="215"/>
  <c r="Q144" i="215"/>
  <c r="R143" i="215"/>
  <c r="Q143" i="215"/>
  <c r="R142" i="215"/>
  <c r="Q142" i="215"/>
  <c r="R141" i="215"/>
  <c r="Q141" i="215"/>
  <c r="R140" i="215"/>
  <c r="Q140" i="215"/>
  <c r="S140" i="215" s="1" a="1"/>
  <c r="S140" i="215" s="1"/>
  <c r="B144" i="216" s="1"/>
  <c r="R139" i="215"/>
  <c r="Q139" i="215"/>
  <c r="R138" i="215"/>
  <c r="Q138" i="215"/>
  <c r="R137" i="215"/>
  <c r="Q137" i="215"/>
  <c r="R136" i="215"/>
  <c r="Q136" i="215"/>
  <c r="R135" i="215"/>
  <c r="Q135" i="215"/>
  <c r="R134" i="215"/>
  <c r="Q134" i="215"/>
  <c r="R133" i="215"/>
  <c r="Q133" i="215"/>
  <c r="S133" i="215" s="1" a="1"/>
  <c r="S133" i="215" s="1"/>
  <c r="B137" i="216" s="1"/>
  <c r="R132" i="215"/>
  <c r="Q132" i="215"/>
  <c r="R131" i="215"/>
  <c r="Q131" i="215"/>
  <c r="R130" i="215"/>
  <c r="Q130" i="215"/>
  <c r="R129" i="215"/>
  <c r="Q129" i="215"/>
  <c r="R128" i="215"/>
  <c r="Q128" i="215"/>
  <c r="R127" i="215"/>
  <c r="Q127" i="215"/>
  <c r="R126" i="215"/>
  <c r="Q126" i="215"/>
  <c r="R125" i="215"/>
  <c r="Q125" i="215"/>
  <c r="S125" i="215" s="1" a="1"/>
  <c r="S125" i="215" s="1"/>
  <c r="B129" i="216" s="1"/>
  <c r="R124" i="215"/>
  <c r="Q124" i="215"/>
  <c r="R123" i="215"/>
  <c r="Q123" i="215"/>
  <c r="R122" i="215"/>
  <c r="Q122" i="215"/>
  <c r="R121" i="215"/>
  <c r="Q121" i="215"/>
  <c r="S121" i="215" s="1" a="1"/>
  <c r="S121" i="215" s="1"/>
  <c r="B125" i="216" s="1"/>
  <c r="R120" i="215"/>
  <c r="Q120" i="215"/>
  <c r="S120" i="215" s="1" a="1"/>
  <c r="S120" i="215" s="1"/>
  <c r="B124" i="216" s="1"/>
  <c r="R119" i="215"/>
  <c r="Q119" i="215"/>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R107" i="215"/>
  <c r="Q107" i="215"/>
  <c r="R106" i="215"/>
  <c r="Q106" i="215"/>
  <c r="R105" i="215"/>
  <c r="Q105" i="215"/>
  <c r="R104" i="215"/>
  <c r="Q104" i="215"/>
  <c r="R103" i="215"/>
  <c r="Q103" i="215"/>
  <c r="S103" i="215" s="1" a="1"/>
  <c r="S103" i="215" s="1"/>
  <c r="B107" i="216" s="1"/>
  <c r="R102" i="215"/>
  <c r="Q102" i="215"/>
  <c r="R101" i="215"/>
  <c r="Q101" i="215"/>
  <c r="R100" i="215"/>
  <c r="Q100" i="215"/>
  <c r="R99" i="215"/>
  <c r="Q99" i="215"/>
  <c r="R98" i="215"/>
  <c r="Q98" i="215"/>
  <c r="S97" i="215" a="1"/>
  <c r="S97" i="215" s="1"/>
  <c r="B101" i="216" s="1"/>
  <c r="R97" i="215"/>
  <c r="Q97" i="215"/>
  <c r="R96" i="215"/>
  <c r="Q96" i="215"/>
  <c r="R95" i="215"/>
  <c r="Q95" i="215"/>
  <c r="R94" i="215"/>
  <c r="Q94" i="215"/>
  <c r="R93" i="215"/>
  <c r="Q93" i="215"/>
  <c r="R92" i="215"/>
  <c r="Q92" i="215"/>
  <c r="R91" i="215"/>
  <c r="Q91" i="215"/>
  <c r="R90" i="215"/>
  <c r="Q90" i="215"/>
  <c r="R89" i="215"/>
  <c r="Q89" i="215"/>
  <c r="R88" i="215"/>
  <c r="Q88" i="215"/>
  <c r="R87" i="215"/>
  <c r="Q87" i="215"/>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R76" i="215"/>
  <c r="Q76" i="215"/>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R55" i="215"/>
  <c r="Q55" i="215"/>
  <c r="S55" i="215" s="1" a="1"/>
  <c r="S55" i="215" s="1"/>
  <c r="B59" i="216" s="1"/>
  <c r="R54" i="215"/>
  <c r="Q54" i="215"/>
  <c r="R53" i="215"/>
  <c r="Q53" i="215"/>
  <c r="R52" i="215"/>
  <c r="Q52" i="215"/>
  <c r="R51" i="215"/>
  <c r="Q51" i="215"/>
  <c r="R50" i="215"/>
  <c r="Q50" i="215"/>
  <c r="S49" i="215" a="1"/>
  <c r="S49" i="215" s="1"/>
  <c r="B53" i="216" s="1"/>
  <c r="R49" i="215"/>
  <c r="Q49" i="215"/>
  <c r="R48" i="215"/>
  <c r="Q48" i="215"/>
  <c r="R47" i="215"/>
  <c r="Q47" i="215"/>
  <c r="R46" i="215"/>
  <c r="Q46" i="215"/>
  <c r="R45" i="215"/>
  <c r="Q45" i="215"/>
  <c r="R44" i="215"/>
  <c r="Q44" i="215"/>
  <c r="R43" i="215"/>
  <c r="S43" i="215" s="1" a="1"/>
  <c r="S43" i="215" s="1"/>
  <c r="B47" i="216" s="1"/>
  <c r="Q43" i="215"/>
  <c r="R42" i="215"/>
  <c r="Q42" i="215"/>
  <c r="R41" i="215"/>
  <c r="Q41" i="215"/>
  <c r="R40" i="215"/>
  <c r="Q40" i="215"/>
  <c r="R39" i="215"/>
  <c r="Q39" i="215"/>
  <c r="N39" i="215"/>
  <c r="R38" i="215"/>
  <c r="Q38" i="215"/>
  <c r="N38" i="215"/>
  <c r="M38" i="215"/>
  <c r="L38" i="215"/>
  <c r="K38" i="215"/>
  <c r="J38" i="215"/>
  <c r="R37" i="215"/>
  <c r="Q37" i="215"/>
  <c r="N37" i="215"/>
  <c r="M37" i="215"/>
  <c r="L37" i="215"/>
  <c r="K37" i="215"/>
  <c r="J37" i="215"/>
  <c r="I37" i="215"/>
  <c r="R36" i="215"/>
  <c r="Q36" i="215"/>
  <c r="N36" i="215"/>
  <c r="M36" i="215"/>
  <c r="L36" i="215"/>
  <c r="K36" i="215"/>
  <c r="S143" i="215" s="1" a="1"/>
  <c r="S143" i="215" s="1"/>
  <c r="B147" i="216" s="1"/>
  <c r="J36" i="215"/>
  <c r="R35" i="215"/>
  <c r="Q35" i="215"/>
  <c r="N35" i="215"/>
  <c r="M35" i="215"/>
  <c r="S139" i="215" s="1" a="1"/>
  <c r="S139" i="215" s="1"/>
  <c r="B143" i="216" s="1"/>
  <c r="L35" i="215"/>
  <c r="K35" i="215"/>
  <c r="I35" i="215"/>
  <c r="R34" i="215"/>
  <c r="Q34" i="215"/>
  <c r="N34" i="215"/>
  <c r="M34" i="215"/>
  <c r="L34" i="215"/>
  <c r="K34" i="215"/>
  <c r="J34" i="215"/>
  <c r="R33" i="215"/>
  <c r="Q33" i="215"/>
  <c r="N33" i="215"/>
  <c r="M33" i="215"/>
  <c r="S127" i="215" s="1" a="1"/>
  <c r="S127" i="215" s="1"/>
  <c r="B131" i="216" s="1"/>
  <c r="L33" i="215"/>
  <c r="K33" i="215"/>
  <c r="I33" i="215"/>
  <c r="S123" i="215" s="1" a="1"/>
  <c r="S123" i="215" s="1"/>
  <c r="B127" i="216" s="1"/>
  <c r="R32" i="215"/>
  <c r="Q32" i="215"/>
  <c r="N32" i="215"/>
  <c r="M32" i="215"/>
  <c r="L32" i="215"/>
  <c r="K32" i="215"/>
  <c r="J32" i="215"/>
  <c r="R31" i="215"/>
  <c r="Q31" i="215"/>
  <c r="N31" i="215"/>
  <c r="M31" i="215"/>
  <c r="L31" i="215"/>
  <c r="K31" i="215"/>
  <c r="R30" i="215"/>
  <c r="Q30" i="215"/>
  <c r="N30" i="215"/>
  <c r="M30" i="215"/>
  <c r="L30" i="215"/>
  <c r="K30" i="215"/>
  <c r="S107" i="215" s="1" a="1"/>
  <c r="S107" i="215" s="1"/>
  <c r="B111" i="216" s="1"/>
  <c r="J30" i="215"/>
  <c r="R29" i="215"/>
  <c r="Q29" i="215"/>
  <c r="N29" i="215"/>
  <c r="M29" i="215"/>
  <c r="L29" i="215"/>
  <c r="K29" i="215"/>
  <c r="I29" i="215"/>
  <c r="R28" i="215"/>
  <c r="Q28" i="215"/>
  <c r="N28" i="215"/>
  <c r="M28" i="215"/>
  <c r="L28" i="215"/>
  <c r="K28" i="215"/>
  <c r="S95" i="215" s="1" a="1"/>
  <c r="S95" i="215" s="1"/>
  <c r="B99" i="216" s="1"/>
  <c r="J28" i="215"/>
  <c r="R27" i="215"/>
  <c r="Q27" i="215"/>
  <c r="N27" i="215"/>
  <c r="M27" i="215"/>
  <c r="S91" i="215" s="1" a="1"/>
  <c r="S91" i="215" s="1"/>
  <c r="B95" i="216" s="1"/>
  <c r="L27" i="215"/>
  <c r="K27" i="215"/>
  <c r="R26" i="215"/>
  <c r="Q26" i="215"/>
  <c r="N26" i="215"/>
  <c r="M26" i="215"/>
  <c r="L26" i="215"/>
  <c r="K26" i="215"/>
  <c r="J26" i="215"/>
  <c r="R25" i="215"/>
  <c r="Q25" i="215"/>
  <c r="S25" i="215" s="1" a="1"/>
  <c r="S25" i="215" s="1"/>
  <c r="B29" i="216" s="1"/>
  <c r="N25" i="215"/>
  <c r="M25" i="215"/>
  <c r="S79" i="215" s="1" a="1"/>
  <c r="S79" i="215" s="1"/>
  <c r="B83" i="216" s="1"/>
  <c r="L25" i="215"/>
  <c r="K25" i="215"/>
  <c r="J25" i="215"/>
  <c r="I25" i="215"/>
  <c r="S75" i="215" s="1" a="1"/>
  <c r="S75" i="215" s="1"/>
  <c r="B79" i="216" s="1"/>
  <c r="R24" i="215"/>
  <c r="Q24" i="215"/>
  <c r="N24" i="215"/>
  <c r="M24" i="215"/>
  <c r="L24" i="215"/>
  <c r="K24" i="215"/>
  <c r="J24" i="215"/>
  <c r="R23" i="215"/>
  <c r="Q23" i="215"/>
  <c r="N23" i="215"/>
  <c r="M23" i="215"/>
  <c r="L23" i="215"/>
  <c r="K23" i="215"/>
  <c r="S65" i="215" s="1" a="1"/>
  <c r="S65" i="215" s="1"/>
  <c r="B69" i="216" s="1"/>
  <c r="I23" i="215"/>
  <c r="R22" i="215"/>
  <c r="Q22" i="215"/>
  <c r="N22" i="215"/>
  <c r="M22" i="215"/>
  <c r="L22" i="215"/>
  <c r="K22" i="215"/>
  <c r="J22" i="215"/>
  <c r="R21" i="215"/>
  <c r="Q21" i="215"/>
  <c r="N21" i="215"/>
  <c r="M21" i="215"/>
  <c r="L21" i="215"/>
  <c r="K21" i="215"/>
  <c r="I21" i="215"/>
  <c r="R20" i="215"/>
  <c r="Q20" i="215"/>
  <c r="S20" i="215" s="1" a="1"/>
  <c r="S20" i="215" s="1"/>
  <c r="B24" i="216" s="1"/>
  <c r="N20" i="215"/>
  <c r="M20" i="215"/>
  <c r="L20" i="215"/>
  <c r="K20" i="215"/>
  <c r="J20" i="215"/>
  <c r="R19" i="215"/>
  <c r="Q19" i="215"/>
  <c r="S19" i="215" s="1" a="1"/>
  <c r="S19" i="215" s="1"/>
  <c r="B23" i="216" s="1"/>
  <c r="N19" i="215"/>
  <c r="M19" i="215"/>
  <c r="L19" i="215"/>
  <c r="K19" i="215"/>
  <c r="R18" i="215"/>
  <c r="Q18" i="215"/>
  <c r="S18" i="215" s="1" a="1"/>
  <c r="S18" i="215" s="1"/>
  <c r="B22" i="216" s="1"/>
  <c r="N18" i="215"/>
  <c r="M18" i="215"/>
  <c r="S37" i="215" s="1" a="1"/>
  <c r="S37" i="215" s="1"/>
  <c r="B41" i="216" s="1"/>
  <c r="L18" i="215"/>
  <c r="K18" i="215"/>
  <c r="S35" i="215" s="1" a="1"/>
  <c r="S35" i="215" s="1"/>
  <c r="B39" i="216" s="1"/>
  <c r="J18" i="215"/>
  <c r="R17" i="215"/>
  <c r="Q17" i="215"/>
  <c r="N17" i="215"/>
  <c r="M17" i="215"/>
  <c r="S31" i="215" s="1" a="1"/>
  <c r="S31" i="215" s="1"/>
  <c r="B35" i="216" s="1"/>
  <c r="L17" i="215"/>
  <c r="K17" i="215"/>
  <c r="S29" i="215" s="1" a="1"/>
  <c r="S29" i="215" s="1"/>
  <c r="B33" i="216" s="1"/>
  <c r="J17" i="215"/>
  <c r="I17" i="215"/>
  <c r="S27" i="215" s="1" a="1"/>
  <c r="S27" i="215" s="1"/>
  <c r="B31" i="216" s="1"/>
  <c r="R16" i="215"/>
  <c r="Q16" i="215"/>
  <c r="S16" i="215" s="1" a="1"/>
  <c r="S16" i="215" s="1"/>
  <c r="B20" i="216" s="1"/>
  <c r="N16" i="215"/>
  <c r="M16" i="215"/>
  <c r="L16" i="215"/>
  <c r="K16" i="215"/>
  <c r="J16" i="215"/>
  <c r="R15" i="215"/>
  <c r="Q15" i="215"/>
  <c r="N15" i="215"/>
  <c r="M15" i="215"/>
  <c r="L15" i="215"/>
  <c r="K15" i="215"/>
  <c r="J15" i="215"/>
  <c r="I15" i="215"/>
  <c r="I36" i="215"/>
  <c r="B17" i="216"/>
  <c r="E3" i="215"/>
  <c r="B14" i="216" s="1"/>
  <c r="B165" i="214"/>
  <c r="B147" i="214"/>
  <c r="B148" i="214"/>
  <c r="B149" i="214"/>
  <c r="B154" i="214"/>
  <c r="B145" i="214"/>
  <c r="B146" i="214"/>
  <c r="B35" i="214"/>
  <c r="B59" i="214"/>
  <c r="B82" i="214"/>
  <c r="B83" i="214"/>
  <c r="B100" i="214"/>
  <c r="B132" i="214"/>
  <c r="B138" i="214"/>
  <c r="I16" i="213"/>
  <c r="I17" i="213"/>
  <c r="I18" i="213"/>
  <c r="I19" i="213"/>
  <c r="I20" i="213"/>
  <c r="I21" i="213"/>
  <c r="I22" i="213"/>
  <c r="S57" i="213" s="1" a="1"/>
  <c r="S57" i="213" s="1"/>
  <c r="B61" i="214" s="1"/>
  <c r="I23" i="213"/>
  <c r="I24" i="213"/>
  <c r="I25" i="213"/>
  <c r="I26" i="213"/>
  <c r="I27" i="213"/>
  <c r="I28" i="213"/>
  <c r="I29" i="213"/>
  <c r="I30" i="213"/>
  <c r="I31" i="213"/>
  <c r="I32" i="213"/>
  <c r="I33" i="213"/>
  <c r="I34" i="213"/>
  <c r="I35" i="213"/>
  <c r="I36" i="213"/>
  <c r="I37" i="213"/>
  <c r="I38" i="213"/>
  <c r="I15" i="213"/>
  <c r="J34" i="213"/>
  <c r="K34" i="213"/>
  <c r="L34" i="213"/>
  <c r="M34" i="213"/>
  <c r="N34" i="213"/>
  <c r="J35" i="213"/>
  <c r="K35" i="213"/>
  <c r="L35" i="213"/>
  <c r="M35" i="213"/>
  <c r="N35" i="213"/>
  <c r="J36" i="213"/>
  <c r="K36" i="213"/>
  <c r="L36" i="213"/>
  <c r="S144" i="213" s="1" a="1"/>
  <c r="S144" i="213"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R149" i="213"/>
  <c r="Q149" i="213"/>
  <c r="S149" i="213" s="1" a="1"/>
  <c r="S149" i="213" s="1"/>
  <c r="B153" i="214" s="1"/>
  <c r="R148" i="213"/>
  <c r="Q148" i="213"/>
  <c r="S148" i="213" s="1" a="1"/>
  <c r="S148" i="213" s="1"/>
  <c r="B152" i="214" s="1"/>
  <c r="S147" i="213" a="1"/>
  <c r="S147" i="213" s="1"/>
  <c r="B151" i="214" s="1"/>
  <c r="R147" i="213"/>
  <c r="Q147" i="213"/>
  <c r="R146" i="213"/>
  <c r="Q146" i="213"/>
  <c r="S146" i="213" s="1" a="1"/>
  <c r="S146" i="213" s="1"/>
  <c r="B150" i="214" s="1"/>
  <c r="R145" i="213"/>
  <c r="Q145" i="213"/>
  <c r="S145" i="213" s="1" a="1"/>
  <c r="S145" i="213" s="1"/>
  <c r="R144" i="213"/>
  <c r="Q144" i="213"/>
  <c r="R143" i="213"/>
  <c r="Q143" i="213"/>
  <c r="S143" i="213" s="1" a="1"/>
  <c r="S143" i="213" s="1"/>
  <c r="R142" i="213"/>
  <c r="Q142" i="213"/>
  <c r="S142" i="213" s="1" a="1"/>
  <c r="S142" i="213" s="1"/>
  <c r="R141" i="213"/>
  <c r="S141" i="213" s="1" a="1"/>
  <c r="S141" i="213" s="1"/>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S129" i="213" s="1" a="1"/>
  <c r="S129" i="213" s="1"/>
  <c r="B133" i="214" s="1"/>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R78" i="213"/>
  <c r="S78" i="213" s="1" a="1"/>
  <c r="S78" i="213"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R32" i="213"/>
  <c r="Q32" i="213"/>
  <c r="S122" i="213" a="1"/>
  <c r="S122" i="213" s="1"/>
  <c r="B126" i="214" s="1"/>
  <c r="S121" i="213" a="1"/>
  <c r="S121" i="213" s="1"/>
  <c r="B125" i="214" s="1"/>
  <c r="R31" i="213"/>
  <c r="Q31" i="213"/>
  <c r="S31" i="213" s="1" a="1"/>
  <c r="S31" i="213" s="1"/>
  <c r="S115" i="213" a="1"/>
  <c r="S115" i="213" s="1"/>
  <c r="B119" i="214" s="1"/>
  <c r="R30" i="213"/>
  <c r="Q30" i="213"/>
  <c r="S106" i="213" a="1"/>
  <c r="S106" i="213" s="1"/>
  <c r="B110" i="214" s="1"/>
  <c r="S105" i="213" a="1"/>
  <c r="S105" i="213" s="1"/>
  <c r="B109" i="214" s="1"/>
  <c r="R29" i="213"/>
  <c r="Q29" i="213"/>
  <c r="S28" i="213" a="1"/>
  <c r="S28" i="213" s="1"/>
  <c r="B32" i="214" s="1"/>
  <c r="R28" i="213"/>
  <c r="Q28" i="213"/>
  <c r="S96" i="213" a="1"/>
  <c r="S96" i="213"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5" i="210"/>
  <c r="C16" i="210"/>
  <c r="C17" i="210"/>
  <c r="C18" i="210"/>
  <c r="C19" i="210"/>
  <c r="C20" i="210"/>
  <c r="C21" i="210"/>
  <c r="C23" i="210"/>
  <c r="C24" i="210"/>
  <c r="C25" i="210"/>
  <c r="C26" i="210"/>
  <c r="C27" i="210"/>
  <c r="C28" i="210"/>
  <c r="C29" i="210"/>
  <c r="C30" i="210"/>
  <c r="C31" i="210"/>
  <c r="C32" i="210"/>
  <c r="C33" i="210"/>
  <c r="C34" i="210"/>
  <c r="L9" i="209"/>
  <c r="C42" i="210" s="1"/>
  <c r="L10" i="209"/>
  <c r="L11" i="209"/>
  <c r="L12" i="209"/>
  <c r="L13"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C14" i="210" s="1"/>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B187" i="208" l="1"/>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S36" i="215" a="1"/>
  <c r="S36" i="215" s="1"/>
  <c r="B40" i="216" s="1"/>
  <c r="S30" i="215" a="1"/>
  <c r="S30" i="215" s="1"/>
  <c r="B34" i="216" s="1"/>
  <c r="S24" i="215" a="1"/>
  <c r="S24" i="215" s="1"/>
  <c r="B28" i="216" s="1"/>
  <c r="S38" i="215" a="1"/>
  <c r="S38" i="215" s="1"/>
  <c r="B42" i="216" s="1"/>
  <c r="S26" i="215" a="1"/>
  <c r="S26" i="215" s="1"/>
  <c r="B30" i="216" s="1"/>
  <c r="S32" i="215" a="1"/>
  <c r="S32" i="215" s="1"/>
  <c r="B36" i="216" s="1"/>
  <c r="S44" i="215" a="1"/>
  <c r="S44" i="215" s="1"/>
  <c r="B48" i="216" s="1"/>
  <c r="S56" i="215" a="1"/>
  <c r="S56" i="215" s="1"/>
  <c r="B60" i="216" s="1"/>
  <c r="S92" i="215" a="1"/>
  <c r="S92" i="215" s="1"/>
  <c r="B96" i="216" s="1"/>
  <c r="S104" i="215" a="1"/>
  <c r="S104" i="215" s="1"/>
  <c r="B108" i="216" s="1"/>
  <c r="S137" i="215" a="1"/>
  <c r="S137" i="215" s="1"/>
  <c r="B141" i="216" s="1"/>
  <c r="S41" i="215" a="1"/>
  <c r="S41" i="215" s="1"/>
  <c r="B45" i="216" s="1"/>
  <c r="S149" i="215" a="1"/>
  <c r="S149" i="215" s="1"/>
  <c r="B153" i="216" s="1"/>
  <c r="S53" i="215" a="1"/>
  <c r="S53" i="215" s="1"/>
  <c r="B57" i="216" s="1"/>
  <c r="S77" i="215" a="1"/>
  <c r="S77" i="215" s="1"/>
  <c r="B81" i="216" s="1"/>
  <c r="S89" i="215" a="1"/>
  <c r="S89" i="215" s="1"/>
  <c r="B93" i="216" s="1"/>
  <c r="S119" i="215" a="1"/>
  <c r="S119" i="215" s="1"/>
  <c r="B123" i="216" s="1"/>
  <c r="S131" i="215" a="1"/>
  <c r="S131" i="215" s="1"/>
  <c r="B135" i="216" s="1"/>
  <c r="S17" i="215" a="1"/>
  <c r="S17" i="215" s="1"/>
  <c r="B21" i="216" s="1"/>
  <c r="S101" i="215" a="1"/>
  <c r="S101" i="215" s="1"/>
  <c r="B105" i="216" s="1"/>
  <c r="S23" i="215" a="1"/>
  <c r="S23" i="215" s="1"/>
  <c r="B27" i="216" s="1"/>
  <c r="S47" i="215" a="1"/>
  <c r="S47" i="215" s="1"/>
  <c r="B51" i="216" s="1"/>
  <c r="S40" i="215" a="1"/>
  <c r="S40" i="215" s="1"/>
  <c r="B44" i="216" s="1"/>
  <c r="S76" i="215" a="1"/>
  <c r="S76" i="215" s="1"/>
  <c r="B80" i="216" s="1"/>
  <c r="S88" i="215" a="1"/>
  <c r="S88" i="215" s="1"/>
  <c r="B92" i="216" s="1"/>
  <c r="S28" i="215" a="1"/>
  <c r="S28" i="215" s="1"/>
  <c r="B32" i="216" s="1"/>
  <c r="S124" i="215" a="1"/>
  <c r="S124" i="215" s="1"/>
  <c r="B128" i="216" s="1"/>
  <c r="S136" i="215" a="1"/>
  <c r="S136" i="215" s="1"/>
  <c r="B140" i="216" s="1"/>
  <c r="S99" i="215" a="1"/>
  <c r="S99" i="215" s="1"/>
  <c r="B103" i="216" s="1"/>
  <c r="S135" i="215" a="1"/>
  <c r="S135" i="215" s="1"/>
  <c r="B139" i="216" s="1"/>
  <c r="E6" i="215"/>
  <c r="B16" i="216" s="1"/>
  <c r="S147" i="215" a="1"/>
  <c r="S147" i="215" s="1"/>
  <c r="B151" i="216" s="1"/>
  <c r="S87" i="215" a="1"/>
  <c r="S87" i="215" s="1"/>
  <c r="B91" i="216" s="1"/>
  <c r="S22" i="215" a="1"/>
  <c r="S22" i="215" s="1"/>
  <c r="B26" i="216" s="1"/>
  <c r="S39" i="215" a="1"/>
  <c r="S39" i="215" s="1"/>
  <c r="B43"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S93" i="215" s="1" a="1"/>
  <c r="S93" i="215" s="1"/>
  <c r="B97" i="216" s="1"/>
  <c r="I30" i="215"/>
  <c r="S105" i="215" s="1" a="1"/>
  <c r="S105" i="215" s="1"/>
  <c r="B109" i="216" s="1"/>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tc={18806AE1-5A21-44E9-9F06-22C8E2954874}</author>
    <author>tc={C4499273-60D5-479F-9FDB-FC0A49B44300}</author>
  </authors>
  <commentList>
    <comment ref="A10" authorId="0"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1"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tc={554B81CC-74C7-43E5-83FA-81470E9DE750}</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23" authorId="2"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<sst xmlns="http://schemas.openxmlformats.org/spreadsheetml/2006/main" count="6991" uniqueCount="2335">
  <si>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</si>
  <si>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</si>
  <si>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</si>
  <si>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</si>
  <si>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</si>
  <si>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</si>
  <si>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</si>
  <si>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</si>
  <si>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</si>
  <si>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</si>
  <si>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</si>
  <si>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</si>
  <si>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</si>
  <si>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</si>
  <si>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</si>
  <si>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</si>
  <si>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</si>
  <si>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</si>
  <si>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</si>
  <si>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</si>
  <si>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</si>
  <si>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</si>
  <si>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</si>
  <si>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</si>
  <si>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</si>
  <si>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</si>
  <si>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</si>
  <si>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</si>
  <si>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</si>
  <si>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</si>
  <si>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</si>
  <si>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</si>
  <si>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</si>
  <si>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</si>
  <si>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</si>
  <si>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</si>
  <si>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</si>
  <si>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</si>
  <si>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</si>
  <si>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</si>
  <si>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</si>
  <si>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</si>
  <si>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</si>
  <si>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</si>
  <si>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</si>
  <si>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</si>
  <si>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</si>
  <si>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</si>
  <si>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</si>
  <si>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</si>
  <si>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</si>
  <si>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</si>
  <si>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</si>
  <si>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</si>
  <si>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</si>
  <si>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</si>
  <si>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</si>
  <si>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</si>
  <si>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</si>
  <si>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</si>
  <si>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</si>
  <si>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</si>
  <si>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</si>
  <si>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</si>
  <si>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</si>
  <si>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</si>
  <si>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</si>
  <si>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</si>
  <si>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</si>
  <si>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</si>
  <si>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</si>
  <si>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</si>
  <si>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</si>
  <si>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</si>
  <si>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</si>
  <si>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</si>
  <si>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</si>
  <si>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</si>
  <si>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</si>
  <si>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</si>
  <si>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</si>
  <si>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</si>
  <si>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</si>
  <si>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</si>
  <si>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</si>
  <si>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</si>
  <si>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</si>
  <si>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</si>
  <si>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</si>
  <si>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</si>
  <si>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</si>
  <si>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</si>
  <si>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</si>
  <si>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</si>
  <si>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</si>
  <si>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</si>
  <si>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</si>
  <si>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</si>
  <si>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</si>
  <si>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</si>
  <si>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</si>
  <si>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</si>
  <si>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</si>
  <si>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</si>
  <si>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</si>
  <si>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</si>
  <si>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</si>
  <si>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</si>
  <si>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</si>
  <si>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</si>
  <si>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</si>
  <si>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</si>
  <si>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</si>
  <si>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</si>
  <si>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</si>
  <si>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</si>
  <si>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</si>
  <si>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</si>
  <si>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</si>
  <si>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</si>
  <si>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</si>
  <si>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</si>
  <si>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</si>
  <si>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</si>
  <si>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</si>
  <si>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</si>
  <si>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</si>
  <si>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</si>
  <si>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</si>
  <si>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</si>
  <si>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</si>
  <si>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</si>
  <si>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</si>
  <si>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</si>
  <si>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</si>
  <si>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</si>
  <si>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</si>
  <si>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</si>
  <si>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</si>
  <si>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</si>
  <si>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</si>
  <si>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</si>
  <si>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</si>
  <si>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</si>
  <si>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</si>
  <si>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</si>
  <si>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</si>
  <si>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</si>
  <si>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</si>
  <si>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</si>
  <si>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</si>
  <si>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</si>
  <si>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</si>
  <si>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</si>
  <si>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</si>
  <si>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</si>
  <si>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</si>
  <si>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</si>
  <si>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</si>
  <si>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</si>
  <si>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</si>
  <si>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</si>
  <si>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</si>
  <si>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</si>
  <si>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</si>
  <si>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</si>
  <si>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</si>
  <si>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</si>
  <si>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</si>
  <si>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</si>
  <si>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</si>
  <si>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</si>
  <si>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</si>
  <si>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</si>
  <si>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</si>
  <si>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</si>
  <si>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</si>
  <si>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</si>
  <si>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</si>
  <si>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</si>
  <si>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</si>
  <si>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</si>
  <si>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</si>
  <si>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</si>
  <si>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</si>
  <si>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</si>
  <si>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</si>
  <si>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</si>
  <si>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</si>
  <si>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</si>
  <si>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</si>
  <si>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</si>
  <si>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</si>
  <si>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</si>
  <si>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</si>
  <si>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</si>
  <si>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</si>
  <si>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</si>
  <si>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</si>
  <si>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</si>
  <si>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</si>
  <si>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</si>
  <si>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</si>
  <si>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</si>
  <si>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</si>
  <si>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</si>
  <si>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</si>
  <si>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</si>
  <si>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</si>
  <si>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</si>
  <si>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</si>
  <si>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</si>
  <si>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</si>
  <si>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</si>
  <si>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</si>
  <si>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</si>
  <si>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</si>
  <si>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</si>
  <si>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</si>
  <si>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</si>
  <si>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</si>
  <si>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</si>
  <si>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</si>
  <si>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</si>
  <si>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</si>
  <si>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</si>
  <si>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</si>
  <si>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</si>
  <si>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</si>
  <si>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</si>
  <si>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</si>
  <si>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</si>
  <si>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</si>
  <si>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</si>
  <si>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</si>
  <si>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</si>
  <si>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</si>
  <si>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</si>
  <si>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</si>
  <si>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</si>
  <si>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</si>
  <si>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</si>
  <si>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</si>
  <si>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</si>
  <si>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</si>
  <si>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</si>
  <si>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</si>
  <si>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</si>
  <si>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</si>
  <si>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</si>
  <si>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</si>
  <si>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</si>
  <si>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</si>
  <si>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</si>
  <si>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</si>
  <si>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</si>
  <si>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</si>
  <si>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</si>
  <si>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</si>
  <si>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</si>
  <si>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</si>
  <si>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</si>
  <si>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</si>
  <si>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</si>
  <si>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</si>
  <si>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</si>
  <si>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</si>
  <si>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</si>
  <si>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</si>
  <si>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</si>
  <si>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</si>
  <si>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</si>
  <si>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</si>
  <si>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</si>
  <si>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</si>
  <si>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</si>
  <si>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</si>
  <si>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</si>
  <si>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</si>
  <si>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</si>
  <si>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</si>
  <si>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</si>
  <si>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</si>
  <si>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</si>
  <si>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</si>
  <si>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</si>
  <si>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</si>
  <si>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</si>
  <si>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</si>
  <si>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</si>
  <si>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</si>
  <si>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</si>
  <si>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</si>
  <si>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</si>
  <si>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</si>
  <si>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</si>
  <si>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</si>
  <si>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</si>
  <si>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</si>
  <si>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</si>
  <si>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</si>
  <si>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</si>
  <si>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</si>
  <si>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</si>
  <si>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</si>
  <si>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</si>
  <si>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</si>
  <si>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</si>
  <si>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</si>
  <si>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</si>
  <si>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</si>
  <si>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</si>
  <si>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</si>
  <si>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</si>
  <si>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</si>
  <si>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</si>
  <si>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</si>
  <si>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</si>
  <si>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</si>
  <si>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</si>
  <si>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</si>
  <si>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</si>
  <si>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</si>
  <si>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</si>
  <si>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</si>
  <si>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</si>
  <si>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</si>
  <si>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</si>
  <si>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</si>
  <si>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</si>
  <si>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</si>
  <si>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</si>
  <si>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</si>
  <si>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</si>
  <si>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</si>
  <si>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</si>
  <si>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</si>
  <si>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</si>
  <si>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</si>
  <si>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</si>
  <si>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</si>
  <si>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</si>
  <si>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</si>
  <si>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</si>
  <si>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</si>
  <si>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</si>
  <si>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</si>
  <si>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</si>
  <si>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</si>
  <si>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</si>
  <si>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</si>
  <si>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</si>
  <si>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</si>
  <si>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</si>
  <si>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</si>
  <si>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</si>
  <si>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</si>
  <si>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</si>
  <si>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</si>
  <si>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</si>
  <si>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</si>
  <si>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</si>
  <si>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</si>
  <si>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</si>
  <si>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</si>
  <si>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</si>
  <si>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</si>
  <si>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</si>
  <si>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</si>
  <si>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</si>
  <si>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</si>
  <si>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</si>
  <si>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</si>
  <si>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</si>
  <si>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</si>
  <si>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</si>
  <si>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</si>
  <si>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</si>
  <si>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</si>
  <si>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</si>
  <si>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</si>
  <si>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</si>
  <si>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</si>
  <si>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</si>
  <si>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</si>
  <si>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</si>
  <si>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</si>
  <si>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</si>
  <si>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</si>
  <si>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</si>
  <si>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</si>
  <si>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</si>
  <si>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</si>
  <si>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</si>
  <si>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</si>
  <si>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</si>
  <si>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</si>
  <si>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</si>
  <si>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</si>
  <si>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</si>
  <si>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</si>
  <si>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</si>
  <si>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</si>
  <si>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</si>
  <si>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</si>
  <si>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</si>
  <si>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</si>
  <si>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</si>
  <si>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</si>
  <si>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</si>
  <si>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</si>
  <si>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</si>
  <si>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</si>
  <si>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</si>
  <si>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</si>
  <si>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</si>
  <si>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</si>
  <si>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</si>
  <si>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</si>
  <si>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</si>
  <si>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</si>
  <si>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</si>
  <si>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</si>
  <si>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</si>
  <si>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</si>
  <si>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</si>
  <si>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</si>
  <si>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</si>
  <si>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</si>
  <si>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</si>
  <si>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</si>
  <si>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</si>
  <si>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</si>
  <si>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</si>
  <si>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</si>
  <si>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</si>
  <si>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</si>
  <si>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</si>
  <si>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</si>
  <si>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</si>
  <si>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</si>
  <si>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</si>
  <si>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</si>
  <si>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</si>
  <si>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</si>
  <si>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</si>
  <si>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</si>
  <si>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</si>
  <si>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</si>
  <si>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</si>
  <si>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</si>
  <si>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</si>
  <si>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</si>
  <si>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</si>
  <si>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</si>
  <si>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</si>
  <si>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</si>
  <si>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</si>
  <si>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</si>
  <si>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</si>
  <si>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</si>
  <si>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</si>
  <si>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</si>
  <si>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</si>
  <si>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</si>
  <si>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</si>
  <si>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</si>
  <si>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</si>
  <si>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</si>
  <si>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</si>
  <si>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</si>
  <si>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</si>
  <si>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</si>
  <si>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</si>
  <si>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</si>
  <si>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</si>
  <si>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</si>
  <si>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</si>
  <si>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</si>
  <si>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</si>
  <si>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</si>
  <si>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</si>
  <si>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</si>
  <si>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</si>
  <si>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</si>
  <si>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</si>
  <si>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</si>
  <si>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</si>
  <si>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</si>
  <si>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</si>
  <si>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</si>
  <si>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</si>
  <si>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</si>
  <si>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</si>
  <si>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</si>
  <si>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</si>
  <si>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</si>
  <si>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</si>
  <si>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</si>
  <si>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</si>
  <si>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</si>
  <si>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</si>
  <si>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</si>
  <si>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</si>
  <si>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</si>
  <si>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</si>
  <si>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</si>
  <si>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</si>
  <si>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</si>
  <si>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</si>
  <si>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</si>
  <si>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</si>
  <si>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</si>
  <si>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</si>
  <si>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</si>
  <si>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</si>
  <si>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</si>
  <si>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</si>
  <si>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</si>
  <si>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</si>
  <si>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</si>
  <si>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</si>
  <si>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</si>
  <si>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</si>
  <si>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</si>
  <si>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</si>
  <si>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</si>
  <si>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</si>
  <si>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</si>
  <si>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</si>
  <si>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</si>
  <si>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</si>
  <si>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</si>
  <si>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</si>
  <si>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</si>
  <si>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</si>
  <si>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</si>
  <si>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</si>
  <si>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</si>
  <si>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</si>
  <si>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</si>
  <si>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</si>
  <si>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</si>
  <si>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</si>
  <si>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</si>
  <si>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</si>
  <si>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</si>
  <si>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</si>
  <si>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</si>
  <si>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</si>
  <si>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</si>
  <si>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</si>
  <si>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</si>
  <si>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</si>
  <si>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</si>
  <si>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</si>
  <si>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</si>
  <si>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</si>
  <si>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</si>
  <si>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</si>
  <si>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</si>
  <si>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</si>
  <si>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</si>
  <si>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</si>
  <si>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</si>
  <si>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</si>
  <si>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</si>
  <si>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</si>
  <si>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</si>
  <si>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</si>
  <si>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</si>
  <si>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</si>
  <si>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</si>
  <si>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</si>
  <si>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</si>
  <si>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</si>
  <si>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</si>
  <si>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</si>
  <si>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</si>
  <si>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</si>
  <si>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</si>
  <si>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</si>
  <si>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</si>
  <si>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</si>
  <si>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</si>
  <si>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</si>
  <si>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</si>
  <si>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</si>
  <si>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</si>
  <si>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</si>
  <si>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</si>
  <si>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</si>
  <si>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</si>
  <si>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</si>
  <si>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</si>
  <si>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</si>
  <si>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</si>
  <si>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</si>
  <si>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</si>
  <si>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</si>
  <si>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</si>
  <si>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</si>
  <si>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</si>
  <si>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</si>
  <si>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</si>
  <si>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</si>
  <si>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</si>
  <si>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</si>
  <si>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</si>
  <si>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</si>
  <si>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</si>
  <si>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</si>
  <si>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</si>
  <si>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</si>
  <si>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</si>
  <si>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</si>
  <si>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</si>
  <si>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</si>
  <si>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</si>
  <si>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</si>
  <si>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</si>
  <si>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</si>
  <si>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</si>
  <si>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</si>
  <si>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</si>
  <si>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</si>
  <si>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</si>
  <si>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</si>
  <si>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</si>
  <si>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</si>
  <si>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</si>
  <si>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</si>
  <si>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</si>
  <si>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</si>
  <si>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</si>
  <si>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</si>
  <si>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</si>
  <si>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</si>
  <si>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</si>
  <si>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</si>
  <si>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</si>
  <si>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</si>
  <si>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</si>
  <si>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</si>
  <si>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</si>
  <si>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</si>
  <si>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</si>
  <si>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</si>
  <si>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</si>
  <si>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</si>
  <si>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</si>
  <si>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</si>
  <si>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</si>
  <si>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</si>
  <si>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</si>
  <si>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</si>
  <si>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</si>
  <si>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</si>
  <si>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</si>
  <si>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</si>
  <si>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</si>
  <si>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</si>
  <si>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</si>
  <si>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</si>
  <si>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</si>
  <si>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</si>
  <si>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</si>
  <si>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</si>
  <si>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</si>
  <si>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</si>
  <si>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</si>
  <si>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</si>
  <si>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</si>
  <si>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</si>
  <si>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</si>
  <si>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</si>
  <si>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</si>
  <si>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</si>
  <si>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</si>
  <si>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</si>
  <si>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</si>
  <si>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</si>
  <si>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</si>
  <si>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</si>
  <si>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</si>
  <si>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</si>
  <si>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</si>
  <si>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</si>
  <si>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</si>
  <si>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</si>
  <si>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</si>
  <si>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</si>
  <si>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</si>
  <si>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</si>
  <si>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</si>
  <si>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</si>
  <si>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</si>
  <si>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</si>
  <si>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</si>
  <si>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</si>
  <si>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</si>
  <si>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</si>
  <si>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</si>
  <si>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</si>
  <si>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</si>
  <si>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</si>
  <si>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</si>
  <si>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</si>
  <si>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</si>
  <si>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</si>
  <si>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</si>
  <si>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</si>
  <si>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</si>
  <si>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</si>
  <si>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</si>
  <si>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</si>
  <si>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</si>
  <si>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</si>
  <si>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</si>
  <si>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</si>
  <si>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</si>
  <si>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</si>
  <si>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</si>
  <si>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</si>
  <si>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</si>
  <si>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</si>
  <si>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</si>
  <si>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</si>
  <si>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</si>
  <si>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</si>
  <si>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</si>
  <si>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</si>
  <si>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</si>
  <si>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</si>
  <si>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</si>
  <si>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</si>
  <si>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</si>
  <si>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</si>
  <si>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</si>
  <si>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</si>
  <si>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</si>
  <si>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</si>
  <si>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</si>
  <si>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</si>
  <si>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</si>
  <si>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</si>
  <si>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</si>
  <si>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</si>
  <si>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</si>
  <si>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</si>
  <si>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</si>
  <si>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</si>
  <si>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</si>
  <si>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</si>
  <si>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</si>
  <si>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</si>
  <si>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</si>
  <si>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</si>
  <si>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</si>
  <si>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</si>
  <si>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</si>
  <si>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</si>
  <si>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</si>
  <si>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</si>
  <si>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</si>
  <si>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</si>
  <si>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</si>
  <si>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</si>
  <si>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</si>
  <si>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</si>
  <si>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</si>
  <si>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</si>
  <si>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</si>
  <si>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</si>
  <si>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</si>
  <si>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</si>
  <si>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</si>
  <si>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</si>
  <si>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</si>
  <si>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</si>
  <si>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</si>
  <si>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</si>
  <si>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</si>
  <si>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</si>
  <si>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</si>
  <si>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</si>
  <si>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</si>
  <si>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</si>
  <si>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</si>
  <si>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</si>
  <si>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</si>
  <si>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</si>
  <si>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</si>
  <si>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</si>
  <si>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</si>
  <si>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</si>
  <si>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</si>
  <si>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</si>
  <si>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</si>
  <si>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</si>
  <si>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</si>
  <si>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</si>
  <si>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</si>
  <si>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</si>
  <si>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</si>
  <si>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</si>
  <si>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</si>
  <si>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</si>
  <si>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</si>
  <si>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</si>
  <si>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</si>
  <si>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</si>
  <si>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</si>
  <si>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</si>
  <si>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</si>
  <si>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</si>
  <si>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</si>
  <si>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</si>
  <si>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</si>
  <si>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</si>
  <si>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</si>
  <si>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</si>
  <si>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</si>
  <si>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</si>
  <si>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</si>
  <si>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</si>
  <si>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</si>
  <si>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</si>
  <si>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</si>
  <si>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</si>
  <si>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</si>
  <si>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</si>
  <si>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</si>
  <si>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</si>
  <si>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</si>
  <si>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</si>
  <si>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</si>
  <si>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</si>
  <si>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</si>
  <si>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</si>
  <si>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</si>
  <si>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</si>
  <si>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</si>
  <si>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</si>
  <si>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</si>
  <si>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</si>
  <si>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</si>
  <si>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</si>
  <si>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</si>
  <si>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</si>
  <si>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</si>
  <si>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</si>
  <si>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</si>
  <si>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</si>
  <si>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</si>
  <si>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</si>
  <si>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</si>
  <si>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</si>
  <si>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</si>
  <si>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</si>
  <si>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</si>
  <si>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</si>
  <si>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</si>
  <si>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</si>
  <si>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</si>
  <si>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</si>
  <si>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</si>
  <si>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</si>
  <si>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</si>
  <si>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</si>
  <si>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</si>
  <si>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</si>
  <si>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</si>
  <si>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</si>
  <si>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</si>
  <si>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</si>
  <si>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</si>
  <si>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</si>
  <si>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</si>
  <si>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</si>
  <si>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</si>
  <si>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</si>
  <si>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</si>
  <si>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</si>
  <si>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</si>
  <si>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</si>
  <si>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</si>
  <si>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</si>
  <si>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</si>
  <si>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</si>
  <si>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</si>
  <si>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</si>
  <si>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</si>
  <si>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</si>
  <si>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</si>
  <si>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</si>
  <si>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</si>
  <si>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</si>
  <si>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</si>
  <si>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</si>
  <si>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</si>
  <si>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</si>
  <si>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</si>
  <si>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</si>
  <si>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</si>
  <si>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</si>
  <si>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</si>
  <si>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</si>
  <si>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</si>
  <si>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</si>
  <si>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</si>
  <si>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</si>
  <si>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</si>
  <si>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</si>
  <si>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</si>
  <si>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</si>
  <si>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</si>
  <si>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</si>
  <si>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</si>
  <si>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</si>
  <si>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</si>
  <si>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</si>
  <si>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</si>
  <si>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</si>
  <si>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</si>
  <si>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</si>
  <si>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</si>
  <si>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</si>
  <si>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</si>
  <si>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</si>
  <si>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</si>
  <si>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</si>
  <si>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</si>
  <si>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</si>
  <si>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</si>
  <si>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</si>
  <si>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</si>
  <si>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</si>
  <si>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</si>
  <si>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</si>
  <si>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</si>
  <si>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</si>
  <si>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</si>
  <si>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</si>
  <si>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</si>
  <si>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</si>
  <si>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</si>
  <si>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</si>
  <si>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</si>
  <si>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</si>
  <si>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</si>
  <si>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</si>
  <si>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</si>
  <si>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</si>
  <si>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</si>
  <si>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</si>
  <si>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</si>
  <si>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</si>
  <si>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</si>
  <si>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</si>
  <si>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</si>
  <si>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</si>
  <si>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</si>
  <si>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</si>
  <si>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</si>
  <si>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</si>
  <si>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</si>
  <si>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</si>
  <si>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</si>
  <si>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</si>
  <si>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</si>
  <si>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</si>
  <si>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</si>
  <si>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</si>
  <si>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</si>
  <si>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</si>
  <si>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</si>
  <si>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</si>
  <si>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</si>
  <si>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</si>
  <si>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</si>
  <si>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</si>
  <si>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</si>
  <si>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</si>
  <si>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</si>
  <si>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</si>
  <si>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</si>
  <si>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</si>
  <si>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</si>
  <si>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</si>
  <si>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</si>
  <si>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</si>
  <si>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</si>
  <si>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</si>
  <si>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</si>
  <si>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</si>
  <si>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</si>
  <si>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</si>
  <si>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</si>
  <si>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</si>
  <si>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</si>
  <si>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</si>
  <si>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</si>
  <si>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</si>
  <si>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</si>
  <si>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</si>
  <si>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</si>
  <si>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</si>
  <si>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</si>
  <si>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</si>
  <si>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</si>
  <si>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</si>
  <si>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</si>
  <si>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</si>
  <si>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</si>
  <si>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</si>
  <si>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</si>
  <si>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</si>
  <si>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</si>
  <si>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</si>
  <si>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</si>
  <si>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</si>
  <si>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</si>
  <si>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</si>
  <si>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</si>
  <si>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</si>
  <si>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</si>
  <si>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</si>
  <si>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</si>
  <si>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</si>
  <si>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</si>
  <si>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</si>
  <si>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</si>
  <si>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</si>
  <si>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</si>
  <si>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</si>
  <si>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</si>
  <si>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</si>
  <si>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</si>
  <si>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</si>
  <si>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</si>
  <si>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</si>
  <si>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</si>
  <si>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</si>
  <si>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</si>
  <si>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</si>
  <si>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</si>
  <si>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</si>
  <si>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</si>
  <si>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</si>
  <si>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</si>
  <si>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</si>
  <si>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</si>
  <si>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</si>
  <si>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</si>
  <si>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</si>
  <si>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</si>
  <si>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</si>
  <si>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</si>
  <si>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</si>
  <si>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</si>
  <si>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</si>
  <si>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</si>
  <si>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</si>
  <si>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</si>
  <si>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</si>
  <si>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</si>
  <si>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</si>
  <si>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</si>
  <si>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</si>
  <si>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</si>
  <si>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</si>
  <si>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</si>
  <si>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</si>
  <si>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</si>
  <si>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</si>
  <si>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</si>
  <si>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</si>
  <si>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</si>
  <si>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</si>
  <si>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</si>
  <si>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</si>
  <si>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</si>
  <si>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</si>
  <si>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</si>
  <si>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</si>
  <si>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</si>
  <si>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</si>
  <si>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</si>
  <si>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</si>
  <si>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</si>
  <si>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</si>
  <si>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</si>
  <si>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</si>
  <si>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</si>
  <si>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</si>
  <si>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</si>
  <si>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</si>
  <si>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</si>
  <si>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</si>
  <si>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</si>
  <si>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</si>
  <si>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</si>
  <si>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</si>
  <si>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</si>
  <si>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</si>
  <si>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</si>
  <si>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</si>
  <si>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</si>
  <si>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</si>
  <si>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</si>
  <si>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</si>
  <si>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</si>
  <si>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</si>
  <si>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</si>
  <si>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</si>
  <si>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</si>
  <si>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</si>
  <si>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</si>
  <si>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</si>
  <si>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</si>
  <si>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</si>
  <si>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</si>
  <si>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</si>
  <si>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</si>
  <si>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</si>
  <si>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</si>
  <si>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</si>
  <si>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</si>
  <si>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</si>
  <si>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</si>
  <si>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</si>
  <si>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</si>
  <si>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</si>
  <si>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</si>
  <si>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</si>
  <si>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</si>
  <si>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</si>
  <si>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</si>
  <si>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</si>
  <si>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</si>
  <si>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</si>
  <si>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</si>
  <si>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</si>
  <si>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</si>
  <si>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</si>
  <si>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</si>
  <si>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</si>
  <si>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</si>
  <si>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</si>
  <si>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</si>
  <si>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</si>
  <si>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</si>
  <si>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</si>
  <si>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</si>
  <si>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</si>
  <si>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</si>
  <si>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</si>
  <si>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</si>
  <si>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</si>
  <si>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</si>
  <si>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</si>
  <si>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</si>
  <si>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</si>
  <si>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</si>
  <si>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</si>
  <si>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</si>
  <si>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</si>
  <si>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</si>
  <si>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</si>
  <si>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</si>
  <si>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</si>
  <si>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</si>
  <si>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</si>
  <si>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</si>
  <si>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</si>
  <si>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</si>
  <si>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</si>
  <si>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</si>
  <si>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</si>
  <si>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</si>
  <si>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</si>
  <si>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</si>
  <si>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</si>
  <si>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</si>
  <si>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</si>
  <si>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</si>
  <si>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</si>
  <si>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</si>
  <si>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</si>
  <si>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</si>
  <si>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</si>
  <si>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</si>
  <si>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</si>
  <si>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</si>
  <si>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</si>
  <si>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</si>
  <si>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</si>
  <si>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</si>
  <si>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</si>
  <si>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</si>
  <si>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</si>
  <si>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</si>
  <si>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</si>
  <si>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</si>
  <si>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</si>
  <si>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</si>
  <si>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</si>
  <si>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</si>
  <si>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</si>
  <si>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</si>
  <si>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</si>
  <si>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</si>
  <si>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</si>
  <si>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</si>
  <si>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</si>
  <si>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</si>
  <si>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</si>
  <si>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</si>
  <si>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</si>
  <si>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</si>
  <si>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</si>
  <si>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</si>
  <si>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</si>
  <si>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</si>
  <si>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</si>
  <si>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</si>
  <si>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</si>
  <si>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</si>
  <si>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</si>
  <si>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</si>
  <si>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</si>
  <si>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</si>
  <si>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</si>
  <si>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</si>
  <si>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</si>
  <si>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</si>
  <si>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</si>
  <si>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</si>
  <si>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</si>
  <si>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</si>
  <si>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</si>
  <si>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</si>
  <si>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</si>
  <si>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</si>
  <si>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</si>
  <si>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</si>
  <si>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</si>
  <si>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</si>
  <si>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</si>
  <si>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</si>
  <si>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</si>
  <si>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</si>
  <si>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</si>
  <si>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</si>
  <si>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</si>
  <si>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</si>
  <si>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</si>
  <si>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</si>
  <si>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</si>
  <si>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</si>
  <si>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</si>
  <si>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</si>
  <si>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</si>
  <si>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</si>
  <si>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</si>
  <si>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</si>
  <si>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</si>
  <si>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</si>
  <si>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</si>
  <si>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</si>
  <si>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</si>
  <si>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</si>
  <si>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</si>
  <si>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</si>
  <si>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</si>
  <si>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</si>
  <si>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</si>
  <si>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</si>
  <si>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</si>
  <si>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</si>
  <si>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</si>
  <si>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</si>
  <si>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</si>
  <si>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</si>
  <si>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</si>
  <si>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</si>
  <si>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</si>
  <si>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</si>
  <si>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</si>
  <si>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</si>
  <si>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</si>
  <si>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</si>
  <si>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</si>
  <si>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</si>
  <si>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</si>
  <si>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</si>
  <si>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</si>
  <si>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</si>
  <si>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</si>
  <si>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</si>
  <si>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</si>
  <si>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</si>
  <si>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</si>
  <si>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</si>
  <si>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</si>
  <si>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</si>
  <si>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</si>
  <si>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</si>
  <si>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</si>
  <si>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</si>
  <si>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</si>
  <si>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</si>
  <si>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</si>
  <si>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</si>
  <si>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</si>
  <si>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</si>
  <si>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</si>
  <si>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</si>
  <si>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</si>
  <si>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</si>
  <si>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</si>
  <si>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</si>
  <si>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</si>
  <si>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</si>
  <si>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</si>
  <si>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</si>
  <si>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</si>
  <si>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</si>
  <si>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</si>
  <si>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</si>
  <si>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</si>
  <si>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</si>
  <si>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</si>
  <si>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</si>
  <si>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</si>
  <si>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</si>
  <si>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</si>
  <si>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</si>
  <si>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</si>
  <si>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</si>
  <si>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</si>
  <si>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</si>
  <si>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</si>
  <si>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</si>
  <si>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</si>
  <si>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</si>
  <si>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</si>
  <si>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</si>
  <si>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</si>
  <si>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</si>
  <si>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</si>
  <si>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</si>
  <si>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</si>
  <si>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</si>
  <si>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</si>
  <si>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</si>
  <si>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</si>
  <si>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</si>
  <si>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</si>
  <si>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</si>
  <si>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</si>
  <si>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</si>
  <si>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</si>
  <si>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</si>
  <si>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</si>
  <si>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</si>
  <si>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</si>
  <si>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</si>
  <si>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</si>
  <si>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</si>
  <si>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</si>
  <si>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</si>
  <si>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</si>
  <si>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</si>
  <si>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</si>
  <si>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</si>
  <si>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</si>
  <si>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</si>
  <si>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</si>
  <si>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</si>
  <si>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</si>
  <si>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</si>
  <si>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</si>
  <si>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</si>
  <si>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</si>
  <si>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</si>
  <si>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</si>
  <si>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</si>
  <si>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</si>
  <si>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</si>
  <si>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</si>
  <si>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</si>
  <si>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</si>
  <si>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</si>
  <si>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</si>
  <si>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</si>
  <si>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</si>
  <si>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</si>
  <si>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</si>
  <si>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</si>
  <si>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</si>
  <si>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</si>
  <si>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</si>
  <si>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</si>
  <si>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</si>
  <si>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</si>
  <si>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</si>
  <si>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</si>
  <si>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</si>
  <si>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</si>
  <si>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</si>
  <si>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</si>
  <si>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</si>
  <si>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</si>
  <si>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</si>
  <si>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</si>
  <si>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</si>
  <si>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</si>
  <si>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</si>
  <si>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</si>
  <si>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</si>
  <si>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</si>
  <si>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</si>
  <si>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</si>
  <si>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</si>
  <si>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</si>
  <si>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</si>
  <si>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</si>
  <si>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</si>
  <si>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</si>
  <si>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</si>
  <si>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</si>
  <si>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</si>
  <si>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</si>
  <si>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</si>
  <si>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</si>
  <si>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</si>
  <si>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</si>
  <si>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</si>
  <si>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</si>
  <si>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</si>
  <si>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</si>
  <si>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</si>
  <si>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</si>
  <si>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</si>
  <si>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</si>
  <si>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</si>
  <si>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</si>
  <si>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</si>
  <si>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</si>
  <si>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</si>
  <si>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</si>
  <si>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</si>
  <si>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</si>
  <si>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</si>
  <si>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</si>
  <si>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</si>
  <si>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</si>
  <si>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</si>
  <si>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</si>
  <si>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</si>
  <si>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</si>
  <si>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</si>
  <si>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</si>
  <si>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</si>
  <si>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</si>
  <si>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</si>
  <si>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</si>
  <si>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</si>
  <si>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</si>
  <si>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</si>
  <si>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</si>
  <si>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</si>
  <si>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</si>
  <si>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</si>
  <si>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</si>
  <si>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</si>
  <si>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</si>
  <si>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</si>
  <si>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</si>
  <si>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</si>
  <si>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</si>
  <si>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</si>
  <si>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</si>
  <si>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</si>
  <si>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</si>
  <si>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</si>
  <si>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</si>
  <si>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</si>
  <si>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</si>
  <si>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</si>
  <si>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</si>
  <si>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</si>
  <si>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</si>
  <si>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</si>
  <si>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</si>
  <si>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</si>
  <si>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</si>
  <si>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</si>
  <si>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</si>
  <si>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</si>
  <si>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</si>
  <si>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</si>
  <si>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</si>
  <si>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</si>
  <si>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</si>
  <si>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</si>
  <si>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</si>
  <si>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</si>
  <si>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</si>
  <si>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</si>
  <si>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</si>
  <si>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</si>
  <si>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</si>
  <si>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</si>
  <si>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</si>
  <si>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</si>
  <si>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</si>
  <si>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</si>
  <si>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</si>
  <si>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</si>
  <si>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</si>
  <si>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</si>
  <si>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</si>
  <si>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</si>
  <si>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</si>
  <si>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</si>
  <si>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</si>
  <si>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</si>
  <si>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</si>
  <si>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</si>
  <si>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</si>
  <si>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</si>
  <si>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</si>
  <si>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</si>
  <si>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</si>
  <si>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</si>
  <si>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</si>
  <si>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</si>
  <si>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</si>
  <si>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</si>
  <si>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</si>
  <si>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</si>
  <si>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</si>
  <si>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</si>
  <si>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</si>
  <si>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</si>
  <si>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</si>
  <si>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</si>
  <si>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</si>
  <si>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</si>
  <si>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</si>
  <si>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</si>
  <si>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</si>
  <si>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</si>
  <si>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</si>
  <si>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</si>
  <si>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</si>
  <si>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</si>
  <si>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</si>
  <si>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</si>
  <si>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</si>
  <si>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</si>
  <si>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</si>
  <si>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</si>
  <si>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</si>
  <si>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</si>
  <si>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</si>
  <si>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</si>
  <si>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</si>
  <si>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</si>
  <si>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</si>
  <si>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</si>
  <si>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</si>
  <si>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</si>
  <si>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</si>
  <si>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</si>
  <si>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</si>
  <si>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</si>
  <si>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</si>
  <si>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</si>
  <si>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</si>
  <si>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</si>
  <si>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</si>
  <si>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</si>
  <si>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</si>
  <si>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</si>
  <si>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</si>
  <si>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</si>
  <si>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</si>
  <si>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</si>
  <si>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</si>
  <si>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</si>
  <si>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</si>
  <si>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</si>
  <si>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</si>
  <si>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</si>
  <si>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</si>
  <si>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</si>
  <si>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</si>
  <si>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</si>
  <si>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</si>
  <si>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</si>
  <si>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</si>
  <si>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</si>
  <si>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</si>
  <si>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</si>
  <si>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</si>
  <si>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</si>
  <si>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</si>
  <si>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</si>
  <si>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</si>
  <si>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</si>
  <si>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</si>
  <si>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</si>
  <si>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</si>
  <si>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</si>
  <si>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</si>
  <si>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</si>
  <si>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</si>
  <si>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</si>
  <si>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</si>
  <si>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</si>
  <si>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</si>
  <si>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</si>
  <si>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</si>
  <si>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</si>
  <si>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</si>
  <si>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</si>
  <si>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</si>
  <si>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</si>
  <si>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</si>
  <si>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</si>
  <si>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</si>
  <si>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</si>
  <si>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</si>
  <si>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</si>
  <si>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</si>
  <si>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</si>
  <si>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</si>
  <si>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</si>
  <si>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</si>
  <si>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</si>
  <si>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</si>
  <si>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</si>
  <si>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</si>
  <si>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</si>
  <si>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</si>
  <si>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</si>
  <si>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</si>
  <si>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</si>
  <si>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</si>
  <si>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</si>
  <si>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</si>
  <si>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</si>
  <si>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</si>
  <si>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</si>
  <si>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</si>
  <si>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</si>
  <si>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</si>
  <si>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</si>
  <si>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</si>
  <si>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</si>
  <si>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</si>
  <si>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</si>
  <si>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</si>
  <si>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</si>
  <si>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</si>
  <si>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</si>
  <si>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</si>
  <si>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</si>
  <si>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</si>
  <si>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</si>
  <si>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</si>
  <si>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</si>
  <si>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</si>
  <si>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</si>
  <si>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</si>
  <si>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</si>
  <si>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</si>
  <si>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</si>
  <si>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</si>
  <si>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</si>
  <si>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</si>
  <si>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</si>
  <si>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</si>
  <si>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</si>
  <si>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</si>
  <si>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</si>
  <si>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</si>
  <si>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</si>
  <si>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</si>
  <si>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</si>
  <si>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</si>
  <si>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</si>
  <si>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</si>
  <si>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</si>
  <si>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</si>
  <si>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</si>
  <si>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</si>
  <si>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</si>
  <si>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</si>
  <si>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</si>
  <si>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</si>
  <si>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</si>
  <si>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</si>
  <si>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</si>
  <si>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</si>
  <si>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</si>
  <si>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</si>
  <si>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</si>
  <si>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</si>
  <si>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</si>
  <si>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</si>
  <si>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</si>
  <si>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</si>
  <si>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</si>
  <si>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</si>
  <si>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</si>
  <si>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</si>
  <si>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</si>
  <si>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</si>
  <si>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</si>
  <si>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</si>
  <si>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</si>
  <si>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</si>
  <si>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</si>
  <si>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</si>
  <si>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</si>
  <si>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</si>
  <si>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</si>
  <si>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</si>
  <si>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</si>
  <si>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</si>
  <si>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</si>
  <si>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</si>
  <si>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</si>
  <si>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</si>
  <si>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</si>
  <si>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</si>
  <si>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</si>
  <si>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</si>
  <si>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</si>
  <si>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</si>
  <si>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</si>
  <si>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</si>
  <si>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</si>
  <si>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</si>
  <si>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</si>
  <si>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</si>
  <si>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</si>
  <si>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</si>
  <si>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</si>
  <si>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</si>
  <si>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</si>
  <si>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</si>
  <si>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</si>
  <si>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</si>
  <si>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</si>
  <si>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</si>
  <si>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</si>
  <si>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</si>
  <si>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</si>
  <si>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</si>
  <si>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</si>
  <si>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</si>
  <si>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</si>
  <si>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</si>
  <si>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</si>
  <si>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</si>
  <si>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</si>
  <si>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</si>
  <si>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</si>
  <si>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</si>
  <si>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</si>
  <si>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</si>
  <si>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</si>
  <si>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</si>
  <si>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</si>
  <si>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</si>
  <si>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</si>
  <si>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</si>
  <si>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</si>
  <si>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</si>
  <si>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</si>
  <si>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</si>
  <si>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</si>
  <si>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</si>
  <si>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</si>
  <si>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</si>
  <si>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</si>
  <si>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</si>
  <si>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</si>
  <si>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</si>
  <si>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</si>
  <si>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</si>
  <si>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</si>
  <si>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</si>
  <si>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</si>
  <si>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</si>
  <si>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</si>
  <si>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</si>
  <si>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</si>
  <si>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</si>
  <si>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</si>
  <si>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</si>
  <si>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</si>
  <si>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</si>
  <si>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</si>
  <si>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</si>
  <si>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</si>
  <si>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</si>
  <si>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</si>
  <si>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</si>
  <si>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</si>
  <si>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</si>
  <si>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</si>
  <si>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</si>
  <si>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</si>
  <si>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</si>
  <si>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</si>
  <si>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</si>
  <si>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</si>
  <si>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</si>
  <si>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</si>
  <si>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</si>
  <si>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</si>
  <si>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</si>
  <si>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</si>
  <si>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</si>
  <si>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</si>
  <si>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</si>
  <si>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</si>
  <si>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</si>
  <si>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</si>
  <si>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</si>
  <si>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</si>
  <si>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</si>
  <si>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</si>
  <si>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</si>
  <si>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</si>
  <si>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</si>
  <si>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</si>
  <si>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</si>
  <si>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</si>
  <si>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</si>
  <si>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</si>
  <si>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</si>
  <si>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</si>
  <si>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</si>
  <si>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</si>
  <si>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</si>
  <si>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</si>
  <si>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</si>
  <si>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</si>
  <si>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</si>
  <si>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</si>
  <si>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</si>
  <si>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</si>
  <si>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</si>
  <si>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</si>
  <si>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</si>
  <si>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</si>
  <si>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</si>
  <si>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</si>
  <si>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</si>
  <si>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</si>
  <si>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</si>
  <si>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</si>
  <si>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</si>
  <si>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</si>
  <si>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</si>
  <si>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</si>
  <si>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</si>
  <si>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</si>
  <si>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</si>
  <si>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</si>
  <si>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</si>
  <si>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</si>
  <si>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</si>
  <si>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</si>
  <si>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</si>
  <si>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</si>
  <si>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</si>
  <si>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</si>
  <si>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</si>
  <si>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</si>
  <si>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</si>
  <si>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</si>
  <si>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</si>
  <si>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</si>
  <si>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</si>
  <si>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</si>
  <si>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</si>
  <si>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</si>
  <si>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</si>
  <si>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</si>
  <si>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</si>
  <si>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</si>
  <si>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</si>
  <si>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</si>
  <si>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</si>
  <si>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</si>
  <si>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</si>
  <si>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</si>
  <si>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</si>
  <si>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</si>
  <si>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</si>
  <si>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</si>
  <si>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</si>
  <si>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</si>
  <si>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</si>
  <si>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</si>
  <si>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</si>
  <si>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</si>
  <si>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</si>
  <si>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</si>
  <si>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</si>
  <si>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</si>
  <si>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</si>
  <si>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</si>
  <si>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</si>
  <si>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</si>
  <si>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</si>
  <si>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</si>
  <si>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</si>
  <si>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</si>
  <si>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</si>
  <si>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</si>
  <si>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</si>
  <si>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</si>
  <si>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</si>
  <si>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</si>
  <si>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</si>
  <si>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</si>
  <si>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</si>
  <si>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</si>
  <si>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</si>
  <si>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</si>
  <si>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</si>
  <si>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</si>
  <si>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</si>
  <si>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</si>
  <si>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</si>
  <si>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</si>
  <si>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</si>
  <si>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</si>
  <si>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</si>
  <si>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</si>
  <si>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</si>
  <si>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</si>
  <si>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</si>
  <si>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</si>
  <si>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</si>
  <si>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</si>
  <si>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</si>
  <si>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</si>
  <si>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</si>
  <si>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</si>
  <si>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</si>
  <si>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</si>
  <si>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</si>
  <si>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</si>
  <si>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</si>
  <si>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</si>
  <si>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</si>
  <si>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</si>
  <si>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</si>
  <si>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</si>
  <si>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</si>
  <si>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</si>
  <si>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</si>
  <si>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</si>
  <si>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</si>
  <si>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</si>
  <si>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</si>
  <si>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</si>
  <si>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</si>
  <si>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</si>
  <si>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</si>
  <si>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</si>
  <si>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</si>
  <si>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</si>
  <si>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</si>
  <si>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</si>
  <si>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</si>
  <si>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</si>
  <si>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</si>
  <si>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</si>
  <si>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</si>
  <si>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</si>
  <si>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</si>
  <si>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</si>
  <si>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</si>
  <si>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</si>
  <si>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</si>
  <si>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</si>
  <si>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</si>
  <si>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</si>
  <si>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</si>
  <si>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</si>
  <si>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</si>
  <si>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</si>
  <si>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</si>
  <si>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</si>
  <si>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</si>
  <si>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</si>
  <si>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</si>
  <si>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</si>
  <si>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</si>
  <si>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</si>
  <si>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</si>
  <si>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</si>
  <si>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</si>
  <si>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</si>
  <si>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</si>
  <si>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</si>
  <si>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</si>
  <si>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</si>
  <si>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</si>
  <si>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</si>
  <si>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</si>
  <si>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</si>
  <si>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</si>
  <si>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</si>
  <si>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</si>
  <si>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</si>
  <si>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</si>
  <si>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</si>
  <si>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</si>
  <si>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</si>
  <si>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</si>
  <si>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</si>
  <si>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</si>
  <si>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</si>
  <si>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</si>
  <si>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</si>
  <si>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</si>
  <si>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</si>
  <si>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</si>
  <si>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</si>
  <si>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</si>
  <si>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</si>
  <si>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</si>
  <si>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</si>
  <si>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</si>
  <si>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</si>
  <si>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</si>
  <si>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</si>
  <si>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</si>
  <si>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</si>
  <si>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</si>
  <si>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</si>
  <si>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</si>
  <si>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</si>
  <si>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</si>
  <si>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</si>
  <si>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</si>
  <si>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</si>
  <si>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</si>
  <si>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</si>
  <si>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</si>
  <si>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</si>
  <si>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</si>
  <si>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</si>
  <si>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</si>
  <si>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</si>
  <si>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</si>
  <si>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</si>
  <si>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</si>
  <si>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</si>
  <si>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</si>
  <si>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</si>
  <si>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</si>
  <si>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</si>
  <si>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</si>
  <si>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</si>
  <si>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</si>
  <si>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</si>
  <si>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</si>
  <si>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</si>
  <si>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</si>
  <si>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</si>
  <si>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</si>
  <si>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</si>
  <si>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</si>
  <si>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</si>
  <si>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</si>
  <si>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</si>
  <si>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</si>
  <si>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</si>
  <si>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</si>
  <si>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</si>
  <si>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</si>
  <si>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</si>
  <si>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</si>
  <si>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</si>
  <si>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</si>
  <si>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</si>
  <si>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</si>
  <si>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</si>
  <si>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</si>
  <si>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</si>
  <si>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</si>
  <si>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</si>
  <si>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</si>
  <si>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</si>
  <si>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</si>
  <si>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</si>
  <si>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</si>
  <si>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</si>
  <si>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</si>
  <si>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</si>
  <si>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</si>
  <si>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</si>
  <si>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</si>
  <si>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</si>
  <si>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</si>
  <si>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</si>
  <si>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</si>
  <si>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</si>
  <si>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</si>
  <si>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</si>
  <si>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</si>
  <si>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</si>
  <si>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</si>
  <si>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</si>
  <si>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</si>
  <si>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</si>
  <si>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</si>
  <si>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</si>
  <si>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</si>
  <si>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</si>
  <si>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</si>
  <si>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</si>
  <si>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</si>
  <si>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</si>
  <si>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</si>
  <si>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</si>
  <si>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</si>
  <si>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</si>
  <si>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</si>
  <si>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</si>
  <si>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</si>
  <si>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</si>
  <si>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</si>
  <si>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</si>
  <si>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</si>
  <si>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</si>
  <si>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</si>
  <si>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</si>
  <si>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</si>
  <si>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</si>
  <si>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</si>
  <si>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</si>
  <si>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</si>
  <si>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</si>
  <si>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</si>
  <si>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</si>
  <si>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</si>
  <si>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</si>
  <si>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</si>
  <si>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</si>
  <si>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</si>
  <si>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</si>
  <si>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</si>
  <si>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</si>
  <si>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</si>
  <si>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</si>
  <si>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</si>
  <si>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</si>
  <si>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</si>
  <si>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</si>
  <si>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</si>
  <si>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</si>
  <si>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</si>
  <si>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</si>
  <si>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</si>
  <si>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</si>
  <si>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</si>
  <si>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</si>
  <si>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</si>
  <si>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</si>
  <si>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</si>
  <si>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</si>
  <si>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</si>
  <si>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</si>
  <si>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</si>
  <si>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</si>
  <si>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</si>
  <si>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</si>
  <si>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</si>
  <si>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</si>
  <si>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</si>
  <si>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</si>
  <si>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</si>
  <si>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</si>
  <si>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</si>
  <si>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</si>
  <si>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</si>
  <si>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</si>
  <si>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</si>
  <si>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</si>
  <si>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</si>
  <si>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</si>
  <si>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</si>
  <si>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</si>
  <si>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</si>
  <si>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</si>
  <si>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</si>
  <si>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</si>
  <si>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</si>
  <si>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</si>
  <si>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</si>
  <si>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</si>
  <si>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</si>
  <si>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</si>
  <si>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</si>
  <si>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</si>
  <si>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</si>
  <si>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</si>
  <si>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</si>
  <si>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</si>
  <si>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</si>
  <si>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</si>
  <si>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</si>
  <si>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</si>
  <si>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</si>
  <si>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</si>
  <si>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</si>
  <si>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</si>
  <si>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</si>
  <si>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</si>
  <si>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</si>
  <si>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</si>
  <si>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</si>
  <si>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</si>
  <si>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</si>
  <si>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</si>
  <si>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</si>
  <si>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</si>
  <si>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</si>
  <si>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</si>
  <si>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</si>
  <si>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</si>
  <si>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</si>
  <si>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</si>
  <si>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</si>
  <si>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</si>
  <si>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</si>
  <si>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</si>
  <si>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</si>
  <si>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</si>
  <si>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</si>
  <si>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</si>
  <si>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</si>
  <si>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</si>
  <si>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</si>
  <si>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</si>
  <si>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</si>
  <si>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</si>
  <si>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</si>
  <si>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</si>
  <si>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</si>
  <si>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</si>
  <si>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</si>
  <si>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</si>
  <si>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</si>
  <si>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</si>
  <si>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</si>
  <si>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</si>
  <si>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</si>
  <si>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</si>
  <si>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</si>
  <si>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</si>
  <si>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</si>
  <si>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</si>
  <si>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</si>
  <si>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</si>
  <si>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</si>
  <si>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</si>
  <si>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</si>
  <si>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</si>
  <si>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</si>
  <si>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</si>
  <si>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</si>
  <si>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</si>
  <si>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</si>
  <si>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</si>
  <si>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</si>
  <si>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</si>
  <si>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</si>
  <si>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</si>
  <si>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</si>
  <si>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</si>
  <si>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</si>
  <si>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</si>
  <si>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</si>
  <si>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</si>
  <si>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</si>
  <si>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</si>
  <si>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</si>
  <si>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</si>
  <si>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</si>
  <si>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</si>
  <si>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</si>
  <si>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</si>
  <si>
    <t>Surgery2FHIR</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</si>
  <si>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</si>
  <si>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</si>
  <si>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</si>
  <si>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</si>
  <si>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</si>
  <si>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</si>
  <si>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</si>
  <si>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</si>
  <si>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</si>
  <si>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</si>
  <si>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</si>
  <si>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</si>
  <si>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</si>
  <si>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</si>
  <si>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</si>
  <si>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</si>
  <si>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</si>
  <si>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</si>
  <si>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</si>
  <si>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</si>
  <si>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</si>
  <si>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</si>
  <si>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</si>
  <si>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</si>
  <si>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</si>
  <si>
    <t>CLARIFY MAPPING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</si>
</sst>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1">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41" fillId="25" borderId="1" xfId="0" applyFont="1" applyFill="1" applyBorder="1" applyAlignment="1">
      <alignment horizontal="center" vertical="top"/>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connections" Target="connections.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6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9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C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6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6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8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C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1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4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4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9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1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1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3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7.vml"/><Relationship Id="rId1" Type="http://schemas.openxmlformats.org/officeDocument/2006/relationships/printerSettings" Target="../printerSettings/printerSettings22.bin"/><Relationship Id="rId4" Type="http://schemas.microsoft.com/office/2017/10/relationships/threadedComment" Target="../threadedComments/threadedComment3.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Normal="100" workbookViewId="0">
      <selection activeCell="H17" sqref="H1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1600</v>
      </c>
      <c r="D29" s="12" t="s">
        <v>1601</v>
      </c>
      <c r="E29" s="11">
        <v>0</v>
      </c>
      <c r="F29" s="11">
        <v>1</v>
      </c>
      <c r="G29" s="114" t="s">
        <v>1786</v>
      </c>
      <c r="H29" s="12" t="s">
        <v>1782</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5" t="str">
        <f>E3</f>
        <v>http://hl7.eu/fhir/ig/idea4rc/StructureDefinition/CancerEpisode</v>
      </c>
      <c r="F6" s="166"/>
      <c r="G6" s="166"/>
    </row>
    <row r="7" spans="1:19">
      <c r="B7" s="62" t="s">
        <v>15</v>
      </c>
      <c r="C7" s="119"/>
      <c r="D7" s="62" t="s">
        <v>1794</v>
      </c>
      <c r="E7" s="165" t="s">
        <v>1804</v>
      </c>
      <c r="F7" s="166"/>
      <c r="G7" s="166"/>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1902</v>
      </c>
      <c r="E36" s="12"/>
      <c r="F36" s="64" t="s">
        <v>1407</v>
      </c>
      <c r="G36" s="141" t="s">
        <v>1905</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5" t="str">
        <f>E3</f>
        <v>http://hl7.eu/fhir/ig/idea4rc/StructureDefinition/CancerEpisode</v>
      </c>
      <c r="F6" s="166"/>
      <c r="G6" s="166"/>
    </row>
    <row r="7" spans="1:19">
      <c r="B7" s="62" t="s">
        <v>15</v>
      </c>
      <c r="C7" s="119"/>
      <c r="D7" s="62" t="s">
        <v>1794</v>
      </c>
      <c r="E7" s="165" t="s">
        <v>1894</v>
      </c>
      <c r="F7" s="166"/>
      <c r="G7" s="166"/>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22" zoomScale="145" zoomScaleNormal="145" workbookViewId="0">
      <selection activeCell="B32" sqref="B3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5" t="s">
        <v>1897</v>
      </c>
      <c r="F4" s="166"/>
      <c r="G4" s="166"/>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1897</v>
      </c>
      <c r="F7" s="166"/>
      <c r="G7" s="166"/>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1878</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1884</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1886</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1890</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9" zoomScale="145" zoomScaleNormal="14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2083</v>
      </c>
      <c r="C10" s="11" t="s">
        <v>2028</v>
      </c>
      <c r="D10" s="12"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70">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70">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70">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70">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70">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70">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70">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70">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70">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70">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5" t="s">
        <v>1804</v>
      </c>
      <c r="F4" s="166"/>
      <c r="G4" s="166"/>
    </row>
    <row r="5" spans="1:19">
      <c r="B5" s="62" t="s">
        <v>10</v>
      </c>
      <c r="C5" s="7" t="s">
        <v>2100</v>
      </c>
      <c r="D5" s="62"/>
      <c r="E5" s="7"/>
    </row>
    <row r="6" spans="1:19">
      <c r="B6" s="62" t="s">
        <v>18</v>
      </c>
      <c r="C6" s="56"/>
      <c r="D6" s="62" t="s">
        <v>1793</v>
      </c>
      <c r="E6" s="165" t="str">
        <f>E3</f>
        <v>http://hl7.eu/fhir/ig/idea4rc/StructureDefinition/EpisodeEvent</v>
      </c>
      <c r="F6" s="166"/>
      <c r="G6" s="166"/>
    </row>
    <row r="7" spans="1:19">
      <c r="B7" s="62" t="s">
        <v>15</v>
      </c>
      <c r="C7" s="119"/>
      <c r="D7" s="62" t="s">
        <v>1794</v>
      </c>
      <c r="E7" s="165" t="s">
        <v>1804</v>
      </c>
      <c r="F7" s="166"/>
      <c r="G7" s="166"/>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7" t="s">
        <v>2110</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10" zoomScale="130" zoomScaleNormal="13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70">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70">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70">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70">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70">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70">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70">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70">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70">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70">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2111</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2111</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2123</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2123</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2124</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2124</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2125</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2125</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topLeftCell="A10" zoomScale="130" zoomScaleNormal="130" workbookViewId="0">
      <selection activeCell="B15" sqref="B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5" t="s">
        <v>2111</v>
      </c>
      <c r="F4" s="166"/>
      <c r="G4" s="166"/>
    </row>
    <row r="5" spans="1:19">
      <c r="B5" s="62" t="s">
        <v>10</v>
      </c>
      <c r="C5" s="7" t="s">
        <v>2130</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2111</v>
      </c>
      <c r="F7" s="166"/>
      <c r="G7" s="166"/>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2334</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2334</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2334</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2334</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5" t="s">
        <v>2123</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2123</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2124</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2124</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2125</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2125</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8" zoomScale="130" zoomScaleNormal="130" workbookViewId="0">
      <selection activeCell="B19" sqref="B19"/>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2306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0">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tabSelected="1" topLeftCell="A14" zoomScaleNormal="100" workbookViewId="0">
      <selection activeCell="B20" sqref="B2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12</v>
      </c>
      <c r="B21" s="57" t="s">
        <v>2296</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13</v>
      </c>
      <c r="B22" s="57" t="s">
        <v>2297</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14</v>
      </c>
      <c r="B23" s="57" t="s">
        <v>2298</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15</v>
      </c>
      <c r="B24" s="57" t="s">
        <v>2299</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16</v>
      </c>
      <c r="B25" s="57" t="s">
        <v>2300</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17</v>
      </c>
      <c r="B26" s="57" t="s">
        <v>2301</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18</v>
      </c>
      <c r="B27" s="57" t="s">
        <v>2302</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19</v>
      </c>
      <c r="B28" s="57" t="s">
        <v>2303</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20</v>
      </c>
      <c r="B29" s="57" t="s">
        <v>2304</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21</v>
      </c>
      <c r="B30" s="57" t="s">
        <v>2305</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22</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A11" workbookViewId="0">
      <selection activeCell="D18" sqref="D18:G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2309</v>
      </c>
      <c r="D3" s="62" t="s">
        <v>1791</v>
      </c>
      <c r="E3" s="118" t="str">
        <f>$C$1&amp;B14</f>
        <v>http://hl7.eu/fhir/ig/idea4rc/StructureDefinition/Surgery</v>
      </c>
    </row>
    <row r="4" spans="1:19">
      <c r="B4" s="62" t="s">
        <v>16</v>
      </c>
      <c r="C4" s="28" t="s">
        <v>2308</v>
      </c>
      <c r="D4" s="62" t="s">
        <v>1792</v>
      </c>
      <c r="E4" s="165" t="s">
        <v>2312</v>
      </c>
      <c r="F4" s="166"/>
      <c r="G4" s="166"/>
    </row>
    <row r="5" spans="1:19">
      <c r="B5" s="62" t="s">
        <v>10</v>
      </c>
      <c r="C5" s="7" t="s">
        <v>2310</v>
      </c>
      <c r="D5" s="62"/>
      <c r="E5" s="7"/>
    </row>
    <row r="6" spans="1:19">
      <c r="B6" s="62" t="s">
        <v>18</v>
      </c>
      <c r="C6" s="56"/>
      <c r="D6" s="62" t="s">
        <v>1793</v>
      </c>
      <c r="E6" s="165" t="str">
        <f>E3</f>
        <v>http://hl7.eu/fhir/ig/idea4rc/StructureDefinition/Surgery</v>
      </c>
      <c r="F6" s="166"/>
      <c r="G6" s="166"/>
    </row>
    <row r="7" spans="1:19">
      <c r="B7" s="62" t="s">
        <v>15</v>
      </c>
      <c r="C7" s="119"/>
      <c r="D7" s="62" t="s">
        <v>1794</v>
      </c>
      <c r="E7" s="165" t="str">
        <f>E4</f>
        <v>http://hl7.eu/fhir/ig/idea4rc/StructureDefinition/Procedure-surgery-eu-i4rc</v>
      </c>
      <c r="F7" s="166"/>
      <c r="G7" s="166"/>
    </row>
    <row r="8" spans="1:19" ht="45" thickBot="1">
      <c r="B8" s="62" t="s">
        <v>1795</v>
      </c>
      <c r="C8" s="7" t="s">
        <v>2310</v>
      </c>
      <c r="D8" s="62"/>
      <c r="E8" s="7"/>
      <c r="I8" s="12" t="s">
        <v>1402</v>
      </c>
      <c r="J8" s="12" t="s">
        <v>1403</v>
      </c>
      <c r="K8" s="12" t="s">
        <v>1404</v>
      </c>
      <c r="L8" s="12" t="s">
        <v>1405</v>
      </c>
      <c r="M8" s="11" t="s">
        <v>1406</v>
      </c>
      <c r="P8" s="49" t="s">
        <v>1441</v>
      </c>
      <c r="Q8" s="49">
        <v>6</v>
      </c>
    </row>
    <row r="9" spans="1:19" ht="15.5" thickBot="1">
      <c r="B9" s="62" t="s">
        <v>1796</v>
      </c>
      <c r="C9" s="12" t="s">
        <v>2311</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2313</v>
      </c>
      <c r="E14" s="6"/>
      <c r="F14" s="64"/>
      <c r="G14" s="64"/>
      <c r="I14" s="12"/>
      <c r="J14" s="11"/>
      <c r="K14" s="11"/>
      <c r="L14" s="11"/>
      <c r="M14" s="63"/>
      <c r="N14" s="66"/>
    </row>
    <row r="15" spans="1:19" ht="44.25">
      <c r="A15" s="59"/>
      <c r="B15" s="11" t="str">
        <f>Surgery!B8</f>
        <v>episodeEventReference</v>
      </c>
      <c r="C15" s="11" t="str">
        <f>Surgery!C8</f>
        <v>Episode Event reference</v>
      </c>
      <c r="D15" s="12" t="s">
        <v>2314</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2328</v>
      </c>
      <c r="E16" s="12"/>
      <c r="F16" s="64" t="s">
        <v>1407</v>
      </c>
      <c r="G16" s="123" t="s">
        <v>2316</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2315</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2317</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2318</v>
      </c>
      <c r="E19" s="12"/>
      <c r="F19" s="64" t="s">
        <v>1407</v>
      </c>
      <c r="G19" s="123" t="s">
        <v>2319</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2320</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2321</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2322</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2315</v>
      </c>
      <c r="E23" s="11"/>
      <c r="F23" s="64" t="s">
        <v>1430</v>
      </c>
      <c r="G23" s="123" t="s">
        <v>2323</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2324</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2325</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2323</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2326</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16" zoomScaleNormal="10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70">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2306</v>
      </c>
      <c r="H15" s="12"/>
      <c r="I15" s="25"/>
      <c r="J15" s="12" t="str">
        <f t="shared" si="1"/>
        <v>* totalDoseTdGy 1..1 decimal ##34#Total Dose (TD) Gy##34# ##334#Refers to the total dose delivered to the patient in Gy##334#</v>
      </c>
      <c r="L15" s="12" t="str">
        <f t="shared" si="2"/>
        <v/>
      </c>
    </row>
    <row r="16" spans="1:12" ht="29.5">
      <c r="A16" s="100">
        <v>8</v>
      </c>
      <c r="B16" s="11" t="s">
        <v>2239</v>
      </c>
      <c r="C16" s="11" t="s">
        <v>2240</v>
      </c>
      <c r="D16" s="11" t="s">
        <v>2241</v>
      </c>
      <c r="E16" s="11">
        <v>1</v>
      </c>
      <c r="F16" s="11">
        <v>1</v>
      </c>
      <c r="G16" s="57" t="s">
        <v>2306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2306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11">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2307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workbookViewId="0">
      <selection activeCell="D20" sqref="D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2329</v>
      </c>
      <c r="D3" s="62" t="s">
        <v>1791</v>
      </c>
      <c r="E3" s="118" t="str">
        <f>$C$1&amp;B14</f>
        <v>http://hl7.eu/fhir/ig/idea4rc/StructureDefinition/Radiotherapy</v>
      </c>
    </row>
    <row r="4" spans="1:19">
      <c r="B4" s="62" t="s">
        <v>16</v>
      </c>
      <c r="C4" s="28" t="s">
        <v>2329</v>
      </c>
      <c r="D4" s="62" t="s">
        <v>1792</v>
      </c>
      <c r="E4" s="165" t="s">
        <v>2332</v>
      </c>
      <c r="F4" s="166"/>
      <c r="G4" s="166"/>
    </row>
    <row r="5" spans="1:19">
      <c r="B5" s="62" t="s">
        <v>10</v>
      </c>
      <c r="C5" s="7" t="s">
        <v>2330</v>
      </c>
      <c r="D5" s="62"/>
      <c r="E5" s="7"/>
    </row>
    <row r="6" spans="1:19">
      <c r="B6" s="62" t="s">
        <v>18</v>
      </c>
      <c r="C6" s="56"/>
      <c r="D6" s="62" t="s">
        <v>1793</v>
      </c>
      <c r="E6" s="165" t="str">
        <f>E3</f>
        <v>http://hl7.eu/fhir/ig/idea4rc/StructureDefinition/Radiotherapy</v>
      </c>
      <c r="F6" s="166"/>
      <c r="G6" s="166"/>
    </row>
    <row r="7" spans="1:19">
      <c r="B7" s="62" t="s">
        <v>15</v>
      </c>
      <c r="C7" s="119"/>
      <c r="D7" s="62" t="s">
        <v>1794</v>
      </c>
      <c r="E7" s="165" t="s">
        <v>2332</v>
      </c>
      <c r="F7" s="166"/>
      <c r="G7" s="166"/>
    </row>
    <row r="8" spans="1:19" ht="45" thickBot="1">
      <c r="B8" s="62" t="s">
        <v>1795</v>
      </c>
      <c r="C8" s="7" t="s">
        <v>2330</v>
      </c>
      <c r="D8" s="62"/>
      <c r="E8" s="7"/>
      <c r="I8" s="12" t="s">
        <v>1402</v>
      </c>
      <c r="J8" s="12" t="s">
        <v>1403</v>
      </c>
      <c r="K8" s="12" t="s">
        <v>1404</v>
      </c>
      <c r="L8" s="12" t="s">
        <v>1405</v>
      </c>
      <c r="M8" s="11" t="s">
        <v>1406</v>
      </c>
      <c r="P8" s="49" t="s">
        <v>1441</v>
      </c>
      <c r="Q8" s="49">
        <v>6</v>
      </c>
    </row>
    <row r="9" spans="1:19" ht="30.25" thickBot="1">
      <c r="B9" s="62" t="s">
        <v>1796</v>
      </c>
      <c r="C9" s="12" t="s">
        <v>2331</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2313</v>
      </c>
      <c r="E14" s="6"/>
      <c r="F14" s="64"/>
      <c r="G14" s="64"/>
      <c r="I14" s="12"/>
      <c r="J14" s="11"/>
      <c r="K14" s="11"/>
      <c r="L14" s="11"/>
      <c r="M14" s="63"/>
      <c r="N14" s="66"/>
    </row>
    <row r="15" spans="1:19" ht="44.25">
      <c r="A15" s="59"/>
      <c r="B15" s="11" t="str">
        <f>Radiotherapy!B8</f>
        <v>episodeEventReference</v>
      </c>
      <c r="C15" s="11" t="str">
        <f>Radiotherapy!C8</f>
        <v>Episode Event reference</v>
      </c>
      <c r="D15" s="12" t="s">
        <v>2314</v>
      </c>
      <c r="E15" s="12"/>
      <c r="F15" s="64" t="s">
        <v>1407</v>
      </c>
      <c r="G15" s="124"/>
      <c r="I15" s="12" t="str">
        <f>"* group[=].element[+].code = #"&amp;$B$14&amp;"."&amp;B15</f>
        <v>* group[=].element[+].code = #Radiotherapy.episodeEventReference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2328</v>
      </c>
      <c r="E16" s="12"/>
      <c r="F16" s="64" t="s">
        <v>1407</v>
      </c>
      <c r="G16" s="123" t="s">
        <v>2333</v>
      </c>
      <c r="I16" s="12" t="str">
        <f t="shared" ref="I16:I38" si="7">"* group[=].element[+].code = #"&amp;$B$14&amp;"."&amp;B16</f>
        <v>* group[=].element[+].code = #Radiotherapy.radiotherapy</v>
      </c>
      <c r="J16" s="12" t="str">
        <f t="shared" si="0"/>
        <v>* group[=].element[=].display = ##34#Radiotherapy##34#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1442</v>
      </c>
      <c r="E17" s="12"/>
      <c r="F17" s="64" t="s">
        <v>1407</v>
      </c>
      <c r="G17" s="123" t="s">
        <v>2317</v>
      </c>
      <c r="H17" s="58"/>
      <c r="I17" s="12" t="str">
        <f t="shared" si="7"/>
        <v>* group[=].element[+].code = #Radiotherapy.intent</v>
      </c>
      <c r="J17" s="12" t="str">
        <f t="shared" si="0"/>
        <v>* group[=].element[=].display = ##34#Intent##34#</v>
      </c>
      <c r="K17" s="12" t="str">
        <f t="shared" si="1"/>
        <v>* group[=].element[=].target.code = #Procedure.code</v>
      </c>
      <c r="L17" s="12" t="str">
        <f t="shared" si="2"/>
        <v>* group[=].element[=].target.display = ##34###34#</v>
      </c>
      <c r="M17" s="12" t="str">
        <f t="shared" si="3"/>
        <v>* group[=].element[=].target.equivalence = #relatedto</v>
      </c>
      <c r="N17" s="12" t="str">
        <f t="shared" si="4"/>
        <v>* group[=].element[=].target.comment = ##34#to be analized: add a slice to code or consider to define an extension for this (or cathegories (R5 extension)) ?##34#</v>
      </c>
      <c r="P17" s="11">
        <v>3</v>
      </c>
      <c r="Q17" s="11">
        <f t="shared" si="5"/>
        <v>0</v>
      </c>
      <c r="R17" s="11">
        <f t="shared" si="6"/>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2328</v>
      </c>
      <c r="E18" s="12"/>
      <c r="F18" s="64" t="s">
        <v>1407</v>
      </c>
      <c r="G18" s="123" t="s">
        <v>2333</v>
      </c>
      <c r="H18" s="58"/>
      <c r="I18" s="12" t="str">
        <f t="shared" si="7"/>
        <v>* group[=].element[+].code = #Radiotherapy.setting</v>
      </c>
      <c r="J18" s="12" t="str">
        <f t="shared" si="0"/>
        <v>* group[=].element[=].display = ##34#Setting##34#</v>
      </c>
      <c r="K18" s="12" t="str">
        <f t="shared" si="1"/>
        <v>* group[=].element[=].target.code = #Procedure.extension:ProcedureCategoryR5</v>
      </c>
      <c r="L18" s="12" t="str">
        <f t="shared" si="2"/>
        <v>* group[=].element[=].target.display = ##34###34#</v>
      </c>
      <c r="M18" s="12" t="str">
        <f t="shared" si="3"/>
        <v>* group[=].element[=].target.equivalence = #relatedto</v>
      </c>
      <c r="N18" s="12" t="str">
        <f t="shared" si="4"/>
        <v>* group[=].element[=].target.comment = ##34#to be analyzed: derive this from a combination of elements or use other cathegories (R5 extension)##34#</v>
      </c>
      <c r="P18" s="11">
        <v>4</v>
      </c>
      <c r="Q18" s="11">
        <f t="shared" si="5"/>
        <v>0</v>
      </c>
      <c r="R18" s="11">
        <f t="shared" si="6"/>
        <v>4</v>
      </c>
      <c r="S18" s="12" t="str" cm="1">
        <f t="array" ref="S18">INDEX('Radiotherapy-ConceptMap-1'!$I$15:$N$124,Q18+1,R18)</f>
        <v>* group[=].element[=].target.display = ##34###34#</v>
      </c>
    </row>
    <row r="19" spans="1:19" ht="44.25">
      <c r="A19" s="59"/>
      <c r="B19" s="11" t="str">
        <f>Radiotherapy!B12</f>
        <v>beamQuality</v>
      </c>
      <c r="C19" s="11" t="str">
        <f>Radiotherapy!C12</f>
        <v>Beam quality</v>
      </c>
      <c r="D19" s="12" t="s">
        <v>1442</v>
      </c>
      <c r="E19" s="12"/>
      <c r="F19" s="64" t="s">
        <v>1407</v>
      </c>
      <c r="G19" s="124"/>
      <c r="H19" s="58"/>
      <c r="I19" s="12" t="str">
        <f t="shared" si="7"/>
        <v>* group[=].element[+].code = #Radiotherapy.beamQuality</v>
      </c>
      <c r="J19" s="12" t="str">
        <f t="shared" si="0"/>
        <v>* group[=].element[=].display = ##34#Beam quality##34#</v>
      </c>
      <c r="K19" s="12" t="str">
        <f t="shared" si="1"/>
        <v>* group[=].element[=].target.code = #Procedure.code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c r="E20" s="12"/>
      <c r="F20" s="64" t="s">
        <v>1407</v>
      </c>
      <c r="G20" s="124"/>
      <c r="H20" s="58"/>
      <c r="I20" s="12" t="str">
        <f t="shared" si="7"/>
        <v>* group[=].element[+].code = #Radiotherapy.otherSpecify</v>
      </c>
      <c r="J20" s="12" t="str">
        <f t="shared" si="0"/>
        <v>* group[=].element[=].display = ##34#Other; specify##34#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44.25">
      <c r="A21" s="59"/>
      <c r="B21" s="11" t="str">
        <f>Radiotherapy!B14</f>
        <v>treatmentTechnique</v>
      </c>
      <c r="C21" s="11" t="str">
        <f>Radiotherapy!C14</f>
        <v>Treatment technique</v>
      </c>
      <c r="D21" s="12"/>
      <c r="E21" s="12"/>
      <c r="F21" s="64" t="s">
        <v>1407</v>
      </c>
      <c r="G21" s="124"/>
      <c r="H21" s="58"/>
      <c r="I21" s="12" t="str">
        <f t="shared" si="7"/>
        <v>* group[=].element[+].code = #Radiotherapy.treatmentTechnique</v>
      </c>
      <c r="J21" s="12" t="str">
        <f t="shared" si="0"/>
        <v>* group[=].element[=].display = ##34#Treatment technique##34#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INDEX('Radiotherapy-ConceptMap-1'!$I$15:$N$124,Q21+1,R21)</f>
        <v>* group[=].element[+].code = #Radiotherapy.radiotherapy</v>
      </c>
    </row>
    <row r="22" spans="1:19" ht="44.25">
      <c r="A22" s="59"/>
      <c r="B22" s="11" t="str">
        <f>Radiotherapy!B15</f>
        <v>totalDoseTdGy</v>
      </c>
      <c r="C22" s="11" t="str">
        <f>Radiotherapy!C15</f>
        <v>Total Dose (TD) Gy</v>
      </c>
      <c r="D22" s="12"/>
      <c r="E22" s="12"/>
      <c r="F22" s="64" t="s">
        <v>1407</v>
      </c>
      <c r="G22" s="124"/>
      <c r="H22" s="58"/>
      <c r="I22" s="12" t="str">
        <f t="shared" si="7"/>
        <v>* group[=].element[+].code = #Radiotherapy.totalDoseTdGy</v>
      </c>
      <c r="J22" s="12" t="str">
        <f t="shared" si="0"/>
        <v>* group[=].element[=].display = ##34#Total Dose (TD) Gy##34#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INDEX('Radiotherapy-ConceptMap-1'!$I$15:$N$124,Q22+1,R22)</f>
        <v>* group[=].element[=].display = ##34#Radiotherapy##34#</v>
      </c>
    </row>
    <row r="23" spans="1:19" ht="44.25">
      <c r="A23" s="59"/>
      <c r="B23" s="11" t="str">
        <f>Radiotherapy!B16</f>
        <v>fractionSizeFs</v>
      </c>
      <c r="C23" s="11" t="str">
        <f>Radiotherapy!C16</f>
        <v>Fraction Size (FS)</v>
      </c>
      <c r="D23" s="12"/>
      <c r="E23" s="11"/>
      <c r="F23" s="64" t="s">
        <v>1430</v>
      </c>
      <c r="G23" s="124"/>
      <c r="H23" s="58"/>
      <c r="I23" s="12" t="str">
        <f t="shared" si="7"/>
        <v>* group[=].element[+].code = #Radiotherapy.fractionSizeFs</v>
      </c>
      <c r="J23" s="12" t="str">
        <f t="shared" si="0"/>
        <v>* group[=].element[=].display = ##34#Fraction Size (FS)##34#</v>
      </c>
      <c r="K23" s="12" t="str">
        <f t="shared" si="1"/>
        <v>* group[=].element[=].target.code = #Procedure.</v>
      </c>
      <c r="L23" s="12" t="str">
        <f t="shared" si="2"/>
        <v>* group[=].element[=].target.display = ##34###34#</v>
      </c>
      <c r="M23" s="12" t="str">
        <f t="shared" si="3"/>
        <v>* group[=].element[=].target.equivalence = #equal</v>
      </c>
      <c r="N23" s="12" t="str">
        <f t="shared" si="4"/>
        <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c r="E24" s="11"/>
      <c r="F24" s="64" t="s">
        <v>1407</v>
      </c>
      <c r="G24" s="124"/>
      <c r="H24" s="58"/>
      <c r="I24" s="12" t="str">
        <f t="shared" si="7"/>
        <v>* group[=].element[+].code = #Radiotherapy.numberOfFractions</v>
      </c>
      <c r="J24" s="12" t="str">
        <f t="shared" si="0"/>
        <v>* group[=].element[=].display = ##34#Number of fractions##34#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44.25">
      <c r="A25" s="59"/>
      <c r="B25" s="11" t="str">
        <f>Radiotherapy!B18</f>
        <v>adaptiveRt</v>
      </c>
      <c r="C25" s="11" t="str">
        <f>Radiotherapy!C18</f>
        <v>Adaptive RT</v>
      </c>
      <c r="D25" s="12"/>
      <c r="E25" s="11"/>
      <c r="F25" s="64" t="s">
        <v>1407</v>
      </c>
      <c r="G25" s="124"/>
      <c r="H25" s="58"/>
      <c r="I25" s="12" t="str">
        <f t="shared" si="7"/>
        <v>* group[=].element[+].code = #Radiotherapy.adaptiveRt</v>
      </c>
      <c r="J25" s="12" t="str">
        <f t="shared" si="0"/>
        <v>* group[=].element[=].display = ##34#Adaptive RT##34#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INDEX('Radiotherapy-ConceptMap-1'!$I$15:$N$124,Q25+1,R25)</f>
        <v>* group[=].element[=].target.equivalence = #relatedto</v>
      </c>
    </row>
    <row r="26" spans="1:19" ht="44.25">
      <c r="A26" s="59"/>
      <c r="B26" s="11" t="str">
        <f>Radiotherapy!B19</f>
        <v>igrtImageGuideRadiotherapy</v>
      </c>
      <c r="C26" s="11" t="str">
        <f>Radiotherapy!C19</f>
        <v>IGRT  (image guide radiotherapy)</v>
      </c>
      <c r="D26" s="12"/>
      <c r="E26" s="12"/>
      <c r="F26" s="64" t="s">
        <v>1407</v>
      </c>
      <c r="G26" s="124"/>
      <c r="H26" s="58"/>
      <c r="I26" s="12" t="str">
        <f t="shared" si="7"/>
        <v>* group[=].element[+].code = #Radiotherapy.igrtImageGuideRadiotherapy</v>
      </c>
      <c r="J26" s="12" t="str">
        <f t="shared" si="0"/>
        <v>* group[=].element[=].display = ##34#IGRT  (image guide radiotherapy)##34#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INDEX('Radiotherapy-ConceptMap-1'!$I$15:$N$124,Q26+1,R26)</f>
        <v>* group[=].element[=].target.comment = ##34#to be analyzed: derive this from a combination of elements or use other cathegories (R5 extension)##34#</v>
      </c>
    </row>
    <row r="27" spans="1:19" ht="44.25">
      <c r="A27" s="59"/>
      <c r="B27" s="11" t="str">
        <f>Radiotherapy!B20</f>
        <v>startDate</v>
      </c>
      <c r="C27" s="11" t="str">
        <f>Radiotherapy!C20</f>
        <v>Start date</v>
      </c>
      <c r="D27" s="12"/>
      <c r="E27" s="12"/>
      <c r="F27" s="64" t="s">
        <v>1429</v>
      </c>
      <c r="G27" s="124"/>
      <c r="H27" s="58"/>
      <c r="I27" s="12" t="str">
        <f t="shared" si="7"/>
        <v>* group[=].element[+].code = #Radiotherapy.startDate</v>
      </c>
      <c r="J27" s="12" t="str">
        <f t="shared" si="0"/>
        <v>* group[=].element[=].display = ##34#Start date##34#</v>
      </c>
      <c r="K27" s="12" t="str">
        <f t="shared" si="1"/>
        <v>* group[=].element[=].target.code = #Procedure.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#Radiotherapy.intent</v>
      </c>
    </row>
    <row r="28" spans="1:19" ht="44.25">
      <c r="B28" s="11" t="str">
        <f>Radiotherapy!B21</f>
        <v>endDate</v>
      </c>
      <c r="C28" s="11" t="str">
        <f>Radiotherapy!C21</f>
        <v>End  date</v>
      </c>
      <c r="D28" s="12"/>
      <c r="E28" s="12"/>
      <c r="F28" s="64" t="s">
        <v>1429</v>
      </c>
      <c r="G28" s="124"/>
      <c r="H28" s="58"/>
      <c r="I28" s="12" t="str">
        <f t="shared" si="7"/>
        <v>* group[=].element[+].code = #Radiotherapy.endDate</v>
      </c>
      <c r="J28" s="12" t="str">
        <f t="shared" si="0"/>
        <v>* group[=].element[=].display = ##34#End  date##34#</v>
      </c>
      <c r="K28" s="12" t="str">
        <f t="shared" si="1"/>
        <v>* group[=].element[=].target.code = #Procedure.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##34#Intent##34#</v>
      </c>
    </row>
    <row r="29" spans="1:19" ht="44.25">
      <c r="B29" s="11" t="str">
        <f>Radiotherapy!B22</f>
        <v>treatmentSites</v>
      </c>
      <c r="C29" s="11" t="str">
        <f>Radiotherapy!C22</f>
        <v>Treatment Sites:</v>
      </c>
      <c r="D29" s="12"/>
      <c r="E29" s="12"/>
      <c r="F29" s="64" t="s">
        <v>1429</v>
      </c>
      <c r="G29" s="124"/>
      <c r="H29" s="58"/>
      <c r="I29" s="12" t="str">
        <f t="shared" si="7"/>
        <v>* group[=].element[+].code = #Radiotherapy.treatmentSites</v>
      </c>
      <c r="J29" s="12" t="str">
        <f t="shared" si="0"/>
        <v>* group[=].element[=].display = ##34#Treatment Sites:##34#</v>
      </c>
      <c r="K29" s="12" t="str">
        <f t="shared" si="1"/>
        <v>* group[=].element[=].target.code = #Procedure.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#Procedure.code</v>
      </c>
    </row>
    <row r="30" spans="1:19" ht="44.25">
      <c r="B30" s="11" t="str">
        <f>Radiotherapy!B23</f>
        <v>treatmentSites.primary</v>
      </c>
      <c r="C30" s="11" t="str">
        <f>Radiotherapy!C23</f>
        <v>Primary</v>
      </c>
      <c r="D30" s="12"/>
      <c r="E30" s="12"/>
      <c r="F30" s="64" t="s">
        <v>1429</v>
      </c>
      <c r="G30" s="124"/>
      <c r="H30" s="58"/>
      <c r="I30" s="12" t="str">
        <f t="shared" si="7"/>
        <v>* group[=].element[+].code = #Radiotherapy.treatmentSites.primary</v>
      </c>
      <c r="J30" s="12" t="str">
        <f t="shared" si="0"/>
        <v>* group[=].element[=].display = ##34#Primary##34#</v>
      </c>
      <c r="K30" s="12" t="str">
        <f t="shared" si="1"/>
        <v>* group[=].element[=].target.code = #Procedure.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Radiotherapy!B24</f>
        <v>treatmentSites.neck</v>
      </c>
      <c r="C31" s="11" t="str">
        <f>Radiotherapy!C24</f>
        <v>Neck</v>
      </c>
      <c r="D31" s="12"/>
      <c r="E31" s="12"/>
      <c r="F31" s="64" t="s">
        <v>1429</v>
      </c>
      <c r="G31" s="124"/>
      <c r="H31" s="58"/>
      <c r="I31" s="12" t="str">
        <f t="shared" si="7"/>
        <v>* group[=].element[+].code = #Radiotherapy.treatmentSites.neck</v>
      </c>
      <c r="J31" s="12" t="str">
        <f t="shared" si="0"/>
        <v>* group[=].element[=].display = ##34#Neck##34#</v>
      </c>
      <c r="K31" s="12" t="str">
        <f t="shared" si="1"/>
        <v>* group[=].element[=].target.code = #Procedure.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c r="E32" s="12"/>
      <c r="F32" s="64" t="s">
        <v>1429</v>
      </c>
      <c r="G32" s="124"/>
      <c r="H32" s="58"/>
      <c r="I32" s="12" t="str">
        <f t="shared" si="7"/>
        <v>* group[=].element[+].code = #Radiotherapy.treatmentSites.primaryAndIpsilateralNeck</v>
      </c>
      <c r="J32" s="12" t="str">
        <f t="shared" si="0"/>
        <v>* group[=].element[=].display = ##34#Primary and Ipsilateral Neck##34#</v>
      </c>
      <c r="K32" s="12" t="str">
        <f t="shared" si="1"/>
        <v>* group[=].element[=].target.code = #Procedure.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group[=].element[=].target.comment = ##34#to be analized: add a slice to code or consider to define an extension for this (or cathegories (R5 extension)) ?##34#</v>
      </c>
    </row>
    <row r="33" spans="1:19" ht="44.25">
      <c r="B33" s="11" t="str">
        <f>Radiotherapy!B26</f>
        <v>treatmentSites.primaryAndBilateralNeck</v>
      </c>
      <c r="C33" s="11" t="str">
        <f>Radiotherapy!C26</f>
        <v>Primary and Bilateral Neck</v>
      </c>
      <c r="D33" s="12"/>
      <c r="E33" s="12"/>
      <c r="F33" s="64" t="s">
        <v>1429</v>
      </c>
      <c r="G33" s="124"/>
      <c r="H33" s="58"/>
      <c r="I33" s="12" t="str">
        <f t="shared" si="7"/>
        <v>* group[=].element[+].code = #Radiotherapy.treatmentSites.primaryAndBilateralNeck</v>
      </c>
      <c r="J33" s="12" t="str">
        <f t="shared" si="0"/>
        <v>* group[=].element[=].display = ##34#Primary and Bilateral Neck##34#</v>
      </c>
      <c r="K33" s="12" t="str">
        <f t="shared" si="1"/>
        <v>* group[=].element[=].target.code = #Procedure.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c r="E34" s="12"/>
      <c r="F34" s="64" t="s">
        <v>1429</v>
      </c>
      <c r="G34" s="64"/>
      <c r="H34" s="58"/>
      <c r="I34" s="12" t="str">
        <f t="shared" si="7"/>
        <v>* group[=].element[+].code = #Radiotherapy.treatmentSites.distantMetastasis</v>
      </c>
      <c r="J34" s="12" t="str">
        <f t="shared" si="0"/>
        <v>* group[=].element[=].display = ##34#Distant Metastasis##34#</v>
      </c>
      <c r="K34" s="12" t="str">
        <f t="shared" si="1"/>
        <v>* group[=].element[=].target.code = #Procedure.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c r="E35" s="12"/>
      <c r="F35" s="64" t="s">
        <v>1429</v>
      </c>
      <c r="G35" s="64"/>
      <c r="H35" s="58"/>
      <c r="I35" s="12" t="str">
        <f t="shared" si="7"/>
        <v>* group[=].element[+].code = #Radiotherapy.metastaticTreatmentSites</v>
      </c>
      <c r="J35" s="12" t="str">
        <f t="shared" si="0"/>
        <v>* group[=].element[=].display = ##34#Metastatic Treatment Sites:##34#</v>
      </c>
      <c r="K35" s="12" t="str">
        <f t="shared" si="1"/>
        <v>* group[=].element[=].target.code = #Procedure.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c r="E36" s="12"/>
      <c r="F36" s="64" t="s">
        <v>1429</v>
      </c>
      <c r="G36" s="64"/>
      <c r="H36" s="58"/>
      <c r="I36" s="12" t="str">
        <f t="shared" si="7"/>
        <v>* group[=].element[+].code = #Radiotherapy.metastaticTreatmentSites.lung</v>
      </c>
      <c r="J36" s="12" t="str">
        <f t="shared" si="0"/>
        <v>* group[=].element[=].display = ##34#Lung
##34#</v>
      </c>
      <c r="K36" s="12" t="str">
        <f t="shared" si="1"/>
        <v>* group[=].element[=].target.code = #Procedure.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c r="E37" s="12"/>
      <c r="F37" s="64" t="s">
        <v>1429</v>
      </c>
      <c r="G37" s="64"/>
      <c r="H37" s="58"/>
      <c r="I37" s="12" t="str">
        <f t="shared" si="7"/>
        <v>* group[=].element[+].code = #Radiotherapy.metastaticTreatmentSites.mediastinum</v>
      </c>
      <c r="J37" s="12" t="str">
        <f t="shared" si="0"/>
        <v>* group[=].element[=].display = ##34#Mediastinum
##34#</v>
      </c>
      <c r="K37" s="12" t="str">
        <f t="shared" si="1"/>
        <v>* group[=].element[=].target.code = #Procedure.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c r="E38" s="12"/>
      <c r="F38" s="64" t="s">
        <v>1429</v>
      </c>
      <c r="G38" s="64"/>
      <c r="H38" s="58"/>
      <c r="I38" s="12" t="str">
        <f t="shared" si="7"/>
        <v>* group[=].element[+].code = #Radiotherapy.metastaticTreatmentSites.bone</v>
      </c>
      <c r="J38" s="12" t="str">
        <f t="shared" si="0"/>
        <v>* group[=].element[=].display = ##34#Bone
##34#</v>
      </c>
      <c r="K38" s="12" t="str">
        <f t="shared" si="1"/>
        <v>* group[=].element[=].target.code = #Procedure.</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analyzed: derive this from a combination of elements or use other cathegories (R5 extension)##34#</v>
      </c>
    </row>
    <row r="39" spans="1:19">
      <c r="B39" s="11" t="str">
        <f>Radiotherapy!B32</f>
        <v>metastaticTreatmentSites.softTissue</v>
      </c>
      <c r="C39" s="11" t="str">
        <f>Radiotherapy!C32</f>
        <v xml:space="preserve">Soft Tissue
</v>
      </c>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#Radiotherapy.beamQuality</v>
      </c>
    </row>
    <row r="40" spans="1:19" s="2" customFormat="1">
      <c r="A40"/>
      <c r="B40" s="11" t="str">
        <f>Radiotherapy!B33</f>
        <v>metastaticTreatmentSites.liver</v>
      </c>
      <c r="C40" s="11" t="str">
        <f>Radiotherapy!C33</f>
        <v xml:space="preserve">Liver
</v>
      </c>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##34#Beam quality##34#</v>
      </c>
    </row>
    <row r="41" spans="1:19" s="2" customFormat="1">
      <c r="A41"/>
      <c r="B41" s="11" t="str">
        <f>Radiotherapy!B34</f>
        <v>treatmentCompletedAsPlanned</v>
      </c>
      <c r="C41" s="11" t="str">
        <f>Radiotherapy!C34</f>
        <v>Treatment Completed as Planned?</v>
      </c>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#Procedure.code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5"/>
        <v>4</v>
      </c>
      <c r="R44" s="11">
        <f t="shared" si="6"/>
        <v>6</v>
      </c>
      <c r="S44" s="12" t="str" cm="1">
        <f t="array" ref="S44">INDEX('Radiotherapy-ConceptMap-1'!$I$15:$N$124,Q44+1,R44)</f>
        <v/>
      </c>
    </row>
    <row r="45" spans="1:19">
      <c r="B45" s="11"/>
      <c r="C45" s="11"/>
      <c r="P45" s="11">
        <v>31</v>
      </c>
      <c r="Q45" s="11">
        <f t="shared" si="5"/>
        <v>5</v>
      </c>
      <c r="R45" s="11">
        <f t="shared" si="6"/>
        <v>1</v>
      </c>
      <c r="S45" s="12" t="str" cm="1">
        <f t="array" ref="S45">INDEX('Radiotherapy-ConceptMap-1'!$I$15:$N$124,Q45+1,R45)</f>
        <v>* group[=].element[+].code = #Radiotherapy.otherSpecify</v>
      </c>
    </row>
    <row r="46" spans="1:19">
      <c r="B46" s="11"/>
      <c r="C46" s="11"/>
      <c r="P46" s="11">
        <v>32</v>
      </c>
      <c r="Q46" s="11">
        <f t="shared" si="5"/>
        <v>5</v>
      </c>
      <c r="R46" s="11">
        <f t="shared" si="6"/>
        <v>2</v>
      </c>
      <c r="S46" s="12" t="str" cm="1">
        <f t="array" ref="S46">INDEX('Radiotherapy-ConceptMap-1'!$I$15:$N$124,Q46+1,R46)</f>
        <v>* group[=].element[=].display = ##34#Other; specify##34#</v>
      </c>
    </row>
    <row r="47" spans="1:19">
      <c r="P47" s="11">
        <v>33</v>
      </c>
      <c r="Q47" s="11">
        <f t="shared" si="5"/>
        <v>5</v>
      </c>
      <c r="R47" s="11">
        <f t="shared" si="6"/>
        <v>3</v>
      </c>
      <c r="S47" s="12" t="str" cm="1">
        <f t="array" ref="S47">INDEX('Radiotherapy-ConceptMap-1'!$I$15:$N$124,Q47+1,R47)</f>
        <v>* group[=].element[=].target.code = #Procedure.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#Radiotherapy.treatmentTechnique</v>
      </c>
    </row>
    <row r="52" spans="16:19">
      <c r="P52" s="11">
        <v>38</v>
      </c>
      <c r="Q52" s="11">
        <f t="shared" si="5"/>
        <v>6</v>
      </c>
      <c r="R52" s="11">
        <f t="shared" si="6"/>
        <v>2</v>
      </c>
      <c r="S52" s="12" t="str" cm="1">
        <f t="array" ref="S52">INDEX('Radiotherapy-ConceptMap-1'!$I$15:$N$124,Q52+1,R52)</f>
        <v>* group[=].element[=].display = ##34#Treatment technique##34#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c>
    </row>
    <row r="57" spans="16:19">
      <c r="P57" s="11">
        <v>43</v>
      </c>
      <c r="Q57" s="11">
        <f t="shared" si="5"/>
        <v>7</v>
      </c>
      <c r="R57" s="11">
        <f t="shared" si="6"/>
        <v>1</v>
      </c>
      <c r="S57" s="12" t="str" cm="1">
        <f t="array" ref="S57">INDEX('Radiotherapy-ConceptMap-1'!$I$15:$N$124,Q57+1,R57)</f>
        <v>* group[=].element[+].code = #Radiotherapy.totalDoseTdGy</v>
      </c>
    </row>
    <row r="58" spans="16:19">
      <c r="P58" s="11">
        <v>44</v>
      </c>
      <c r="Q58" s="11">
        <f t="shared" si="5"/>
        <v>7</v>
      </c>
      <c r="R58" s="11">
        <f t="shared" si="6"/>
        <v>2</v>
      </c>
      <c r="S58" s="12" t="str" cm="1">
        <f t="array" ref="S58">INDEX('Radiotherapy-ConceptMap-1'!$I$15:$N$124,Q58+1,R58)</f>
        <v>* group[=].element[=].display = ##34#Total Dose (TD) Gy##34#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c r="P62" s="11">
        <v>48</v>
      </c>
      <c r="Q62" s="11">
        <f t="shared" si="5"/>
        <v>7</v>
      </c>
      <c r="R62" s="11">
        <f t="shared" si="6"/>
        <v>6</v>
      </c>
      <c r="S62" s="12" t="str" cm="1">
        <f t="array" ref="S62">INDEX('Radiotherapy-ConceptMap-1'!$I$15:$N$124,Q62+1,R62)</f>
        <v/>
      </c>
    </row>
    <row r="63" spans="16:19">
      <c r="P63" s="11">
        <v>49</v>
      </c>
      <c r="Q63" s="11">
        <f t="shared" si="5"/>
        <v>8</v>
      </c>
      <c r="R63" s="11">
        <f t="shared" si="6"/>
        <v>1</v>
      </c>
      <c r="S63" s="12" t="str" cm="1">
        <f t="array" ref="S63">INDEX('Radiotherapy-ConceptMap-1'!$I$15:$N$124,Q63+1,R63)</f>
        <v>* group[=].element[+].code = #Radiotherapy.fractionSizeFs</v>
      </c>
    </row>
    <row r="64" spans="16:19">
      <c r="P64" s="11">
        <v>50</v>
      </c>
      <c r="Q64" s="11">
        <f t="shared" si="5"/>
        <v>8</v>
      </c>
      <c r="R64" s="11">
        <f t="shared" si="6"/>
        <v>2</v>
      </c>
      <c r="S64" s="12" t="str" cm="1">
        <f t="array" ref="S64">INDEX('Radiotherapy-ConceptMap-1'!$I$15:$N$124,Q64+1,R64)</f>
        <v>* group[=].element[=].display = ##34#Fraction Size (FS)##34#</v>
      </c>
    </row>
    <row r="65" spans="16:19">
      <c r="P65" s="11">
        <v>51</v>
      </c>
      <c r="Q65" s="11">
        <f t="shared" si="5"/>
        <v>8</v>
      </c>
      <c r="R65" s="11">
        <f t="shared" si="6"/>
        <v>3</v>
      </c>
      <c r="S65" s="12" t="str" cm="1">
        <f t="array" ref="S65">INDEX('Radiotherapy-ConceptMap-1'!$I$15:$N$124,Q65+1,R65)</f>
        <v>* group[=].element[=].target.code = #Procedure.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c r="P68" s="11">
        <v>54</v>
      </c>
      <c r="Q68" s="11">
        <f t="shared" si="5"/>
        <v>8</v>
      </c>
      <c r="R68" s="11">
        <f t="shared" si="6"/>
        <v>6</v>
      </c>
      <c r="S68" s="12" t="str" cm="1">
        <f t="array" ref="S68">INDEX('Radiotherapy-ConceptMap-1'!$I$15:$N$124,Q68+1,R68)</f>
        <v/>
      </c>
    </row>
    <row r="69" spans="16:19">
      <c r="P69" s="11">
        <v>55</v>
      </c>
      <c r="Q69" s="11">
        <f t="shared" si="5"/>
        <v>9</v>
      </c>
      <c r="R69" s="11">
        <f t="shared" si="6"/>
        <v>1</v>
      </c>
      <c r="S69" s="12" t="str" cm="1">
        <f t="array" ref="S69">INDEX('Radiotherapy-ConceptMap-1'!$I$15:$N$124,Q69+1,R69)</f>
        <v>* group[=].element[+].code = #Radiotherapy.numberOfFractions</v>
      </c>
    </row>
    <row r="70" spans="16:19">
      <c r="P70" s="11">
        <v>56</v>
      </c>
      <c r="Q70" s="11">
        <f t="shared" si="5"/>
        <v>9</v>
      </c>
      <c r="R70" s="11">
        <f t="shared" si="6"/>
        <v>2</v>
      </c>
      <c r="S70" s="12" t="str" cm="1">
        <f t="array" ref="S70">INDEX('Radiotherapy-ConceptMap-1'!$I$15:$N$124,Q70+1,R70)</f>
        <v>* group[=].element[=].display = ##34#Number of fractions##34#</v>
      </c>
    </row>
    <row r="71" spans="16:19">
      <c r="P71" s="11">
        <v>57</v>
      </c>
      <c r="Q71" s="11">
        <f t="shared" si="5"/>
        <v>9</v>
      </c>
      <c r="R71" s="11">
        <f t="shared" si="6"/>
        <v>3</v>
      </c>
      <c r="S71" s="12" t="str" cm="1">
        <f t="array" ref="S71">INDEX('Radiotherapy-ConceptMap-1'!$I$15:$N$124,Q71+1,R71)</f>
        <v>* group[=].element[=].target.code = #Procedure.</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#Radiotherapy.adaptiveRt</v>
      </c>
    </row>
    <row r="76" spans="16:19">
      <c r="P76" s="11">
        <v>62</v>
      </c>
      <c r="Q76" s="11">
        <f t="shared" si="5"/>
        <v>10</v>
      </c>
      <c r="R76" s="11">
        <f t="shared" si="6"/>
        <v>2</v>
      </c>
      <c r="S76" s="12" t="str" cm="1">
        <f t="array" ref="S76">INDEX('Radiotherapy-ConceptMap-1'!$I$15:$N$124,Q76+1,R76)</f>
        <v>* group[=].element[=].display = ##34#Adaptive RT##34#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c r="P80" s="11">
        <v>66</v>
      </c>
      <c r="Q80" s="11">
        <f t="shared" si="8"/>
        <v>10</v>
      </c>
      <c r="R80" s="11">
        <f t="shared" si="9"/>
        <v>6</v>
      </c>
      <c r="S80" s="12" t="str" cm="1">
        <f t="array" ref="S80">INDEX('Radiotherapy-ConceptMap-1'!$I$15:$N$124,Q80+1,R80)</f>
        <v/>
      </c>
    </row>
    <row r="81" spans="16:19">
      <c r="P81" s="11">
        <v>67</v>
      </c>
      <c r="Q81" s="11">
        <f t="shared" si="8"/>
        <v>11</v>
      </c>
      <c r="R81" s="11">
        <f t="shared" si="9"/>
        <v>1</v>
      </c>
      <c r="S81" s="12" t="str" cm="1">
        <f t="array" ref="S81">INDEX('Radiotherapy-ConceptMap-1'!$I$15:$N$124,Q81+1,R81)</f>
        <v>* group[=].element[+].code = #Radiotherapy.igrtImageGuideRadiotherapy</v>
      </c>
    </row>
    <row r="82" spans="16:19">
      <c r="P82" s="11">
        <v>68</v>
      </c>
      <c r="Q82" s="11">
        <f t="shared" si="8"/>
        <v>11</v>
      </c>
      <c r="R82" s="11">
        <f t="shared" si="9"/>
        <v>2</v>
      </c>
      <c r="S82" s="12" t="str" cm="1">
        <f t="array" ref="S82">INDEX('Radiotherapy-ConceptMap-1'!$I$15:$N$124,Q82+1,R82)</f>
        <v>* group[=].element[=].display = ##34#IGRT  (image guide radiotherapy)##34#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c r="P86" s="11">
        <v>72</v>
      </c>
      <c r="Q86" s="11">
        <f t="shared" si="8"/>
        <v>11</v>
      </c>
      <c r="R86" s="11">
        <f t="shared" si="9"/>
        <v>6</v>
      </c>
      <c r="S86" s="12" t="str" cm="1">
        <f t="array" ref="S86">INDEX('Radiotherapy-ConceptMap-1'!$I$15:$N$124,Q86+1,R86)</f>
        <v/>
      </c>
    </row>
    <row r="87" spans="16:19">
      <c r="P87" s="11">
        <v>73</v>
      </c>
      <c r="Q87" s="11">
        <f t="shared" si="8"/>
        <v>12</v>
      </c>
      <c r="R87" s="11">
        <f t="shared" si="9"/>
        <v>1</v>
      </c>
      <c r="S87" s="12" t="str" cm="1">
        <f t="array" ref="S87">INDEX('Radiotherapy-ConceptMap-1'!$I$15:$N$124,Q87+1,R87)</f>
        <v>* group[=].element[+].code = #Radiotherapy.startDate</v>
      </c>
    </row>
    <row r="88" spans="16:19">
      <c r="P88" s="11">
        <v>74</v>
      </c>
      <c r="Q88" s="11">
        <f t="shared" si="8"/>
        <v>12</v>
      </c>
      <c r="R88" s="11">
        <f t="shared" si="9"/>
        <v>2</v>
      </c>
      <c r="S88" s="12" t="str" cm="1">
        <f t="array" ref="S88">INDEX('Radiotherapy-ConceptMap-1'!$I$15:$N$124,Q88+1,R88)</f>
        <v>* group[=].element[=].display = ##34#Start date##34#</v>
      </c>
    </row>
    <row r="89" spans="16:19">
      <c r="P89" s="11">
        <v>75</v>
      </c>
      <c r="Q89" s="11">
        <f t="shared" si="8"/>
        <v>12</v>
      </c>
      <c r="R89" s="11">
        <f t="shared" si="9"/>
        <v>3</v>
      </c>
      <c r="S89" s="12" t="str" cm="1">
        <f t="array" ref="S89">INDEX('Radiotherapy-ConceptMap-1'!$I$15:$N$124,Q89+1,R89)</f>
        <v>* group[=].element[=].target.code = #Procedure.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#Radiotherapy.endDate</v>
      </c>
    </row>
    <row r="94" spans="16:19">
      <c r="P94" s="11">
        <v>80</v>
      </c>
      <c r="Q94" s="11">
        <f t="shared" si="8"/>
        <v>13</v>
      </c>
      <c r="R94" s="11">
        <f t="shared" si="9"/>
        <v>2</v>
      </c>
      <c r="S94" s="12" t="str" cm="1">
        <f t="array" ref="S94">INDEX('Radiotherapy-ConceptMap-1'!$I$15:$N$124,Q94+1,R94)</f>
        <v>* group[=].element[=].display = ##34#End  date##34#</v>
      </c>
    </row>
    <row r="95" spans="16:19">
      <c r="P95" s="11">
        <v>81</v>
      </c>
      <c r="Q95" s="11">
        <f t="shared" si="8"/>
        <v>13</v>
      </c>
      <c r="R95" s="11">
        <f t="shared" si="9"/>
        <v>3</v>
      </c>
      <c r="S95" s="12" t="str" cm="1">
        <f t="array" ref="S95">INDEX('Radiotherapy-ConceptMap-1'!$I$15:$N$124,Q95+1,R95)</f>
        <v>* group[=].element[=].target.code = #Procedure.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c r="P99" s="11">
        <v>85</v>
      </c>
      <c r="Q99" s="11">
        <f t="shared" si="8"/>
        <v>14</v>
      </c>
      <c r="R99" s="11">
        <f t="shared" si="9"/>
        <v>1</v>
      </c>
      <c r="S99" s="12" t="str" cm="1">
        <f t="array" ref="S99">INDEX('Radiotherapy-ConceptMap-1'!$I$15:$N$124,Q99+1,R99)</f>
        <v>* group[=].element[+].code = #Radiotherapy.treatmentSites</v>
      </c>
    </row>
    <row r="100" spans="16:19">
      <c r="P100" s="11">
        <v>86</v>
      </c>
      <c r="Q100" s="11">
        <f t="shared" si="8"/>
        <v>14</v>
      </c>
      <c r="R100" s="11">
        <f t="shared" si="9"/>
        <v>2</v>
      </c>
      <c r="S100" s="12" t="str" cm="1">
        <f t="array" ref="S100">INDEX('Radiotherapy-ConceptMap-1'!$I$15:$N$124,Q100+1,R100)</f>
        <v>* group[=].element[=].display = ##34#Treatment Sites:##34#</v>
      </c>
    </row>
    <row r="101" spans="16:19">
      <c r="P101" s="11">
        <v>87</v>
      </c>
      <c r="Q101" s="11">
        <f t="shared" si="8"/>
        <v>14</v>
      </c>
      <c r="R101" s="11">
        <f t="shared" si="9"/>
        <v>3</v>
      </c>
      <c r="S101" s="12" t="str" cm="1">
        <f t="array" ref="S101">INDEX('Radiotherapy-ConceptMap-1'!$I$15:$N$124,Q101+1,R101)</f>
        <v>* group[=].element[=].target.code = #Procedure.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#Radiotherapy.treatmentSites.primary</v>
      </c>
    </row>
    <row r="106" spans="16:19">
      <c r="P106" s="11">
        <v>92</v>
      </c>
      <c r="Q106" s="11">
        <f t="shared" si="8"/>
        <v>15</v>
      </c>
      <c r="R106" s="11">
        <f t="shared" si="9"/>
        <v>2</v>
      </c>
      <c r="S106" s="12" t="str" cm="1">
        <f t="array" ref="S106">INDEX('Radiotherapy-ConceptMap-1'!$I$15:$N$124,Q106+1,R106)</f>
        <v>* group[=].element[=].display = ##34#Primary##34#</v>
      </c>
    </row>
    <row r="107" spans="16:19">
      <c r="P107" s="11">
        <v>93</v>
      </c>
      <c r="Q107" s="11">
        <f t="shared" si="8"/>
        <v>15</v>
      </c>
      <c r="R107" s="11">
        <f t="shared" si="9"/>
        <v>3</v>
      </c>
      <c r="S107" s="12" t="str" cm="1">
        <f t="array" ref="S107">INDEX('Radiotherapy-ConceptMap-1'!$I$15:$N$124,Q107+1,R107)</f>
        <v>* group[=].element[=].target.code = #Procedure.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#Radiotherapy.treatmentSites.neck</v>
      </c>
    </row>
    <row r="112" spans="16:19">
      <c r="P112" s="11">
        <v>98</v>
      </c>
      <c r="Q112" s="11">
        <f t="shared" si="8"/>
        <v>16</v>
      </c>
      <c r="R112" s="11">
        <f t="shared" si="9"/>
        <v>2</v>
      </c>
      <c r="S112" s="12" t="str" cm="1">
        <f t="array" ref="S112">INDEX('Radiotherapy-ConceptMap-1'!$I$15:$N$124,Q112+1,R112)</f>
        <v>* group[=].element[=].display = ##34#Neck##34#</v>
      </c>
    </row>
    <row r="113" spans="16:19">
      <c r="P113" s="11">
        <v>99</v>
      </c>
      <c r="Q113" s="11">
        <f t="shared" si="8"/>
        <v>16</v>
      </c>
      <c r="R113" s="11">
        <f t="shared" si="9"/>
        <v>3</v>
      </c>
      <c r="S113" s="12" t="str" cm="1">
        <f t="array" ref="S113">INDEX('Radiotherapy-ConceptMap-1'!$I$15:$N$124,Q113+1,R113)</f>
        <v>* group[=].element[=].target.code = #Procedure.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ht="29.5">
      <c r="P117" s="11">
        <v>103</v>
      </c>
      <c r="Q117" s="11">
        <f t="shared" si="8"/>
        <v>17</v>
      </c>
      <c r="R117" s="11">
        <f t="shared" si="9"/>
        <v>1</v>
      </c>
      <c r="S117" s="12" t="str" cm="1">
        <f t="array" ref="S117">INDEX('Radiotherapy-ConceptMap-1'!$I$15:$N$124,Q117+1,R117)</f>
        <v>* group[=].element[+].code = #Radiotherapy.treatmentSites.primaryAndIpsilateralNeck</v>
      </c>
    </row>
    <row r="118" spans="16:19">
      <c r="P118" s="11">
        <v>104</v>
      </c>
      <c r="Q118" s="11">
        <f t="shared" si="8"/>
        <v>17</v>
      </c>
      <c r="R118" s="11">
        <f t="shared" si="9"/>
        <v>2</v>
      </c>
      <c r="S118" s="12" t="str" cm="1">
        <f t="array" ref="S118">INDEX('Radiotherapy-ConceptMap-1'!$I$15:$N$124,Q118+1,R118)</f>
        <v>* group[=].element[=].display = ##34#Primary and Ipsilateral Neck##34#</v>
      </c>
    </row>
    <row r="119" spans="16:19">
      <c r="P119" s="11">
        <v>105</v>
      </c>
      <c r="Q119" s="11">
        <f t="shared" si="8"/>
        <v>17</v>
      </c>
      <c r="R119" s="11">
        <f t="shared" si="9"/>
        <v>3</v>
      </c>
      <c r="S119" s="12" t="str" cm="1">
        <f t="array" ref="S119">INDEX('Radiotherapy-ConceptMap-1'!$I$15:$N$124,Q119+1,R119)</f>
        <v>* group[=].element[=].target.code = #Procedure.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#Radiotherapy.treatmentSites.primaryAndBilateralNeck</v>
      </c>
    </row>
    <row r="124" spans="16:19">
      <c r="P124" s="11">
        <v>110</v>
      </c>
      <c r="Q124" s="11">
        <f t="shared" si="8"/>
        <v>18</v>
      </c>
      <c r="R124" s="11">
        <f t="shared" si="9"/>
        <v>2</v>
      </c>
      <c r="S124" s="12" t="str" cm="1">
        <f t="array" ref="S124">INDEX('Radiotherapy-ConceptMap-1'!$I$15:$N$124,Q124+1,R124)</f>
        <v>* group[=].element[=].display = ##34#Primary and Bilateral Neck##34#</v>
      </c>
    </row>
    <row r="125" spans="16:19">
      <c r="P125" s="11">
        <v>111</v>
      </c>
      <c r="Q125" s="11">
        <f t="shared" si="8"/>
        <v>18</v>
      </c>
      <c r="R125" s="11">
        <f t="shared" si="9"/>
        <v>3</v>
      </c>
      <c r="S125" s="12" t="str" cm="1">
        <f t="array" ref="S125">INDEX('Radiotherapy-ConceptMap-1'!$I$15:$N$124,Q125+1,R125)</f>
        <v>* group[=].element[=].target.code = #Procedure.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#Radiotherapy.treatmentSites.distantMetastasis</v>
      </c>
    </row>
    <row r="130" spans="16:19">
      <c r="P130" s="11">
        <v>116</v>
      </c>
      <c r="Q130" s="11">
        <f t="shared" si="8"/>
        <v>19</v>
      </c>
      <c r="R130" s="11">
        <f t="shared" si="9"/>
        <v>2</v>
      </c>
      <c r="S130" s="12" t="str" cm="1">
        <f t="array" ref="S130">INDEX('Radiotherapy-ConceptMap-1'!$I$15:$N$124,Q130+1,R130)</f>
        <v>* group[=].element[=].display = ##34#Distant Metastasis##34#</v>
      </c>
    </row>
    <row r="131" spans="16:19">
      <c r="P131" s="11">
        <v>117</v>
      </c>
      <c r="Q131" s="11">
        <f t="shared" si="8"/>
        <v>19</v>
      </c>
      <c r="R131" s="11">
        <f t="shared" si="9"/>
        <v>3</v>
      </c>
      <c r="S131" s="12" t="str" cm="1">
        <f t="array" ref="S131">INDEX('Radiotherapy-ConceptMap-1'!$I$15:$N$124,Q131+1,R131)</f>
        <v>* group[=].element[=].target.code = #Procedure.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#Radiotherapy.metastaticTreatmentSites</v>
      </c>
    </row>
    <row r="136" spans="16:19">
      <c r="P136" s="11">
        <v>122</v>
      </c>
      <c r="Q136" s="11">
        <f t="shared" si="8"/>
        <v>20</v>
      </c>
      <c r="R136" s="11">
        <f t="shared" si="9"/>
        <v>2</v>
      </c>
      <c r="S136" s="12" t="str" cm="1">
        <f t="array" ref="S136">INDEX('Radiotherapy-ConceptMap-1'!$I$15:$N$124,Q136+1,R136)</f>
        <v>* group[=].element[=].display = ##34#Metastatic Treatment Sites:##34#</v>
      </c>
    </row>
    <row r="137" spans="16:19">
      <c r="P137" s="11">
        <v>123</v>
      </c>
      <c r="Q137" s="11">
        <f t="shared" si="8"/>
        <v>20</v>
      </c>
      <c r="R137" s="11">
        <f t="shared" si="9"/>
        <v>3</v>
      </c>
      <c r="S137" s="12" t="str" cm="1">
        <f t="array" ref="S137">INDEX('Radiotherapy-ConceptMap-1'!$I$15:$N$124,Q137+1,R137)</f>
        <v>* group[=].element[=].target.code = #Procedure.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#Radiotherapy.metastaticTreatmentSites.lung</v>
      </c>
    </row>
    <row r="142" spans="16:19" ht="29.5">
      <c r="P142" s="11">
        <v>128</v>
      </c>
      <c r="Q142" s="11">
        <f t="shared" si="8"/>
        <v>21</v>
      </c>
      <c r="R142" s="11">
        <f t="shared" si="9"/>
        <v>2</v>
      </c>
      <c r="S142" s="12" t="str" cm="1">
        <f t="array" ref="S142">INDEX('Radiotherapy-ConceptMap-1'!$I$15:$N$124,Q142+1,R142)</f>
        <v>* group[=].element[=].display = ##34#Lung
##34#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#Radiotherapy.metastaticTreatmentSites.mediastinum</v>
      </c>
    </row>
    <row r="148" spans="16:19" ht="29.5">
      <c r="P148" s="11">
        <v>134</v>
      </c>
      <c r="Q148" s="11">
        <f t="shared" si="10"/>
        <v>22</v>
      </c>
      <c r="R148" s="11">
        <f t="shared" si="11"/>
        <v>2</v>
      </c>
      <c r="S148" s="12" t="str" cm="1">
        <f t="array" ref="S148">INDEX('Radiotherapy-ConceptMap-1'!$I$15:$N$124,Q148+1,R148)</f>
        <v>* group[=].element[=].display = ##34#Mediastinum
##34#</v>
      </c>
    </row>
    <row r="149" spans="16:19">
      <c r="P149" s="11">
        <v>135</v>
      </c>
      <c r="Q149" s="11">
        <f t="shared" si="10"/>
        <v>22</v>
      </c>
      <c r="R149" s="11">
        <f t="shared" si="11"/>
        <v>3</v>
      </c>
      <c r="S149" s="12" t="str" cm="1">
        <f t="array" ref="S149">INDEX('Radiotherapy-ConceptMap-1'!$I$15:$N$124,Q149+1,R149)</f>
        <v>* group[=].element[=].target.code = #Procedure.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c r="P153" s="11">
        <v>139</v>
      </c>
      <c r="Q153" s="11">
        <f t="shared" si="10"/>
        <v>23</v>
      </c>
      <c r="R153" s="11">
        <f t="shared" si="11"/>
        <v>1</v>
      </c>
      <c r="S153" s="12" t="str" cm="1">
        <f t="array" ref="S153">INDEX('Radiotherapy-ConceptMap-1'!$I$15:$N$124,Q153+1,R153)</f>
        <v>* group[=].element[+].code = #Radiotherapy.metastaticTreatmentSites.bone</v>
      </c>
    </row>
    <row r="154" spans="16:19" ht="29.5">
      <c r="P154" s="11">
        <v>140</v>
      </c>
      <c r="Q154" s="11">
        <f t="shared" si="10"/>
        <v>23</v>
      </c>
      <c r="R154" s="11">
        <f t="shared" si="11"/>
        <v>2</v>
      </c>
      <c r="S154" s="12" t="str" cm="1">
        <f t="array" ref="S154">INDEX('Radiotherapy-ConceptMap-1'!$I$15:$N$124,Q154+1,R154)</f>
        <v>* group[=].element[=].display = ##34#Bone
##34#</v>
      </c>
    </row>
    <row r="155" spans="16:19">
      <c r="P155" s="11">
        <v>141</v>
      </c>
      <c r="Q155" s="11">
        <f t="shared" si="10"/>
        <v>23</v>
      </c>
      <c r="R155" s="11">
        <f t="shared" si="11"/>
        <v>3</v>
      </c>
      <c r="S155" s="12" t="str" cm="1">
        <f t="array" ref="S155">INDEX('Radiotherapy-ConceptMap-1'!$I$15:$N$124,Q155+1,R155)</f>
        <v>* group[=].element[=].target.code = #Procedure.</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G2" sqref="G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#Procedure.code</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ht="29.5">
      <c r="B36" s="12" t="str">
        <f>IF('Radiotherapy-ConceptMap-1'!S32=0,"//---END",'Radiotherapy-ConceptMap-1'!S32)</f>
        <v>* group[=].element[=].target.comment = ##34#to be analized: add a slice to code or consider to define an extension for this (or cathegories (R5 extension)) ?##34#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#Procedure.code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group[=].element[=].target.code = #Procedure.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group[=].element[=].target.code = #Procedure.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 4. Cancer under study</vt:lpstr>
      <vt:lpstr>2.Demographic &amp; life style</vt:lpstr>
      <vt:lpstr>OsirisDataElementConcept</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2023-07-20T08:47:10Z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