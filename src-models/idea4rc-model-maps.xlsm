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14.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5.xml" ContentType="application/vnd.openxmlformats-officedocument.drawing+xml"/>
  <Override PartName="/xl/ctrlProps/ctrlProp21.xml" ContentType="application/vnd.ms-excel.controlproperties+xml"/>
  <Override PartName="/xl/drawings/drawing16.xml" ContentType="application/vnd.openxmlformats-officedocument.drawing+xml"/>
  <Override PartName="/xl/ctrlProps/ctrlProp22.xml" ContentType="application/vnd.ms-excel.controlproperties+xml"/>
  <Override PartName="/xl/drawings/drawing17.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8.xml" ContentType="application/vnd.openxmlformats-officedocument.drawing+xml"/>
  <Override PartName="/xl/ctrlProps/ctrlProp25.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7EA705BD-2FDE-41FE-86DF-667A75B33B0F}" xr6:coauthVersionLast="47" xr6:coauthVersionMax="47" xr10:uidLastSave="{00000000-0000-0000-0000-000000000000}"/>
  <bookViews>
    <workbookView xWindow="-90" yWindow="-21710" windowWidth="38620" windowHeight="21100" tabRatio="819" firstSheet="38" activeTab="46" xr2:uid="{82F0A5E9-86C8-45A2-AB20-6CF6AA2FD42B}"/>
  </bookViews>
  <sheets>
    <sheet name=" 4. Cancer under study" sheetId="150" r:id="rId1"/>
    <sheet name="2.Demographic &amp; life style" sheetId="137" r:id="rId2"/>
    <sheet name="OsirisDataElementConcept" sheetId="139" r:id="rId3"/>
    <sheet name="CancerEpisode-src" sheetId="175" r:id="rId4"/>
    <sheet name="CancerEpisode" sheetId="172" r:id="rId5"/>
    <sheet name="CancerEpisode-fsh" sheetId="174" r:id="rId6"/>
    <sheet name="CancerEpisode-ConceptMap-1" sheetId="178" r:id="rId7"/>
    <sheet name="CancerEpisode-ConceptMap-2" sheetId="186" r:id="rId8"/>
    <sheet name="CancerEpisode-CM-fsh" sheetId="179" r:id="rId9"/>
    <sheet name="Subject" sheetId="169" r:id="rId10"/>
    <sheet name="Subject-Map-1" sheetId="170" r:id="rId11"/>
    <sheet name="Subject-fsh" sheetId="171" r:id="rId12"/>
    <sheet name="Subject-ConceptMap-1" sheetId="180" r:id="rId13"/>
    <sheet name="Subject-ConceptMap-2" sheetId="182" r:id="rId14"/>
    <sheet name="Subject-ConceptMap-3" sheetId="183" r:id="rId15"/>
    <sheet name="Subject-ConceptMap-4" sheetId="184" r:id="rId16"/>
    <sheet name="Subject-ConceptMap-5" sheetId="185" r:id="rId17"/>
    <sheet name="Subject-CM-fsh" sheetId="181" r:id="rId18"/>
    <sheet name="EpisodeEvent-src" sheetId="192" r:id="rId19"/>
    <sheet name="EpisodeEvent" sheetId="193" r:id="rId20"/>
    <sheet name="EpisodeEvent-Map-1" sheetId="194" r:id="rId21"/>
    <sheet name="EpisodeEvent-fsh" sheetId="195" r:id="rId22"/>
    <sheet name="EpisodeEvent-ConceptMap-1" sheetId="196" r:id="rId23"/>
    <sheet name="EpisodeEvent-CM-fsh" sheetId="198" r:id="rId24"/>
    <sheet name="ClinicalStage-src" sheetId="187" r:id="rId25"/>
    <sheet name="ClinicalStage" sheetId="159" r:id="rId26"/>
    <sheet name="ClinicalStage-Map-1" sheetId="160" r:id="rId27"/>
    <sheet name="ClinicalStage-fsh" sheetId="161" r:id="rId28"/>
    <sheet name="ClinicalStage-ConceptMap-1" sheetId="199" r:id="rId29"/>
    <sheet name="ClinicalStage-ConceptMap-2" sheetId="201" r:id="rId30"/>
    <sheet name="ClinicalStage-ConceptMap-3" sheetId="202" r:id="rId31"/>
    <sheet name="ClinicalStage-ConceptMap-4" sheetId="203" r:id="rId32"/>
    <sheet name="ClinicalStage-CM-fsh" sheetId="200" r:id="rId33"/>
    <sheet name="PathologicalStage-src" sheetId="188" r:id="rId34"/>
    <sheet name="PathologicalStage" sheetId="189" r:id="rId35"/>
    <sheet name="PathologicalStage-fsh" sheetId="191" r:id="rId36"/>
    <sheet name="PathStage-ConceptMap-1" sheetId="204" r:id="rId37"/>
    <sheet name="PathStage-ConceptMap-2" sheetId="205" r:id="rId38"/>
    <sheet name="PathStage-ConceptMap-3" sheetId="206" r:id="rId39"/>
    <sheet name="PathStage-ConceptMap-4" sheetId="207" r:id="rId40"/>
    <sheet name="PathStage-CM-fsh" sheetId="208" r:id="rId41"/>
    <sheet name="SystemicTreatment" sheetId="164" r:id="rId42"/>
    <sheet name="SystemicTreatment-fsh" sheetId="166" r:id="rId43"/>
    <sheet name="Surgery" sheetId="209" r:id="rId44"/>
    <sheet name="Surgery-fsh" sheetId="210" r:id="rId45"/>
    <sheet name="Surgery-ConceptMap-1" sheetId="213" r:id="rId46"/>
    <sheet name="Surgery-CM-fsh" sheetId="214" r:id="rId47"/>
    <sheet name="Radiotherapy" sheetId="211" r:id="rId48"/>
    <sheet name="Radiotherapy-fsh" sheetId="212" r:id="rId49"/>
    <sheet name="Radiotherapy-ConceptMap-1" sheetId="215" r:id="rId50"/>
    <sheet name="Radiotherapy-CM-fsh" sheetId="216" r:id="rId51"/>
    <sheet name="ConvertOsiris" sheetId="138" r:id="rId52"/>
    <sheet name="Osiris" sheetId="141" r:id="rId53"/>
    <sheet name="Osiris-Map" sheetId="142" r:id="rId54"/>
    <sheet name="Osiris-fsh-noMap" sheetId="144" r:id="rId55"/>
    <sheet name="Osiris-fsh" sheetId="143" r:id="rId56"/>
    <sheet name="Osiris-ConceptMap" sheetId="145" r:id="rId57"/>
    <sheet name="Osiris-CM-fsh" sheetId="147" r:id="rId58"/>
    <sheet name="equivalence" sheetId="146" r:id="rId59"/>
  </sheets>
  <externalReferences>
    <externalReference r:id="rId60"/>
  </externalReferences>
  <definedNames>
    <definedName name="_xlnm._FilterDatabase" localSheetId="1" hidden="1">'2.Demographic &amp; life style'!$A$2:$S$47</definedName>
    <definedName name="_xlnm._FilterDatabase" localSheetId="4" hidden="1">CancerEpisode!$A$7:$M$39</definedName>
    <definedName name="_xlnm._FilterDatabase" localSheetId="51" hidden="1">ConvertOsiris!$D$2:$U$232</definedName>
    <definedName name="_xlnm._FilterDatabase" localSheetId="47" hidden="1">Radiotherapy!$A$7:$M$34</definedName>
    <definedName name="_xlnm._FilterDatabase" localSheetId="9"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210" l="1"/>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6" i="207" a="1"/>
  <c r="S16" i="207" s="1"/>
  <c r="S17" i="207" a="1"/>
  <c r="S17" i="207"/>
  <c r="S18" i="207" a="1"/>
  <c r="S18" i="207" s="1"/>
  <c r="S19" i="207" a="1"/>
  <c r="S19" i="207"/>
  <c r="S20" i="207" a="1"/>
  <c r="S20" i="207" s="1"/>
  <c r="S21" i="207" a="1"/>
  <c r="S21" i="207"/>
  <c r="C15" i="207"/>
  <c r="B15" i="207"/>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I19" i="215" s="1"/>
  <c r="C19" i="215"/>
  <c r="J19" i="215" s="1"/>
  <c r="B20" i="215"/>
  <c r="C20" i="215"/>
  <c r="B21" i="215"/>
  <c r="C21" i="215"/>
  <c r="J21" i="215" s="1"/>
  <c r="B22" i="215"/>
  <c r="C22" i="215"/>
  <c r="B23" i="215"/>
  <c r="C23" i="215"/>
  <c r="J23" i="215" s="1"/>
  <c r="B24" i="215"/>
  <c r="C24" i="215"/>
  <c r="B25" i="215"/>
  <c r="C25" i="215"/>
  <c r="B26" i="215"/>
  <c r="C26" i="215"/>
  <c r="B27" i="215"/>
  <c r="I27" i="215" s="1"/>
  <c r="C27" i="215"/>
  <c r="J27" i="215" s="1"/>
  <c r="B28" i="215"/>
  <c r="C28" i="215"/>
  <c r="B29" i="215"/>
  <c r="C29" i="215"/>
  <c r="J29" i="215" s="1"/>
  <c r="B30" i="215"/>
  <c r="C30" i="215"/>
  <c r="B31" i="215"/>
  <c r="I31" i="215" s="1"/>
  <c r="S111" i="215" s="1" a="1"/>
  <c r="S111" i="215" s="1"/>
  <c r="B115" i="216" s="1"/>
  <c r="C31" i="215"/>
  <c r="J31" i="215" s="1"/>
  <c r="B32" i="215"/>
  <c r="C32" i="215"/>
  <c r="B33" i="215"/>
  <c r="C33" i="215"/>
  <c r="J33" i="215" s="1"/>
  <c r="B34" i="215"/>
  <c r="C34" i="215"/>
  <c r="B35" i="215"/>
  <c r="C35" i="215"/>
  <c r="J35" i="215" s="1"/>
  <c r="B36" i="215"/>
  <c r="C36" i="215"/>
  <c r="B37" i="215"/>
  <c r="C37" i="215"/>
  <c r="B38" i="215"/>
  <c r="C38" i="215"/>
  <c r="C15" i="215"/>
  <c r="B15" i="215"/>
  <c r="B14" i="215"/>
  <c r="B15" i="216"/>
  <c r="B13" i="216"/>
  <c r="B12" i="216"/>
  <c r="B9" i="216"/>
  <c r="B8" i="216"/>
  <c r="B4" i="216"/>
  <c r="R163" i="215"/>
  <c r="Q163" i="215"/>
  <c r="S163" i="215" s="1" a="1"/>
  <c r="S163" i="215" s="1"/>
  <c r="R162" i="215"/>
  <c r="Q162" i="215"/>
  <c r="S162" i="215" s="1" a="1"/>
  <c r="S162" i="215" s="1"/>
  <c r="S161" i="215" a="1"/>
  <c r="S161" i="215" s="1"/>
  <c r="B165" i="216" s="1"/>
  <c r="R161" i="215"/>
  <c r="Q161" i="215"/>
  <c r="R160" i="215"/>
  <c r="Q160" i="215"/>
  <c r="S160" i="215" s="1" a="1"/>
  <c r="S160" i="215" s="1"/>
  <c r="B164" i="216" s="1"/>
  <c r="S159" i="215" a="1"/>
  <c r="S159" i="215" s="1"/>
  <c r="B163" i="216" s="1"/>
  <c r="R159" i="215"/>
  <c r="Q159" i="215"/>
  <c r="R158" i="215"/>
  <c r="Q158" i="215"/>
  <c r="R157" i="215"/>
  <c r="Q157" i="215"/>
  <c r="S157" i="215" s="1" a="1"/>
  <c r="S157" i="215" s="1"/>
  <c r="B161" i="216" s="1"/>
  <c r="R156" i="215"/>
  <c r="Q156" i="215"/>
  <c r="S156" i="215" s="1" a="1"/>
  <c r="S156" i="215" s="1"/>
  <c r="B160" i="216" s="1"/>
  <c r="S155" i="215" a="1"/>
  <c r="S155" i="215" s="1"/>
  <c r="B159" i="216" s="1"/>
  <c r="R155" i="215"/>
  <c r="Q155" i="215"/>
  <c r="R154" i="215"/>
  <c r="Q154" i="215"/>
  <c r="R153" i="215"/>
  <c r="Q153" i="215"/>
  <c r="R152" i="215"/>
  <c r="Q152" i="215"/>
  <c r="S152" i="215" s="1" a="1"/>
  <c r="S152" i="215" s="1"/>
  <c r="B156" i="216" s="1"/>
  <c r="R151" i="215"/>
  <c r="Q151" i="215"/>
  <c r="S151" i="215" s="1" a="1"/>
  <c r="S151" i="215" s="1"/>
  <c r="B155" i="216" s="1"/>
  <c r="R150" i="215"/>
  <c r="Q150" i="215"/>
  <c r="R149" i="215"/>
  <c r="Q149" i="215"/>
  <c r="R148" i="215"/>
  <c r="Q148" i="215"/>
  <c r="R147" i="215"/>
  <c r="Q147" i="215"/>
  <c r="R146" i="215"/>
  <c r="Q146" i="215"/>
  <c r="S145" i="215" a="1"/>
  <c r="S145" i="215" s="1"/>
  <c r="B149" i="216" s="1"/>
  <c r="R145" i="215"/>
  <c r="Q145" i="215"/>
  <c r="R144" i="215"/>
  <c r="Q144" i="215"/>
  <c r="R143" i="215"/>
  <c r="Q143" i="215"/>
  <c r="R142" i="215"/>
  <c r="Q142" i="215"/>
  <c r="R141" i="215"/>
  <c r="Q141" i="215"/>
  <c r="R140" i="215"/>
  <c r="Q140" i="215"/>
  <c r="S140" i="215" s="1" a="1"/>
  <c r="S140" i="215" s="1"/>
  <c r="B144" i="216" s="1"/>
  <c r="R139" i="215"/>
  <c r="Q139" i="215"/>
  <c r="R138" i="215"/>
  <c r="Q138" i="215"/>
  <c r="R137" i="215"/>
  <c r="Q137" i="215"/>
  <c r="R136" i="215"/>
  <c r="Q136" i="215"/>
  <c r="R135" i="215"/>
  <c r="Q135" i="215"/>
  <c r="R134" i="215"/>
  <c r="Q134" i="215"/>
  <c r="R133" i="215"/>
  <c r="Q133" i="215"/>
  <c r="S133" i="215" s="1" a="1"/>
  <c r="S133" i="215" s="1"/>
  <c r="B137" i="216" s="1"/>
  <c r="R132" i="215"/>
  <c r="Q132" i="215"/>
  <c r="R131" i="215"/>
  <c r="Q131" i="215"/>
  <c r="R130" i="215"/>
  <c r="Q130" i="215"/>
  <c r="R129" i="215"/>
  <c r="Q129" i="215"/>
  <c r="R128" i="215"/>
  <c r="Q128" i="215"/>
  <c r="R127" i="215"/>
  <c r="Q127" i="215"/>
  <c r="R126" i="215"/>
  <c r="Q126" i="215"/>
  <c r="R125" i="215"/>
  <c r="Q125" i="215"/>
  <c r="S125" i="215" s="1" a="1"/>
  <c r="S125" i="215" s="1"/>
  <c r="B129" i="216" s="1"/>
  <c r="R124" i="215"/>
  <c r="Q124" i="215"/>
  <c r="R123" i="215"/>
  <c r="Q123" i="215"/>
  <c r="R122" i="215"/>
  <c r="Q122" i="215"/>
  <c r="R121" i="215"/>
  <c r="Q121" i="215"/>
  <c r="S121" i="215" s="1" a="1"/>
  <c r="S121" i="215" s="1"/>
  <c r="B125" i="216" s="1"/>
  <c r="R120" i="215"/>
  <c r="Q120" i="215"/>
  <c r="S120" i="215" s="1" a="1"/>
  <c r="S120" i="215" s="1"/>
  <c r="B124" i="216" s="1"/>
  <c r="R119" i="215"/>
  <c r="Q119" i="215"/>
  <c r="R118" i="215"/>
  <c r="Q118" i="215"/>
  <c r="R117" i="215"/>
  <c r="Q117" i="215"/>
  <c r="R116" i="215"/>
  <c r="Q116" i="215"/>
  <c r="R115" i="215"/>
  <c r="Q115" i="215"/>
  <c r="S115" i="215" s="1" a="1"/>
  <c r="S115" i="215" s="1"/>
  <c r="B119" i="216" s="1"/>
  <c r="R114" i="215"/>
  <c r="Q114" i="215"/>
  <c r="S113" i="215" a="1"/>
  <c r="S113" i="215" s="1"/>
  <c r="B117" i="216" s="1"/>
  <c r="R113" i="215"/>
  <c r="Q113" i="215"/>
  <c r="R112" i="215"/>
  <c r="Q112" i="215"/>
  <c r="R111" i="215"/>
  <c r="Q111" i="215"/>
  <c r="R110" i="215"/>
  <c r="Q110" i="215"/>
  <c r="R109" i="215"/>
  <c r="Q109" i="215"/>
  <c r="S109" i="215" s="1" a="1"/>
  <c r="S109" i="215" s="1"/>
  <c r="B113" i="216" s="1"/>
  <c r="R108" i="215"/>
  <c r="Q108" i="215"/>
  <c r="S108" i="215" s="1" a="1"/>
  <c r="S108" i="215" s="1"/>
  <c r="B112" i="216" s="1"/>
  <c r="R107" i="215"/>
  <c r="Q107" i="215"/>
  <c r="R106" i="215"/>
  <c r="Q106" i="215"/>
  <c r="R105" i="215"/>
  <c r="Q105" i="215"/>
  <c r="R104" i="215"/>
  <c r="Q104" i="215"/>
  <c r="R103" i="215"/>
  <c r="Q103" i="215"/>
  <c r="S103" i="215" s="1" a="1"/>
  <c r="S103" i="215" s="1"/>
  <c r="B107" i="216" s="1"/>
  <c r="R102" i="215"/>
  <c r="Q102" i="215"/>
  <c r="R101" i="215"/>
  <c r="Q101" i="215"/>
  <c r="R100" i="215"/>
  <c r="Q100" i="215"/>
  <c r="R99" i="215"/>
  <c r="Q99" i="215"/>
  <c r="R98" i="215"/>
  <c r="Q98" i="215"/>
  <c r="S97" i="215" a="1"/>
  <c r="S97" i="215" s="1"/>
  <c r="B101" i="216" s="1"/>
  <c r="R97" i="215"/>
  <c r="Q97" i="215"/>
  <c r="R96" i="215"/>
  <c r="Q96" i="215"/>
  <c r="R95" i="215"/>
  <c r="Q95" i="215"/>
  <c r="R94" i="215"/>
  <c r="Q94" i="215"/>
  <c r="R93" i="215"/>
  <c r="Q93" i="215"/>
  <c r="R92" i="215"/>
  <c r="Q92" i="215"/>
  <c r="R91" i="215"/>
  <c r="Q91" i="215"/>
  <c r="R90" i="215"/>
  <c r="Q90" i="215"/>
  <c r="R89" i="215"/>
  <c r="Q89" i="215"/>
  <c r="R88" i="215"/>
  <c r="Q88" i="215"/>
  <c r="R87" i="215"/>
  <c r="Q87" i="215"/>
  <c r="R86" i="215"/>
  <c r="Q86" i="215"/>
  <c r="R85" i="215"/>
  <c r="Q85" i="215"/>
  <c r="S85" i="215" s="1" a="1"/>
  <c r="S85" i="215" s="1"/>
  <c r="B89" i="216" s="1"/>
  <c r="R84" i="215"/>
  <c r="Q84" i="215"/>
  <c r="R83" i="215"/>
  <c r="Q83" i="215"/>
  <c r="S83" i="215" s="1" a="1"/>
  <c r="S83" i="215" s="1"/>
  <c r="B87" i="216" s="1"/>
  <c r="R82" i="215"/>
  <c r="Q82" i="215"/>
  <c r="R81" i="215"/>
  <c r="Q81" i="215"/>
  <c r="R80" i="215"/>
  <c r="Q80" i="215"/>
  <c r="R79" i="215"/>
  <c r="Q79" i="215"/>
  <c r="R78" i="215"/>
  <c r="Q78" i="215"/>
  <c r="R77" i="215"/>
  <c r="Q77" i="215"/>
  <c r="R76" i="215"/>
  <c r="Q76" i="215"/>
  <c r="R75" i="215"/>
  <c r="Q75" i="215"/>
  <c r="R74" i="215"/>
  <c r="Q74" i="215"/>
  <c r="R73" i="215"/>
  <c r="Q73" i="215"/>
  <c r="S73" i="215" s="1" a="1"/>
  <c r="S73" i="215" s="1"/>
  <c r="B77" i="216" s="1"/>
  <c r="R72" i="215"/>
  <c r="Q72" i="215"/>
  <c r="S72" i="215" s="1" a="1"/>
  <c r="S72" i="215" s="1"/>
  <c r="B76" i="216" s="1"/>
  <c r="R71" i="215"/>
  <c r="Q71" i="215"/>
  <c r="S71" i="215" s="1" a="1"/>
  <c r="S71" i="215" s="1"/>
  <c r="B75" i="216" s="1"/>
  <c r="R70" i="215"/>
  <c r="Q70" i="215"/>
  <c r="R69" i="215"/>
  <c r="Q69" i="215"/>
  <c r="R68" i="215"/>
  <c r="Q68" i="215"/>
  <c r="R67" i="215"/>
  <c r="Q67" i="215"/>
  <c r="S67" i="215" s="1" a="1"/>
  <c r="S67" i="215" s="1"/>
  <c r="B71" i="216" s="1"/>
  <c r="R66" i="215"/>
  <c r="Q66" i="215"/>
  <c r="R65" i="215"/>
  <c r="Q65" i="215"/>
  <c r="R64" i="215"/>
  <c r="Q64" i="215"/>
  <c r="R63" i="215"/>
  <c r="Q63" i="215"/>
  <c r="R62" i="215"/>
  <c r="Q62" i="215"/>
  <c r="R61" i="215"/>
  <c r="Q61" i="215"/>
  <c r="S61" i="215" s="1" a="1"/>
  <c r="S61" i="215" s="1"/>
  <c r="B65" i="216" s="1"/>
  <c r="R60" i="215"/>
  <c r="Q60" i="215"/>
  <c r="S60" i="215" s="1" a="1"/>
  <c r="S60" i="215" s="1"/>
  <c r="B64" i="216" s="1"/>
  <c r="R59" i="215"/>
  <c r="S59" i="215" s="1" a="1"/>
  <c r="S59" i="215" s="1"/>
  <c r="B63" i="216" s="1"/>
  <c r="Q59" i="215"/>
  <c r="R58" i="215"/>
  <c r="Q58" i="215"/>
  <c r="R57" i="215"/>
  <c r="Q57" i="215"/>
  <c r="R56" i="215"/>
  <c r="Q56" i="215"/>
  <c r="R55" i="215"/>
  <c r="Q55" i="215"/>
  <c r="S55" i="215" s="1" a="1"/>
  <c r="S55" i="215" s="1"/>
  <c r="B59" i="216" s="1"/>
  <c r="R54" i="215"/>
  <c r="Q54" i="215"/>
  <c r="R53" i="215"/>
  <c r="Q53" i="215"/>
  <c r="R52" i="215"/>
  <c r="Q52" i="215"/>
  <c r="R51" i="215"/>
  <c r="Q51" i="215"/>
  <c r="R50" i="215"/>
  <c r="Q50" i="215"/>
  <c r="S49" i="215" a="1"/>
  <c r="S49" i="215" s="1"/>
  <c r="B53" i="216" s="1"/>
  <c r="R49" i="215"/>
  <c r="Q49" i="215"/>
  <c r="R48" i="215"/>
  <c r="Q48" i="215"/>
  <c r="R47" i="215"/>
  <c r="Q47" i="215"/>
  <c r="R46" i="215"/>
  <c r="Q46" i="215"/>
  <c r="R45" i="215"/>
  <c r="Q45" i="215"/>
  <c r="R44" i="215"/>
  <c r="Q44" i="215"/>
  <c r="R43" i="215"/>
  <c r="S43" i="215" s="1" a="1"/>
  <c r="S43" i="215" s="1"/>
  <c r="B47" i="216" s="1"/>
  <c r="Q43" i="215"/>
  <c r="R42" i="215"/>
  <c r="Q42" i="215"/>
  <c r="R41" i="215"/>
  <c r="Q41" i="215"/>
  <c r="R40" i="215"/>
  <c r="Q40" i="215"/>
  <c r="R39" i="215"/>
  <c r="Q39" i="215"/>
  <c r="N39" i="215"/>
  <c r="R38" i="215"/>
  <c r="Q38" i="215"/>
  <c r="N38" i="215"/>
  <c r="M38" i="215"/>
  <c r="L38" i="215"/>
  <c r="K38" i="215"/>
  <c r="J38" i="215"/>
  <c r="R37" i="215"/>
  <c r="Q37" i="215"/>
  <c r="N37" i="215"/>
  <c r="M37" i="215"/>
  <c r="L37" i="215"/>
  <c r="K37" i="215"/>
  <c r="J37" i="215"/>
  <c r="I37" i="215"/>
  <c r="R36" i="215"/>
  <c r="Q36" i="215"/>
  <c r="N36" i="215"/>
  <c r="M36" i="215"/>
  <c r="L36" i="215"/>
  <c r="K36" i="215"/>
  <c r="S143" i="215" s="1" a="1"/>
  <c r="S143" i="215" s="1"/>
  <c r="B147" i="216" s="1"/>
  <c r="J36" i="215"/>
  <c r="R35" i="215"/>
  <c r="Q35" i="215"/>
  <c r="N35" i="215"/>
  <c r="M35" i="215"/>
  <c r="S139" i="215" s="1" a="1"/>
  <c r="S139" i="215" s="1"/>
  <c r="B143" i="216" s="1"/>
  <c r="L35" i="215"/>
  <c r="K35" i="215"/>
  <c r="I35" i="215"/>
  <c r="R34" i="215"/>
  <c r="Q34" i="215"/>
  <c r="N34" i="215"/>
  <c r="M34" i="215"/>
  <c r="L34" i="215"/>
  <c r="K34" i="215"/>
  <c r="J34" i="215"/>
  <c r="R33" i="215"/>
  <c r="Q33" i="215"/>
  <c r="N33" i="215"/>
  <c r="M33" i="215"/>
  <c r="S127" i="215" s="1" a="1"/>
  <c r="S127" i="215" s="1"/>
  <c r="B131" i="216" s="1"/>
  <c r="L33" i="215"/>
  <c r="K33" i="215"/>
  <c r="I33" i="215"/>
  <c r="S123" i="215" s="1" a="1"/>
  <c r="S123" i="215" s="1"/>
  <c r="B127" i="216" s="1"/>
  <c r="R32" i="215"/>
  <c r="Q32" i="215"/>
  <c r="N32" i="215"/>
  <c r="M32" i="215"/>
  <c r="L32" i="215"/>
  <c r="K32" i="215"/>
  <c r="J32" i="215"/>
  <c r="R31" i="215"/>
  <c r="Q31" i="215"/>
  <c r="N31" i="215"/>
  <c r="M31" i="215"/>
  <c r="L31" i="215"/>
  <c r="K31" i="215"/>
  <c r="R30" i="215"/>
  <c r="Q30" i="215"/>
  <c r="N30" i="215"/>
  <c r="M30" i="215"/>
  <c r="L30" i="215"/>
  <c r="K30" i="215"/>
  <c r="S107" i="215" s="1" a="1"/>
  <c r="S107" i="215" s="1"/>
  <c r="B111" i="216" s="1"/>
  <c r="J30" i="215"/>
  <c r="R29" i="215"/>
  <c r="Q29" i="215"/>
  <c r="N29" i="215"/>
  <c r="M29" i="215"/>
  <c r="L29" i="215"/>
  <c r="K29" i="215"/>
  <c r="I29" i="215"/>
  <c r="R28" i="215"/>
  <c r="Q28" i="215"/>
  <c r="N28" i="215"/>
  <c r="M28" i="215"/>
  <c r="L28" i="215"/>
  <c r="K28" i="215"/>
  <c r="S95" i="215" s="1" a="1"/>
  <c r="S95" i="215" s="1"/>
  <c r="B99" i="216" s="1"/>
  <c r="J28" i="215"/>
  <c r="R27" i="215"/>
  <c r="Q27" i="215"/>
  <c r="N27" i="215"/>
  <c r="M27" i="215"/>
  <c r="S91" i="215" s="1" a="1"/>
  <c r="S91" i="215" s="1"/>
  <c r="B95" i="216" s="1"/>
  <c r="L27" i="215"/>
  <c r="K27" i="215"/>
  <c r="R26" i="215"/>
  <c r="Q26" i="215"/>
  <c r="N26" i="215"/>
  <c r="M26" i="215"/>
  <c r="L26" i="215"/>
  <c r="K26" i="215"/>
  <c r="J26" i="215"/>
  <c r="R25" i="215"/>
  <c r="Q25" i="215"/>
  <c r="S25" i="215" s="1" a="1"/>
  <c r="S25" i="215" s="1"/>
  <c r="B29" i="216" s="1"/>
  <c r="N25" i="215"/>
  <c r="M25" i="215"/>
  <c r="S79" i="215" s="1" a="1"/>
  <c r="S79" i="215" s="1"/>
  <c r="B83" i="216" s="1"/>
  <c r="L25" i="215"/>
  <c r="K25" i="215"/>
  <c r="J25" i="215"/>
  <c r="I25" i="215"/>
  <c r="S75" i="215" s="1" a="1"/>
  <c r="S75" i="215" s="1"/>
  <c r="B79" i="216" s="1"/>
  <c r="R24" i="215"/>
  <c r="Q24" i="215"/>
  <c r="N24" i="215"/>
  <c r="M24" i="215"/>
  <c r="L24" i="215"/>
  <c r="K24" i="215"/>
  <c r="J24" i="215"/>
  <c r="R23" i="215"/>
  <c r="Q23" i="215"/>
  <c r="N23" i="215"/>
  <c r="M23" i="215"/>
  <c r="L23" i="215"/>
  <c r="K23" i="215"/>
  <c r="S65" i="215" s="1" a="1"/>
  <c r="S65" i="215" s="1"/>
  <c r="B69" i="216" s="1"/>
  <c r="I23" i="215"/>
  <c r="R22" i="215"/>
  <c r="Q22" i="215"/>
  <c r="N22" i="215"/>
  <c r="M22" i="215"/>
  <c r="L22" i="215"/>
  <c r="K22" i="215"/>
  <c r="J22" i="215"/>
  <c r="R21" i="215"/>
  <c r="Q21" i="215"/>
  <c r="N21" i="215"/>
  <c r="M21" i="215"/>
  <c r="L21" i="215"/>
  <c r="K21" i="215"/>
  <c r="I21" i="215"/>
  <c r="R20" i="215"/>
  <c r="Q20" i="215"/>
  <c r="S20" i="215" s="1" a="1"/>
  <c r="S20" i="215" s="1"/>
  <c r="B24" i="216" s="1"/>
  <c r="N20" i="215"/>
  <c r="M20" i="215"/>
  <c r="L20" i="215"/>
  <c r="K20" i="215"/>
  <c r="J20" i="215"/>
  <c r="R19" i="215"/>
  <c r="Q19" i="215"/>
  <c r="S19" i="215" s="1" a="1"/>
  <c r="S19" i="215" s="1"/>
  <c r="B23" i="216" s="1"/>
  <c r="N19" i="215"/>
  <c r="M19" i="215"/>
  <c r="L19" i="215"/>
  <c r="K19" i="215"/>
  <c r="R18" i="215"/>
  <c r="Q18" i="215"/>
  <c r="S18" i="215" s="1" a="1"/>
  <c r="S18" i="215" s="1"/>
  <c r="B22" i="216" s="1"/>
  <c r="N18" i="215"/>
  <c r="M18" i="215"/>
  <c r="S37" i="215" s="1" a="1"/>
  <c r="S37" i="215" s="1"/>
  <c r="B41" i="216" s="1"/>
  <c r="L18" i="215"/>
  <c r="K18" i="215"/>
  <c r="S35" i="215" s="1" a="1"/>
  <c r="S35" i="215" s="1"/>
  <c r="B39" i="216" s="1"/>
  <c r="J18" i="215"/>
  <c r="R17" i="215"/>
  <c r="Q17" i="215"/>
  <c r="N17" i="215"/>
  <c r="M17" i="215"/>
  <c r="S31" i="215" s="1" a="1"/>
  <c r="S31" i="215" s="1"/>
  <c r="B35" i="216" s="1"/>
  <c r="L17" i="215"/>
  <c r="K17" i="215"/>
  <c r="S29" i="215" s="1" a="1"/>
  <c r="S29" i="215" s="1"/>
  <c r="B33" i="216" s="1"/>
  <c r="J17" i="215"/>
  <c r="I17" i="215"/>
  <c r="S27" i="215" s="1" a="1"/>
  <c r="S27" i="215" s="1"/>
  <c r="B31" i="216" s="1"/>
  <c r="R16" i="215"/>
  <c r="Q16" i="215"/>
  <c r="S16" i="215" s="1" a="1"/>
  <c r="S16" i="215" s="1"/>
  <c r="B20" i="216" s="1"/>
  <c r="N16" i="215"/>
  <c r="M16" i="215"/>
  <c r="L16" i="215"/>
  <c r="K16" i="215"/>
  <c r="J16" i="215"/>
  <c r="R15" i="215"/>
  <c r="Q15" i="215"/>
  <c r="N15" i="215"/>
  <c r="M15" i="215"/>
  <c r="L15" i="215"/>
  <c r="K15" i="215"/>
  <c r="J15" i="215"/>
  <c r="I15" i="215"/>
  <c r="I36" i="215"/>
  <c r="B17" i="216"/>
  <c r="E3" i="215"/>
  <c r="B14" i="216" s="1"/>
  <c r="I16" i="213"/>
  <c r="I17" i="213"/>
  <c r="I18" i="213"/>
  <c r="I19" i="213"/>
  <c r="I20" i="213"/>
  <c r="I21" i="213"/>
  <c r="I22" i="213"/>
  <c r="S57" i="213" s="1" a="1"/>
  <c r="S57" i="213" s="1"/>
  <c r="B61" i="214" s="1"/>
  <c r="I23" i="213"/>
  <c r="I24" i="213"/>
  <c r="I25" i="213"/>
  <c r="I26" i="213"/>
  <c r="I27" i="213"/>
  <c r="I38" i="213"/>
  <c r="I15" i="213"/>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I35" i="213" s="1"/>
  <c r="B36" i="213"/>
  <c r="I36" i="213" s="1"/>
  <c r="B37" i="213"/>
  <c r="I37" i="213" s="1"/>
  <c r="S147" i="213" s="1" a="1"/>
  <c r="S147" i="213" s="1"/>
  <c r="B151" i="214" s="1"/>
  <c r="B38" i="213"/>
  <c r="B16" i="213"/>
  <c r="B17" i="213"/>
  <c r="B18" i="213"/>
  <c r="B19" i="213"/>
  <c r="B20" i="213"/>
  <c r="B21" i="213"/>
  <c r="B22" i="213"/>
  <c r="B23" i="213"/>
  <c r="B24" i="213"/>
  <c r="B25" i="213"/>
  <c r="B26" i="213"/>
  <c r="B27" i="213"/>
  <c r="B28" i="213"/>
  <c r="I28" i="213" s="1"/>
  <c r="B29" i="213"/>
  <c r="I29" i="213" s="1"/>
  <c r="B30" i="213"/>
  <c r="I30" i="213" s="1"/>
  <c r="S105" i="213" s="1" a="1"/>
  <c r="S105" i="213" s="1"/>
  <c r="B109" i="214" s="1"/>
  <c r="B31" i="213"/>
  <c r="I31" i="213" s="1"/>
  <c r="B32" i="213"/>
  <c r="I32" i="213" s="1"/>
  <c r="B33" i="213"/>
  <c r="I33" i="213" s="1"/>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7" i="166"/>
  <c r="C38" i="166"/>
  <c r="C39" i="166"/>
  <c r="C40" i="166"/>
  <c r="C41" i="166"/>
  <c r="C44" i="166"/>
  <c r="C45" i="166"/>
  <c r="C46" i="166"/>
  <c r="C47" i="166"/>
  <c r="C48" i="166"/>
  <c r="C49" i="166"/>
  <c r="C50" i="166"/>
  <c r="C51" i="166"/>
  <c r="C52" i="166"/>
  <c r="C53" i="166"/>
  <c r="L9" i="164"/>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B185" i="208" s="1"/>
  <c r="N17" i="207"/>
  <c r="R16" i="207"/>
  <c r="Q16" i="207"/>
  <c r="N16" i="207"/>
  <c r="S25" i="207" a="1"/>
  <c r="S25" i="207" s="1"/>
  <c r="R15" i="207"/>
  <c r="Q15" i="207"/>
  <c r="N15" i="207"/>
  <c r="M15" i="207"/>
  <c r="L15" i="207"/>
  <c r="K15" i="207"/>
  <c r="I15" i="207"/>
  <c r="S15" i="207" s="1" a="1"/>
  <c r="S15" i="207" s="1"/>
  <c r="B183" i="208" s="1"/>
  <c r="J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S16" i="205" s="1" a="1"/>
  <c r="S16" i="205" s="1"/>
  <c r="B153" i="208" s="1"/>
  <c r="Q16" i="205"/>
  <c r="N16" i="205"/>
  <c r="S26" i="205" s="1" a="1"/>
  <c r="S26" i="205" s="1"/>
  <c r="S24" i="205" a="1"/>
  <c r="S24" i="205" s="1"/>
  <c r="B161" i="208" s="1"/>
  <c r="S22" i="205" a="1"/>
  <c r="S22" i="205" s="1"/>
  <c r="B159" i="208" s="1"/>
  <c r="R15" i="205"/>
  <c r="Q15" i="205"/>
  <c r="N15" i="205"/>
  <c r="S20" i="205" s="1" a="1"/>
  <c r="S20" i="205" s="1"/>
  <c r="B157" i="208" s="1"/>
  <c r="M15" i="205"/>
  <c r="L15" i="205"/>
  <c r="K15" i="205"/>
  <c r="I15" i="205"/>
  <c r="S15" i="205" s="1" a="1"/>
  <c r="S15" i="205" s="1"/>
  <c r="B152" i="208" s="1"/>
  <c r="C15" i="205"/>
  <c r="J15" i="205" s="1"/>
  <c r="B15" i="205"/>
  <c r="E6" i="205"/>
  <c r="B149" i="208" s="1"/>
  <c r="E3" i="205"/>
  <c r="R15" i="204"/>
  <c r="Q15" i="204"/>
  <c r="N15" i="204"/>
  <c r="M15" i="204"/>
  <c r="L15" i="204"/>
  <c r="K15" i="204"/>
  <c r="J15" i="204"/>
  <c r="E6" i="204"/>
  <c r="B16" i="208" s="1"/>
  <c r="E3" i="204"/>
  <c r="B14" i="208" s="1"/>
  <c r="B252" i="200"/>
  <c r="B253" i="200"/>
  <c r="B254" i="200"/>
  <c r="B255" i="200"/>
  <c r="B256" i="200"/>
  <c r="B245" i="200"/>
  <c r="B246" i="200"/>
  <c r="B247" i="200"/>
  <c r="B248" i="200"/>
  <c r="B249" i="200"/>
  <c r="B250" i="200"/>
  <c r="B251" i="200"/>
  <c r="B229" i="200"/>
  <c r="B230" i="200"/>
  <c r="B231" i="200"/>
  <c r="B232" i="200"/>
  <c r="B233" i="200"/>
  <c r="B234" i="200"/>
  <c r="B235" i="200"/>
  <c r="B236" i="200"/>
  <c r="B237" i="200"/>
  <c r="B238" i="200"/>
  <c r="B239" i="200"/>
  <c r="B240" i="200"/>
  <c r="B241" i="200"/>
  <c r="B242" i="200"/>
  <c r="B243" i="200"/>
  <c r="B244" i="200"/>
  <c r="B228" i="200"/>
  <c r="B226" i="200"/>
  <c r="B225" i="200"/>
  <c r="B220" i="200"/>
  <c r="B221" i="200"/>
  <c r="B222" i="200"/>
  <c r="B213" i="200"/>
  <c r="B214" i="200"/>
  <c r="B215" i="200"/>
  <c r="B216" i="200"/>
  <c r="B217" i="200"/>
  <c r="B218" i="200"/>
  <c r="B219" i="200"/>
  <c r="B196" i="200"/>
  <c r="B197" i="200"/>
  <c r="B198" i="200"/>
  <c r="B199" i="200"/>
  <c r="B200" i="200"/>
  <c r="B201" i="200"/>
  <c r="B202" i="200"/>
  <c r="B203" i="200"/>
  <c r="B204" i="200"/>
  <c r="B205" i="200"/>
  <c r="B206" i="200"/>
  <c r="B207" i="200"/>
  <c r="B208" i="200"/>
  <c r="B209" i="200"/>
  <c r="B210" i="200"/>
  <c r="B211" i="200"/>
  <c r="B212" i="200"/>
  <c r="B195" i="200"/>
  <c r="B193" i="200"/>
  <c r="B192" i="200"/>
  <c r="B169" i="200"/>
  <c r="B170" i="200"/>
  <c r="B171" i="200"/>
  <c r="B172" i="200"/>
  <c r="B173" i="200"/>
  <c r="B174" i="200"/>
  <c r="B175" i="200"/>
  <c r="B176" i="200"/>
  <c r="B177" i="200"/>
  <c r="B178" i="200"/>
  <c r="B179" i="200"/>
  <c r="B180" i="200"/>
  <c r="B181" i="200"/>
  <c r="B182" i="200"/>
  <c r="B183" i="200"/>
  <c r="B184" i="200"/>
  <c r="B185" i="200"/>
  <c r="B186" i="200"/>
  <c r="B187" i="200"/>
  <c r="B188" i="200"/>
  <c r="B189" i="200"/>
  <c r="B168" i="200"/>
  <c r="S37" i="201" a="1"/>
  <c r="S37" i="201" s="1"/>
  <c r="S38" i="201" a="1"/>
  <c r="S38" i="201" s="1"/>
  <c r="B166" i="200"/>
  <c r="R43" i="203"/>
  <c r="Q43" i="203"/>
  <c r="R42" i="203"/>
  <c r="Q42" i="203"/>
  <c r="R41" i="203"/>
  <c r="Q41" i="203"/>
  <c r="S41" i="203" s="1" a="1"/>
  <c r="S41" i="203" s="1"/>
  <c r="R40" i="203"/>
  <c r="Q40" i="203"/>
  <c r="R39" i="203"/>
  <c r="Q39" i="203"/>
  <c r="S39" i="203" s="1" a="1"/>
  <c r="S39" i="203" s="1"/>
  <c r="R38" i="203"/>
  <c r="Q38" i="203"/>
  <c r="R37" i="203"/>
  <c r="Q37" i="203"/>
  <c r="S37" i="203" s="1" a="1"/>
  <c r="S37" i="203" s="1"/>
  <c r="R36" i="203"/>
  <c r="Q36" i="203"/>
  <c r="R35" i="203"/>
  <c r="Q35" i="203"/>
  <c r="R34" i="203"/>
  <c r="Q34" i="203"/>
  <c r="S34" i="203" s="1" a="1"/>
  <c r="S34" i="203" s="1"/>
  <c r="R33" i="203"/>
  <c r="Q33" i="203"/>
  <c r="R32" i="203"/>
  <c r="Q32" i="203"/>
  <c r="R31" i="203"/>
  <c r="Q31" i="203"/>
  <c r="R30" i="203"/>
  <c r="Q30" i="203"/>
  <c r="R29" i="203"/>
  <c r="S29" i="203" s="1" a="1"/>
  <c r="S29" i="203" s="1"/>
  <c r="Q29" i="203"/>
  <c r="R28" i="203"/>
  <c r="Q28" i="203"/>
  <c r="R27" i="203"/>
  <c r="Q27" i="203"/>
  <c r="R26" i="203"/>
  <c r="Q26" i="203"/>
  <c r="S26" i="203" s="1" a="1"/>
  <c r="S26" i="203"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6" i="203"/>
  <c r="E3" i="203"/>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R41" i="202"/>
  <c r="Q41" i="202"/>
  <c r="S41" i="202" s="1" a="1"/>
  <c r="S41" i="202" s="1"/>
  <c r="R40" i="202"/>
  <c r="Q40" i="202"/>
  <c r="R39" i="202"/>
  <c r="Q39" i="202"/>
  <c r="R38" i="202"/>
  <c r="Q38" i="202"/>
  <c r="S38" i="202" s="1" a="1"/>
  <c r="S38" i="202" s="1"/>
  <c r="R37" i="202"/>
  <c r="Q37" i="202"/>
  <c r="R36" i="202"/>
  <c r="Q36" i="202"/>
  <c r="R35" i="202"/>
  <c r="Q35" i="202"/>
  <c r="R34" i="202"/>
  <c r="Q34" i="202"/>
  <c r="R33" i="202"/>
  <c r="Q33" i="202"/>
  <c r="R32" i="202"/>
  <c r="Q32" i="202"/>
  <c r="S116" i="202" a="1"/>
  <c r="S116" i="202" s="1"/>
  <c r="R31" i="202"/>
  <c r="Q31" i="202"/>
  <c r="S31" i="202" s="1" a="1"/>
  <c r="S31" i="202" s="1"/>
  <c r="R30" i="202"/>
  <c r="Q30" i="202"/>
  <c r="S30" i="202" s="1" a="1"/>
  <c r="S30" i="202" s="1"/>
  <c r="R29" i="202"/>
  <c r="Q29" i="202"/>
  <c r="R28" i="202"/>
  <c r="S28" i="202" s="1" a="1"/>
  <c r="S28" i="202" s="1"/>
  <c r="Q28" i="202"/>
  <c r="R27" i="202"/>
  <c r="Q27" i="202"/>
  <c r="S88" i="202" a="1"/>
  <c r="S88" i="202" s="1"/>
  <c r="R26" i="202"/>
  <c r="Q26" i="202"/>
  <c r="S26" i="202" s="1" a="1"/>
  <c r="S26" i="202" s="1"/>
  <c r="R25" i="202"/>
  <c r="Q25" i="202"/>
  <c r="S25" i="202" s="1" a="1"/>
  <c r="S25" i="202" s="1"/>
  <c r="R24" i="202"/>
  <c r="Q24" i="202"/>
  <c r="S24" i="202" s="1" a="1"/>
  <c r="S24" i="202" s="1"/>
  <c r="R23" i="202"/>
  <c r="Q23" i="202"/>
  <c r="R22" i="202"/>
  <c r="Q22" i="202"/>
  <c r="S22" i="202" s="1" a="1"/>
  <c r="S22" i="202" s="1"/>
  <c r="S60" i="202" a="1"/>
  <c r="S60" i="202" s="1"/>
  <c r="R21" i="202"/>
  <c r="Q21" i="202"/>
  <c r="S20" i="202" a="1"/>
  <c r="S20" i="202" s="1"/>
  <c r="R20" i="202"/>
  <c r="Q20" i="202"/>
  <c r="R19" i="202"/>
  <c r="S19" i="202" s="1" a="1"/>
  <c r="S19" i="202" s="1"/>
  <c r="Q19" i="202"/>
  <c r="S40" i="202" a="1"/>
  <c r="S40" i="202" s="1"/>
  <c r="R18" i="202"/>
  <c r="Q18" i="202"/>
  <c r="N18" i="202"/>
  <c r="M18" i="202"/>
  <c r="S36" i="202" s="1" a="1"/>
  <c r="S36" i="202" s="1"/>
  <c r="L18" i="202"/>
  <c r="S35" i="202" s="1" a="1"/>
  <c r="S35" i="202" s="1"/>
  <c r="K18" i="202"/>
  <c r="C18" i="202"/>
  <c r="J18" i="202" s="1"/>
  <c r="B18" i="202"/>
  <c r="I18" i="202" s="1"/>
  <c r="R17" i="202"/>
  <c r="Q17" i="202"/>
  <c r="S17" i="202" s="1" a="1"/>
  <c r="S17" i="202" s="1"/>
  <c r="N17" i="202"/>
  <c r="M17" i="202"/>
  <c r="L17" i="202"/>
  <c r="K17" i="202"/>
  <c r="I17" i="202"/>
  <c r="C17" i="202"/>
  <c r="J17" i="202" s="1"/>
  <c r="B17" i="202"/>
  <c r="R16" i="202"/>
  <c r="Q16" i="202"/>
  <c r="S16" i="202" s="1" a="1"/>
  <c r="S16" i="202" s="1"/>
  <c r="N16" i="202"/>
  <c r="M16" i="202"/>
  <c r="L16" i="202"/>
  <c r="S23" i="202" s="1" a="1"/>
  <c r="S23" i="202" s="1"/>
  <c r="K16" i="202"/>
  <c r="C16" i="202"/>
  <c r="J16" i="202" s="1"/>
  <c r="B16" i="202"/>
  <c r="I16" i="202" s="1"/>
  <c r="R15" i="202"/>
  <c r="Q15" i="202"/>
  <c r="N15" i="202"/>
  <c r="M15" i="202"/>
  <c r="L15" i="202"/>
  <c r="K15" i="202"/>
  <c r="I15" i="202"/>
  <c r="C15" i="202"/>
  <c r="J15" i="202" s="1"/>
  <c r="B15" i="202"/>
  <c r="B14" i="202"/>
  <c r="S128" i="202" s="1" a="1"/>
  <c r="S128" i="202" s="1"/>
  <c r="E3" i="202"/>
  <c r="E6" i="202" s="1"/>
  <c r="B22" i="199"/>
  <c r="C22" i="199"/>
  <c r="B23" i="199"/>
  <c r="C23" i="199"/>
  <c r="B24" i="199"/>
  <c r="C24" i="199"/>
  <c r="J24" i="199" s="1"/>
  <c r="B25" i="199"/>
  <c r="C25" i="199"/>
  <c r="J25" i="199" s="1"/>
  <c r="B26" i="199"/>
  <c r="C26" i="199"/>
  <c r="B27" i="199"/>
  <c r="C27" i="199"/>
  <c r="B28" i="199"/>
  <c r="C28" i="199"/>
  <c r="B29" i="199"/>
  <c r="C29" i="199"/>
  <c r="B30" i="199"/>
  <c r="C30" i="199"/>
  <c r="B31" i="199"/>
  <c r="C31" i="199"/>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B18" i="199"/>
  <c r="C18" i="199"/>
  <c r="B19" i="199"/>
  <c r="I19" i="199" s="1"/>
  <c r="C19" i="199"/>
  <c r="J19" i="199" s="1"/>
  <c r="S40" i="199" s="1" a="1"/>
  <c r="S40" i="199" s="1"/>
  <c r="B44" i="200" s="1"/>
  <c r="B20" i="199"/>
  <c r="C20" i="199"/>
  <c r="B21" i="199"/>
  <c r="C21" i="199"/>
  <c r="I23" i="199"/>
  <c r="J23" i="199"/>
  <c r="S64" i="199" s="1" a="1"/>
  <c r="S64" i="199" s="1"/>
  <c r="B68" i="200" s="1"/>
  <c r="J27" i="199"/>
  <c r="S88" i="199" s="1" a="1"/>
  <c r="S88" i="199" s="1"/>
  <c r="B92" i="200" s="1"/>
  <c r="I31" i="199"/>
  <c r="J31" i="199"/>
  <c r="S112" i="199" s="1" a="1"/>
  <c r="S112" i="199" s="1"/>
  <c r="B116" i="200" s="1"/>
  <c r="C15" i="199"/>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I29" i="199"/>
  <c r="R28" i="199"/>
  <c r="Q28" i="199"/>
  <c r="N28" i="199"/>
  <c r="M28" i="199"/>
  <c r="L28" i="199"/>
  <c r="K28" i="199"/>
  <c r="J28" i="199"/>
  <c r="R27" i="199"/>
  <c r="Q27" i="199"/>
  <c r="N27" i="199"/>
  <c r="M27" i="199"/>
  <c r="L27" i="199"/>
  <c r="K27" i="199"/>
  <c r="I27" i="199"/>
  <c r="R26" i="199"/>
  <c r="Q26" i="199"/>
  <c r="N26" i="199"/>
  <c r="M26" i="199"/>
  <c r="L26" i="199"/>
  <c r="K26" i="199"/>
  <c r="J26" i="199"/>
  <c r="R25" i="199"/>
  <c r="Q25" i="199"/>
  <c r="S25" i="199" s="1" a="1"/>
  <c r="S25" i="199" s="1"/>
  <c r="B29" i="200" s="1"/>
  <c r="N25" i="199"/>
  <c r="S80" i="199" s="1" a="1"/>
  <c r="S80" i="199" s="1"/>
  <c r="B84" i="200" s="1"/>
  <c r="M25" i="199"/>
  <c r="L25" i="199"/>
  <c r="K25" i="199"/>
  <c r="I25" i="199"/>
  <c r="R24" i="199"/>
  <c r="Q24" i="199"/>
  <c r="N24" i="199"/>
  <c r="M24" i="199"/>
  <c r="L24" i="199"/>
  <c r="S72" i="199" s="1" a="1"/>
  <c r="S72" i="199" s="1"/>
  <c r="B76" i="200" s="1"/>
  <c r="K24" i="199"/>
  <c r="R23" i="199"/>
  <c r="Q23" i="199"/>
  <c r="N23" i="199"/>
  <c r="M23" i="199"/>
  <c r="L23" i="199"/>
  <c r="K23" i="199"/>
  <c r="R22" i="199"/>
  <c r="Q22" i="199"/>
  <c r="S22" i="199" s="1" a="1"/>
  <c r="S22" i="199" s="1"/>
  <c r="B26" i="200" s="1"/>
  <c r="N22" i="199"/>
  <c r="M22" i="199"/>
  <c r="L22" i="199"/>
  <c r="K22" i="199"/>
  <c r="J22" i="199"/>
  <c r="R21" i="199"/>
  <c r="Q21" i="199"/>
  <c r="N21" i="199"/>
  <c r="S56" i="199" s="1" a="1"/>
  <c r="S56" i="199" s="1"/>
  <c r="B60" i="200" s="1"/>
  <c r="M21" i="199"/>
  <c r="L21" i="199"/>
  <c r="K21" i="199"/>
  <c r="J21" i="199"/>
  <c r="I21" i="199"/>
  <c r="R20" i="199"/>
  <c r="Q20" i="199"/>
  <c r="N20" i="199"/>
  <c r="M20" i="199"/>
  <c r="L20" i="199"/>
  <c r="S48" i="199" s="1" a="1"/>
  <c r="S48" i="199" s="1"/>
  <c r="B52" i="200" s="1"/>
  <c r="K20" i="199"/>
  <c r="J20" i="199"/>
  <c r="R19" i="199"/>
  <c r="Q19" i="199"/>
  <c r="N19" i="199"/>
  <c r="M19" i="199"/>
  <c r="L19" i="199"/>
  <c r="K19" i="199"/>
  <c r="R18" i="199"/>
  <c r="Q18" i="199"/>
  <c r="S18" i="199" s="1" a="1"/>
  <c r="S18" i="199" s="1"/>
  <c r="B22" i="200" s="1"/>
  <c r="N18" i="199"/>
  <c r="M18" i="199"/>
  <c r="L18" i="199"/>
  <c r="K18" i="199"/>
  <c r="J18" i="199"/>
  <c r="R17" i="199"/>
  <c r="Q17" i="199"/>
  <c r="N17" i="199"/>
  <c r="M17" i="199"/>
  <c r="L17" i="199"/>
  <c r="K17" i="199"/>
  <c r="J17" i="199"/>
  <c r="I17" i="199"/>
  <c r="R16" i="199"/>
  <c r="Q16" i="199"/>
  <c r="S16" i="199" s="1" a="1"/>
  <c r="S16" i="199" s="1"/>
  <c r="B20" i="200" s="1"/>
  <c r="N16" i="199"/>
  <c r="M16" i="199"/>
  <c r="L16" i="199"/>
  <c r="K16" i="199"/>
  <c r="J16" i="199"/>
  <c r="R15" i="199"/>
  <c r="Q15" i="199"/>
  <c r="S15" i="199" s="1" a="1"/>
  <c r="S15" i="199" s="1"/>
  <c r="B19" i="200" s="1"/>
  <c r="N15" i="199"/>
  <c r="M15" i="199"/>
  <c r="L15" i="199"/>
  <c r="K15" i="199"/>
  <c r="J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S16" i="196" s="1" a="1"/>
  <c r="S16" i="196" s="1"/>
  <c r="B20" i="198" s="1"/>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S21" i="196" s="1" a="1"/>
  <c r="S21" i="196" s="1"/>
  <c r="B25" i="198" s="1"/>
  <c r="Q22" i="196"/>
  <c r="S22" i="196" s="1" a="1"/>
  <c r="S22" i="196" s="1"/>
  <c r="B26" i="198" s="1"/>
  <c r="R22" i="196"/>
  <c r="Q23" i="196"/>
  <c r="R23" i="196"/>
  <c r="Q24" i="196"/>
  <c r="R24" i="196"/>
  <c r="Q25" i="196"/>
  <c r="R25" i="196"/>
  <c r="Q26" i="196"/>
  <c r="R26" i="196"/>
  <c r="Q27" i="196"/>
  <c r="R27" i="196"/>
  <c r="S27" i="196" s="1" a="1"/>
  <c r="S27" i="196" s="1"/>
  <c r="B31" i="198" s="1"/>
  <c r="Q28" i="196"/>
  <c r="S28" i="196" s="1" a="1"/>
  <c r="S28" i="196" s="1"/>
  <c r="B32" i="198" s="1"/>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S33" i="196" s="1" a="1"/>
  <c r="S33" i="196" s="1"/>
  <c r="B37" i="198" s="1"/>
  <c r="Q34" i="196"/>
  <c r="S34" i="196" s="1" a="1"/>
  <c r="S34" i="196" s="1"/>
  <c r="B38" i="198" s="1"/>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S39" i="196" s="1" a="1"/>
  <c r="S39" i="196" s="1"/>
  <c r="B43" i="198" s="1"/>
  <c r="Q40" i="196"/>
  <c r="S40" i="196" s="1" a="1"/>
  <c r="S40" i="196" s="1"/>
  <c r="B44" i="198" s="1"/>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S45" i="196" s="1" a="1"/>
  <c r="S45" i="196" s="1"/>
  <c r="B49" i="198" s="1"/>
  <c r="Q46" i="196"/>
  <c r="S46" i="196" s="1" a="1"/>
  <c r="S46" i="196" s="1"/>
  <c r="B50" i="198" s="1"/>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S51" i="196" s="1" a="1"/>
  <c r="S51" i="196" s="1"/>
  <c r="B55" i="198" s="1"/>
  <c r="Q52" i="196"/>
  <c r="S52" i="196" s="1" a="1"/>
  <c r="S52" i="196" s="1"/>
  <c r="B56" i="198" s="1"/>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S57" i="196" s="1" a="1"/>
  <c r="S57" i="196" s="1"/>
  <c r="B61" i="198" s="1"/>
  <c r="Q58" i="196"/>
  <c r="R58" i="196"/>
  <c r="S58" i="196" a="1"/>
  <c r="S58" i="196" s="1"/>
  <c r="B62" i="198" s="1"/>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S63" i="196" s="1" a="1"/>
  <c r="S63" i="196" s="1"/>
  <c r="B67" i="198" s="1"/>
  <c r="Q64" i="196"/>
  <c r="R64" i="196"/>
  <c r="S64" i="196" a="1"/>
  <c r="S64" i="196" s="1"/>
  <c r="B68" i="198" s="1"/>
  <c r="Q65" i="196"/>
  <c r="R65" i="196"/>
  <c r="S65" i="196" s="1" a="1"/>
  <c r="S65" i="196" s="1"/>
  <c r="B69" i="198" s="1"/>
  <c r="Q66" i="196"/>
  <c r="R66" i="196"/>
  <c r="S66" i="196" a="1"/>
  <c r="S66" i="196" s="1"/>
  <c r="B70" i="198" s="1"/>
  <c r="Q67" i="196"/>
  <c r="R67" i="196"/>
  <c r="S67" i="196" s="1" a="1"/>
  <c r="S67" i="196" s="1"/>
  <c r="B71" i="198" s="1"/>
  <c r="Q68" i="196"/>
  <c r="R68" i="196"/>
  <c r="Q69" i="196"/>
  <c r="R69" i="196"/>
  <c r="S69" i="196" s="1" a="1"/>
  <c r="S69" i="196" s="1"/>
  <c r="B73" i="198" s="1"/>
  <c r="Q70" i="196"/>
  <c r="R70" i="196"/>
  <c r="S70" i="196" a="1"/>
  <c r="S70" i="196" s="1"/>
  <c r="B74" i="198" s="1"/>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S75" i="196" s="1" a="1"/>
  <c r="S75" i="196" s="1"/>
  <c r="B79" i="198" s="1"/>
  <c r="Q76" i="196"/>
  <c r="R76" i="196"/>
  <c r="S76" i="196" a="1"/>
  <c r="S76" i="196" s="1"/>
  <c r="B80" i="198" s="1"/>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S81" i="196" s="1" a="1"/>
  <c r="S81" i="196" s="1"/>
  <c r="B85" i="198" s="1"/>
  <c r="Q82" i="196"/>
  <c r="R82" i="196"/>
  <c r="S82" i="196" a="1"/>
  <c r="S82" i="196" s="1"/>
  <c r="B86" i="198" s="1"/>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S87" i="196" s="1" a="1"/>
  <c r="S87" i="196" s="1"/>
  <c r="B91" i="198" s="1"/>
  <c r="Q88" i="196"/>
  <c r="R88" i="196"/>
  <c r="S88" i="196" a="1"/>
  <c r="S88" i="196" s="1"/>
  <c r="B92" i="198" s="1"/>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S93" i="196" s="1" a="1"/>
  <c r="S93" i="196" s="1"/>
  <c r="B97" i="198" s="1"/>
  <c r="Q94" i="196"/>
  <c r="R94" i="196"/>
  <c r="S94" i="196" a="1"/>
  <c r="S94" i="196" s="1"/>
  <c r="B98" i="198" s="1"/>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S99" i="196" s="1" a="1"/>
  <c r="S99" i="196" s="1"/>
  <c r="B103" i="198" s="1"/>
  <c r="Q100" i="196"/>
  <c r="R100" i="196"/>
  <c r="S100" i="196" a="1"/>
  <c r="S100" i="196" s="1"/>
  <c r="B104" i="198" s="1"/>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S105" i="196" s="1" a="1"/>
  <c r="S105" i="196" s="1"/>
  <c r="B109" i="198" s="1"/>
  <c r="Q106" i="196"/>
  <c r="R106" i="196"/>
  <c r="S106" i="196" a="1"/>
  <c r="S106" i="196" s="1"/>
  <c r="B110" i="198" s="1"/>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S111" i="196" s="1" a="1"/>
  <c r="S111" i="196" s="1"/>
  <c r="B115" i="198" s="1"/>
  <c r="Q112" i="196"/>
  <c r="R112" i="196"/>
  <c r="S112" i="196" a="1"/>
  <c r="S112" i="196" s="1"/>
  <c r="B116" i="198" s="1"/>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S117" i="196" s="1" a="1"/>
  <c r="S117" i="196" s="1"/>
  <c r="B121" i="198" s="1"/>
  <c r="Q118" i="196"/>
  <c r="R118" i="196"/>
  <c r="S118" i="196" a="1"/>
  <c r="S118" i="196" s="1"/>
  <c r="B122" i="198" s="1"/>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S123" i="196" s="1" a="1"/>
  <c r="S123" i="196" s="1"/>
  <c r="B127" i="198" s="1"/>
  <c r="Q124" i="196"/>
  <c r="R124" i="196"/>
  <c r="S124" i="196" a="1"/>
  <c r="S124" i="196" s="1"/>
  <c r="B128" i="198" s="1"/>
  <c r="Q125" i="196"/>
  <c r="R125" i="196"/>
  <c r="S125" i="196" s="1" a="1"/>
  <c r="S125" i="196" s="1"/>
  <c r="B129" i="198" s="1"/>
  <c r="Q126" i="196"/>
  <c r="R126" i="196"/>
  <c r="S126" i="196" a="1"/>
  <c r="S126" i="196" s="1"/>
  <c r="B130" i="198" s="1"/>
  <c r="I18" i="196"/>
  <c r="J18" i="196"/>
  <c r="K18" i="196"/>
  <c r="L18" i="196"/>
  <c r="M18" i="196"/>
  <c r="N18" i="196"/>
  <c r="I19" i="196"/>
  <c r="J19" i="196"/>
  <c r="K19" i="196"/>
  <c r="L19" i="196"/>
  <c r="M19" i="196"/>
  <c r="N19" i="196"/>
  <c r="I20" i="196"/>
  <c r="J20" i="196"/>
  <c r="K20" i="196"/>
  <c r="L20" i="196"/>
  <c r="M20" i="196"/>
  <c r="N20" i="196"/>
  <c r="I21" i="196"/>
  <c r="J21" i="196"/>
  <c r="K21" i="196"/>
  <c r="L21" i="196"/>
  <c r="M21" i="196"/>
  <c r="N21" i="196"/>
  <c r="I22" i="196"/>
  <c r="J22" i="196"/>
  <c r="K22" i="196"/>
  <c r="L22" i="196"/>
  <c r="M22" i="196"/>
  <c r="N22" i="196"/>
  <c r="I23" i="196"/>
  <c r="J23" i="196"/>
  <c r="K23" i="196"/>
  <c r="L23" i="196"/>
  <c r="M23" i="196"/>
  <c r="N23" i="196"/>
  <c r="S68" i="196" s="1" a="1"/>
  <c r="S68" i="196" s="1"/>
  <c r="B72" i="198" s="1"/>
  <c r="I24" i="196"/>
  <c r="J24" i="196"/>
  <c r="K24" i="196"/>
  <c r="L24" i="196"/>
  <c r="M24" i="196"/>
  <c r="N24" i="196"/>
  <c r="I25" i="196"/>
  <c r="J25" i="196"/>
  <c r="K25" i="196"/>
  <c r="L25" i="196"/>
  <c r="M25" i="196"/>
  <c r="N25" i="196"/>
  <c r="I26" i="196"/>
  <c r="J26" i="196"/>
  <c r="K26" i="196"/>
  <c r="L26" i="196"/>
  <c r="M26" i="196"/>
  <c r="N26" i="196"/>
  <c r="I27" i="196"/>
  <c r="J27" i="196"/>
  <c r="K27" i="196"/>
  <c r="L27" i="196"/>
  <c r="M27" i="196"/>
  <c r="N27" i="196"/>
  <c r="I28" i="196"/>
  <c r="J28" i="196"/>
  <c r="K28" i="196"/>
  <c r="L28" i="196"/>
  <c r="M28" i="196"/>
  <c r="N28" i="196"/>
  <c r="I29" i="196"/>
  <c r="J29" i="196"/>
  <c r="K29" i="196"/>
  <c r="L29" i="196"/>
  <c r="M29" i="196"/>
  <c r="N29" i="196"/>
  <c r="I30" i="196"/>
  <c r="J30" i="196"/>
  <c r="K30" i="196"/>
  <c r="L30" i="196"/>
  <c r="M30" i="196"/>
  <c r="N30" i="196"/>
  <c r="I31" i="196"/>
  <c r="J31" i="196"/>
  <c r="K31" i="196"/>
  <c r="L31" i="196"/>
  <c r="M31" i="196"/>
  <c r="N31" i="196"/>
  <c r="I32" i="196"/>
  <c r="J32" i="196"/>
  <c r="K32" i="196"/>
  <c r="L32" i="196"/>
  <c r="M32" i="196"/>
  <c r="N32" i="196"/>
  <c r="I33" i="196"/>
  <c r="J33" i="196"/>
  <c r="K33" i="196"/>
  <c r="L33" i="196"/>
  <c r="M33" i="196"/>
  <c r="N33" i="196"/>
  <c r="I16" i="196"/>
  <c r="J16" i="196"/>
  <c r="K16" i="196"/>
  <c r="L16" i="196"/>
  <c r="M16" i="196"/>
  <c r="N16" i="196"/>
  <c r="I17" i="196"/>
  <c r="J17" i="196"/>
  <c r="K17" i="196"/>
  <c r="L17" i="196"/>
  <c r="M17" i="196"/>
  <c r="N17" i="196"/>
  <c r="B16" i="196"/>
  <c r="C16" i="196"/>
  <c r="B14" i="196"/>
  <c r="B17" i="196"/>
  <c r="C17" i="196"/>
  <c r="B18" i="196"/>
  <c r="C18" i="196"/>
  <c r="B19" i="196"/>
  <c r="C19" i="196"/>
  <c r="B20" i="196"/>
  <c r="C20" i="196"/>
  <c r="B21" i="196"/>
  <c r="C21" i="196"/>
  <c r="B22" i="196"/>
  <c r="C22" i="196"/>
  <c r="B23" i="196"/>
  <c r="C23" i="196"/>
  <c r="B24" i="196"/>
  <c r="C24" i="196"/>
  <c r="B25" i="196"/>
  <c r="C25" i="196"/>
  <c r="B26" i="196"/>
  <c r="C26" i="196"/>
  <c r="B27" i="196"/>
  <c r="C27" i="196"/>
  <c r="B28" i="196"/>
  <c r="C28" i="196"/>
  <c r="B29" i="196"/>
  <c r="C29" i="196"/>
  <c r="B30" i="196"/>
  <c r="C30" i="196"/>
  <c r="B31" i="196"/>
  <c r="C31" i="196"/>
  <c r="B32" i="196"/>
  <c r="C32" i="196"/>
  <c r="B33" i="196"/>
  <c r="C33" i="196"/>
  <c r="C15" i="196"/>
  <c r="B15" i="196"/>
  <c r="E3" i="196"/>
  <c r="B14" i="198" s="1"/>
  <c r="B17" i="198"/>
  <c r="B15" i="198"/>
  <c r="B13" i="198"/>
  <c r="B12" i="198"/>
  <c r="B9" i="198"/>
  <c r="B8" i="198"/>
  <c r="B4" i="198"/>
  <c r="R15" i="196"/>
  <c r="Q15" i="196"/>
  <c r="N15" i="196"/>
  <c r="M15" i="196"/>
  <c r="L15" i="196"/>
  <c r="K15" i="196"/>
  <c r="J15" i="196"/>
  <c r="C37" i="195"/>
  <c r="C38" i="195"/>
  <c r="C39" i="195"/>
  <c r="C40" i="195"/>
  <c r="C41" i="195"/>
  <c r="C42" i="195"/>
  <c r="C43" i="195"/>
  <c r="C44" i="195"/>
  <c r="C45" i="195"/>
  <c r="C46" i="195"/>
  <c r="C47" i="195"/>
  <c r="C48" i="195"/>
  <c r="C49" i="195"/>
  <c r="C50" i="195"/>
  <c r="C51" i="195"/>
  <c r="C52" i="195"/>
  <c r="C53" i="195"/>
  <c r="C54" i="195"/>
  <c r="C55" i="195"/>
  <c r="C56" i="195"/>
  <c r="C9" i="195"/>
  <c r="C10" i="195"/>
  <c r="C11" i="195"/>
  <c r="C12" i="195"/>
  <c r="C13" i="195"/>
  <c r="C14" i="195"/>
  <c r="C15" i="195"/>
  <c r="C16" i="195"/>
  <c r="C17" i="195"/>
  <c r="C18" i="195"/>
  <c r="C19" i="195"/>
  <c r="C20" i="195"/>
  <c r="C21" i="195"/>
  <c r="C22" i="195"/>
  <c r="C23" i="195"/>
  <c r="C24" i="195"/>
  <c r="C25" i="195"/>
  <c r="C26" i="195"/>
  <c r="C27" i="195"/>
  <c r="C28" i="195"/>
  <c r="J9" i="193"/>
  <c r="L9" i="193"/>
  <c r="J10" i="193"/>
  <c r="L10" i="193" s="1"/>
  <c r="J11" i="193"/>
  <c r="L11" i="193"/>
  <c r="J12" i="193"/>
  <c r="L12" i="193"/>
  <c r="J13" i="193"/>
  <c r="L13" i="193"/>
  <c r="J14" i="193"/>
  <c r="L14" i="193" s="1"/>
  <c r="J15" i="193"/>
  <c r="L15" i="193"/>
  <c r="J16" i="193"/>
  <c r="L16" i="193"/>
  <c r="J17" i="193"/>
  <c r="L17" i="193"/>
  <c r="J18" i="193"/>
  <c r="L18" i="193" s="1"/>
  <c r="J19" i="193"/>
  <c r="L19" i="193"/>
  <c r="J20" i="193"/>
  <c r="L20" i="193"/>
  <c r="J21" i="193"/>
  <c r="L21" i="193"/>
  <c r="J22" i="193"/>
  <c r="L22" i="193" s="1"/>
  <c r="J23" i="193"/>
  <c r="L23" i="193"/>
  <c r="J24" i="193"/>
  <c r="L24" i="193"/>
  <c r="J25" i="193"/>
  <c r="L25" i="193"/>
  <c r="J26" i="193"/>
  <c r="L26" i="193" s="1"/>
  <c r="J27" i="193"/>
  <c r="L27" i="193"/>
  <c r="J28" i="193"/>
  <c r="L28" i="193"/>
  <c r="J29" i="193"/>
  <c r="L29" i="193"/>
  <c r="J30" i="193"/>
  <c r="L30" i="193" s="1"/>
  <c r="B17" i="194"/>
  <c r="E17" i="194" s="1"/>
  <c r="B11" i="194"/>
  <c r="E11" i="194" s="1"/>
  <c r="B29" i="192"/>
  <c r="C29" i="192"/>
  <c r="D29" i="192"/>
  <c r="E29" i="192"/>
  <c r="F29" i="192"/>
  <c r="G29" i="192"/>
  <c r="H29" i="192"/>
  <c r="B30" i="192"/>
  <c r="C30" i="192"/>
  <c r="D30" i="192"/>
  <c r="E30" i="192"/>
  <c r="F30" i="192"/>
  <c r="G30" i="192"/>
  <c r="H30" i="192"/>
  <c r="B31" i="192"/>
  <c r="C31" i="192"/>
  <c r="D31" i="192"/>
  <c r="E31" i="192"/>
  <c r="F31" i="192"/>
  <c r="G31" i="192"/>
  <c r="H31" i="192"/>
  <c r="B32" i="192"/>
  <c r="C32" i="192"/>
  <c r="D32" i="192"/>
  <c r="E32" i="192"/>
  <c r="F32" i="192"/>
  <c r="G32" i="192"/>
  <c r="H32" i="192"/>
  <c r="B33" i="192"/>
  <c r="C33" i="192"/>
  <c r="D33" i="192"/>
  <c r="E33" i="192"/>
  <c r="F33" i="192"/>
  <c r="G33" i="192"/>
  <c r="H33" i="192"/>
  <c r="B34" i="192"/>
  <c r="C34" i="192"/>
  <c r="D34" i="192"/>
  <c r="E34" i="192"/>
  <c r="F34" i="192"/>
  <c r="G34" i="192"/>
  <c r="H34" i="192"/>
  <c r="B35" i="192"/>
  <c r="C35" i="192"/>
  <c r="D35" i="192"/>
  <c r="E35" i="192"/>
  <c r="F35" i="192"/>
  <c r="G35" i="192"/>
  <c r="H35" i="192"/>
  <c r="B36" i="192"/>
  <c r="C36" i="192"/>
  <c r="D36" i="192"/>
  <c r="E36" i="192"/>
  <c r="F36" i="192"/>
  <c r="G36" i="192"/>
  <c r="H36" i="192"/>
  <c r="B37" i="192"/>
  <c r="C37" i="192"/>
  <c r="D37" i="192"/>
  <c r="E37" i="192"/>
  <c r="F37" i="192"/>
  <c r="G37" i="192"/>
  <c r="H37" i="192"/>
  <c r="B38" i="192"/>
  <c r="C38" i="192"/>
  <c r="D38" i="192"/>
  <c r="E38" i="192"/>
  <c r="F38" i="192"/>
  <c r="G38" i="192"/>
  <c r="H38" i="192"/>
  <c r="B39" i="192"/>
  <c r="C39" i="192"/>
  <c r="D39" i="192"/>
  <c r="E39" i="192"/>
  <c r="F39" i="192"/>
  <c r="G39" i="192"/>
  <c r="H39" i="192"/>
  <c r="B40" i="192"/>
  <c r="C40" i="192"/>
  <c r="D40" i="192"/>
  <c r="E40" i="192"/>
  <c r="F40" i="192"/>
  <c r="G40" i="192"/>
  <c r="H40" i="192"/>
  <c r="B41" i="192"/>
  <c r="C41" i="192"/>
  <c r="D41" i="192"/>
  <c r="E41" i="192"/>
  <c r="F41" i="192"/>
  <c r="G41" i="192"/>
  <c r="H41" i="192"/>
  <c r="B42" i="192"/>
  <c r="C42" i="192"/>
  <c r="D42" i="192"/>
  <c r="E42" i="192"/>
  <c r="F42" i="192"/>
  <c r="G42" i="192"/>
  <c r="H42" i="192"/>
  <c r="B43" i="192"/>
  <c r="C43" i="192"/>
  <c r="D43" i="192"/>
  <c r="E43" i="192"/>
  <c r="F43" i="192"/>
  <c r="G43" i="192"/>
  <c r="H43" i="192"/>
  <c r="B44" i="192"/>
  <c r="C44" i="192"/>
  <c r="D44" i="192"/>
  <c r="E44" i="192"/>
  <c r="F44" i="192"/>
  <c r="G44" i="192"/>
  <c r="H44" i="192"/>
  <c r="H28" i="192"/>
  <c r="G28" i="192"/>
  <c r="F28" i="192"/>
  <c r="E28" i="192"/>
  <c r="D28" i="192"/>
  <c r="C28" i="192"/>
  <c r="B28" i="192"/>
  <c r="C2" i="195"/>
  <c r="C1" i="195"/>
  <c r="E98" i="194"/>
  <c r="E97" i="194"/>
  <c r="E96" i="194"/>
  <c r="B95" i="194"/>
  <c r="E95" i="194" s="1"/>
  <c r="B94" i="194"/>
  <c r="E94" i="194" s="1"/>
  <c r="B93" i="194"/>
  <c r="E93" i="194" s="1"/>
  <c r="B92" i="194"/>
  <c r="E92" i="194" s="1"/>
  <c r="B91" i="194"/>
  <c r="E91" i="194" s="1"/>
  <c r="B90" i="194"/>
  <c r="E90" i="194" s="1"/>
  <c r="B89" i="194"/>
  <c r="E89" i="194" s="1"/>
  <c r="B88" i="194"/>
  <c r="E88" i="194" s="1"/>
  <c r="B87" i="194"/>
  <c r="E87" i="194" s="1"/>
  <c r="B86" i="194"/>
  <c r="E86" i="194" s="1"/>
  <c r="B85" i="194"/>
  <c r="E85" i="194" s="1"/>
  <c r="B84" i="194"/>
  <c r="E84" i="194" s="1"/>
  <c r="B83" i="194"/>
  <c r="E83" i="194" s="1"/>
  <c r="B82" i="194"/>
  <c r="E82" i="194" s="1"/>
  <c r="B81" i="194"/>
  <c r="E81" i="194" s="1"/>
  <c r="B80" i="194"/>
  <c r="E80" i="194" s="1"/>
  <c r="B79" i="194"/>
  <c r="E79" i="194" s="1"/>
  <c r="B78" i="194"/>
  <c r="E78" i="194" s="1"/>
  <c r="E77" i="194"/>
  <c r="B77" i="194"/>
  <c r="B76" i="194"/>
  <c r="E76" i="194" s="1"/>
  <c r="B75" i="194"/>
  <c r="E75" i="194" s="1"/>
  <c r="B74" i="194"/>
  <c r="E74" i="194" s="1"/>
  <c r="B73" i="194"/>
  <c r="E73" i="194" s="1"/>
  <c r="B72" i="194"/>
  <c r="E72" i="194" s="1"/>
  <c r="B71" i="194"/>
  <c r="E71" i="194" s="1"/>
  <c r="B70" i="194"/>
  <c r="E70" i="194" s="1"/>
  <c r="E69" i="194"/>
  <c r="B69" i="194"/>
  <c r="B68" i="194"/>
  <c r="E68" i="194" s="1"/>
  <c r="B67" i="194"/>
  <c r="E67" i="194" s="1"/>
  <c r="B66" i="194"/>
  <c r="E66" i="194" s="1"/>
  <c r="B65" i="194"/>
  <c r="E65" i="194" s="1"/>
  <c r="B64" i="194"/>
  <c r="E64" i="194" s="1"/>
  <c r="B63" i="194"/>
  <c r="E63" i="194" s="1"/>
  <c r="B62" i="194"/>
  <c r="E62" i="194" s="1"/>
  <c r="B61" i="194"/>
  <c r="E61" i="194" s="1"/>
  <c r="B60" i="194"/>
  <c r="E60" i="194" s="1"/>
  <c r="B59" i="194"/>
  <c r="E59" i="194" s="1"/>
  <c r="B58" i="194"/>
  <c r="E58" i="194" s="1"/>
  <c r="B57" i="194"/>
  <c r="E57" i="194" s="1"/>
  <c r="B56" i="194"/>
  <c r="E56" i="194" s="1"/>
  <c r="B55" i="194"/>
  <c r="E55" i="194" s="1"/>
  <c r="B54" i="194"/>
  <c r="E54" i="194" s="1"/>
  <c r="B53" i="194"/>
  <c r="E53" i="194" s="1"/>
  <c r="B52" i="194"/>
  <c r="E52" i="194" s="1"/>
  <c r="B51" i="194"/>
  <c r="E51" i="194" s="1"/>
  <c r="B50" i="194"/>
  <c r="E50" i="194" s="1"/>
  <c r="B49" i="194"/>
  <c r="E49" i="194" s="1"/>
  <c r="B48" i="194"/>
  <c r="E48" i="194" s="1"/>
  <c r="B47" i="194"/>
  <c r="E47" i="194" s="1"/>
  <c r="B46" i="194"/>
  <c r="E46" i="194" s="1"/>
  <c r="E45" i="194"/>
  <c r="B45" i="194"/>
  <c r="B44" i="194"/>
  <c r="E44" i="194" s="1"/>
  <c r="B43" i="194"/>
  <c r="E43" i="194" s="1"/>
  <c r="B42" i="194"/>
  <c r="E42" i="194" s="1"/>
  <c r="B41" i="194"/>
  <c r="E41" i="194" s="1"/>
  <c r="B40" i="194"/>
  <c r="E40" i="194" s="1"/>
  <c r="B39" i="194"/>
  <c r="E39" i="194" s="1"/>
  <c r="B38" i="194"/>
  <c r="E38" i="194" s="1"/>
  <c r="E37" i="194"/>
  <c r="B37" i="194"/>
  <c r="B36" i="194"/>
  <c r="E36" i="194" s="1"/>
  <c r="B35" i="194"/>
  <c r="E35" i="194" s="1"/>
  <c r="B34" i="194"/>
  <c r="E34" i="194" s="1"/>
  <c r="B33" i="194"/>
  <c r="E33" i="194" s="1"/>
  <c r="B32" i="194"/>
  <c r="E32" i="194" s="1"/>
  <c r="B31" i="194"/>
  <c r="E31" i="194" s="1"/>
  <c r="B30" i="194"/>
  <c r="E30" i="194" s="1"/>
  <c r="B29" i="194"/>
  <c r="E29" i="194" s="1"/>
  <c r="B28" i="194"/>
  <c r="E28" i="194" s="1"/>
  <c r="B27" i="194"/>
  <c r="E27" i="194" s="1"/>
  <c r="B26" i="194"/>
  <c r="E26" i="194" s="1"/>
  <c r="B25" i="194"/>
  <c r="E25" i="194" s="1"/>
  <c r="B24" i="194"/>
  <c r="E24" i="194" s="1"/>
  <c r="B23" i="194"/>
  <c r="E23" i="194" s="1"/>
  <c r="B22" i="194"/>
  <c r="E22" i="194" s="1"/>
  <c r="B21" i="194"/>
  <c r="E21" i="194" s="1"/>
  <c r="B20" i="194"/>
  <c r="E20" i="194" s="1"/>
  <c r="B18" i="194"/>
  <c r="E18" i="194" s="1"/>
  <c r="B16" i="194"/>
  <c r="E16" i="194" s="1"/>
  <c r="B15" i="194"/>
  <c r="E15" i="194" s="1"/>
  <c r="B14" i="194"/>
  <c r="E14" i="194" s="1"/>
  <c r="B13" i="194"/>
  <c r="E13" i="194" s="1"/>
  <c r="B12" i="194"/>
  <c r="E12" i="194" s="1"/>
  <c r="B10" i="194"/>
  <c r="E10" i="194" s="1"/>
  <c r="E9" i="194"/>
  <c r="B9" i="194"/>
  <c r="C7" i="194" s="1"/>
  <c r="E7" i="194" s="1"/>
  <c r="E8" i="194"/>
  <c r="E6" i="194"/>
  <c r="E5" i="194"/>
  <c r="E4" i="194"/>
  <c r="E3" i="194"/>
  <c r="J8" i="193"/>
  <c r="C8" i="195" s="1"/>
  <c r="J7" i="193"/>
  <c r="C7" i="195" s="1"/>
  <c r="J6" i="193"/>
  <c r="C6" i="195" s="1"/>
  <c r="J5" i="193"/>
  <c r="C5" i="195" s="1"/>
  <c r="J4" i="193"/>
  <c r="C4" i="195" s="1"/>
  <c r="L3" i="193"/>
  <c r="J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B27" i="188"/>
  <c r="C27" i="188"/>
  <c r="D27" i="188"/>
  <c r="E27" i="188"/>
  <c r="F27" i="188"/>
  <c r="G27" i="188"/>
  <c r="H27" i="188"/>
  <c r="B28" i="188"/>
  <c r="C28" i="188"/>
  <c r="D28" i="188"/>
  <c r="E28" i="188"/>
  <c r="F28" i="188"/>
  <c r="G28" i="188"/>
  <c r="H28" i="188"/>
  <c r="B29" i="188"/>
  <c r="C29" i="188"/>
  <c r="D29" i="188"/>
  <c r="E29" i="188"/>
  <c r="F29" i="188"/>
  <c r="G29" i="188"/>
  <c r="H29" i="188"/>
  <c r="B30" i="188"/>
  <c r="C30" i="188"/>
  <c r="D30" i="188"/>
  <c r="E30" i="188"/>
  <c r="F30" i="188"/>
  <c r="G30" i="188"/>
  <c r="H30" i="188"/>
  <c r="B31" i="188"/>
  <c r="C31" i="188"/>
  <c r="D31" i="188"/>
  <c r="E31" i="188"/>
  <c r="F31" i="188"/>
  <c r="G31" i="188"/>
  <c r="H31" i="188"/>
  <c r="B32" i="188"/>
  <c r="C32" i="188"/>
  <c r="D32" i="188"/>
  <c r="E32" i="188"/>
  <c r="F32" i="188"/>
  <c r="G32" i="188"/>
  <c r="H32" i="188"/>
  <c r="B33" i="188"/>
  <c r="C33" i="188"/>
  <c r="D33" i="188"/>
  <c r="E33" i="188"/>
  <c r="F33" i="188"/>
  <c r="G33" i="188"/>
  <c r="H33" i="188"/>
  <c r="B34" i="188"/>
  <c r="C34" i="188"/>
  <c r="D34" i="188"/>
  <c r="E34" i="188"/>
  <c r="F34" i="188"/>
  <c r="G34" i="188"/>
  <c r="H34" i="188"/>
  <c r="B35" i="188"/>
  <c r="C35" i="188"/>
  <c r="D35" i="188"/>
  <c r="E35" i="188"/>
  <c r="F35" i="188"/>
  <c r="G35" i="188"/>
  <c r="H35" i="188"/>
  <c r="B36" i="188"/>
  <c r="C36" i="188"/>
  <c r="D36" i="188"/>
  <c r="E36" i="188"/>
  <c r="F36" i="188"/>
  <c r="G36" i="188"/>
  <c r="H36" i="188"/>
  <c r="B37" i="188"/>
  <c r="C37" i="188"/>
  <c r="D37" i="188"/>
  <c r="E37" i="188"/>
  <c r="F37" i="188"/>
  <c r="G37" i="188"/>
  <c r="H37" i="188"/>
  <c r="B38" i="188"/>
  <c r="C38" i="188"/>
  <c r="D38" i="188"/>
  <c r="E38" i="188"/>
  <c r="F38" i="188"/>
  <c r="G38" i="188"/>
  <c r="H38" i="188"/>
  <c r="B39" i="188"/>
  <c r="C39" i="188"/>
  <c r="D39" i="188"/>
  <c r="E39" i="188"/>
  <c r="F39" i="188"/>
  <c r="G39" i="188"/>
  <c r="H39" i="188"/>
  <c r="B40" i="188"/>
  <c r="C40" i="188"/>
  <c r="D40" i="188"/>
  <c r="E40" i="188"/>
  <c r="F40" i="188"/>
  <c r="G40" i="188"/>
  <c r="H40" i="188"/>
  <c r="B41" i="188"/>
  <c r="C41" i="188"/>
  <c r="D41" i="188"/>
  <c r="E41" i="188"/>
  <c r="F41" i="188"/>
  <c r="G41" i="188"/>
  <c r="H41" i="188"/>
  <c r="B42" i="188"/>
  <c r="C42" i="188"/>
  <c r="D42" i="188"/>
  <c r="E42" i="188"/>
  <c r="F42" i="188"/>
  <c r="G42" i="188"/>
  <c r="H42" i="188"/>
  <c r="B43" i="188"/>
  <c r="C43" i="188"/>
  <c r="D43" i="188"/>
  <c r="E43" i="188"/>
  <c r="F43" i="188"/>
  <c r="G43" i="188"/>
  <c r="H43" i="188"/>
  <c r="B44" i="188"/>
  <c r="C44" i="188"/>
  <c r="D44" i="188"/>
  <c r="E44" i="188"/>
  <c r="F44" i="188"/>
  <c r="G44" i="188"/>
  <c r="H44" i="188"/>
  <c r="B45" i="188"/>
  <c r="C45" i="188"/>
  <c r="D45" i="188"/>
  <c r="E45" i="188"/>
  <c r="F45" i="188"/>
  <c r="G45" i="188"/>
  <c r="H45" i="188"/>
  <c r="B26" i="188"/>
  <c r="H26" i="188"/>
  <c r="G26" i="188"/>
  <c r="F26" i="188"/>
  <c r="E26" i="188"/>
  <c r="D26" i="188"/>
  <c r="C26" i="188"/>
  <c r="C4" i="191"/>
  <c r="C2" i="191"/>
  <c r="C1" i="191"/>
  <c r="J28" i="189"/>
  <c r="L28" i="189" s="1"/>
  <c r="J26" i="189"/>
  <c r="J19" i="189"/>
  <c r="L19" i="189" s="1"/>
  <c r="J12" i="189"/>
  <c r="L12" i="189" s="1"/>
  <c r="J7" i="189"/>
  <c r="C7" i="191" s="1"/>
  <c r="J6" i="189"/>
  <c r="C6" i="191" s="1"/>
  <c r="J5" i="189"/>
  <c r="C5" i="191" s="1"/>
  <c r="J4" i="189"/>
  <c r="L3" i="189"/>
  <c r="J3" i="189"/>
  <c r="C3" i="191" s="1"/>
  <c r="C53" i="161"/>
  <c r="C54" i="161"/>
  <c r="C55" i="161"/>
  <c r="C25" i="161"/>
  <c r="C26" i="161"/>
  <c r="C27" i="161"/>
  <c r="C28" i="161"/>
  <c r="L25" i="159"/>
  <c r="L26" i="159"/>
  <c r="L27" i="159"/>
  <c r="L28" i="159"/>
  <c r="J9" i="159"/>
  <c r="C9" i="161" s="1"/>
  <c r="J10" i="159"/>
  <c r="C10" i="161" s="1"/>
  <c r="J11" i="159"/>
  <c r="L11" i="159" s="1"/>
  <c r="C39" i="161" s="1"/>
  <c r="J12" i="159"/>
  <c r="L12" i="159" s="1"/>
  <c r="C40" i="161" s="1"/>
  <c r="J13" i="159"/>
  <c r="L13" i="159" s="1"/>
  <c r="C41" i="161" s="1"/>
  <c r="J14" i="159"/>
  <c r="L14" i="159" s="1"/>
  <c r="C42" i="161" s="1"/>
  <c r="J15" i="159"/>
  <c r="C15" i="161" s="1"/>
  <c r="J16" i="159"/>
  <c r="C16" i="161" s="1"/>
  <c r="J17" i="159"/>
  <c r="C17" i="161" s="1"/>
  <c r="J18" i="159"/>
  <c r="C18" i="161" s="1"/>
  <c r="J19" i="159"/>
  <c r="L19" i="159" s="1"/>
  <c r="C47" i="161" s="1"/>
  <c r="J20" i="159"/>
  <c r="L20" i="159" s="1"/>
  <c r="C48" i="161" s="1"/>
  <c r="J21" i="159"/>
  <c r="L21" i="159" s="1"/>
  <c r="C49" i="161" s="1"/>
  <c r="J22" i="159"/>
  <c r="L22" i="159" s="1"/>
  <c r="C50" i="161" s="1"/>
  <c r="J23" i="159"/>
  <c r="C23" i="161" s="1"/>
  <c r="J24" i="159"/>
  <c r="C24" i="161" s="1"/>
  <c r="J25" i="159"/>
  <c r="J26" i="159"/>
  <c r="J27" i="159"/>
  <c r="J28" i="159"/>
  <c r="B28" i="187"/>
  <c r="B41" i="187"/>
  <c r="C41" i="187"/>
  <c r="D41" i="187"/>
  <c r="E41" i="187"/>
  <c r="F41" i="187"/>
  <c r="G41" i="187"/>
  <c r="H41" i="187"/>
  <c r="B42" i="187"/>
  <c r="C42" i="187"/>
  <c r="D42" i="187"/>
  <c r="E42" i="187"/>
  <c r="F42" i="187"/>
  <c r="G42" i="187"/>
  <c r="H42" i="187"/>
  <c r="B43" i="187"/>
  <c r="C43" i="187"/>
  <c r="D43" i="187"/>
  <c r="E43" i="187"/>
  <c r="F43" i="187"/>
  <c r="G43" i="187"/>
  <c r="H43" i="187"/>
  <c r="B44" i="187"/>
  <c r="C44" i="187"/>
  <c r="D44" i="187"/>
  <c r="E44" i="187"/>
  <c r="F44" i="187"/>
  <c r="G44" i="187"/>
  <c r="H44" i="187"/>
  <c r="B45" i="187"/>
  <c r="C45" i="187"/>
  <c r="D45" i="187"/>
  <c r="E45" i="187"/>
  <c r="F45" i="187"/>
  <c r="G45" i="187"/>
  <c r="H45" i="187"/>
  <c r="B46" i="187"/>
  <c r="C46" i="187"/>
  <c r="D46" i="187"/>
  <c r="E46" i="187"/>
  <c r="F46" i="187"/>
  <c r="G46" i="187"/>
  <c r="H46" i="187"/>
  <c r="B29" i="187"/>
  <c r="C29" i="187"/>
  <c r="D29" i="187"/>
  <c r="E29" i="187"/>
  <c r="F29" i="187"/>
  <c r="G29" i="187"/>
  <c r="H29" i="187"/>
  <c r="B30" i="187"/>
  <c r="C30" i="187"/>
  <c r="D30" i="187"/>
  <c r="E30" i="187"/>
  <c r="F30" i="187"/>
  <c r="G30" i="187"/>
  <c r="H30" i="187"/>
  <c r="B31" i="187"/>
  <c r="C31" i="187"/>
  <c r="D31" i="187"/>
  <c r="E31" i="187"/>
  <c r="F31" i="187"/>
  <c r="G31" i="187"/>
  <c r="H31" i="187"/>
  <c r="B32" i="187"/>
  <c r="C32" i="187"/>
  <c r="D32" i="187"/>
  <c r="E32" i="187"/>
  <c r="F32" i="187"/>
  <c r="G32" i="187"/>
  <c r="H32" i="187"/>
  <c r="B33" i="187"/>
  <c r="C33" i="187"/>
  <c r="D33" i="187"/>
  <c r="E33" i="187"/>
  <c r="F33" i="187"/>
  <c r="G33" i="187"/>
  <c r="H33" i="187"/>
  <c r="B34" i="187"/>
  <c r="C34" i="187"/>
  <c r="D34" i="187"/>
  <c r="E34" i="187"/>
  <c r="F34" i="187"/>
  <c r="G34" i="187"/>
  <c r="H34" i="187"/>
  <c r="B35" i="187"/>
  <c r="C35" i="187"/>
  <c r="D35" i="187"/>
  <c r="E35" i="187"/>
  <c r="F35" i="187"/>
  <c r="G35" i="187"/>
  <c r="H35" i="187"/>
  <c r="B36" i="187"/>
  <c r="C36" i="187"/>
  <c r="D36" i="187"/>
  <c r="E36" i="187"/>
  <c r="F36" i="187"/>
  <c r="G36" i="187"/>
  <c r="H36" i="187"/>
  <c r="B37" i="187"/>
  <c r="C37" i="187"/>
  <c r="D37" i="187"/>
  <c r="E37" i="187"/>
  <c r="F37" i="187"/>
  <c r="G37" i="187"/>
  <c r="H37" i="187"/>
  <c r="B38" i="187"/>
  <c r="C38" i="187"/>
  <c r="D38" i="187"/>
  <c r="E38" i="187"/>
  <c r="F38" i="187"/>
  <c r="G38" i="187"/>
  <c r="H38" i="187"/>
  <c r="B39" i="187"/>
  <c r="C39" i="187"/>
  <c r="D39" i="187"/>
  <c r="E39" i="187"/>
  <c r="F39" i="187"/>
  <c r="G39" i="187"/>
  <c r="H39" i="187"/>
  <c r="B40" i="187"/>
  <c r="C40" i="187"/>
  <c r="D40" i="187"/>
  <c r="E40" i="187"/>
  <c r="F40" i="187"/>
  <c r="G40" i="187"/>
  <c r="H40" i="187"/>
  <c r="H28" i="187"/>
  <c r="G28" i="187"/>
  <c r="F28" i="187"/>
  <c r="E28" i="187"/>
  <c r="D28" i="187"/>
  <c r="C28" i="187"/>
  <c r="B159" i="179"/>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51" i="179"/>
  <c r="B152" i="179"/>
  <c r="B153" i="179"/>
  <c r="Q136" i="178"/>
  <c r="S136" i="178" s="1" a="1"/>
  <c r="S136" i="178" s="1"/>
  <c r="B140" i="179" s="1"/>
  <c r="R136" i="178"/>
  <c r="Q137" i="178"/>
  <c r="R137" i="178"/>
  <c r="Q138" i="178"/>
  <c r="S138" i="178" s="1" a="1"/>
  <c r="S138" i="178" s="1"/>
  <c r="B142" i="179" s="1"/>
  <c r="R138" i="178"/>
  <c r="Q139" i="178"/>
  <c r="R139" i="178"/>
  <c r="S139" i="178" a="1"/>
  <c r="S139" i="178" s="1"/>
  <c r="B143" i="179" s="1"/>
  <c r="Q140" i="178"/>
  <c r="R140" i="178"/>
  <c r="Q141" i="178"/>
  <c r="R141" i="178"/>
  <c r="S141" i="178" a="1"/>
  <c r="S141" i="178" s="1"/>
  <c r="B145" i="179" s="1"/>
  <c r="Q142" i="178"/>
  <c r="R142" i="178"/>
  <c r="Q143" i="178"/>
  <c r="R143" i="178"/>
  <c r="Q144" i="178"/>
  <c r="S144" i="178" s="1" a="1"/>
  <c r="S144" i="178" s="1"/>
  <c r="B148" i="179" s="1"/>
  <c r="R144" i="178"/>
  <c r="Q145" i="178"/>
  <c r="R145" i="178"/>
  <c r="S145" i="178" a="1"/>
  <c r="S145" i="178" s="1"/>
  <c r="B149" i="179" s="1"/>
  <c r="Q146" i="178"/>
  <c r="R146" i="178"/>
  <c r="Q147" i="178"/>
  <c r="R147" i="178"/>
  <c r="Q148" i="178"/>
  <c r="R148" i="178"/>
  <c r="Q117" i="178"/>
  <c r="S117" i="178" s="1" a="1"/>
  <c r="S117" i="178" s="1"/>
  <c r="B121" i="179" s="1"/>
  <c r="R117" i="178"/>
  <c r="Q118" i="178"/>
  <c r="S118" i="178" s="1" a="1"/>
  <c r="S118" i="178" s="1"/>
  <c r="B122" i="179" s="1"/>
  <c r="R118" i="178"/>
  <c r="Q119" i="178"/>
  <c r="S119" i="178" s="1" a="1"/>
  <c r="S119" i="178" s="1"/>
  <c r="B123" i="179" s="1"/>
  <c r="R119" i="178"/>
  <c r="Q120" i="178"/>
  <c r="S120" i="178" s="1" a="1"/>
  <c r="S120" i="178" s="1"/>
  <c r="B124" i="179" s="1"/>
  <c r="R120" i="178"/>
  <c r="Q121" i="178"/>
  <c r="S121" i="178" s="1" a="1"/>
  <c r="S121" i="178" s="1"/>
  <c r="B125" i="179" s="1"/>
  <c r="R121" i="178"/>
  <c r="Q122" i="178"/>
  <c r="S122" i="178" s="1" a="1"/>
  <c r="S122" i="178" s="1"/>
  <c r="B126" i="179" s="1"/>
  <c r="R122" i="178"/>
  <c r="Q123" i="178"/>
  <c r="S123" i="178" s="1" a="1"/>
  <c r="S123" i="178" s="1"/>
  <c r="B127" i="179" s="1"/>
  <c r="R123" i="178"/>
  <c r="Q124" i="178"/>
  <c r="S124" i="178" s="1" a="1"/>
  <c r="S124" i="178" s="1"/>
  <c r="B128" i="179" s="1"/>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S129" i="178" s="1" a="1"/>
  <c r="S129" i="178" s="1"/>
  <c r="B133" i="179" s="1"/>
  <c r="R129" i="178"/>
  <c r="Q130" i="178"/>
  <c r="S130" i="178" s="1" a="1"/>
  <c r="S130" i="178" s="1"/>
  <c r="B134" i="179" s="1"/>
  <c r="R130" i="178"/>
  <c r="Q131" i="178"/>
  <c r="R131" i="178"/>
  <c r="Q132" i="178"/>
  <c r="S132" i="178" s="1" a="1"/>
  <c r="S132" i="178" s="1"/>
  <c r="B136" i="179" s="1"/>
  <c r="R132" i="178"/>
  <c r="Q133" i="178"/>
  <c r="S133" i="178" s="1" a="1"/>
  <c r="S133" i="178" s="1"/>
  <c r="B137" i="179" s="1"/>
  <c r="R133" i="178"/>
  <c r="Q134" i="178"/>
  <c r="R134" i="178"/>
  <c r="Q135" i="178"/>
  <c r="S135" i="178" s="1" a="1"/>
  <c r="S135" i="178" s="1"/>
  <c r="B139" i="179" s="1"/>
  <c r="R135" i="178"/>
  <c r="Q101" i="178"/>
  <c r="S101" i="178" s="1" a="1"/>
  <c r="S101" i="178" s="1"/>
  <c r="B105" i="179" s="1"/>
  <c r="R101" i="178"/>
  <c r="Q102" i="178"/>
  <c r="R102" i="178"/>
  <c r="S102" i="178" a="1"/>
  <c r="S102" i="178" s="1"/>
  <c r="B106" i="179" s="1"/>
  <c r="Q103" i="178"/>
  <c r="S103" i="178" s="1" a="1"/>
  <c r="S103" i="178" s="1"/>
  <c r="B107" i="179" s="1"/>
  <c r="R103" i="178"/>
  <c r="Q104" i="178"/>
  <c r="R104" i="178"/>
  <c r="S104" i="178" a="1"/>
  <c r="S104" i="178" s="1"/>
  <c r="B108" i="179" s="1"/>
  <c r="Q105" i="178"/>
  <c r="S105" i="178" s="1" a="1"/>
  <c r="S105" i="178" s="1"/>
  <c r="B109" i="179" s="1"/>
  <c r="R105" i="178"/>
  <c r="Q106" i="178"/>
  <c r="R106" i="178"/>
  <c r="S106" i="178" a="1"/>
  <c r="S106" i="178" s="1"/>
  <c r="B110" i="179" s="1"/>
  <c r="Q107" i="178"/>
  <c r="S107" i="178" s="1" a="1"/>
  <c r="S107" i="178" s="1"/>
  <c r="B111" i="179" s="1"/>
  <c r="R107" i="178"/>
  <c r="Q108" i="178"/>
  <c r="R108" i="178"/>
  <c r="S108" i="178" a="1"/>
  <c r="S108" i="178" s="1"/>
  <c r="B112" i="179" s="1"/>
  <c r="Q109" i="178"/>
  <c r="S109" i="178" s="1" a="1"/>
  <c r="S109" i="178" s="1"/>
  <c r="B113" i="179" s="1"/>
  <c r="R109" i="178"/>
  <c r="Q110" i="178"/>
  <c r="R110" i="178"/>
  <c r="S110" i="178" a="1"/>
  <c r="S110" i="178" s="1"/>
  <c r="B114" i="179" s="1"/>
  <c r="Q111" i="178"/>
  <c r="S111" i="178" s="1" a="1"/>
  <c r="S111" i="178" s="1"/>
  <c r="B115" i="179" s="1"/>
  <c r="R111" i="178"/>
  <c r="Q112" i="178"/>
  <c r="R112" i="178"/>
  <c r="S112" i="178" a="1"/>
  <c r="S112" i="178" s="1"/>
  <c r="B116" i="179" s="1"/>
  <c r="Q113" i="178"/>
  <c r="S113" i="178" s="1" a="1"/>
  <c r="S113" i="178" s="1"/>
  <c r="B117" i="179" s="1"/>
  <c r="R113" i="178"/>
  <c r="Q114" i="178"/>
  <c r="R114" i="178"/>
  <c r="S114" i="178" a="1"/>
  <c r="S114" i="178" s="1"/>
  <c r="B118" i="179" s="1"/>
  <c r="Q115" i="178"/>
  <c r="S115" i="178" s="1" a="1"/>
  <c r="S115" i="178" s="1"/>
  <c r="B119" i="179" s="1"/>
  <c r="R115" i="178"/>
  <c r="Q116" i="178"/>
  <c r="R116" i="178"/>
  <c r="S116" i="178" a="1"/>
  <c r="S116" i="178" s="1"/>
  <c r="B120" i="179" s="1"/>
  <c r="Q91" i="178"/>
  <c r="S91" i="178" s="1" a="1"/>
  <c r="S91" i="178" s="1"/>
  <c r="B95" i="179" s="1"/>
  <c r="R91" i="178"/>
  <c r="Q92" i="178"/>
  <c r="S92" i="178" s="1" a="1"/>
  <c r="S92" i="178" s="1"/>
  <c r="B96" i="179" s="1"/>
  <c r="R92" i="178"/>
  <c r="Q93" i="178"/>
  <c r="S93" i="178" s="1" a="1"/>
  <c r="S93" i="178" s="1"/>
  <c r="B97" i="179" s="1"/>
  <c r="R93" i="178"/>
  <c r="Q94" i="178"/>
  <c r="S94" i="178" s="1" a="1"/>
  <c r="S94" i="178" s="1"/>
  <c r="B98" i="179" s="1"/>
  <c r="R94" i="178"/>
  <c r="Q95" i="178"/>
  <c r="S95" i="178" s="1" a="1"/>
  <c r="S95" i="178" s="1"/>
  <c r="B99" i="179" s="1"/>
  <c r="R95" i="178"/>
  <c r="Q96" i="178"/>
  <c r="S96" i="178" s="1" a="1"/>
  <c r="S96" i="178" s="1"/>
  <c r="B100" i="179" s="1"/>
  <c r="R96" i="178"/>
  <c r="Q97" i="178"/>
  <c r="S97" i="178" s="1" a="1"/>
  <c r="S97" i="178" s="1"/>
  <c r="B101" i="179" s="1"/>
  <c r="R97" i="178"/>
  <c r="Q98" i="178"/>
  <c r="S98" i="178" s="1" a="1"/>
  <c r="S98" i="178" s="1"/>
  <c r="B102" i="179" s="1"/>
  <c r="R98" i="178"/>
  <c r="Q99" i="178"/>
  <c r="S99" i="178" s="1" a="1"/>
  <c r="S99" i="178" s="1"/>
  <c r="B103" i="179" s="1"/>
  <c r="R99" i="178"/>
  <c r="Q100" i="178"/>
  <c r="S100" i="178" s="1" a="1"/>
  <c r="S100" i="178" s="1"/>
  <c r="B104" i="179" s="1"/>
  <c r="R100"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S79" i="178" s="1" a="1"/>
  <c r="S79" i="178" s="1"/>
  <c r="B83" i="179" s="1"/>
  <c r="R79" i="178"/>
  <c r="Q80" i="178"/>
  <c r="S80" i="178" s="1" a="1"/>
  <c r="S80" i="178" s="1"/>
  <c r="B84" i="179" s="1"/>
  <c r="R80" i="178"/>
  <c r="Q81" i="178"/>
  <c r="S81" i="178" s="1" a="1"/>
  <c r="S81" i="178" s="1"/>
  <c r="B85" i="179" s="1"/>
  <c r="R81" i="178"/>
  <c r="Q82" i="178"/>
  <c r="S82" i="178" s="1" a="1"/>
  <c r="S82" i="178" s="1"/>
  <c r="B86" i="179" s="1"/>
  <c r="R82" i="178"/>
  <c r="Q83" i="178"/>
  <c r="S83" i="178" s="1" a="1"/>
  <c r="S83" i="178" s="1"/>
  <c r="B87" i="179" s="1"/>
  <c r="R83" i="178"/>
  <c r="Q84" i="178"/>
  <c r="S84" i="178" s="1" a="1"/>
  <c r="S84" i="178" s="1"/>
  <c r="B88" i="179" s="1"/>
  <c r="R84" i="178"/>
  <c r="Q85" i="178"/>
  <c r="S85" i="178" s="1" a="1"/>
  <c r="S85" i="178" s="1"/>
  <c r="B89" i="179" s="1"/>
  <c r="R85" i="178"/>
  <c r="Q86" i="178"/>
  <c r="S86" i="178" s="1" a="1"/>
  <c r="S86" i="178" s="1"/>
  <c r="B90" i="179" s="1"/>
  <c r="R86" i="178"/>
  <c r="Q87" i="178"/>
  <c r="S87" i="178" s="1" a="1"/>
  <c r="S87" i="178" s="1"/>
  <c r="B91" i="179" s="1"/>
  <c r="R87" i="178"/>
  <c r="Q88" i="178"/>
  <c r="S88" i="178" s="1" a="1"/>
  <c r="S88" i="178" s="1"/>
  <c r="B92" i="179" s="1"/>
  <c r="R88" i="178"/>
  <c r="Q89" i="178"/>
  <c r="S89" i="178" s="1" a="1"/>
  <c r="S89" i="178" s="1"/>
  <c r="B93" i="179" s="1"/>
  <c r="R89" i="178"/>
  <c r="Q90" i="178"/>
  <c r="S90" i="178" s="1" a="1"/>
  <c r="S90" i="178" s="1"/>
  <c r="B94" i="179" s="1"/>
  <c r="R90"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53" i="178"/>
  <c r="S53" i="178" s="1" a="1"/>
  <c r="S53" i="178" s="1"/>
  <c r="B57" i="179" s="1"/>
  <c r="R53" i="178"/>
  <c r="Q54" i="178"/>
  <c r="R54" i="178"/>
  <c r="S54" i="178" a="1"/>
  <c r="S54" i="178" s="1"/>
  <c r="B58" i="179" s="1"/>
  <c r="Q55" i="178"/>
  <c r="S55" i="178" s="1" a="1"/>
  <c r="S55" i="178" s="1"/>
  <c r="B59" i="179" s="1"/>
  <c r="R55" i="178"/>
  <c r="Q56" i="178"/>
  <c r="R56" i="178"/>
  <c r="S56" i="178" a="1"/>
  <c r="S56" i="178" s="1"/>
  <c r="B60" i="179" s="1"/>
  <c r="Q57" i="178"/>
  <c r="S57" i="178" s="1" a="1"/>
  <c r="S57" i="178" s="1"/>
  <c r="B61" i="179" s="1"/>
  <c r="R57" i="178"/>
  <c r="Q58" i="178"/>
  <c r="R58" i="178"/>
  <c r="Q59" i="178"/>
  <c r="S59" i="178" s="1" a="1"/>
  <c r="S59" i="178" s="1"/>
  <c r="B63" i="179" s="1"/>
  <c r="R59" i="178"/>
  <c r="Q60" i="178"/>
  <c r="R60" i="178"/>
  <c r="S60" i="178" a="1"/>
  <c r="S60" i="178" s="1"/>
  <c r="B64" i="179" s="1"/>
  <c r="Q61" i="178"/>
  <c r="S61" i="178" s="1" a="1"/>
  <c r="S61" i="178" s="1"/>
  <c r="B65" i="179"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S137" i="178" s="1" a="1"/>
  <c r="S137" i="178" s="1"/>
  <c r="B141" i="179" s="1"/>
  <c r="L35" i="178"/>
  <c r="M35" i="178"/>
  <c r="N35" i="178"/>
  <c r="I36" i="178"/>
  <c r="K36" i="178"/>
  <c r="S143" i="178" s="1" a="1"/>
  <c r="S143" i="178" s="1"/>
  <c r="B147" i="179" s="1"/>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K21" i="178"/>
  <c r="L21" i="178"/>
  <c r="M21" i="178"/>
  <c r="N21" i="178"/>
  <c r="I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J36" i="178" s="1"/>
  <c r="B16" i="178"/>
  <c r="C16" i="178"/>
  <c r="B17" i="178"/>
  <c r="C17" i="178"/>
  <c r="B18" i="178"/>
  <c r="C18" i="178"/>
  <c r="B19" i="178"/>
  <c r="C19" i="178"/>
  <c r="B20" i="178"/>
  <c r="C20" i="178"/>
  <c r="B21" i="178"/>
  <c r="C21" i="178"/>
  <c r="J21" i="178" s="1"/>
  <c r="B22" i="178"/>
  <c r="C22" i="178"/>
  <c r="J22" i="178" s="1"/>
  <c r="S58" i="178" s="1" a="1"/>
  <c r="S58" i="178" s="1"/>
  <c r="B62" i="179" s="1"/>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L29" i="209" l="1"/>
  <c r="C62" i="210" s="1"/>
  <c r="S141" i="213" a="1"/>
  <c r="S141" i="213" s="1"/>
  <c r="B145" i="214" s="1"/>
  <c r="C30" i="210"/>
  <c r="L24" i="209"/>
  <c r="C57" i="210" s="1"/>
  <c r="L27" i="209"/>
  <c r="C60" i="210" s="1"/>
  <c r="L26" i="209"/>
  <c r="C59" i="210" s="1"/>
  <c r="S129" i="213" a="1"/>
  <c r="S129" i="213" s="1"/>
  <c r="B133" i="214" s="1"/>
  <c r="C23" i="210"/>
  <c r="S142" i="178" a="1"/>
  <c r="S142"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2" i="178" a="1"/>
  <c r="S52" i="178" s="1"/>
  <c r="B56" i="179" s="1"/>
  <c r="S36" i="215" a="1"/>
  <c r="S36" i="215" s="1"/>
  <c r="B40" i="216" s="1"/>
  <c r="S30" i="215" a="1"/>
  <c r="S30" i="215" s="1"/>
  <c r="B34" i="216" s="1"/>
  <c r="S24" i="215" a="1"/>
  <c r="S24" i="215" s="1"/>
  <c r="B28" i="216" s="1"/>
  <c r="S38" i="215" a="1"/>
  <c r="S38" i="215" s="1"/>
  <c r="B42" i="216" s="1"/>
  <c r="S26" i="215" a="1"/>
  <c r="S26" i="215" s="1"/>
  <c r="B30" i="216" s="1"/>
  <c r="S32" i="215" a="1"/>
  <c r="S32" i="215" s="1"/>
  <c r="B36" i="216" s="1"/>
  <c r="S44" i="215" a="1"/>
  <c r="S44" i="215" s="1"/>
  <c r="B48" i="216" s="1"/>
  <c r="S56" i="215" a="1"/>
  <c r="S56" i="215" s="1"/>
  <c r="B60" i="216" s="1"/>
  <c r="S92" i="215" a="1"/>
  <c r="S92" i="215" s="1"/>
  <c r="B96" i="216" s="1"/>
  <c r="S104" i="215" a="1"/>
  <c r="S104" i="215" s="1"/>
  <c r="B108" i="216" s="1"/>
  <c r="S137" i="215" a="1"/>
  <c r="S137" i="215" s="1"/>
  <c r="B141" i="216" s="1"/>
  <c r="S41" i="215" a="1"/>
  <c r="S41" i="215" s="1"/>
  <c r="B45" i="216" s="1"/>
  <c r="S149" i="215" a="1"/>
  <c r="S149" i="215" s="1"/>
  <c r="B153" i="216" s="1"/>
  <c r="S53" i="215" a="1"/>
  <c r="S53" i="215" s="1"/>
  <c r="B57" i="216" s="1"/>
  <c r="S77" i="215" a="1"/>
  <c r="S77" i="215" s="1"/>
  <c r="B81" i="216" s="1"/>
  <c r="S89" i="215" a="1"/>
  <c r="S89" i="215" s="1"/>
  <c r="B93" i="216" s="1"/>
  <c r="S119" i="215" a="1"/>
  <c r="S119" i="215" s="1"/>
  <c r="B123" i="216" s="1"/>
  <c r="S131" i="215" a="1"/>
  <c r="S131" i="215" s="1"/>
  <c r="B135" i="216" s="1"/>
  <c r="S17" i="215" a="1"/>
  <c r="S17" i="215" s="1"/>
  <c r="B21" i="216" s="1"/>
  <c r="S101" i="215" a="1"/>
  <c r="S101" i="215" s="1"/>
  <c r="B105" i="216" s="1"/>
  <c r="S23" i="215" a="1"/>
  <c r="S23" i="215" s="1"/>
  <c r="B27" i="216" s="1"/>
  <c r="S47" i="215" a="1"/>
  <c r="S47" i="215" s="1"/>
  <c r="B51" i="216" s="1"/>
  <c r="S40" i="215" a="1"/>
  <c r="S40" i="215" s="1"/>
  <c r="B44" i="216" s="1"/>
  <c r="S76" i="215" a="1"/>
  <c r="S76" i="215" s="1"/>
  <c r="B80" i="216" s="1"/>
  <c r="S88" i="215" a="1"/>
  <c r="S88" i="215" s="1"/>
  <c r="B92" i="216" s="1"/>
  <c r="S28" i="215" a="1"/>
  <c r="S28" i="215" s="1"/>
  <c r="B32" i="216" s="1"/>
  <c r="S124" i="215" a="1"/>
  <c r="S124" i="215" s="1"/>
  <c r="B128" i="216" s="1"/>
  <c r="S136" i="215" a="1"/>
  <c r="S136" i="215" s="1"/>
  <c r="B140" i="216" s="1"/>
  <c r="S99" i="215" a="1"/>
  <c r="S99" i="215" s="1"/>
  <c r="B103" i="216" s="1"/>
  <c r="S135" i="215" a="1"/>
  <c r="S135" i="215" s="1"/>
  <c r="B139" i="216" s="1"/>
  <c r="E6" i="215"/>
  <c r="B16" i="216" s="1"/>
  <c r="S147" i="215" a="1"/>
  <c r="S147" i="215" s="1"/>
  <c r="B151" i="216" s="1"/>
  <c r="S87" i="215" a="1"/>
  <c r="S87" i="215" s="1"/>
  <c r="B91" i="216" s="1"/>
  <c r="S22" i="215" a="1"/>
  <c r="S22" i="215" s="1"/>
  <c r="B26" i="216" s="1"/>
  <c r="S39" i="215" a="1"/>
  <c r="S39" i="215" s="1"/>
  <c r="B43" i="216" s="1"/>
  <c r="S15" i="215" a="1"/>
  <c r="S15" i="215" s="1"/>
  <c r="B19" i="216" s="1"/>
  <c r="S34" i="215" a="1"/>
  <c r="S34" i="215" s="1"/>
  <c r="B38" i="216" s="1"/>
  <c r="S51" i="215" a="1"/>
  <c r="S51" i="215" s="1"/>
  <c r="B55" i="216" s="1"/>
  <c r="S63" i="215" a="1"/>
  <c r="S63" i="215" s="1"/>
  <c r="B67" i="216" s="1"/>
  <c r="S141" i="215" a="1"/>
  <c r="S141" i="215" s="1"/>
  <c r="B145" i="216" s="1"/>
  <c r="S50" i="215" a="1"/>
  <c r="S50" i="215" s="1"/>
  <c r="B54" i="216" s="1"/>
  <c r="S66" i="215" a="1"/>
  <c r="S66" i="215" s="1"/>
  <c r="B70" i="216" s="1"/>
  <c r="S82" i="215" a="1"/>
  <c r="S82" i="215" s="1"/>
  <c r="B86" i="216" s="1"/>
  <c r="S98" i="215" a="1"/>
  <c r="S98" i="215" s="1"/>
  <c r="B102" i="216" s="1"/>
  <c r="S114" i="215" a="1"/>
  <c r="S114" i="215" s="1"/>
  <c r="B118" i="216" s="1"/>
  <c r="S130" i="215" a="1"/>
  <c r="S130" i="215" s="1"/>
  <c r="B134" i="216" s="1"/>
  <c r="S146" i="215" a="1"/>
  <c r="S146" i="215" s="1"/>
  <c r="B150" i="216" s="1"/>
  <c r="S54" i="215" a="1"/>
  <c r="S54" i="215" s="1"/>
  <c r="B58" i="216" s="1"/>
  <c r="S70" i="215" a="1"/>
  <c r="S70" i="215" s="1"/>
  <c r="B74" i="216" s="1"/>
  <c r="S86" i="215" a="1"/>
  <c r="S86" i="215" s="1"/>
  <c r="B90" i="216" s="1"/>
  <c r="S102" i="215" a="1"/>
  <c r="S102" i="215" s="1"/>
  <c r="B106" i="216" s="1"/>
  <c r="S118" i="215" a="1"/>
  <c r="S118" i="215" s="1"/>
  <c r="B122" i="216" s="1"/>
  <c r="S134" i="215" a="1"/>
  <c r="S134" i="215" s="1"/>
  <c r="B138" i="216" s="1"/>
  <c r="S150" i="215" a="1"/>
  <c r="S150" i="215" s="1"/>
  <c r="B154" i="216" s="1"/>
  <c r="I38" i="215"/>
  <c r="S153" i="215" s="1" a="1"/>
  <c r="S153" i="215" s="1"/>
  <c r="B157" i="216" s="1"/>
  <c r="S48" i="215" a="1"/>
  <c r="S48" i="215" s="1"/>
  <c r="B52" i="216" s="1"/>
  <c r="S64" i="215" a="1"/>
  <c r="S64" i="215" s="1"/>
  <c r="B68" i="216" s="1"/>
  <c r="S80" i="215" a="1"/>
  <c r="S80" i="215" s="1"/>
  <c r="B84" i="216" s="1"/>
  <c r="S96" i="215" a="1"/>
  <c r="S96" i="215" s="1"/>
  <c r="B100" i="216" s="1"/>
  <c r="S112" i="215" a="1"/>
  <c r="S112" i="215" s="1"/>
  <c r="B116" i="216" s="1"/>
  <c r="S128" i="215" a="1"/>
  <c r="S128" i="215" s="1"/>
  <c r="B132" i="216" s="1"/>
  <c r="S144" i="215" a="1"/>
  <c r="S144" i="215" s="1"/>
  <c r="B148" i="216" s="1"/>
  <c r="S42" i="215" a="1"/>
  <c r="S42" i="215" s="1"/>
  <c r="B46" i="216" s="1"/>
  <c r="S58" i="215" a="1"/>
  <c r="S58" i="215" s="1"/>
  <c r="B62" i="216" s="1"/>
  <c r="S74" i="215" a="1"/>
  <c r="S74" i="215" s="1"/>
  <c r="B78" i="216" s="1"/>
  <c r="S90" i="215" a="1"/>
  <c r="S90" i="215" s="1"/>
  <c r="B94" i="216" s="1"/>
  <c r="S106" i="215" a="1"/>
  <c r="S106" i="215" s="1"/>
  <c r="B110" i="216" s="1"/>
  <c r="S122" i="215" a="1"/>
  <c r="S122" i="215" s="1"/>
  <c r="B126" i="216" s="1"/>
  <c r="S138" i="215" a="1"/>
  <c r="S138" i="215" s="1"/>
  <c r="B142" i="216" s="1"/>
  <c r="S154" i="215" a="1"/>
  <c r="S154" i="215" s="1"/>
  <c r="B158" i="216" s="1"/>
  <c r="I16" i="215"/>
  <c r="S21" i="215" s="1" a="1"/>
  <c r="S21" i="215" s="1"/>
  <c r="B25" i="216" s="1"/>
  <c r="I18" i="215"/>
  <c r="S33" i="215" s="1" a="1"/>
  <c r="S33" i="215" s="1"/>
  <c r="B37" i="216" s="1"/>
  <c r="I20" i="215"/>
  <c r="S45" i="215" s="1" a="1"/>
  <c r="S45" i="215" s="1"/>
  <c r="B49" i="216" s="1"/>
  <c r="I22" i="215"/>
  <c r="S57" i="215" s="1" a="1"/>
  <c r="S57" i="215" s="1"/>
  <c r="B61" i="216" s="1"/>
  <c r="I24" i="215"/>
  <c r="S69" i="215" s="1" a="1"/>
  <c r="S69" i="215" s="1"/>
  <c r="B73" i="216" s="1"/>
  <c r="I26" i="215"/>
  <c r="S81" i="215" s="1" a="1"/>
  <c r="S81" i="215" s="1"/>
  <c r="B85" i="216" s="1"/>
  <c r="I28" i="215"/>
  <c r="S93" i="215" s="1" a="1"/>
  <c r="S93" i="215" s="1"/>
  <c r="B97" i="216" s="1"/>
  <c r="I30" i="215"/>
  <c r="S105" i="215" s="1" a="1"/>
  <c r="S105" i="215" s="1"/>
  <c r="B109" i="216" s="1"/>
  <c r="I32" i="215"/>
  <c r="S117" i="215" s="1" a="1"/>
  <c r="S117" i="215" s="1"/>
  <c r="B121" i="216" s="1"/>
  <c r="I34" i="215"/>
  <c r="S129" i="215" s="1" a="1"/>
  <c r="S129" i="215" s="1"/>
  <c r="B133" i="216" s="1"/>
  <c r="S52" i="215" a="1"/>
  <c r="S52" i="215" s="1"/>
  <c r="B56" i="216" s="1"/>
  <c r="S68" i="215" a="1"/>
  <c r="S68" i="215" s="1"/>
  <c r="B72" i="216" s="1"/>
  <c r="S84" i="215" a="1"/>
  <c r="S84" i="215" s="1"/>
  <c r="B88" i="216" s="1"/>
  <c r="S100" i="215" a="1"/>
  <c r="S100" i="215" s="1"/>
  <c r="B104" i="216" s="1"/>
  <c r="S116" i="215" a="1"/>
  <c r="S116" i="215" s="1"/>
  <c r="B120" i="216" s="1"/>
  <c r="S132" i="215" a="1"/>
  <c r="S132" i="215" s="1"/>
  <c r="B136" i="216" s="1"/>
  <c r="S148" i="215" a="1"/>
  <c r="S148" i="215" s="1"/>
  <c r="B152" i="216" s="1"/>
  <c r="S46" i="215" a="1"/>
  <c r="S46" i="215" s="1"/>
  <c r="B50" i="216" s="1"/>
  <c r="S62" i="215" a="1"/>
  <c r="S62" i="215" s="1"/>
  <c r="B66" i="216" s="1"/>
  <c r="S78" i="215" a="1"/>
  <c r="S78" i="215" s="1"/>
  <c r="B82" i="216" s="1"/>
  <c r="S94" i="215" a="1"/>
  <c r="S94" i="215" s="1"/>
  <c r="B98" i="216" s="1"/>
  <c r="S110" i="215" a="1"/>
  <c r="S110" i="215" s="1"/>
  <c r="B114" i="216" s="1"/>
  <c r="S126" i="215" a="1"/>
  <c r="S126" i="215" s="1"/>
  <c r="B130" i="216" s="1"/>
  <c r="S142" i="215" a="1"/>
  <c r="S142" i="215" s="1"/>
  <c r="B146" i="216" s="1"/>
  <c r="S158" i="215" a="1"/>
  <c r="S158" i="215" s="1"/>
  <c r="B162"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21" i="213" a="1"/>
  <c r="S21" i="213" s="1"/>
  <c r="B25" i="214" s="1"/>
  <c r="S69" i="213" a="1"/>
  <c r="S69" i="213" s="1"/>
  <c r="B73" i="214" s="1"/>
  <c r="S81" i="213" a="1"/>
  <c r="S81" i="213" s="1"/>
  <c r="B85" i="214" s="1"/>
  <c r="S33" i="213" a="1"/>
  <c r="S33" i="213" s="1"/>
  <c r="B37" i="214" s="1"/>
  <c r="S118" i="213" a="1"/>
  <c r="S118" i="213" s="1"/>
  <c r="B122" i="214" s="1"/>
  <c r="S39" i="213" a="1"/>
  <c r="S39" i="213" s="1"/>
  <c r="B43" i="214" s="1"/>
  <c r="S111" i="213" a="1"/>
  <c r="S111" i="213" s="1"/>
  <c r="B115" i="214" s="1"/>
  <c r="S117" i="213" a="1"/>
  <c r="S117" i="213" s="1"/>
  <c r="B121" i="214" s="1"/>
  <c r="S123" i="213" a="1"/>
  <c r="S123" i="213" s="1"/>
  <c r="B127" i="214" s="1"/>
  <c r="S15" i="213" a="1"/>
  <c r="S15" i="213" s="1"/>
  <c r="B19" i="214" s="1"/>
  <c r="S27" i="213" a="1"/>
  <c r="S27" i="213" s="1"/>
  <c r="B31" i="214" s="1"/>
  <c r="S51" i="213" a="1"/>
  <c r="S51" i="213" s="1"/>
  <c r="B55" i="214" s="1"/>
  <c r="S63" i="213" a="1"/>
  <c r="S63" i="213" s="1"/>
  <c r="B67" i="214" s="1"/>
  <c r="S75" i="213" a="1"/>
  <c r="S75" i="213" s="1"/>
  <c r="B79" i="214" s="1"/>
  <c r="S87" i="213" a="1"/>
  <c r="S87" i="213" s="1"/>
  <c r="B91"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S19" i="203" a="1"/>
  <c r="S19" i="203" s="1"/>
  <c r="S38" i="203" a="1"/>
  <c r="S38" i="203" s="1"/>
  <c r="S31" i="203" a="1"/>
  <c r="S31" i="203" s="1"/>
  <c r="I15" i="203"/>
  <c r="S15" i="203" s="1" a="1"/>
  <c r="S15" i="203" s="1"/>
  <c r="S24" i="203" a="1"/>
  <c r="S24" i="203" s="1"/>
  <c r="I17" i="203"/>
  <c r="S27" i="203" s="1" a="1"/>
  <c r="S27" i="203" s="1"/>
  <c r="I16" i="203"/>
  <c r="S21" i="203" s="1" a="1"/>
  <c r="S21" i="203" s="1"/>
  <c r="S25" i="203" a="1"/>
  <c r="S25" i="203" s="1"/>
  <c r="S40" i="203" a="1"/>
  <c r="S40" i="203" s="1"/>
  <c r="S23" i="203" a="1"/>
  <c r="S23" i="203" s="1"/>
  <c r="S30" i="203" a="1"/>
  <c r="S30" i="203" s="1"/>
  <c r="S35" i="203" a="1"/>
  <c r="S35" i="203" s="1"/>
  <c r="S18" i="203" a="1"/>
  <c r="S18" i="203" s="1"/>
  <c r="S36" i="203" a="1"/>
  <c r="S36" i="203" s="1"/>
  <c r="S43" i="203" a="1"/>
  <c r="S43" i="203" s="1"/>
  <c r="S22" i="203" a="1"/>
  <c r="S22" i="203" s="1"/>
  <c r="S16" i="203" a="1"/>
  <c r="S16" i="203" s="1"/>
  <c r="S18" i="202" a="1"/>
  <c r="S18" i="202" s="1"/>
  <c r="S33" i="202" a="1"/>
  <c r="S33" i="202" s="1"/>
  <c r="S39" i="202" a="1"/>
  <c r="S39" i="202" s="1"/>
  <c r="S59" i="202" a="1"/>
  <c r="S59" i="202" s="1"/>
  <c r="S73" i="202" a="1"/>
  <c r="S73" i="202" s="1"/>
  <c r="S103" i="202" a="1"/>
  <c r="S103" i="202" s="1"/>
  <c r="S127" i="202" a="1"/>
  <c r="S127" i="202" s="1"/>
  <c r="S151" i="202" a="1"/>
  <c r="S151" i="202" s="1"/>
  <c r="S27" i="202" a="1"/>
  <c r="S27" i="202" s="1"/>
  <c r="S32" i="202" a="1"/>
  <c r="S32" i="202" s="1"/>
  <c r="S29" i="202" a="1"/>
  <c r="S29" i="202" s="1"/>
  <c r="S34" i="202" a="1"/>
  <c r="S34" i="202" s="1"/>
  <c r="S37" i="202" a="1"/>
  <c r="S37" i="202" s="1"/>
  <c r="S57" i="202" a="1"/>
  <c r="S57" i="202" s="1"/>
  <c r="S71" i="202" a="1"/>
  <c r="S71" i="202" s="1"/>
  <c r="S91" i="202" a="1"/>
  <c r="S91" i="202" s="1"/>
  <c r="S101" i="202" a="1"/>
  <c r="S101" i="202" s="1"/>
  <c r="S115" i="202" a="1"/>
  <c r="S115" i="202" s="1"/>
  <c r="S125" i="202" a="1"/>
  <c r="S125" i="202" s="1"/>
  <c r="S139" i="202" a="1"/>
  <c r="S139" i="202" s="1"/>
  <c r="S149" i="202" a="1"/>
  <c r="S149" i="202" s="1"/>
  <c r="S15" i="202" a="1"/>
  <c r="S15" i="202" s="1"/>
  <c r="S33" i="201" a="1"/>
  <c r="S33" i="201" s="1"/>
  <c r="S30" i="201" a="1"/>
  <c r="S30" i="201" s="1"/>
  <c r="S17" i="201" a="1"/>
  <c r="S17" i="201" s="1"/>
  <c r="S24" i="201" a="1"/>
  <c r="S24" i="201" s="1"/>
  <c r="S23" i="201" a="1"/>
  <c r="S23" i="201" s="1"/>
  <c r="S18" i="201" a="1"/>
  <c r="S18" i="201" s="1"/>
  <c r="S28" i="201" a="1"/>
  <c r="S28" i="201" s="1"/>
  <c r="S32" i="203" a="1"/>
  <c r="S32" i="203" s="1"/>
  <c r="S42" i="203" a="1"/>
  <c r="S42" i="203" s="1"/>
  <c r="S28" i="203" a="1"/>
  <c r="S28" i="203" s="1"/>
  <c r="S20" i="203" a="1"/>
  <c r="S20" i="203" s="1"/>
  <c r="S21" i="202" a="1"/>
  <c r="S21" i="202" s="1"/>
  <c r="S104" i="202" a="1"/>
  <c r="S104" i="202" s="1"/>
  <c r="S34" i="201" a="1"/>
  <c r="S34" i="201" s="1"/>
  <c r="S36" i="201" a="1"/>
  <c r="S36" i="201" s="1"/>
  <c r="S19" i="201" a="1"/>
  <c r="S19" i="201" s="1"/>
  <c r="S16" i="201" a="1"/>
  <c r="S16" i="201" s="1"/>
  <c r="S35" i="201" a="1"/>
  <c r="S35" i="201" s="1"/>
  <c r="I15" i="201"/>
  <c r="S15" i="201" s="1" a="1"/>
  <c r="S15" i="201" s="1"/>
  <c r="I16" i="201"/>
  <c r="S21" i="201" s="1" a="1"/>
  <c r="S21" i="201" s="1"/>
  <c r="S31" i="201" a="1"/>
  <c r="S31" i="201" s="1"/>
  <c r="I17" i="201"/>
  <c r="S27" i="201" s="1" a="1"/>
  <c r="S27" i="201" s="1"/>
  <c r="S22" i="201" a="1"/>
  <c r="S22" i="201" s="1"/>
  <c r="S25" i="201" a="1"/>
  <c r="S25" i="201" s="1"/>
  <c r="S29" i="201" a="1"/>
  <c r="S29" i="201"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39" i="199" a="1"/>
  <c r="S39" i="199" s="1"/>
  <c r="B43" i="200" s="1"/>
  <c r="S47" i="199" a="1"/>
  <c r="S47" i="199" s="1"/>
  <c r="B51" i="200" s="1"/>
  <c r="S63" i="199" a="1"/>
  <c r="S63" i="199" s="1"/>
  <c r="B67"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B19" i="194"/>
  <c r="E19" i="194" s="1"/>
  <c r="L8" i="193"/>
  <c r="C36" i="195" s="1"/>
  <c r="L18" i="159"/>
  <c r="C46" i="161" s="1"/>
  <c r="C22" i="161"/>
  <c r="C14" i="161"/>
  <c r="L9" i="159"/>
  <c r="C37" i="161" s="1"/>
  <c r="C13" i="161"/>
  <c r="L24" i="159"/>
  <c r="C52" i="161" s="1"/>
  <c r="L16" i="159"/>
  <c r="C44" i="161" s="1"/>
  <c r="C20" i="161"/>
  <c r="C12" i="161"/>
  <c r="L10" i="159"/>
  <c r="C38" i="161" s="1"/>
  <c r="L17" i="159"/>
  <c r="C45" i="161" s="1"/>
  <c r="C21" i="161"/>
  <c r="L23" i="159"/>
  <c r="C51" i="161" s="1"/>
  <c r="L15" i="159"/>
  <c r="C43" i="161" s="1"/>
  <c r="C19" i="161"/>
  <c r="C11" i="161"/>
  <c r="L9" i="189"/>
  <c r="L25" i="189"/>
  <c r="L14" i="189"/>
  <c r="L26" i="189"/>
  <c r="L20" i="189"/>
  <c r="L22" i="189"/>
  <c r="L18" i="189"/>
  <c r="L17" i="189"/>
  <c r="L13" i="189"/>
  <c r="L21" i="189"/>
  <c r="L15" i="189"/>
  <c r="L23" i="189"/>
  <c r="L8" i="189"/>
  <c r="C36" i="191" s="1"/>
  <c r="L16" i="189"/>
  <c r="L24" i="189"/>
  <c r="S146" i="178" a="1"/>
  <c r="S146" i="178" s="1"/>
  <c r="B150" i="179" s="1"/>
  <c r="S140" i="178" a="1"/>
  <c r="S140" i="178" s="1"/>
  <c r="B144" i="179" s="1"/>
  <c r="S134" i="178" a="1"/>
  <c r="S134" i="178" s="1"/>
  <c r="B138" i="179" s="1"/>
  <c r="S125" i="178" a="1"/>
  <c r="S125" i="178" s="1"/>
  <c r="B129" i="179" s="1"/>
  <c r="S131" i="178" a="1"/>
  <c r="S131"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S32" i="201" l="1" a="1"/>
  <c r="S32" i="201" s="1"/>
  <c r="S26" i="201" a="1"/>
  <c r="S26" i="201" s="1"/>
  <c r="S20" i="201" a="1"/>
  <c r="S20" i="201" s="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2" i="166" l="1"/>
  <c r="C1" i="166"/>
  <c r="J8" i="164"/>
  <c r="C8" i="166" s="1"/>
  <c r="J7" i="164"/>
  <c r="C7" i="166" s="1"/>
  <c r="J6" i="164"/>
  <c r="C6" i="166" s="1"/>
  <c r="J5" i="164"/>
  <c r="C5" i="166" s="1"/>
  <c r="J4" i="164"/>
  <c r="C4" i="166" s="1"/>
  <c r="L3" i="164"/>
  <c r="J3" i="164"/>
  <c r="C3" i="166" s="1"/>
  <c r="E97" i="160"/>
  <c r="E98" i="160"/>
  <c r="E82" i="160"/>
  <c r="E91" i="160"/>
  <c r="E95" i="160"/>
  <c r="E96" i="160"/>
  <c r="B90" i="160"/>
  <c r="E90" i="160" s="1"/>
  <c r="B91" i="160"/>
  <c r="B92" i="160"/>
  <c r="E92" i="160" s="1"/>
  <c r="B93" i="160"/>
  <c r="E93" i="160" s="1"/>
  <c r="B94" i="160"/>
  <c r="E94" i="160" s="1"/>
  <c r="B95" i="160"/>
  <c r="B77" i="160"/>
  <c r="E77" i="160" s="1"/>
  <c r="B78" i="160"/>
  <c r="E78" i="160" s="1"/>
  <c r="B79" i="160"/>
  <c r="E79" i="160" s="1"/>
  <c r="B80" i="160"/>
  <c r="E80" i="160" s="1"/>
  <c r="B81" i="160"/>
  <c r="E81" i="160" s="1"/>
  <c r="B82" i="160"/>
  <c r="B83" i="160"/>
  <c r="E83" i="160" s="1"/>
  <c r="B84" i="160"/>
  <c r="E84" i="160" s="1"/>
  <c r="B85" i="160"/>
  <c r="E85" i="160" s="1"/>
  <c r="B86" i="160"/>
  <c r="E86" i="160" s="1"/>
  <c r="B87" i="160"/>
  <c r="E87" i="160" s="1"/>
  <c r="B88" i="160"/>
  <c r="E88" i="160" s="1"/>
  <c r="B89" i="160"/>
  <c r="E89" i="160" s="1"/>
  <c r="B66" i="160"/>
  <c r="E66" i="160" s="1"/>
  <c r="B67" i="160"/>
  <c r="E67" i="160" s="1"/>
  <c r="B68" i="160"/>
  <c r="E68" i="160" s="1"/>
  <c r="B69" i="160"/>
  <c r="E69" i="160" s="1"/>
  <c r="B70" i="160"/>
  <c r="E70" i="160" s="1"/>
  <c r="B71" i="160"/>
  <c r="E71" i="160" s="1"/>
  <c r="B72" i="160"/>
  <c r="E72" i="160" s="1"/>
  <c r="B73" i="160"/>
  <c r="E73" i="160" s="1"/>
  <c r="B74" i="160"/>
  <c r="E74" i="160" s="1"/>
  <c r="B75" i="160"/>
  <c r="E75" i="160" s="1"/>
  <c r="B76" i="160"/>
  <c r="E76" i="160" s="1"/>
  <c r="B46" i="160"/>
  <c r="E46" i="160" s="1"/>
  <c r="B47" i="160"/>
  <c r="E47" i="160" s="1"/>
  <c r="B48" i="160"/>
  <c r="E48" i="160" s="1"/>
  <c r="B49" i="160"/>
  <c r="E49" i="160" s="1"/>
  <c r="B50" i="160"/>
  <c r="E50" i="160" s="1"/>
  <c r="B51" i="160"/>
  <c r="E51" i="160" s="1"/>
  <c r="B52" i="160"/>
  <c r="E52" i="160" s="1"/>
  <c r="B53" i="160"/>
  <c r="E53" i="160" s="1"/>
  <c r="B54" i="160"/>
  <c r="E54" i="160" s="1"/>
  <c r="B55" i="160"/>
  <c r="E55" i="160" s="1"/>
  <c r="B56" i="160"/>
  <c r="E56" i="160" s="1"/>
  <c r="B57" i="160"/>
  <c r="E57" i="160" s="1"/>
  <c r="B58" i="160"/>
  <c r="E58" i="160" s="1"/>
  <c r="B59" i="160"/>
  <c r="E59" i="160" s="1"/>
  <c r="B60" i="160"/>
  <c r="E60" i="160" s="1"/>
  <c r="B61" i="160"/>
  <c r="E61" i="160" s="1"/>
  <c r="B62" i="160"/>
  <c r="E62" i="160" s="1"/>
  <c r="B63" i="160"/>
  <c r="E63" i="160" s="1"/>
  <c r="B64" i="160"/>
  <c r="E64" i="160" s="1"/>
  <c r="B65" i="160"/>
  <c r="E65" i="160" s="1"/>
  <c r="B11" i="160"/>
  <c r="E11" i="160" s="1"/>
  <c r="B12" i="160"/>
  <c r="E12" i="160" s="1"/>
  <c r="B13" i="160"/>
  <c r="E13" i="160" s="1"/>
  <c r="B14" i="160"/>
  <c r="E14" i="160" s="1"/>
  <c r="B15" i="160"/>
  <c r="E15" i="160" s="1"/>
  <c r="B16" i="160"/>
  <c r="E16" i="160" s="1"/>
  <c r="B17" i="160"/>
  <c r="E17" i="160" s="1"/>
  <c r="B18" i="160"/>
  <c r="E18" i="160" s="1"/>
  <c r="B19" i="160"/>
  <c r="B20" i="160"/>
  <c r="E20" i="160" s="1"/>
  <c r="B21" i="160"/>
  <c r="E21" i="160" s="1"/>
  <c r="B22" i="160"/>
  <c r="E22" i="160" s="1"/>
  <c r="B23" i="160"/>
  <c r="E23" i="160" s="1"/>
  <c r="B24" i="160"/>
  <c r="E24" i="160" s="1"/>
  <c r="B25" i="160"/>
  <c r="E25" i="160" s="1"/>
  <c r="B26" i="160"/>
  <c r="E26" i="160" s="1"/>
  <c r="B27" i="160"/>
  <c r="E27" i="160" s="1"/>
  <c r="B28" i="160"/>
  <c r="B29" i="160"/>
  <c r="B30" i="160"/>
  <c r="E30" i="160" s="1"/>
  <c r="B31" i="160"/>
  <c r="E31" i="160" s="1"/>
  <c r="B32" i="160"/>
  <c r="E32" i="160" s="1"/>
  <c r="B33" i="160"/>
  <c r="E33" i="160" s="1"/>
  <c r="B34" i="160"/>
  <c r="E34" i="160" s="1"/>
  <c r="B35" i="160"/>
  <c r="B36" i="160"/>
  <c r="B37" i="160"/>
  <c r="B38" i="160"/>
  <c r="E38" i="160" s="1"/>
  <c r="B39" i="160"/>
  <c r="E39" i="160" s="1"/>
  <c r="B40" i="160"/>
  <c r="E40" i="160" s="1"/>
  <c r="B41" i="160"/>
  <c r="E41" i="160" s="1"/>
  <c r="B42" i="160"/>
  <c r="E42" i="160" s="1"/>
  <c r="B43" i="160"/>
  <c r="E43" i="160" s="1"/>
  <c r="B44" i="160"/>
  <c r="B45" i="160"/>
  <c r="E45" i="160" s="1"/>
  <c r="C2" i="161"/>
  <c r="C1" i="161"/>
  <c r="E44" i="160"/>
  <c r="E37" i="160"/>
  <c r="E36" i="160"/>
  <c r="E35" i="160"/>
  <c r="E29" i="160"/>
  <c r="E28" i="160"/>
  <c r="E19" i="160"/>
  <c r="B10" i="160"/>
  <c r="E10" i="160" s="1"/>
  <c r="E9" i="160"/>
  <c r="B9" i="160"/>
  <c r="C7" i="160" s="1"/>
  <c r="E7" i="160" s="1"/>
  <c r="E8" i="160"/>
  <c r="E6" i="160"/>
  <c r="E5" i="160"/>
  <c r="E4" i="160"/>
  <c r="E3" i="160"/>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L8" i="159"/>
  <c r="C36"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tc={18806AE1-5A21-44E9-9F06-22C8E2954874}</author>
    <author>tc={C4499273-60D5-479F-9FDB-FC0A49B44300}</author>
  </authors>
  <commentList>
    <comment ref="A10" authorId="0"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1"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tc={554B81CC-74C7-43E5-83FA-81470E9DE750}</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23" authorId="2"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<sst xmlns="http://schemas.openxmlformats.org/spreadsheetml/2006/main" count="6949" uniqueCount="2335">
  <si>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</si>
  <si>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</si>
  <si>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</si>
  <si>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</si>
  <si>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</si>
  <si>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</si>
  <si>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</si>
  <si>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</si>
  <si>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</si>
  <si>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</si>
  <si>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</si>
  <si>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</si>
  <si>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</si>
  <si>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</si>
  <si>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</si>
  <si>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</si>
  <si>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</si>
  <si>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</si>
  <si>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</si>
  <si>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</si>
  <si>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</si>
  <si>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</si>
  <si>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</si>
  <si>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</si>
  <si>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</si>
  <si>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</si>
  <si>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</si>
  <si>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</si>
  <si>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</si>
  <si>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</si>
  <si>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</si>
  <si>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</si>
  <si>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</si>
  <si>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</si>
  <si>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</si>
  <si>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</si>
  <si>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</si>
  <si>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</si>
  <si>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</si>
  <si>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</si>
  <si>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</si>
  <si>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</si>
  <si>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</si>
  <si>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</si>
  <si>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</si>
  <si>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</si>
  <si>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</si>
  <si>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</si>
  <si>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</si>
  <si>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</si>
  <si>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</si>
  <si>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</si>
  <si>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</si>
  <si>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</si>
  <si>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</si>
  <si>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</si>
  <si>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</si>
  <si>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</si>
  <si>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</si>
  <si>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</si>
  <si>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</si>
  <si>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</si>
  <si>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</si>
  <si>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</si>
  <si>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</si>
  <si>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</si>
  <si>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</si>
  <si>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</si>
  <si>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</si>
  <si>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</si>
  <si>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</si>
  <si>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</si>
  <si>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</si>
  <si>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</si>
  <si>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</si>
  <si>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</si>
  <si>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</si>
  <si>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</si>
  <si>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</si>
  <si>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</si>
  <si>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</si>
  <si>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</si>
  <si>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</si>
  <si>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</si>
  <si>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</si>
  <si>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</si>
  <si>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</si>
  <si>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</si>
  <si>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</si>
  <si>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</si>
  <si>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</si>
  <si>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</si>
  <si>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</si>
  <si>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</si>
  <si>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</si>
  <si>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</si>
  <si>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</si>
  <si>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</si>
  <si>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</si>
  <si>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</si>
  <si>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</si>
  <si>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</si>
  <si>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</si>
  <si>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</si>
  <si>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</si>
  <si>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</si>
  <si>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</si>
  <si>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</si>
  <si>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</si>
  <si>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</si>
  <si>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</si>
  <si>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</si>
  <si>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</si>
  <si>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</si>
  <si>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</si>
  <si>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</si>
  <si>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</si>
  <si>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</si>
  <si>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</si>
  <si>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</si>
  <si>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</si>
  <si>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</si>
  <si>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</si>
  <si>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</si>
  <si>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</si>
  <si>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</si>
  <si>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</si>
  <si>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</si>
  <si>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</si>
  <si>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</si>
  <si>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</si>
  <si>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</si>
  <si>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</si>
  <si>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</si>
  <si>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</si>
  <si>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</si>
  <si>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</si>
  <si>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</si>
  <si>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</si>
  <si>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</si>
  <si>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</si>
  <si>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</si>
  <si>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</si>
  <si>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</si>
  <si>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</si>
  <si>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</si>
  <si>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</si>
  <si>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</si>
  <si>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</si>
  <si>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</si>
  <si>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</si>
  <si>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</si>
  <si>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</si>
  <si>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</si>
  <si>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</si>
  <si>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</si>
  <si>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</si>
  <si>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</si>
  <si>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</si>
  <si>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</si>
  <si>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</si>
  <si>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</si>
  <si>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</si>
  <si>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</si>
  <si>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</si>
  <si>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</si>
  <si>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</si>
  <si>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</si>
  <si>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</si>
  <si>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</si>
  <si>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</si>
  <si>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</si>
  <si>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</si>
  <si>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</si>
  <si>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</si>
  <si>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</si>
  <si>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</si>
  <si>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</si>
  <si>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</si>
  <si>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</si>
  <si>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</si>
  <si>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</si>
  <si>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</si>
  <si>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</si>
  <si>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</si>
  <si>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</si>
  <si>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</si>
  <si>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</si>
  <si>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</si>
  <si>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</si>
  <si>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</si>
  <si>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</si>
  <si>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</si>
  <si>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</si>
  <si>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</si>
  <si>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</si>
  <si>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</si>
  <si>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</si>
  <si>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</si>
  <si>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</si>
  <si>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</si>
  <si>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</si>
  <si>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</si>
  <si>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</si>
  <si>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</si>
  <si>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</si>
  <si>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</si>
  <si>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</si>
  <si>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</si>
  <si>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</si>
  <si>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</si>
  <si>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</si>
  <si>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</si>
  <si>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</si>
  <si>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</si>
  <si>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</si>
  <si>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</si>
  <si>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</si>
  <si>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</si>
  <si>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</si>
  <si>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</si>
  <si>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</si>
  <si>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</si>
  <si>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</si>
  <si>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</si>
  <si>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</si>
  <si>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</si>
  <si>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</si>
  <si>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</si>
  <si>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</si>
  <si>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</si>
  <si>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</si>
  <si>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</si>
  <si>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</si>
  <si>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</si>
  <si>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</si>
  <si>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</si>
  <si>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</si>
  <si>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</si>
  <si>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</si>
  <si>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</si>
  <si>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</si>
  <si>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</si>
  <si>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</si>
  <si>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</si>
  <si>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</si>
  <si>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</si>
  <si>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</si>
  <si>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</si>
  <si>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</si>
  <si>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</si>
  <si>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</si>
  <si>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</si>
  <si>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</si>
  <si>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</si>
  <si>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</si>
  <si>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</si>
  <si>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</si>
  <si>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</si>
  <si>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</si>
  <si>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</si>
  <si>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</si>
  <si>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</si>
  <si>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</si>
  <si>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</si>
  <si>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</si>
  <si>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</si>
  <si>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</si>
  <si>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</si>
  <si>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</si>
  <si>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</si>
  <si>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</si>
  <si>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</si>
  <si>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</si>
  <si>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</si>
  <si>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</si>
  <si>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</si>
  <si>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</si>
  <si>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</si>
  <si>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</si>
  <si>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</si>
  <si>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</si>
  <si>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</si>
  <si>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</si>
  <si>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</si>
  <si>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</si>
  <si>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</si>
  <si>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</si>
  <si>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</si>
  <si>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</si>
  <si>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</si>
  <si>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</si>
  <si>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</si>
  <si>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</si>
  <si>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</si>
  <si>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</si>
  <si>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</si>
  <si>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</si>
  <si>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</si>
  <si>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</si>
  <si>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</si>
  <si>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</si>
  <si>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</si>
  <si>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</si>
  <si>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</si>
  <si>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</si>
  <si>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</si>
  <si>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</si>
  <si>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</si>
  <si>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</si>
  <si>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</si>
  <si>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</si>
  <si>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</si>
  <si>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</si>
  <si>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</si>
  <si>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</si>
  <si>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</si>
  <si>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</si>
  <si>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</si>
  <si>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</si>
  <si>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</si>
  <si>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</si>
  <si>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</si>
  <si>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</si>
  <si>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</si>
  <si>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</si>
  <si>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</si>
  <si>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</si>
  <si>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</si>
  <si>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</si>
  <si>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</si>
  <si>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</si>
  <si>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</si>
  <si>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</si>
  <si>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</si>
  <si>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</si>
  <si>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</si>
  <si>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</si>
  <si>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</si>
  <si>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</si>
  <si>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</si>
  <si>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</si>
  <si>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</si>
  <si>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</si>
  <si>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</si>
  <si>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</si>
  <si>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</si>
  <si>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</si>
  <si>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</si>
  <si>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</si>
  <si>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</si>
  <si>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</si>
  <si>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</si>
  <si>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</si>
  <si>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</si>
  <si>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</si>
  <si>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</si>
  <si>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</si>
  <si>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</si>
  <si>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</si>
  <si>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</si>
  <si>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</si>
  <si>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</si>
  <si>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</si>
  <si>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</si>
  <si>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</si>
  <si>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</si>
  <si>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</si>
  <si>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</si>
  <si>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</si>
  <si>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</si>
  <si>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</si>
  <si>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</si>
  <si>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</si>
  <si>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</si>
  <si>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</si>
  <si>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</si>
  <si>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</si>
  <si>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</si>
  <si>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</si>
  <si>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</si>
  <si>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</si>
  <si>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</si>
  <si>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</si>
  <si>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</si>
  <si>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</si>
  <si>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</si>
  <si>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</si>
  <si>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</si>
  <si>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</si>
  <si>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</si>
  <si>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</si>
  <si>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</si>
  <si>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</si>
  <si>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</si>
  <si>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</si>
  <si>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</si>
  <si>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</si>
  <si>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</si>
  <si>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</si>
  <si>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</si>
  <si>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</si>
  <si>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</si>
  <si>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</si>
  <si>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</si>
  <si>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</si>
  <si>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</si>
  <si>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</si>
  <si>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</si>
  <si>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</si>
  <si>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</si>
  <si>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</si>
  <si>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</si>
  <si>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</si>
  <si>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</si>
  <si>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</si>
  <si>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</si>
  <si>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</si>
  <si>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</si>
  <si>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</si>
  <si>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</si>
  <si>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</si>
  <si>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</si>
  <si>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</si>
  <si>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</si>
  <si>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</si>
  <si>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</si>
  <si>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</si>
  <si>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</si>
  <si>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</si>
  <si>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</si>
  <si>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</si>
  <si>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</si>
  <si>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</si>
  <si>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</si>
  <si>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</si>
  <si>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</si>
  <si>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</si>
  <si>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</si>
  <si>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</si>
  <si>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</si>
  <si>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</si>
  <si>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</si>
  <si>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</si>
  <si>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</si>
  <si>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</si>
  <si>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</si>
  <si>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</si>
  <si>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</si>
  <si>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</si>
  <si>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</si>
  <si>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</si>
  <si>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</si>
  <si>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</si>
  <si>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</si>
  <si>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</si>
  <si>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</si>
  <si>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</si>
  <si>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</si>
  <si>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</si>
  <si>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</si>
  <si>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</si>
  <si>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</si>
  <si>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</si>
  <si>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</si>
  <si>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</si>
  <si>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</si>
  <si>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</si>
  <si>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</si>
  <si>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</si>
  <si>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</si>
  <si>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</si>
  <si>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</si>
  <si>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</si>
  <si>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</si>
  <si>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</si>
  <si>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</si>
  <si>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</si>
  <si>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</si>
  <si>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</si>
  <si>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</si>
  <si>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</si>
  <si>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</si>
  <si>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</si>
  <si>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</si>
  <si>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</si>
  <si>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</si>
  <si>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</si>
  <si>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</si>
  <si>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</si>
  <si>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</si>
  <si>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</si>
  <si>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</si>
  <si>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</si>
  <si>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</si>
  <si>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</si>
  <si>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</si>
  <si>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</si>
  <si>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</si>
  <si>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</si>
  <si>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</si>
  <si>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</si>
  <si>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</si>
  <si>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</si>
  <si>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</si>
  <si>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</si>
  <si>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</si>
  <si>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</si>
  <si>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</si>
  <si>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</si>
  <si>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</si>
  <si>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</si>
  <si>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</si>
  <si>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</si>
  <si>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</si>
  <si>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</si>
  <si>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</si>
  <si>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</si>
  <si>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</si>
  <si>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</si>
  <si>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</si>
  <si>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</si>
  <si>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</si>
  <si>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</si>
  <si>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</si>
  <si>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</si>
  <si>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</si>
  <si>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</si>
  <si>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</si>
  <si>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</si>
  <si>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</si>
  <si>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</si>
  <si>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</si>
  <si>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</si>
  <si>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</si>
  <si>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</si>
  <si>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</si>
  <si>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</si>
  <si>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</si>
  <si>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</si>
  <si>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</si>
  <si>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</si>
  <si>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</si>
  <si>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</si>
  <si>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</si>
  <si>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</si>
  <si>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</si>
  <si>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</si>
  <si>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</si>
  <si>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</si>
  <si>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</si>
  <si>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</si>
  <si>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</si>
  <si>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</si>
  <si>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</si>
  <si>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</si>
  <si>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</si>
  <si>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</si>
  <si>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</si>
  <si>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</si>
  <si>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</si>
  <si>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</si>
  <si>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</si>
  <si>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</si>
  <si>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</si>
  <si>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</si>
  <si>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</si>
  <si>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</si>
  <si>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</si>
  <si>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</si>
  <si>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</si>
  <si>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</si>
  <si>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</si>
  <si>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</si>
  <si>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</si>
  <si>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</si>
  <si>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</si>
  <si>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</si>
  <si>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</si>
  <si>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</si>
  <si>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</si>
  <si>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</si>
  <si>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</si>
  <si>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</si>
  <si>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</si>
  <si>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</si>
  <si>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</si>
  <si>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</si>
  <si>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</si>
  <si>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</si>
  <si>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</si>
  <si>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</si>
  <si>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</si>
  <si>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</si>
  <si>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</si>
  <si>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</si>
  <si>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</si>
  <si>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</si>
  <si>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</si>
  <si>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</si>
  <si>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</si>
  <si>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</si>
  <si>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</si>
  <si>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</si>
  <si>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</si>
  <si>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</si>
  <si>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</si>
  <si>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</si>
  <si>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</si>
  <si>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</si>
  <si>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</si>
  <si>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</si>
  <si>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</si>
  <si>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</si>
  <si>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</si>
  <si>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</si>
  <si>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</si>
  <si>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</si>
  <si>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</si>
  <si>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</si>
  <si>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</si>
  <si>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</si>
  <si>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</si>
  <si>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</si>
  <si>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</si>
  <si>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</si>
  <si>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</si>
  <si>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</si>
  <si>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</si>
  <si>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</si>
  <si>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</si>
  <si>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</si>
  <si>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</si>
  <si>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</si>
  <si>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</si>
  <si>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</si>
  <si>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</si>
  <si>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</si>
  <si>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</si>
  <si>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</si>
  <si>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</si>
  <si>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</si>
  <si>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</si>
  <si>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</si>
  <si>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</si>
  <si>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</si>
  <si>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</si>
  <si>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</si>
  <si>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</si>
  <si>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</si>
  <si>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</si>
  <si>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</si>
  <si>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</si>
  <si>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</si>
  <si>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</si>
  <si>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</si>
  <si>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</si>
  <si>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</si>
  <si>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</si>
  <si>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</si>
  <si>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</si>
  <si>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</si>
  <si>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</si>
  <si>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</si>
  <si>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</si>
  <si>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</si>
  <si>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</si>
  <si>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</si>
  <si>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</si>
  <si>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</si>
  <si>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</si>
  <si>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</si>
  <si>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</si>
  <si>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</si>
  <si>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</si>
  <si>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</si>
  <si>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</si>
  <si>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</si>
  <si>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</si>
  <si>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</si>
  <si>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</si>
  <si>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</si>
  <si>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</si>
  <si>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</si>
  <si>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</si>
  <si>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</si>
  <si>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</si>
  <si>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</si>
  <si>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</si>
  <si>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</si>
  <si>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</si>
  <si>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</si>
  <si>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</si>
  <si>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</si>
  <si>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</si>
  <si>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</si>
  <si>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</si>
  <si>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</si>
  <si>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</si>
  <si>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</si>
  <si>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</si>
  <si>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</si>
  <si>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</si>
  <si>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</si>
  <si>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</si>
  <si>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</si>
  <si>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</si>
  <si>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</si>
  <si>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</si>
  <si>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</si>
  <si>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</si>
  <si>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</si>
  <si>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</si>
  <si>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</si>
  <si>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</si>
  <si>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</si>
  <si>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</si>
  <si>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</si>
  <si>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</si>
  <si>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</si>
  <si>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</si>
  <si>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</si>
  <si>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</si>
  <si>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</si>
  <si>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</si>
  <si>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</si>
  <si>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</si>
  <si>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</si>
  <si>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</si>
  <si>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</si>
  <si>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</si>
  <si>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</si>
  <si>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</si>
  <si>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</si>
  <si>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</si>
  <si>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</si>
  <si>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</si>
  <si>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</si>
  <si>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</si>
  <si>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</si>
  <si>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</si>
  <si>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</si>
  <si>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</si>
  <si>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</si>
  <si>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</si>
  <si>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</si>
  <si>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</si>
  <si>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</si>
  <si>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</si>
  <si>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</si>
  <si>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</si>
  <si>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</si>
  <si>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</si>
  <si>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</si>
  <si>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</si>
  <si>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</si>
  <si>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</si>
  <si>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</si>
  <si>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</si>
  <si>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</si>
  <si>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</si>
  <si>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</si>
  <si>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</si>
  <si>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</si>
  <si>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</si>
  <si>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</si>
  <si>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</si>
  <si>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</si>
  <si>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</si>
  <si>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</si>
  <si>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</si>
  <si>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</si>
  <si>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</si>
  <si>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</si>
  <si>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</si>
  <si>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</si>
  <si>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</si>
  <si>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</si>
  <si>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</si>
  <si>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</si>
  <si>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</si>
  <si>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</si>
  <si>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</si>
  <si>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</si>
  <si>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</si>
  <si>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</si>
  <si>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</si>
  <si>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</si>
  <si>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</si>
  <si>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</si>
  <si>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</si>
  <si>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</si>
  <si>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</si>
  <si>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</si>
  <si>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</si>
  <si>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</si>
  <si>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</si>
  <si>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</si>
  <si>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</si>
  <si>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</si>
  <si>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</si>
  <si>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</si>
  <si>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</si>
  <si>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</si>
  <si>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</si>
  <si>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</si>
  <si>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</si>
  <si>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</si>
  <si>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</si>
  <si>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</si>
  <si>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</si>
  <si>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</si>
  <si>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</si>
  <si>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</si>
  <si>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</si>
  <si>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</si>
  <si>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</si>
  <si>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</si>
  <si>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</si>
  <si>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</si>
  <si>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</si>
  <si>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</si>
  <si>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</si>
  <si>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</si>
  <si>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</si>
  <si>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</si>
  <si>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</si>
  <si>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</si>
  <si>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</si>
  <si>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</si>
  <si>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</si>
  <si>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</si>
  <si>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</si>
  <si>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</si>
  <si>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</si>
  <si>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</si>
  <si>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</si>
  <si>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</si>
  <si>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</si>
  <si>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</si>
  <si>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</si>
  <si>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</si>
  <si>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</si>
  <si>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</si>
  <si>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</si>
  <si>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</si>
  <si>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</si>
  <si>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</si>
  <si>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</si>
  <si>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</si>
  <si>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</si>
  <si>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</si>
  <si>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</si>
  <si>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</si>
  <si>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</si>
  <si>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</si>
  <si>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</si>
  <si>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</si>
  <si>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</si>
  <si>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</si>
  <si>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</si>
  <si>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</si>
  <si>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</si>
  <si>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</si>
  <si>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</si>
  <si>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</si>
  <si>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</si>
  <si>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</si>
  <si>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</si>
  <si>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</si>
  <si>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</si>
  <si>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</si>
  <si>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</si>
  <si>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</si>
  <si>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</si>
  <si>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</si>
  <si>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</si>
  <si>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</si>
  <si>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</si>
  <si>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</si>
  <si>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</si>
  <si>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</si>
  <si>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</si>
  <si>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</si>
  <si>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</si>
  <si>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</si>
  <si>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</si>
  <si>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</si>
  <si>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</si>
  <si>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</si>
  <si>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</si>
  <si>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</si>
  <si>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</si>
  <si>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</si>
  <si>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</si>
  <si>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</si>
  <si>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</si>
  <si>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</si>
  <si>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</si>
  <si>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</si>
  <si>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</si>
  <si>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</si>
  <si>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</si>
  <si>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</si>
  <si>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</si>
  <si>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</si>
  <si>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</si>
  <si>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</si>
  <si>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</si>
  <si>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</si>
  <si>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</si>
  <si>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</si>
  <si>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</si>
  <si>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</si>
  <si>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</si>
  <si>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</si>
  <si>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</si>
  <si>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</si>
  <si>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</si>
  <si>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</si>
  <si>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</si>
  <si>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</si>
  <si>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</si>
  <si>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</si>
  <si>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</si>
  <si>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</si>
  <si>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</si>
  <si>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</si>
  <si>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</si>
  <si>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</si>
  <si>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</si>
  <si>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</si>
  <si>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</si>
  <si>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</si>
  <si>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</si>
  <si>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</si>
  <si>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</si>
  <si>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</si>
  <si>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</si>
  <si>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</si>
  <si>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</si>
  <si>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</si>
  <si>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</si>
  <si>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</si>
  <si>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</si>
  <si>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</si>
  <si>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</si>
  <si>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</si>
  <si>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</si>
  <si>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</si>
  <si>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</si>
  <si>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</si>
  <si>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</si>
  <si>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</si>
  <si>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</si>
  <si>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</si>
  <si>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</si>
  <si>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</si>
  <si>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</si>
  <si>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</si>
  <si>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</si>
  <si>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</si>
  <si>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</si>
  <si>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</si>
  <si>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</si>
  <si>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</si>
  <si>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</si>
  <si>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</si>
  <si>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</si>
  <si>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</si>
  <si>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</si>
  <si>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</si>
  <si>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</si>
  <si>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</si>
  <si>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</si>
  <si>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</si>
  <si>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</si>
  <si>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</si>
  <si>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</si>
  <si>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</si>
  <si>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</si>
  <si>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</si>
  <si>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</si>
  <si>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</si>
  <si>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</si>
  <si>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</si>
  <si>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</si>
  <si>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</si>
  <si>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</si>
  <si>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</si>
  <si>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</si>
  <si>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</si>
  <si>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</si>
  <si>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</si>
  <si>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</si>
  <si>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</si>
  <si>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</si>
  <si>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</si>
  <si>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</si>
  <si>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</si>
  <si>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</si>
  <si>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</si>
  <si>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</si>
  <si>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</si>
  <si>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</si>
  <si>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</si>
  <si>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</si>
  <si>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</si>
  <si>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</si>
  <si>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</si>
  <si>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</si>
  <si>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</si>
  <si>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</si>
  <si>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</si>
  <si>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</si>
  <si>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</si>
  <si>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</si>
  <si>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</si>
  <si>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</si>
  <si>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</si>
  <si>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</si>
  <si>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</si>
  <si>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</si>
  <si>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</si>
  <si>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</si>
  <si>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</si>
  <si>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</si>
  <si>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</si>
  <si>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</si>
  <si>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</si>
  <si>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</si>
  <si>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</si>
  <si>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</si>
  <si>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</si>
  <si>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</si>
  <si>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</si>
  <si>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</si>
  <si>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</si>
  <si>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</si>
  <si>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</si>
  <si>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</si>
  <si>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</si>
  <si>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</si>
  <si>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</si>
  <si>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</si>
  <si>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</si>
  <si>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</si>
  <si>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</si>
  <si>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</si>
  <si>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</si>
  <si>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</si>
  <si>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</si>
  <si>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</si>
  <si>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</si>
  <si>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</si>
  <si>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</si>
  <si>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</si>
  <si>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</si>
  <si>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</si>
  <si>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</si>
  <si>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</si>
  <si>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</si>
  <si>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</si>
  <si>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</si>
  <si>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</si>
  <si>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</si>
  <si>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</si>
  <si>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</si>
  <si>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</si>
  <si>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</si>
  <si>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</si>
  <si>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</si>
  <si>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</si>
  <si>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</si>
  <si>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</si>
  <si>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</si>
  <si>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</si>
  <si>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</si>
  <si>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</si>
  <si>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</si>
  <si>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</si>
  <si>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</si>
  <si>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</si>
  <si>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</si>
  <si>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</si>
  <si>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</si>
  <si>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</si>
  <si>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</si>
  <si>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</si>
  <si>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</si>
  <si>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</si>
  <si>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</si>
  <si>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</si>
  <si>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</si>
  <si>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</si>
  <si>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</si>
  <si>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</si>
  <si>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</si>
  <si>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</si>
  <si>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</si>
  <si>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</si>
  <si>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</si>
  <si>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</si>
  <si>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</si>
  <si>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</si>
  <si>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</si>
  <si>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</si>
  <si>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</si>
  <si>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</si>
  <si>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</si>
  <si>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</si>
  <si>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</si>
  <si>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</si>
  <si>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</si>
  <si>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</si>
  <si>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</si>
  <si>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</si>
  <si>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</si>
  <si>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</si>
  <si>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</si>
  <si>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</si>
  <si>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</si>
  <si>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</si>
  <si>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</si>
  <si>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</si>
  <si>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</si>
  <si>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</si>
  <si>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</si>
  <si>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</si>
  <si>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</si>
  <si>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</si>
  <si>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</si>
  <si>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</si>
  <si>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</si>
  <si>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</si>
  <si>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</si>
  <si>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</si>
  <si>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</si>
  <si>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</si>
  <si>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</si>
  <si>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</si>
  <si>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</si>
  <si>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</si>
  <si>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</si>
  <si>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</si>
  <si>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</si>
  <si>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</si>
  <si>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</si>
  <si>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</si>
  <si>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</si>
  <si>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</si>
  <si>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</si>
  <si>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</si>
  <si>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</si>
  <si>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</si>
  <si>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</si>
  <si>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</si>
  <si>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</si>
  <si>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</si>
  <si>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</si>
  <si>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</si>
  <si>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</si>
  <si>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</si>
  <si>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</si>
  <si>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</si>
  <si>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</si>
  <si>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</si>
  <si>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</si>
  <si>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</si>
  <si>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</si>
  <si>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</si>
  <si>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</si>
  <si>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</si>
  <si>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</si>
  <si>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</si>
  <si>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</si>
  <si>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</si>
  <si>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</si>
  <si>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</si>
  <si>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</si>
  <si>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</si>
  <si>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</si>
  <si>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</si>
  <si>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</si>
  <si>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</si>
  <si>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</si>
  <si>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</si>
  <si>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</si>
  <si>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</si>
  <si>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</si>
  <si>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</si>
  <si>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</si>
  <si>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</si>
  <si>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</si>
  <si>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</si>
  <si>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</si>
  <si>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</si>
  <si>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</si>
  <si>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</si>
  <si>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</si>
  <si>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</si>
  <si>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</si>
  <si>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</si>
  <si>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</si>
  <si>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</si>
  <si>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</si>
  <si>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</si>
  <si>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</si>
  <si>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</si>
  <si>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</si>
  <si>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</si>
  <si>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</si>
  <si>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</si>
  <si>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</si>
  <si>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</si>
  <si>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</si>
  <si>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</si>
  <si>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</si>
  <si>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</si>
  <si>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</si>
  <si>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</si>
  <si>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</si>
  <si>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</si>
  <si>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</si>
  <si>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</si>
  <si>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</si>
  <si>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</si>
  <si>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</si>
  <si>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</si>
  <si>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</si>
  <si>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</si>
  <si>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</si>
  <si>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</si>
  <si>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</si>
  <si>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</si>
  <si>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</si>
  <si>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</si>
  <si>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</si>
  <si>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</si>
  <si>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</si>
  <si>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</si>
  <si>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</si>
  <si>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</si>
  <si>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</si>
  <si>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</si>
  <si>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</si>
  <si>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</si>
  <si>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</si>
  <si>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</si>
  <si>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</si>
  <si>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</si>
  <si>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</si>
  <si>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</si>
  <si>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</si>
  <si>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</si>
  <si>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</si>
  <si>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</si>
  <si>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</si>
  <si>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</si>
  <si>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</si>
  <si>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</si>
  <si>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</si>
  <si>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</si>
  <si>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</si>
  <si>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</si>
  <si>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</si>
  <si>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</si>
  <si>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</si>
  <si>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</si>
  <si>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</si>
  <si>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</si>
  <si>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</si>
  <si>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</si>
  <si>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</si>
  <si>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</si>
  <si>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</si>
  <si>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</si>
  <si>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</si>
  <si>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</si>
  <si>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</si>
  <si>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</si>
  <si>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</si>
  <si>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</si>
  <si>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</si>
  <si>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</si>
  <si>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</si>
  <si>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</si>
  <si>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</si>
  <si>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</si>
  <si>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</si>
  <si>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</si>
  <si>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</si>
  <si>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</si>
  <si>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</si>
  <si>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</si>
  <si>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</si>
  <si>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</si>
  <si>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</si>
  <si>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</si>
  <si>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</si>
  <si>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</si>
  <si>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</si>
  <si>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</si>
  <si>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</si>
  <si>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</si>
  <si>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</si>
  <si>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</si>
  <si>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</si>
  <si>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</si>
  <si>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</si>
  <si>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</si>
  <si>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</si>
  <si>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</si>
  <si>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</si>
  <si>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</si>
  <si>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</si>
  <si>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</si>
  <si>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</si>
  <si>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</si>
  <si>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</si>
  <si>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</si>
  <si>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</si>
  <si>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</si>
  <si>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</si>
  <si>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</si>
  <si>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</si>
  <si>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</si>
  <si>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</si>
  <si>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</si>
  <si>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</si>
  <si>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</si>
  <si>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</si>
  <si>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</si>
  <si>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</si>
  <si>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</si>
  <si>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</si>
  <si>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</si>
  <si>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</si>
  <si>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</si>
  <si>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</si>
  <si>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</si>
  <si>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</si>
  <si>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</si>
  <si>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</si>
  <si>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</si>
  <si>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</si>
  <si>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</si>
  <si>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</si>
  <si>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</si>
  <si>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</si>
  <si>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</si>
  <si>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</si>
  <si>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</si>
  <si>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</si>
  <si>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</si>
  <si>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</si>
  <si>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</si>
  <si>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</si>
  <si>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</si>
  <si>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</si>
  <si>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</si>
  <si>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</si>
  <si>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</si>
  <si>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</si>
  <si>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</si>
  <si>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</si>
  <si>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</si>
  <si>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</si>
  <si>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</si>
  <si>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</si>
  <si>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</si>
  <si>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</si>
  <si>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</si>
  <si>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</si>
  <si>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</si>
  <si>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</si>
  <si>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</si>
  <si>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</si>
  <si>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</si>
  <si>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</si>
  <si>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</si>
  <si>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</si>
  <si>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</si>
  <si>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</si>
  <si>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</si>
  <si>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</si>
  <si>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</si>
  <si>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</si>
  <si>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</si>
  <si>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</si>
  <si>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</si>
  <si>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</si>
  <si>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</si>
  <si>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</si>
  <si>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</si>
  <si>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</si>
  <si>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</si>
  <si>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</si>
  <si>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</si>
  <si>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</si>
  <si>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</si>
  <si>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</si>
  <si>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</si>
  <si>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</si>
  <si>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</si>
  <si>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</si>
  <si>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</si>
  <si>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</si>
  <si>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</si>
  <si>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</si>
  <si>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</si>
  <si>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</si>
  <si>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</si>
  <si>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</si>
  <si>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</si>
  <si>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</si>
  <si>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</si>
  <si>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</si>
  <si>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</si>
  <si>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</si>
  <si>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</si>
  <si>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</si>
  <si>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</si>
  <si>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</si>
  <si>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</si>
  <si>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</si>
  <si>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</si>
  <si>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</si>
  <si>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</si>
  <si>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</si>
  <si>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</si>
  <si>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</si>
  <si>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</si>
  <si>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</si>
  <si>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</si>
  <si>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</si>
  <si>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</si>
  <si>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</si>
  <si>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</si>
  <si>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</si>
  <si>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</si>
  <si>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</si>
  <si>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</si>
  <si>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</si>
  <si>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</si>
  <si>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</si>
  <si>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</si>
  <si>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</si>
  <si>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</si>
  <si>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</si>
  <si>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</si>
  <si>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</si>
  <si>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</si>
  <si>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</si>
  <si>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</si>
  <si>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</si>
  <si>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</si>
  <si>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</si>
  <si>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</si>
  <si>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</si>
  <si>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</si>
  <si>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</si>
  <si>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</si>
  <si>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</si>
  <si>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</si>
  <si>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</si>
  <si>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</si>
  <si>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</si>
  <si>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</si>
  <si>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</si>
  <si>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</si>
  <si>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</si>
  <si>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</si>
  <si>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</si>
  <si>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</si>
  <si>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</si>
  <si>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</si>
  <si>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</si>
  <si>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</si>
  <si>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</si>
  <si>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</si>
  <si>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</si>
  <si>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</si>
  <si>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</si>
  <si>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</si>
  <si>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</si>
  <si>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</si>
  <si>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</si>
  <si>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</si>
  <si>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</si>
  <si>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</si>
  <si>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</si>
  <si>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</si>
  <si>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</si>
  <si>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</si>
  <si>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</si>
  <si>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</si>
  <si>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</si>
  <si>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</si>
  <si>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</si>
  <si>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</si>
  <si>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</si>
  <si>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</si>
  <si>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</si>
  <si>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</si>
  <si>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</si>
  <si>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</si>
  <si>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</si>
  <si>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</si>
  <si>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</si>
  <si>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</si>
  <si>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</si>
  <si>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</si>
  <si>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</si>
  <si>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</si>
  <si>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</si>
  <si>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</si>
  <si>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</si>
  <si>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</si>
  <si>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</si>
  <si>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</si>
  <si>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</si>
  <si>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</si>
  <si>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</si>
  <si>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</si>
  <si>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</si>
  <si>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</si>
  <si>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</si>
  <si>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</si>
  <si>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</si>
  <si>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</si>
  <si>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</si>
  <si>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</si>
  <si>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</si>
  <si>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</si>
  <si>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</si>
  <si>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</si>
  <si>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</si>
  <si>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</si>
  <si>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</si>
  <si>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</si>
  <si>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</si>
  <si>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</si>
  <si>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</si>
  <si>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</si>
  <si>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</si>
  <si>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</si>
  <si>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</si>
  <si>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</si>
  <si>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</si>
  <si>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</si>
  <si>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</si>
  <si>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</si>
  <si>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</si>
  <si>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</si>
  <si>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</si>
  <si>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</si>
  <si>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</si>
  <si>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</si>
  <si>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</si>
  <si>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</si>
  <si>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</si>
  <si>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</si>
  <si>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</si>
  <si>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</si>
  <si>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</si>
  <si>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</si>
  <si>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</si>
  <si>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</si>
  <si>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</si>
  <si>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</si>
  <si>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</si>
  <si>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</si>
  <si>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</si>
  <si>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</si>
  <si>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</si>
  <si>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</si>
  <si>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</si>
  <si>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</si>
  <si>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</si>
  <si>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</si>
  <si>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</si>
  <si>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</si>
  <si>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</si>
  <si>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</si>
  <si>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</si>
  <si>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</si>
  <si>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</si>
  <si>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</si>
  <si>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</si>
  <si>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</si>
  <si>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</si>
  <si>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</si>
  <si>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</si>
  <si>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</si>
  <si>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</si>
  <si>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</si>
  <si>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</si>
  <si>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</si>
  <si>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</si>
  <si>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</si>
  <si>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</si>
  <si>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</si>
  <si>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</si>
  <si>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</si>
  <si>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</si>
  <si>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</si>
  <si>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</si>
  <si>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</si>
  <si>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</si>
  <si>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</si>
  <si>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</si>
  <si>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</si>
  <si>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</si>
  <si>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cT</t>
  </si>
  <si>
    <t>Specifies the clinical T</t>
  </si>
  <si>
    <t>cN</t>
  </si>
  <si>
    <t>Specifies the clinical N</t>
  </si>
  <si>
    <t>cM</t>
  </si>
  <si>
    <t>Specifies the clinical M</t>
  </si>
  <si>
    <t>Clinical staging</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</si>
  <si>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</si>
  <si>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</si>
  <si>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</si>
  <si>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</si>
  <si>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</si>
  <si>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</si>
  <si>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</si>
  <si>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</si>
  <si>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</si>
  <si>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</si>
  <si>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</si>
  <si>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</si>
  <si>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</si>
  <si>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</si>
  <si>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</si>
  <si>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</si>
  <si>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</si>
  <si>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</si>
  <si>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</si>
  <si>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</si>
  <si>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</si>
  <si>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</si>
  <si>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</si>
  <si>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</si>
  <si>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</si>
  <si>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</si>
  <si>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</si>
  <si>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</si>
  <si>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</si>
  <si>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</si>
  <si>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</si>
  <si>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I4RCStaging2Fhir</t>
  </si>
  <si>
    <t>Idea4RC Staging model to FHIR R4 Map</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</si>
  <si>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</si>
  <si>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</si>
  <si>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</si>
  <si>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</si>
  <si>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</si>
  <si>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</si>
  <si>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</si>
  <si>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</si>
  <si>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</si>
  <si>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</si>
  <si>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</si>
  <si>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</si>
  <si>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</si>
  <si>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</si>
  <si>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</si>
  <si>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</si>
  <si>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</si>
  <si>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</si>
  <si>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</si>
  <si>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</si>
  <si>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</si>
  <si>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</si>
  <si>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</si>
  <si>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</si>
  <si>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</si>
  <si>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</si>
  <si>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</si>
  <si>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</si>
  <si>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</si>
  <si>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</si>
  <si>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</si>
  <si>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</si>
  <si>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</si>
  <si>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</si>
  <si>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</si>
  <si>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</si>
  <si>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</si>
  <si>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</si>
  <si>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</si>
  <si>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</si>
  <si>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</si>
  <si>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</si>
  <si>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</si>
  <si>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</si>
  <si>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</si>
  <si>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</si>
  <si>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</si>
  <si>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</si>
  <si>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</si>
  <si>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</si>
  <si>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</si>
  <si>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</si>
  <si>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</si>
  <si>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</si>
  <si>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</si>
  <si>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</si>
  <si>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</si>
  <si>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</si>
  <si>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</si>
  <si>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</si>
  <si>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</si>
  <si>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</si>
  <si>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</si>
  <si>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</si>
  <si>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</si>
  <si>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</si>
  <si>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</si>
  <si>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</si>
  <si>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</si>
  <si>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</si>
  <si>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</si>
  <si>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</si>
  <si>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</si>
  <si>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</si>
  <si>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</si>
  <si>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</si>
  <si>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</si>
  <si>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</si>
  <si>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</si>
  <si>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</si>
  <si>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</si>
  <si>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</si>
  <si>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</si>
  <si>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</si>
  <si>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</si>
  <si>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</si>
  <si>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</si>
  <si>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</si>
  <si>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</si>
  <si>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</si>
  <si>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</si>
  <si>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</si>
  <si>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</si>
  <si>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</si>
  <si>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</si>
  <si>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</si>
  <si>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</si>
  <si>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</si>
  <si>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</si>
  <si>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</si>
  <si>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</si>
  <si>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</si>
  <si>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</si>
  <si>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</si>
  <si>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</si>
  <si>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</si>
  <si>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</si>
  <si>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</si>
  <si>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</si>
  <si>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</si>
  <si>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</si>
  <si>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</si>
  <si>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</si>
  <si>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</si>
  <si>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</si>
  <si>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</si>
  <si>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</si>
  <si>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</si>
  <si>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</si>
  <si>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</si>
  <si>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</si>
  <si>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</si>
  <si>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</si>
  <si>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</si>
  <si>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</si>
  <si>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</si>
  <si>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</si>
  <si>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</si>
  <si>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</si>
  <si>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</si>
  <si>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</si>
  <si>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</si>
  <si>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</si>
  <si>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</si>
  <si>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</si>
  <si>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</si>
  <si>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</si>
  <si>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</si>
  <si>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</si>
  <si>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</si>
  <si>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</si>
  <si>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</si>
  <si>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</si>
  <si>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</si>
  <si>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</si>
  <si>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</si>
  <si>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</si>
  <si>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</si>
  <si>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</si>
  <si>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</si>
  <si>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</si>
  <si>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</si>
  <si>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</si>
  <si>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</si>
  <si>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</si>
  <si>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</si>
  <si>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</si>
  <si>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</si>
  <si>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</si>
  <si>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</si>
  <si>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</si>
  <si>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</si>
  <si>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</si>
  <si>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</si>
  <si>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</si>
  <si>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</si>
  <si>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</si>
  <si>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</si>
  <si>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</si>
  <si>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</si>
  <si>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</si>
  <si>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</si>
  <si>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</si>
  <si>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</si>
  <si>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</si>
  <si>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</si>
  <si>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</si>
  <si>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</si>
  <si>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</si>
  <si>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</si>
  <si>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</si>
  <si>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</si>
  <si>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</si>
  <si>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</si>
  <si>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</si>
  <si>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</si>
  <si>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</si>
  <si>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</si>
  <si>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</si>
  <si>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</si>
  <si>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</si>
  <si>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</si>
  <si>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</si>
  <si>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</si>
  <si>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</si>
  <si>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</si>
  <si>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</si>
  <si>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</si>
  <si>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</si>
  <si>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</si>
  <si>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</si>
  <si>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</si>
  <si>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</si>
  <si>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</si>
  <si>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</si>
  <si>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</si>
  <si>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</si>
  <si>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</si>
  <si>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</si>
  <si>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</si>
  <si>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</si>
  <si>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</si>
  <si>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</si>
  <si>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</si>
  <si>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see above</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</si>
  <si>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</si>
  <si>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</si>
  <si>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</si>
  <si>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</si>
  <si>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</si>
  <si>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</si>
  <si>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</si>
  <si>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</si>
  <si>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</si>
  <si>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</si>
  <si>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</si>
  <si>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</si>
  <si>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</si>
  <si>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</si>
  <si>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</si>
  <si>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</si>
  <si>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</si>
  <si>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</si>
  <si>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</si>
  <si>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</si>
  <si>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</si>
  <si>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</si>
  <si>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</si>
  <si>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</si>
  <si>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</si>
  <si>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</si>
  <si>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</si>
  <si>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</si>
  <si>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</si>
  <si>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r>
      <t>Describes biological sex as recorded in th</t>
    </r>
    <r>
      <rPr>
        <b/>
        <sz val="11"/>
        <color theme="1"/>
        <rFont val="Calibri"/>
        <family val="2"/>
        <scheme val="minor"/>
      </rPr>
      <t>e patient's identity document</t>
    </r>
    <r>
      <rPr>
        <sz val="11"/>
        <color theme="1"/>
        <rFont val="Calibri"/>
        <family val="2"/>
        <scheme val="minor"/>
      </rPr>
      <t xml:space="preserve"> or in the hospital record. In the absence of documentation, the one declared by the patient will be recorded</t>
    </r>
  </si>
  <si>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</si>
  <si>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</si>
  <si>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</si>
  <si>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</si>
  <si>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</si>
  <si>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</si>
  <si>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</si>
  <si>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</si>
  <si>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</si>
  <si>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ClinicalStage.EpisodeEventReference</t>
  </si>
  <si>
    <t>Episode Event Reference</t>
  </si>
  <si>
    <t>EpisodeEvent element containing the data regarding the patient's cancer</t>
  </si>
  <si>
    <t>ClinicalStage.Ct</t>
  </si>
  <si>
    <t>Tx; Tis; T0;T1;T2; T3; T4; T4a; T4b;</t>
  </si>
  <si>
    <t>Tx - 4282467
 Tis - 4195922
T0 - 4243213
T1 -  4052407
T2 - 4194614
 T3 - 4032012
 T4 - 4278513
 T4a - 4127612
 T4b - 4129920</t>
  </si>
  <si>
    <t>ClinicalStage.Cn</t>
  </si>
  <si>
    <t>Nx; N0;N1;N2;N2a;N2b;N2c;N3; N3a;N3b;</t>
  </si>
  <si>
    <t>Nx - 4195718
N0 - 4266674
N1 - 4203608
N2 - 4263599
N2a - 4135247
N2b - 4119012
N2c - 4118508
N3 - 4239307
N3a - 4240556
N3b - 4240557</t>
  </si>
  <si>
    <t>ClinicalStage.RadiologicalExtra-NodalExtension(Rene)</t>
  </si>
  <si>
    <t>Radiological Extra-nodal extension (rENE)</t>
  </si>
  <si>
    <t>Describes the presence or absence of radiological signs of extracapsular extension, as defined in the AJCC 8th Ed</t>
  </si>
  <si>
    <t>ENE-; ENE+;</t>
  </si>
  <si>
    <t>ENE- - 36769946
ENE+ - 36770618</t>
  </si>
  <si>
    <t>ClinicalStage.Cm</t>
  </si>
  <si>
    <t>M0; M1;</t>
  </si>
  <si>
    <t>M0 -  4149726
M1 - 4205430</t>
  </si>
  <si>
    <t>ClinicalStage.ClinicalStaging</t>
  </si>
  <si>
    <t>0;I;II;III;IV;IVA;IVB;IVC;</t>
  </si>
  <si>
    <t>0 - 4127500
I - 4121054
II - 4106768
III - 4121176
IV - 4123017
IVA - 4129915
IVB - 4130412
IVC - 4196439</t>
  </si>
  <si>
    <t>ClinicalStage.AjccEdition</t>
  </si>
  <si>
    <t>8th,9th,10th,11th</t>
  </si>
  <si>
    <t xml:space="preserve">8th - 1634449
9th - 
10th - 
11th - </t>
  </si>
  <si>
    <t>ClinicalStage.SoftTissue</t>
  </si>
  <si>
    <t>True; False</t>
  </si>
  <si>
    <t>ClinicalStage.DistantLymphNode</t>
  </si>
  <si>
    <t>ClinicalStage.Lung</t>
  </si>
  <si>
    <t>ClinicalStage.Bone</t>
  </si>
  <si>
    <t>ClinicalStage.Liver</t>
  </si>
  <si>
    <t>ClinicalStage.Pleura</t>
  </si>
  <si>
    <t>ClinicalStage.Peritoneum</t>
  </si>
  <si>
    <t>ClinicalStage.Brain</t>
  </si>
  <si>
    <t>ClinicalStage.OtherViscera</t>
  </si>
  <si>
    <t>ClinicalStage.Unknown</t>
  </si>
  <si>
    <t>Tx; Tis; T0;T1;T2; T3; T4; T4a; T4b;Tx - 4282467
 Tis - 4195922
T0 - 4243213
T1 -  4052407
T2 - 4194614
 T3 - 4032012
 T4 - 4278513
 T4a - 4127612
 T4b - 4129920</t>
  </si>
  <si>
    <t>Nx; N0;N1;N2;N2a;N2b;N2c;N3; N3a;N3b;Nx - 4195718
N0 - 4266674
N1 - 4203608
N2 - 4263599
N2a - 4135247
N2b - 4119012
N2c - 4118508
N3 - 4239307
N3a - 4240556
N3b - 4240557</t>
  </si>
  <si>
    <t>ENE-; ENE+;ENE- - 36769946
ENE+ - 36770618</t>
  </si>
  <si>
    <t>M0; M1;M0 -  4149726
M1 - 4205430</t>
  </si>
  <si>
    <t>0;I;II;III;IV;IVA;IVB;IVC;0 - 4127500
I - 4121054
II - 4106768
III - 4121176
IV - 4123017
IVA - 4129915
IVB - 4130412
IVC - 4196439</t>
  </si>
  <si>
    <t xml:space="preserve">8th,9th,10th,11th8th - 1634449
9th - 
10th - 
11th - </t>
  </si>
  <si>
    <t>ClinicalStage</t>
  </si>
  <si>
    <t>Clinical Stage</t>
  </si>
  <si>
    <t>clinicalStaging</t>
  </si>
  <si>
    <t>episodeEvent</t>
  </si>
  <si>
    <t>Episode Event</t>
  </si>
  <si>
    <t>i4rc-clinicalStage.fsh</t>
  </si>
  <si>
    <t>PathologicalStage.EpisodeEventReference</t>
  </si>
  <si>
    <t>PathologicalStage.Pt</t>
  </si>
  <si>
    <t>pT</t>
  </si>
  <si>
    <t>Specifies the pathological T</t>
  </si>
  <si>
    <t>Tx; Tis; T0;T1;T2; T3; T4; T4a; T4b; unknown</t>
  </si>
  <si>
    <t>Tx - 4282467
 Tis - 4195922
T0 - 4243213
T1 -  4052407
T2 - 4194614
 T3 - 4032012
 T4 - 4278513
 T4a - 4127612
 T4b - 4129920
Unknown - 4129922</t>
  </si>
  <si>
    <t>PathologicalStage.Pn</t>
  </si>
  <si>
    <t>pN</t>
  </si>
  <si>
    <t>Specifies the pathological N</t>
  </si>
  <si>
    <t>Nx; N0;N1;N2;N2a;N2b;N2c;N3; N3a;N3b; unknown</t>
  </si>
  <si>
    <t>Nx - 4195718
N0 - 4266674
N1 - 4203608
N2 - 4263599
N2a - 4135247
N2b - 4119012
N2c - 4118508
N3 - 4239307
N3a - 4240556
N3b - 4240557
Unknown - 4129922</t>
  </si>
  <si>
    <t>PathologicalStage.Pm</t>
  </si>
  <si>
    <t>pM</t>
  </si>
  <si>
    <t>Describes whether capsular extension is present by histopathologic examination or not</t>
  </si>
  <si>
    <t>M0; M1; unknown</t>
  </si>
  <si>
    <t>M0 -  4149726
M1 - 4205430
Unknown - 4129922</t>
  </si>
  <si>
    <t>PathologicalStage.ExtranodalExtension(Ene)</t>
  </si>
  <si>
    <t>Extranodal extension (ENE)</t>
  </si>
  <si>
    <t>Describes extent of extranodal extension. This number must be explicitly referred to in the pathological report, otherwise it is unknown</t>
  </si>
  <si>
    <t>ENE-; ENE+;  unknown.</t>
  </si>
  <si>
    <t>ENE- - 36769946
ENE+ - 36770618
Unknown - 4129922</t>
  </si>
  <si>
    <t>PathologicalStage.ExtranodalExtent</t>
  </si>
  <si>
    <t>Extranodal Extent</t>
  </si>
  <si>
    <t>Describes whether a sentinel node procedure was performed or not. Sentinel lymph node biopsy is considered a diagnostic procedure, therefore, per se, the neck is not considered to have been treated if it does not lead to a neck dissection.</t>
  </si>
  <si>
    <t>&lt; 2mm;  &gt;=2mm; unknown</t>
  </si>
  <si>
    <t>Custom</t>
  </si>
  <si>
    <t>PathologicalStage.SentinelNode</t>
  </si>
  <si>
    <t>Sentinel node</t>
  </si>
  <si>
    <t>Yes; No; Unknown.</t>
  </si>
  <si>
    <t>Yes - 4188539
No -  4188540
Unknown - 4129922</t>
  </si>
  <si>
    <t>PathologicalStage.NeckDissection</t>
  </si>
  <si>
    <t>Specifies the pathological M</t>
  </si>
  <si>
    <t>PathologicalStage.PathologicalStaging</t>
  </si>
  <si>
    <t>Pathological staging</t>
  </si>
  <si>
    <t>Specifies the pathological staging</t>
  </si>
  <si>
    <t>0;I;II;III;IV;IVA;IVB;IVC;Unknown</t>
  </si>
  <si>
    <t>Unknown - 4129922</t>
  </si>
  <si>
    <t>PathologicalStage.AjccEdition</t>
  </si>
  <si>
    <t>PathologicalStage.SoftTissue</t>
  </si>
  <si>
    <t>Soft Tissue</t>
  </si>
  <si>
    <t>PathologicalStage.DistantLymphNode</t>
  </si>
  <si>
    <t>PathologicalStage.Lung</t>
  </si>
  <si>
    <t>PathologicalStage.Bone</t>
  </si>
  <si>
    <t>PathologicalStage.Liver</t>
  </si>
  <si>
    <t>PathologicalStage.Pleura</t>
  </si>
  <si>
    <t>PathologicalStage.Peritoneum</t>
  </si>
  <si>
    <t>PathologicalStage.Brain</t>
  </si>
  <si>
    <t>PathologicalStage.OtherViscera</t>
  </si>
  <si>
    <t>PathologicalStage.Unknown</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</si>
  <si>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</si>
  <si>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</si>
  <si>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</si>
  <si>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</si>
  <si>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</si>
  <si>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</si>
  <si>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</si>
  <si>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</si>
  <si>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</si>
  <si>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</si>
  <si>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</si>
  <si>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</si>
  <si>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</si>
  <si>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</si>
  <si>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radiologicalExtraNodalExtension</t>
  </si>
  <si>
    <t>i4rc-pathologyStage.fsh</t>
  </si>
  <si>
    <t>EpisodeEvent.CancerEpisodeReference</t>
  </si>
  <si>
    <t>Cancer Episode Reference</t>
  </si>
  <si>
    <t>CancerEpisode element containing the data regarding the patient's cancer</t>
  </si>
  <si>
    <t>EpisodeEvent.EventType</t>
  </si>
  <si>
    <t>Event type</t>
  </si>
  <si>
    <t>Type of event registered</t>
  </si>
  <si>
    <t>Baseline; Progression; Recurrence; Persistent disease</t>
  </si>
  <si>
    <t xml:space="preserve">Baseline -  4190366
Progression - 4168352
Recurrence - 4097297
Persistent disease - </t>
  </si>
  <si>
    <t>EpisodeEvent.DefinedAt</t>
  </si>
  <si>
    <t>Defined At</t>
  </si>
  <si>
    <t>Whether or not the progression/recurrnce or persistent disease  was performed at the registering hospital or another hospital.</t>
  </si>
  <si>
    <t>the hospital; a different hospital</t>
  </si>
  <si>
    <t>EpisodeEvent.DateOfEpisode</t>
  </si>
  <si>
    <t>Date of episode</t>
  </si>
  <si>
    <t>Start date of progression/recurrence or persistent disease</t>
  </si>
  <si>
    <t>EpisodeEvent.IsLocal</t>
  </si>
  <si>
    <t>Is local</t>
  </si>
  <si>
    <t>Describes if the progression /recurrence or persistent disease is local</t>
  </si>
  <si>
    <t>Yes; No; Unknown</t>
  </si>
  <si>
    <t>EpisodeEvent.IsRegional</t>
  </si>
  <si>
    <t>Is regional</t>
  </si>
  <si>
    <t>Describes if the progression /recurrence or persistent disease is regional</t>
  </si>
  <si>
    <t>EpisodeEvent.IsMetastatic</t>
  </si>
  <si>
    <t>Is metastatic</t>
  </si>
  <si>
    <t>Describes if the progression /recurrence or persistent disease is metastatic</t>
  </si>
  <si>
    <t>EpisodeEvent.SiteOfMetastasis.SoftTissue</t>
  </si>
  <si>
    <t>Site of metastasis_soft tissue</t>
  </si>
  <si>
    <t>EpisodeEvent.SiteOfMetastasis.DistantLymphNodes</t>
  </si>
  <si>
    <t>Site of metastasis_distant lymph nodes</t>
  </si>
  <si>
    <t>EpisodeEvent.SiteOfMetastasis.Lung</t>
  </si>
  <si>
    <t>Site of metastasis_lung</t>
  </si>
  <si>
    <t>EpisodeEvent.SiteOfMetastasis.Bone</t>
  </si>
  <si>
    <t>Site of metastasis_bone</t>
  </si>
  <si>
    <t>EpisodeEvent.SiteOfMetastasis.Liver</t>
  </si>
  <si>
    <t>Site of metastasis_liver</t>
  </si>
  <si>
    <t>EpisodeEvent.SiteOfMetastasis.Pleura</t>
  </si>
  <si>
    <t>Site of metastasis_pleura</t>
  </si>
  <si>
    <t>EpisodeEvent.SiteOfMetastasis.Peritoneum</t>
  </si>
  <si>
    <t>Site of metastasis_peritoneum</t>
  </si>
  <si>
    <t>EpisodeEvent.SiteOfMetastasis.Brain</t>
  </si>
  <si>
    <t>Site of  metastasis_brain</t>
  </si>
  <si>
    <t>EpisodeEvent.SiteOfMetastasis.OtherViscera</t>
  </si>
  <si>
    <t>Site of  metastasis_other viscera</t>
  </si>
  <si>
    <t>EpisodeEvent.SiteOfMetastasis.Unknown</t>
  </si>
  <si>
    <t>Site of  metastasis_unknown</t>
  </si>
  <si>
    <t xml:space="preserve">Baseline; Progression; Recurrence; Persistent diseaseBaseline -  4190366
Progression - 4168352
Recurrence - 4097297
Persistent disease - </t>
  </si>
  <si>
    <t>the hospital; a different hospitalCustom</t>
  </si>
  <si>
    <t>Yes; No; UnknownYes - 4188539
No -  4188540
Unknown - 4129922</t>
  </si>
  <si>
    <t>EpisodeEvent</t>
  </si>
  <si>
    <t>cancerEpisode</t>
  </si>
  <si>
    <t>siteOfMetastasis.softTissue</t>
  </si>
  <si>
    <t>siteOfMetastasis.bone</t>
  </si>
  <si>
    <t>siteOfMetastasis.brain</t>
  </si>
  <si>
    <t>siteOfMetastasis.lung</t>
  </si>
  <si>
    <t>siteOfMetastasis.liver</t>
  </si>
  <si>
    <t>siteOfMetastasis.pleura</t>
  </si>
  <si>
    <t>siteOfMetastasis.peritoneum</t>
  </si>
  <si>
    <t>siteOfMetastasis.distantLymphNodes</t>
  </si>
  <si>
    <t>siteOfMetastasis.otherViscera</t>
  </si>
  <si>
    <t>siteOfMetastasis.unknown</t>
  </si>
  <si>
    <t>isLocal</t>
  </si>
  <si>
    <t>isRegional</t>
  </si>
  <si>
    <t>isMetastatic</t>
  </si>
  <si>
    <t>eventType</t>
  </si>
  <si>
    <t>definedAt</t>
  </si>
  <si>
    <t>dateOfEpisode</t>
  </si>
  <si>
    <t>http://hl7.eu/fhir/ig/idea4rc/StructureDefinition/CancerEpisode</t>
  </si>
  <si>
    <t>i4rc-episodeEvent.fsh</t>
  </si>
  <si>
    <t>siteOfMetastasis</t>
  </si>
  <si>
    <t>Site of metastasis</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</si>
  <si>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</si>
  <si>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</si>
  <si>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</si>
  <si>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</si>
  <si>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</si>
  <si>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</si>
  <si>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</si>
  <si>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</si>
  <si>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</si>
  <si>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</si>
  <si>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</si>
  <si>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</si>
  <si>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</si>
  <si>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</si>
  <si>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</si>
  <si>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</si>
  <si>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</si>
  <si>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</si>
  <si>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</si>
  <si>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</si>
  <si>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</si>
  <si>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</si>
  <si>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</si>
  <si>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</si>
  <si>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</si>
  <si>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</si>
  <si>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</si>
  <si>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</si>
  <si>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</si>
  <si>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</si>
  <si>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</si>
  <si>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</si>
  <si>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</si>
  <si>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</si>
  <si>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</si>
  <si>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</si>
  <si>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</si>
  <si>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</si>
  <si>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</si>
  <si>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</si>
  <si>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</si>
  <si>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</si>
  <si>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</si>
  <si>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</si>
  <si>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</si>
  <si>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</si>
  <si>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</si>
  <si>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</si>
  <si>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</si>
  <si>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</si>
  <si>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</si>
  <si>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</si>
  <si>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</si>
  <si>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</si>
  <si>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</si>
  <si>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</si>
  <si>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</si>
  <si>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</si>
  <si>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</si>
  <si>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</si>
  <si>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</si>
  <si>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</si>
  <si>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</si>
  <si>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</si>
  <si>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</si>
  <si>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</si>
  <si>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</si>
  <si>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</si>
  <si>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</si>
  <si>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</si>
  <si>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</si>
  <si>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</si>
  <si>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</si>
  <si>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</si>
  <si>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</si>
  <si>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</si>
  <si>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</si>
  <si>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</si>
  <si>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</si>
  <si>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</si>
  <si>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</si>
  <si>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</si>
  <si>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</si>
  <si>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</si>
  <si>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</si>
  <si>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</si>
  <si>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</si>
  <si>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</si>
  <si>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</si>
  <si>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</si>
  <si>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</si>
  <si>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</si>
  <si>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</si>
  <si>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</si>
  <si>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</si>
  <si>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</si>
  <si>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</si>
  <si>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</si>
  <si>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</si>
  <si>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</si>
  <si>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</si>
  <si>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</si>
  <si>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</si>
  <si>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</si>
  <si>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</si>
  <si>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</si>
  <si>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</si>
  <si>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</si>
  <si>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</si>
  <si>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</si>
  <si>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</si>
  <si>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</si>
  <si>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</si>
  <si>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</si>
  <si>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</si>
  <si>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</si>
  <si>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</si>
  <si>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</si>
  <si>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</si>
  <si>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</si>
  <si>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</si>
  <si>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</si>
  <si>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</si>
  <si>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</si>
  <si>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</si>
  <si>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</si>
  <si>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</si>
  <si>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</si>
  <si>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</si>
  <si>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</si>
  <si>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</si>
  <si>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</si>
  <si>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</si>
  <si>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</si>
  <si>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</si>
  <si>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</si>
  <si>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</si>
  <si>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</si>
  <si>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</si>
  <si>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</si>
  <si>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</si>
  <si>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</si>
  <si>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</si>
  <si>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</si>
  <si>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</si>
  <si>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</si>
  <si>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</si>
  <si>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</si>
  <si>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</si>
  <si>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</si>
  <si>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</si>
  <si>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</si>
  <si>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</si>
  <si>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</si>
  <si>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</si>
  <si>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</si>
  <si>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</si>
  <si>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</si>
  <si>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</si>
  <si>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</si>
  <si>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</si>
  <si>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</si>
  <si>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</si>
  <si>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</si>
  <si>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</si>
  <si>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</si>
  <si>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</si>
  <si>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</si>
  <si>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</si>
  <si>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</si>
  <si>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</si>
  <si>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</si>
  <si>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</si>
  <si>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</si>
  <si>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</si>
  <si>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</si>
  <si>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</si>
  <si>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</si>
  <si>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</si>
  <si>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</si>
  <si>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</si>
  <si>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</si>
  <si>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</si>
  <si>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</si>
  <si>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</si>
  <si>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</si>
  <si>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</si>
  <si>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</si>
  <si>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</si>
  <si>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</si>
  <si>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</si>
  <si>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</si>
  <si>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</si>
  <si>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</si>
  <si>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</si>
  <si>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</si>
  <si>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</si>
  <si>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</si>
  <si>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</si>
  <si>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</si>
  <si>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</si>
  <si>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</si>
  <si>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</si>
  <si>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</si>
  <si>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</si>
  <si>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</si>
  <si>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</si>
  <si>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</si>
  <si>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</si>
  <si>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</si>
  <si>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</si>
  <si>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</si>
  <si>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</si>
  <si>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</si>
  <si>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</si>
  <si>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</si>
  <si>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</si>
  <si>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</si>
  <si>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</si>
  <si>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</si>
  <si>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</si>
  <si>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</si>
  <si>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</si>
  <si>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</si>
  <si>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</si>
  <si>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</si>
  <si>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</si>
  <si>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</si>
  <si>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</si>
  <si>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</si>
  <si>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</si>
  <si>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</si>
  <si>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http://hl7.eu/fhir/ig/idea4rc/StructureDefinition/Procedure-radiotheraphy-eu-pcsp</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</si>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</sst>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1" borderId="0" applyNumberFormat="0" applyBorder="0" applyAlignment="0" applyProtection="0"/>
  </cellStyleXfs>
  <cellXfs count="171">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41" fillId="0" borderId="1" xfId="0" applyFont="1" applyBorder="1" applyAlignment="1">
      <alignment horizontal="center" vertical="top"/>
    </xf>
    <xf numFmtId="0" fontId="41"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0" borderId="25" xfId="0" applyBorder="1"/>
    <xf numFmtId="0" fontId="0" fillId="19" borderId="1" xfId="0" applyFill="1" applyBorder="1"/>
    <xf numFmtId="0" fontId="0" fillId="19" borderId="1" xfId="0" applyFill="1" applyBorder="1" applyAlignment="1">
      <alignment wrapText="1"/>
    </xf>
    <xf numFmtId="0" fontId="0" fillId="20" borderId="1" xfId="0" applyFill="1" applyBorder="1"/>
    <xf numFmtId="0" fontId="0" fillId="17" borderId="1" xfId="0" applyFill="1" applyBorder="1"/>
    <xf numFmtId="0" fontId="0" fillId="17" borderId="1" xfId="0" applyFill="1" applyBorder="1" applyAlignment="1">
      <alignment wrapText="1"/>
    </xf>
    <xf numFmtId="0" fontId="42" fillId="21" borderId="0" xfId="6"/>
    <xf numFmtId="0" fontId="2" fillId="22" borderId="1" xfId="1" applyFill="1" applyBorder="1" applyAlignment="1">
      <alignment wrapText="1"/>
    </xf>
    <xf numFmtId="0" fontId="0" fillId="20" borderId="1" xfId="0" applyFill="1" applyBorder="1" applyAlignment="1">
      <alignment wrapText="1"/>
    </xf>
    <xf numFmtId="0" fontId="0" fillId="23" borderId="1" xfId="0" applyFill="1" applyBorder="1" applyAlignment="1">
      <alignment wrapText="1"/>
    </xf>
    <xf numFmtId="0" fontId="0" fillId="3" borderId="15" xfId="0" applyFill="1" applyBorder="1"/>
    <xf numFmtId="0" fontId="0" fillId="23"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24"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7" borderId="1" xfId="0" applyFont="1" applyFill="1" applyBorder="1" applyAlignment="1">
      <alignment wrapText="1"/>
    </xf>
    <xf numFmtId="0" fontId="1" fillId="17" borderId="1" xfId="0" applyFont="1" applyFill="1" applyBorder="1"/>
    <xf numFmtId="49" fontId="1" fillId="17" borderId="1" xfId="0" applyNumberFormat="1" applyFont="1" applyFill="1" applyBorder="1"/>
    <xf numFmtId="49" fontId="1" fillId="17" borderId="1" xfId="0" applyNumberFormat="1" applyFont="1" applyFill="1" applyBorder="1" applyAlignment="1">
      <alignment wrapText="1"/>
    </xf>
    <xf numFmtId="0" fontId="43" fillId="10" borderId="1" xfId="0" applyFont="1" applyFill="1" applyBorder="1"/>
    <xf numFmtId="49" fontId="0" fillId="24" borderId="1" xfId="0" applyNumberFormat="1" applyFill="1" applyBorder="1" applyAlignment="1">
      <alignment wrapText="1"/>
    </xf>
    <xf numFmtId="49" fontId="3" fillId="3" borderId="1" xfId="0" applyNumberFormat="1" applyFont="1" applyFill="1" applyBorder="1"/>
    <xf numFmtId="0" fontId="41" fillId="0" borderId="20" xfId="0" applyFont="1" applyBorder="1" applyAlignment="1">
      <alignment horizontal="center" vertical="top"/>
    </xf>
    <xf numFmtId="0" fontId="41" fillId="0" borderId="1" xfId="0" applyFont="1" applyBorder="1" applyAlignment="1">
      <alignment horizontal="center" vertical="top" wrapText="1"/>
    </xf>
    <xf numFmtId="0" fontId="0" fillId="18" borderId="1" xfId="0" applyFill="1" applyBorder="1"/>
    <xf numFmtId="0" fontId="4" fillId="2" borderId="1" xfId="0" applyFont="1" applyFill="1" applyBorder="1" applyAlignment="1">
      <alignment horizontal="center" vertical="top" wrapText="1"/>
    </xf>
    <xf numFmtId="0" fontId="1" fillId="4" borderId="1" xfId="0" applyFont="1" applyFill="1" applyBorder="1" applyAlignment="1">
      <alignment horizontal="center" vertical="top" wrapText="1"/>
    </xf>
    <xf numFmtId="0" fontId="6" fillId="8" borderId="1" xfId="3" applyBorder="1" applyAlignment="1">
      <alignment wrapText="1"/>
    </xf>
    <xf numFmtId="0" fontId="3" fillId="3" borderId="1" xfId="0" applyFont="1" applyFill="1" applyBorder="1"/>
    <xf numFmtId="49" fontId="0" fillId="19"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30" xfId="0" applyBorder="1"/>
    <xf numFmtId="0" fontId="41" fillId="25" borderId="1" xfId="0" applyFont="1" applyFill="1" applyBorder="1" applyAlignment="1">
      <alignment horizontal="center" vertical="top"/>
    </xf>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2" fillId="3" borderId="27" xfId="1" applyFill="1" applyBorder="1" applyAlignment="1">
      <alignment horizontal="center"/>
    </xf>
    <xf numFmtId="0" fontId="2" fillId="3" borderId="28" xfId="1" applyFill="1" applyBorder="1" applyAlignment="1">
      <alignment horizontal="center"/>
    </xf>
    <xf numFmtId="0" fontId="2" fillId="3" borderId="29" xfId="1" applyFill="1" applyBorder="1" applyAlignment="1">
      <alignment horizontal="center"/>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B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5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5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7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B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0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3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3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8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0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0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2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36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37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37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9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3.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23" dT="2023-07-20T06:44:09.43" personId="{8C97C38B-B0BE-4B1E-B806-EA0CCA3C4B1C}" id="{554B81CC-74C7-43E5-83FA-81470E9DE750}">
    <text>Which site is primary ?</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4.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0.vml"/><Relationship Id="rId1" Type="http://schemas.openxmlformats.org/officeDocument/2006/relationships/printerSettings" Target="../printerSettings/printerSettings14.bin"/><Relationship Id="rId4" Type="http://schemas.microsoft.com/office/2017/10/relationships/threadedComment" Target="../threadedComments/threadedComment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13.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 Id="rId4" Type="http://schemas.microsoft.com/office/2017/10/relationships/threadedComment" Target="../threadedComments/threadedComment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8.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7.vml"/><Relationship Id="rId1" Type="http://schemas.openxmlformats.org/officeDocument/2006/relationships/printerSettings" Target="../printerSettings/printerSettings22.bin"/><Relationship Id="rId4" Type="http://schemas.microsoft.com/office/2017/10/relationships/threadedComment" Target="../threadedComments/threadedComment3.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3.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pcsp"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4.bin"/><Relationship Id="rId4" Type="http://schemas.openxmlformats.org/officeDocument/2006/relationships/ctrlProp" Target="../ctrlProps/ctrlProp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7.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9" t="s">
        <v>1462</v>
      </c>
      <c r="B1" s="160"/>
      <c r="C1" s="160"/>
      <c r="D1" s="160"/>
      <c r="E1" s="160"/>
      <c r="F1" s="160"/>
      <c r="G1" s="160"/>
      <c r="H1" s="160"/>
      <c r="I1" s="160"/>
      <c r="J1" s="160"/>
      <c r="K1" s="160"/>
      <c r="L1" s="160"/>
      <c r="M1" s="75"/>
      <c r="N1" s="75"/>
      <c r="O1" s="75"/>
      <c r="P1" s="75"/>
      <c r="Q1" s="75"/>
      <c r="R1" s="75"/>
      <c r="S1" s="75"/>
      <c r="T1" s="75"/>
      <c r="U1" s="75"/>
      <c r="V1" s="75"/>
      <c r="W1" s="75"/>
      <c r="X1" s="75"/>
      <c r="Y1" s="75"/>
      <c r="Z1" s="75"/>
    </row>
    <row r="2" spans="1:26" ht="13.5">
      <c r="A2" s="76"/>
    </row>
    <row r="3" spans="1:26" ht="30.75" customHeight="1">
      <c r="A3" s="77" t="s">
        <v>1463</v>
      </c>
      <c r="B3" s="78" t="s">
        <v>168</v>
      </c>
      <c r="C3" s="78" t="s">
        <v>1464</v>
      </c>
      <c r="D3" s="78" t="s">
        <v>1465</v>
      </c>
      <c r="E3" s="78" t="s">
        <v>1466</v>
      </c>
      <c r="F3" s="78" t="s">
        <v>178</v>
      </c>
      <c r="G3" s="78" t="s">
        <v>1467</v>
      </c>
      <c r="H3" s="78" t="s">
        <v>176</v>
      </c>
      <c r="I3" s="78" t="s">
        <v>1468</v>
      </c>
      <c r="J3" s="78" t="s">
        <v>1469</v>
      </c>
      <c r="K3" s="78" t="s">
        <v>1470</v>
      </c>
      <c r="L3" s="78" t="s">
        <v>1471</v>
      </c>
      <c r="M3" s="79"/>
      <c r="N3" s="79"/>
      <c r="O3" s="79"/>
      <c r="P3" s="79"/>
      <c r="Q3" s="79"/>
      <c r="R3" s="79"/>
      <c r="S3" s="79"/>
      <c r="T3" s="79"/>
      <c r="U3" s="79"/>
      <c r="V3" s="79"/>
      <c r="W3" s="79"/>
      <c r="X3" s="79"/>
      <c r="Y3" s="79"/>
      <c r="Z3" s="80"/>
    </row>
    <row r="4" spans="1:26" ht="65.25" customHeight="1">
      <c r="A4" s="81" t="s">
        <v>1472</v>
      </c>
      <c r="B4" s="82" t="s">
        <v>1473</v>
      </c>
      <c r="C4" s="82" t="s">
        <v>282</v>
      </c>
      <c r="D4" s="82" t="str">
        <f t="array" ref="D4">"CUS_"&amp;C4</f>
        <v>CUS_DiagnosisDate</v>
      </c>
      <c r="E4" s="82" t="s">
        <v>1474</v>
      </c>
      <c r="F4" s="82" t="s">
        <v>1475</v>
      </c>
      <c r="G4" s="82" t="s">
        <v>209</v>
      </c>
      <c r="H4" s="82" t="s">
        <v>201</v>
      </c>
      <c r="I4" s="82" t="s">
        <v>1476</v>
      </c>
      <c r="J4" s="82" t="s">
        <v>1477</v>
      </c>
      <c r="K4" s="82" t="s">
        <v>213</v>
      </c>
      <c r="L4" s="83"/>
      <c r="M4" s="83"/>
      <c r="N4" s="83"/>
      <c r="O4" s="83"/>
      <c r="P4" s="83"/>
      <c r="Q4" s="83"/>
      <c r="R4" s="83"/>
      <c r="S4" s="83"/>
      <c r="T4" s="83"/>
      <c r="U4" s="83"/>
      <c r="V4" s="83"/>
      <c r="W4" s="83"/>
      <c r="X4" s="83"/>
      <c r="Y4" s="83"/>
      <c r="Z4" s="83"/>
    </row>
    <row r="5" spans="1:26" ht="65.25" customHeight="1">
      <c r="A5" s="84" t="s">
        <v>1478</v>
      </c>
      <c r="B5" s="85" t="s">
        <v>1473</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1479</v>
      </c>
      <c r="B6" s="88" t="s">
        <v>1473</v>
      </c>
      <c r="C6" s="88" t="s">
        <v>1480</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1481</v>
      </c>
      <c r="B7" s="82" t="s">
        <v>1473</v>
      </c>
      <c r="C7" s="82" t="s">
        <v>1482</v>
      </c>
      <c r="D7" s="82" t="str">
        <f t="array" ref="D7">"CUS_"&amp;C7</f>
        <v>CUS_AgeAtDiagnosis</v>
      </c>
      <c r="E7" s="82" t="s">
        <v>1483</v>
      </c>
      <c r="F7" s="82" t="s">
        <v>1484</v>
      </c>
      <c r="G7" s="82" t="s">
        <v>1485</v>
      </c>
      <c r="H7" s="82" t="s">
        <v>1486</v>
      </c>
      <c r="I7" s="82" t="s">
        <v>1487</v>
      </c>
      <c r="J7" s="82" t="s">
        <v>1488</v>
      </c>
      <c r="K7" s="82">
        <v>62</v>
      </c>
      <c r="L7" s="83"/>
      <c r="M7" s="83"/>
      <c r="N7" s="83"/>
      <c r="O7" s="83"/>
      <c r="P7" s="83"/>
      <c r="Q7" s="83"/>
      <c r="R7" s="83"/>
      <c r="S7" s="83"/>
      <c r="T7" s="83"/>
      <c r="U7" s="83"/>
      <c r="V7" s="83"/>
      <c r="W7" s="83"/>
      <c r="X7" s="83"/>
      <c r="Y7" s="83"/>
      <c r="Z7" s="83"/>
    </row>
    <row r="8" spans="1:26" ht="65.25" customHeight="1">
      <c r="A8" s="84" t="s">
        <v>1481</v>
      </c>
      <c r="B8" s="85" t="s">
        <v>1473</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1489</v>
      </c>
      <c r="B9" s="82" t="s">
        <v>1473</v>
      </c>
      <c r="C9" s="82" t="s">
        <v>1490</v>
      </c>
      <c r="D9" s="82" t="str">
        <f t="array" ref="D9">"CUS_"&amp;C9</f>
        <v>CUS_HistologyGroup</v>
      </c>
      <c r="E9" s="82" t="s">
        <v>1489</v>
      </c>
      <c r="F9" s="82" t="s">
        <v>1491</v>
      </c>
      <c r="G9" s="82" t="s">
        <v>185</v>
      </c>
      <c r="H9" s="82" t="s">
        <v>201</v>
      </c>
      <c r="I9" s="82" t="s">
        <v>1492</v>
      </c>
      <c r="J9" s="90" t="s">
        <v>1493</v>
      </c>
      <c r="K9" s="82" t="s">
        <v>1494</v>
      </c>
      <c r="L9" s="91" t="s">
        <v>1495</v>
      </c>
      <c r="M9" s="83"/>
      <c r="N9" s="83"/>
      <c r="O9" s="83"/>
      <c r="P9" s="83"/>
      <c r="Q9" s="83"/>
      <c r="R9" s="83"/>
      <c r="S9" s="83"/>
      <c r="T9" s="83"/>
      <c r="U9" s="83"/>
      <c r="V9" s="83"/>
      <c r="W9" s="83"/>
      <c r="X9" s="83"/>
      <c r="Y9" s="83"/>
      <c r="Z9" s="83"/>
    </row>
    <row r="10" spans="1:26" ht="65.25" customHeight="1">
      <c r="A10" s="161" t="s">
        <v>1496</v>
      </c>
      <c r="B10" s="162"/>
      <c r="C10" s="162"/>
      <c r="D10" s="162"/>
      <c r="E10" s="162"/>
      <c r="F10" s="162"/>
      <c r="G10" s="162"/>
      <c r="H10" s="162"/>
      <c r="I10" s="162"/>
      <c r="J10" s="162"/>
      <c r="K10" s="162"/>
      <c r="L10" s="83"/>
      <c r="M10" s="83"/>
      <c r="N10" s="83"/>
      <c r="O10" s="83"/>
      <c r="P10" s="83"/>
      <c r="Q10" s="83"/>
      <c r="R10" s="83"/>
      <c r="S10" s="83"/>
      <c r="T10" s="83"/>
      <c r="U10" s="83"/>
      <c r="V10" s="83"/>
      <c r="W10" s="83"/>
      <c r="X10" s="83"/>
      <c r="Y10" s="83"/>
      <c r="Z10" s="83"/>
    </row>
    <row r="11" spans="1:26" ht="65.25" customHeight="1">
      <c r="A11" s="81" t="s">
        <v>1497</v>
      </c>
      <c r="B11" s="82" t="s">
        <v>1490</v>
      </c>
      <c r="C11" s="82" t="s">
        <v>1498</v>
      </c>
      <c r="D11" s="82" t="str">
        <f t="array" ref="D11">"CUS_"&amp;C11</f>
        <v>CUS_HistologySquamous</v>
      </c>
      <c r="E11" s="82" t="s">
        <v>1499</v>
      </c>
      <c r="F11" s="82" t="s">
        <v>1500</v>
      </c>
      <c r="G11" s="82" t="s">
        <v>185</v>
      </c>
      <c r="H11" s="82" t="s">
        <v>201</v>
      </c>
      <c r="I11" s="82" t="s">
        <v>1501</v>
      </c>
      <c r="J11" s="90" t="s">
        <v>1502</v>
      </c>
      <c r="K11" s="82"/>
      <c r="L11" s="91" t="s">
        <v>1495</v>
      </c>
      <c r="M11" s="83"/>
      <c r="N11" s="83"/>
      <c r="O11" s="83"/>
      <c r="P11" s="83"/>
      <c r="Q11" s="83"/>
      <c r="R11" s="83"/>
      <c r="S11" s="83"/>
      <c r="T11" s="83"/>
      <c r="U11" s="83"/>
      <c r="V11" s="83"/>
      <c r="W11" s="83"/>
      <c r="X11" s="83"/>
      <c r="Y11" s="83"/>
      <c r="Z11" s="83"/>
    </row>
    <row r="12" spans="1:26" ht="65.25" customHeight="1">
      <c r="A12" s="81" t="s">
        <v>1503</v>
      </c>
      <c r="B12" s="82" t="s">
        <v>1490</v>
      </c>
      <c r="C12" s="82" t="s">
        <v>1504</v>
      </c>
      <c r="D12" s="82" t="str">
        <f t="array" ref="D12">"CUS_"&amp;C12</f>
        <v>CUS_HistologyAdenocarcinoma</v>
      </c>
      <c r="E12" s="82" t="s">
        <v>1505</v>
      </c>
      <c r="F12" s="92" t="s">
        <v>1506</v>
      </c>
      <c r="G12" s="82" t="s">
        <v>185</v>
      </c>
      <c r="H12" s="82" t="s">
        <v>201</v>
      </c>
      <c r="I12" s="82" t="s">
        <v>1507</v>
      </c>
      <c r="J12" s="90" t="s">
        <v>1508</v>
      </c>
      <c r="K12" s="82"/>
      <c r="L12" s="91" t="s">
        <v>1495</v>
      </c>
      <c r="M12" s="83"/>
      <c r="N12" s="83"/>
      <c r="O12" s="83"/>
      <c r="P12" s="83"/>
      <c r="Q12" s="83"/>
      <c r="R12" s="83"/>
      <c r="S12" s="83"/>
      <c r="T12" s="83"/>
      <c r="U12" s="83"/>
      <c r="V12" s="83"/>
      <c r="W12" s="83"/>
      <c r="X12" s="83"/>
      <c r="Y12" s="83"/>
      <c r="Z12" s="83"/>
    </row>
    <row r="13" spans="1:26" ht="65.25" customHeight="1">
      <c r="A13" s="81" t="s">
        <v>1509</v>
      </c>
      <c r="B13" s="82" t="s">
        <v>1490</v>
      </c>
      <c r="C13" s="82" t="s">
        <v>1510</v>
      </c>
      <c r="D13" s="82" t="str">
        <f t="array" ref="D13">"CUS_"&amp;C13</f>
        <v>CUS_HistologyNeuroendocrine</v>
      </c>
      <c r="E13" s="82" t="s">
        <v>1511</v>
      </c>
      <c r="F13" s="93" t="s">
        <v>1512</v>
      </c>
      <c r="G13" s="82" t="s">
        <v>185</v>
      </c>
      <c r="H13" s="82" t="s">
        <v>201</v>
      </c>
      <c r="I13" s="82" t="s">
        <v>1513</v>
      </c>
      <c r="J13" s="90" t="s">
        <v>1514</v>
      </c>
      <c r="K13" s="82"/>
      <c r="L13" s="91" t="s">
        <v>1495</v>
      </c>
      <c r="M13" s="83"/>
      <c r="N13" s="83"/>
      <c r="O13" s="83"/>
      <c r="P13" s="83"/>
      <c r="Q13" s="83"/>
      <c r="R13" s="83"/>
      <c r="S13" s="83"/>
      <c r="T13" s="83"/>
      <c r="U13" s="83"/>
      <c r="V13" s="83"/>
      <c r="W13" s="83"/>
      <c r="X13" s="83"/>
      <c r="Y13" s="83"/>
      <c r="Z13" s="83"/>
    </row>
    <row r="14" spans="1:26" ht="65.25" customHeight="1">
      <c r="A14" s="81" t="s">
        <v>1515</v>
      </c>
      <c r="B14" s="82" t="s">
        <v>1490</v>
      </c>
      <c r="C14" s="82" t="s">
        <v>1516</v>
      </c>
      <c r="D14" s="82" t="str">
        <f t="array" ref="D14">"CUS_"&amp;C14</f>
        <v>CUS_HistologyOdontogenicCarcinoma</v>
      </c>
      <c r="E14" s="82" t="s">
        <v>1517</v>
      </c>
      <c r="F14" s="93" t="s">
        <v>1518</v>
      </c>
      <c r="G14" s="82" t="s">
        <v>185</v>
      </c>
      <c r="H14" s="82" t="s">
        <v>201</v>
      </c>
      <c r="I14" s="82" t="s">
        <v>1519</v>
      </c>
      <c r="J14" s="90" t="s">
        <v>1520</v>
      </c>
      <c r="K14" s="82"/>
      <c r="L14" s="91" t="s">
        <v>1495</v>
      </c>
      <c r="M14" s="83"/>
      <c r="N14" s="83"/>
      <c r="O14" s="83"/>
      <c r="P14" s="83"/>
      <c r="Q14" s="83"/>
      <c r="R14" s="83"/>
      <c r="S14" s="83"/>
      <c r="T14" s="83"/>
      <c r="U14" s="83"/>
      <c r="V14" s="83"/>
      <c r="W14" s="83"/>
      <c r="X14" s="83"/>
      <c r="Y14" s="83"/>
      <c r="Z14" s="83"/>
    </row>
    <row r="15" spans="1:26" ht="65.25" customHeight="1">
      <c r="A15" s="81" t="s">
        <v>1521</v>
      </c>
      <c r="B15" s="82" t="s">
        <v>1490</v>
      </c>
      <c r="C15" s="82" t="s">
        <v>1522</v>
      </c>
      <c r="D15" s="82" t="str">
        <f t="array" ref="D15">"CUS_"&amp;C15</f>
        <v>CUS_HistologySNUC</v>
      </c>
      <c r="E15" s="82" t="s">
        <v>1523</v>
      </c>
      <c r="F15" s="93" t="s">
        <v>1524</v>
      </c>
      <c r="G15" s="82" t="s">
        <v>185</v>
      </c>
      <c r="H15" s="82" t="s">
        <v>201</v>
      </c>
      <c r="I15" s="82" t="s">
        <v>1525</v>
      </c>
      <c r="J15" s="90" t="s">
        <v>1526</v>
      </c>
      <c r="K15" s="82"/>
      <c r="L15" s="91" t="s">
        <v>1495</v>
      </c>
      <c r="M15" s="83"/>
      <c r="N15" s="83"/>
      <c r="O15" s="83"/>
      <c r="P15" s="83"/>
      <c r="Q15" s="83"/>
      <c r="R15" s="83"/>
      <c r="S15" s="83"/>
      <c r="T15" s="83"/>
      <c r="U15" s="83"/>
      <c r="V15" s="83"/>
      <c r="W15" s="83"/>
      <c r="X15" s="83"/>
      <c r="Y15" s="83"/>
      <c r="Z15" s="83"/>
    </row>
    <row r="16" spans="1:26" ht="65.25" customHeight="1">
      <c r="A16" s="81" t="s">
        <v>1527</v>
      </c>
      <c r="B16" s="82" t="s">
        <v>1473</v>
      </c>
      <c r="C16" s="82" t="s">
        <v>1528</v>
      </c>
      <c r="D16" s="82" t="str">
        <f t="array" ref="D16">"CUS_"&amp;C16</f>
        <v>CUS_SiteRare</v>
      </c>
      <c r="E16" s="82" t="s">
        <v>1529</v>
      </c>
      <c r="F16" s="94" t="s">
        <v>1530</v>
      </c>
      <c r="G16" s="82" t="s">
        <v>185</v>
      </c>
      <c r="H16" s="82" t="s">
        <v>201</v>
      </c>
      <c r="I16" s="82" t="s">
        <v>1531</v>
      </c>
      <c r="J16" s="90" t="s">
        <v>1532</v>
      </c>
      <c r="K16" s="82"/>
      <c r="L16" s="91" t="s">
        <v>1533</v>
      </c>
      <c r="M16" s="83"/>
      <c r="N16" s="83"/>
      <c r="O16" s="83"/>
      <c r="P16" s="83"/>
      <c r="Q16" s="83"/>
      <c r="R16" s="83"/>
      <c r="S16" s="83"/>
      <c r="T16" s="83"/>
      <c r="U16" s="83"/>
      <c r="V16" s="83"/>
      <c r="W16" s="83"/>
      <c r="X16" s="83"/>
      <c r="Y16" s="83"/>
      <c r="Z16" s="83"/>
    </row>
    <row r="17" spans="1:26" ht="65.25" customHeight="1">
      <c r="A17" s="81" t="s">
        <v>1534</v>
      </c>
      <c r="B17" s="82" t="s">
        <v>1473</v>
      </c>
      <c r="C17" s="82" t="s">
        <v>1535</v>
      </c>
      <c r="D17" s="82" t="str">
        <f t="array" ref="D17">"CUS_"&amp;C17</f>
        <v>CUS_SiteCommonAndRare</v>
      </c>
      <c r="E17" s="82" t="s">
        <v>1536</v>
      </c>
      <c r="F17" s="94" t="s">
        <v>1530</v>
      </c>
      <c r="G17" s="82" t="s">
        <v>185</v>
      </c>
      <c r="H17" s="82" t="s">
        <v>201</v>
      </c>
      <c r="I17" s="82" t="s">
        <v>1531</v>
      </c>
      <c r="J17" s="90" t="s">
        <v>1537</v>
      </c>
      <c r="K17" s="82"/>
      <c r="L17" s="91" t="s">
        <v>1533</v>
      </c>
      <c r="M17" s="83"/>
      <c r="N17" s="83"/>
      <c r="O17" s="83"/>
      <c r="P17" s="83"/>
      <c r="Q17" s="83"/>
      <c r="R17" s="83"/>
      <c r="S17" s="83"/>
      <c r="T17" s="83"/>
      <c r="U17" s="83"/>
      <c r="V17" s="83"/>
      <c r="W17" s="83"/>
      <c r="X17" s="83"/>
      <c r="Y17" s="83"/>
      <c r="Z17" s="83"/>
    </row>
    <row r="18" spans="1:26" ht="65.25" customHeight="1">
      <c r="A18" s="163" t="s">
        <v>1538</v>
      </c>
      <c r="B18" s="162"/>
      <c r="C18" s="162"/>
      <c r="D18" s="162"/>
      <c r="E18" s="162"/>
      <c r="F18" s="162"/>
      <c r="G18" s="162"/>
      <c r="H18" s="162"/>
      <c r="I18" s="162"/>
      <c r="J18" s="162"/>
      <c r="K18" s="82"/>
      <c r="L18" s="83"/>
      <c r="M18" s="83"/>
      <c r="N18" s="83"/>
      <c r="O18" s="83"/>
      <c r="P18" s="83"/>
      <c r="Q18" s="83"/>
      <c r="R18" s="83"/>
      <c r="S18" s="83"/>
      <c r="T18" s="83"/>
      <c r="U18" s="83"/>
      <c r="V18" s="83"/>
      <c r="W18" s="83"/>
      <c r="X18" s="83"/>
      <c r="Y18" s="83"/>
      <c r="Z18" s="83"/>
    </row>
    <row r="19" spans="1:26" ht="65.25" customHeight="1">
      <c r="A19" s="81" t="s">
        <v>1539</v>
      </c>
      <c r="B19" s="82" t="s">
        <v>1540</v>
      </c>
      <c r="C19" s="82" t="str">
        <f t="shared" ref="C19:C39" si="0">SUBSTITUTE(PROPER(A19), " ","")</f>
        <v>NasalCavityAndParanasalSinusesSubsite</v>
      </c>
      <c r="D19" s="82" t="str">
        <f t="array" ref="D19">"CUS_"&amp;C19</f>
        <v>CUS_NasalCavityAndParanasalSinusesSubsite</v>
      </c>
      <c r="E19" s="82" t="s">
        <v>1539</v>
      </c>
      <c r="F19" s="82" t="s">
        <v>1541</v>
      </c>
      <c r="G19" s="82" t="s">
        <v>185</v>
      </c>
      <c r="H19" s="82" t="s">
        <v>201</v>
      </c>
      <c r="I19" s="82" t="s">
        <v>1542</v>
      </c>
      <c r="J19" s="90" t="s">
        <v>1543</v>
      </c>
      <c r="K19" s="82"/>
      <c r="L19" s="91" t="s">
        <v>1533</v>
      </c>
      <c r="M19" s="91" t="s">
        <v>1544</v>
      </c>
      <c r="N19" s="83"/>
      <c r="O19" s="83"/>
      <c r="P19" s="83"/>
      <c r="Q19" s="83"/>
      <c r="R19" s="83"/>
      <c r="S19" s="83"/>
      <c r="T19" s="83"/>
      <c r="U19" s="83"/>
      <c r="V19" s="83"/>
      <c r="W19" s="83"/>
      <c r="X19" s="83"/>
      <c r="Y19" s="83"/>
      <c r="Z19" s="83"/>
    </row>
    <row r="20" spans="1:26" ht="65.25" customHeight="1">
      <c r="A20" s="81" t="s">
        <v>1545</v>
      </c>
      <c r="B20" s="82" t="s">
        <v>1540</v>
      </c>
      <c r="C20" s="82" t="str">
        <f t="shared" si="0"/>
        <v>NasopharynxSubsite</v>
      </c>
      <c r="D20" s="82" t="str">
        <f t="array" ref="D20">"CUS_"&amp;C20</f>
        <v>CUS_NasopharynxSubsite</v>
      </c>
      <c r="E20" s="82" t="s">
        <v>1545</v>
      </c>
      <c r="F20" s="82" t="s">
        <v>1546</v>
      </c>
      <c r="G20" s="82" t="s">
        <v>185</v>
      </c>
      <c r="H20" s="82" t="s">
        <v>201</v>
      </c>
      <c r="I20" s="82" t="s">
        <v>1542</v>
      </c>
      <c r="J20" s="95" t="s">
        <v>1547</v>
      </c>
      <c r="K20" s="82"/>
      <c r="L20" s="91" t="s">
        <v>1533</v>
      </c>
      <c r="M20" s="83"/>
      <c r="N20" s="83"/>
      <c r="O20" s="83"/>
      <c r="P20" s="83"/>
      <c r="Q20" s="83"/>
      <c r="R20" s="83"/>
      <c r="S20" s="83"/>
      <c r="T20" s="83"/>
      <c r="U20" s="83"/>
      <c r="V20" s="83"/>
      <c r="W20" s="83"/>
      <c r="X20" s="83"/>
      <c r="Y20" s="83"/>
      <c r="Z20" s="83"/>
    </row>
    <row r="21" spans="1:26" ht="65.25" customHeight="1">
      <c r="A21" s="81" t="s">
        <v>1548</v>
      </c>
      <c r="B21" s="82" t="s">
        <v>1540</v>
      </c>
      <c r="C21" s="82" t="str">
        <f t="shared" si="0"/>
        <v>HypopharynxSubsite</v>
      </c>
      <c r="D21" s="82" t="str">
        <f t="array" ref="D21">"CUS_"&amp;C21</f>
        <v>CUS_HypopharynxSubsite</v>
      </c>
      <c r="E21" s="82" t="s">
        <v>1548</v>
      </c>
      <c r="F21" s="82" t="s">
        <v>1549</v>
      </c>
      <c r="G21" s="82" t="s">
        <v>185</v>
      </c>
      <c r="H21" s="82" t="s">
        <v>201</v>
      </c>
      <c r="I21" s="82" t="s">
        <v>1542</v>
      </c>
      <c r="J21" s="95" t="s">
        <v>1550</v>
      </c>
      <c r="K21" s="82"/>
      <c r="L21" s="91" t="s">
        <v>1533</v>
      </c>
      <c r="M21" s="83"/>
      <c r="N21" s="83"/>
      <c r="O21" s="83"/>
      <c r="P21" s="83"/>
      <c r="Q21" s="83"/>
      <c r="R21" s="83"/>
      <c r="S21" s="83"/>
      <c r="T21" s="83"/>
      <c r="U21" s="83"/>
      <c r="V21" s="83"/>
      <c r="W21" s="83"/>
      <c r="X21" s="83"/>
      <c r="Y21" s="83"/>
      <c r="Z21" s="83"/>
    </row>
    <row r="22" spans="1:26" ht="65.25" customHeight="1">
      <c r="A22" s="81" t="s">
        <v>1551</v>
      </c>
      <c r="B22" s="82" t="s">
        <v>1540</v>
      </c>
      <c r="C22" s="82" t="str">
        <f t="shared" si="0"/>
        <v>OropharynxSubsite</v>
      </c>
      <c r="D22" s="82" t="str">
        <f t="array" ref="D22">"CUS_"&amp;C22</f>
        <v>CUS_OropharynxSubsite</v>
      </c>
      <c r="E22" s="82" t="s">
        <v>1551</v>
      </c>
      <c r="F22" s="82" t="s">
        <v>1552</v>
      </c>
      <c r="G22" s="82" t="s">
        <v>185</v>
      </c>
      <c r="H22" s="82" t="s">
        <v>201</v>
      </c>
      <c r="I22" s="82" t="s">
        <v>1542</v>
      </c>
      <c r="J22" s="95" t="s">
        <v>1553</v>
      </c>
      <c r="K22" s="82"/>
      <c r="L22" s="91" t="s">
        <v>1533</v>
      </c>
      <c r="M22" s="83"/>
      <c r="N22" s="83"/>
      <c r="O22" s="83"/>
      <c r="P22" s="83"/>
      <c r="Q22" s="83"/>
      <c r="R22" s="83"/>
      <c r="S22" s="83"/>
      <c r="T22" s="83"/>
      <c r="U22" s="83"/>
      <c r="V22" s="83"/>
      <c r="W22" s="83"/>
      <c r="X22" s="83"/>
      <c r="Y22" s="83"/>
      <c r="Z22" s="83"/>
    </row>
    <row r="23" spans="1:26" ht="65.25" customHeight="1">
      <c r="A23" s="81" t="s">
        <v>1554</v>
      </c>
      <c r="B23" s="82" t="s">
        <v>1540</v>
      </c>
      <c r="C23" s="82" t="str">
        <f t="shared" si="0"/>
        <v>LarynxSubsite</v>
      </c>
      <c r="D23" s="82" t="str">
        <f t="array" ref="D23">"CUS_"&amp;C23</f>
        <v>CUS_LarynxSubsite</v>
      </c>
      <c r="E23" s="82" t="s">
        <v>1554</v>
      </c>
      <c r="F23" s="82" t="s">
        <v>1555</v>
      </c>
      <c r="G23" s="82" t="s">
        <v>185</v>
      </c>
      <c r="H23" s="82" t="s">
        <v>201</v>
      </c>
      <c r="I23" s="82" t="s">
        <v>1542</v>
      </c>
      <c r="J23" s="95" t="s">
        <v>1556</v>
      </c>
      <c r="K23" s="82"/>
      <c r="L23" s="91" t="s">
        <v>1533</v>
      </c>
      <c r="M23" s="83"/>
      <c r="N23" s="83"/>
      <c r="O23" s="83"/>
      <c r="P23" s="83"/>
      <c r="Q23" s="83"/>
      <c r="R23" s="83"/>
      <c r="S23" s="83"/>
      <c r="T23" s="83"/>
      <c r="U23" s="83"/>
      <c r="V23" s="83"/>
      <c r="W23" s="83"/>
      <c r="X23" s="83"/>
      <c r="Y23" s="83"/>
      <c r="Z23" s="83"/>
    </row>
    <row r="24" spans="1:26" ht="65.25" customHeight="1">
      <c r="A24" s="81" t="s">
        <v>1557</v>
      </c>
      <c r="B24" s="82" t="s">
        <v>1540</v>
      </c>
      <c r="C24" s="82" t="str">
        <f t="shared" si="0"/>
        <v>OralCavitySubsite</v>
      </c>
      <c r="D24" s="82" t="str">
        <f t="array" ref="D24">"CUS_"&amp;C24</f>
        <v>CUS_OralCavitySubsite</v>
      </c>
      <c r="E24" s="82" t="s">
        <v>1557</v>
      </c>
      <c r="F24" s="82" t="s">
        <v>1558</v>
      </c>
      <c r="G24" s="82" t="s">
        <v>185</v>
      </c>
      <c r="H24" s="82" t="s">
        <v>201</v>
      </c>
      <c r="I24" s="82" t="s">
        <v>1542</v>
      </c>
      <c r="J24" s="96" t="s">
        <v>1559</v>
      </c>
      <c r="K24" s="82"/>
      <c r="L24" s="91" t="s">
        <v>1533</v>
      </c>
      <c r="M24" s="83"/>
      <c r="N24" s="83"/>
      <c r="O24" s="83"/>
      <c r="P24" s="83"/>
      <c r="Q24" s="83"/>
      <c r="R24" s="83"/>
      <c r="S24" s="83"/>
      <c r="T24" s="83"/>
      <c r="U24" s="83"/>
      <c r="V24" s="83"/>
      <c r="W24" s="83"/>
      <c r="X24" s="83"/>
      <c r="Y24" s="83"/>
      <c r="Z24" s="83"/>
    </row>
    <row r="25" spans="1:26" ht="65.25" customHeight="1">
      <c r="A25" s="81" t="s">
        <v>1560</v>
      </c>
      <c r="B25" s="82" t="s">
        <v>1540</v>
      </c>
      <c r="C25" s="82" t="str">
        <f t="shared" si="0"/>
        <v>LipSubsite</v>
      </c>
      <c r="D25" s="82" t="str">
        <f t="array" ref="D25">"CUS_"&amp;C25</f>
        <v>CUS_LipSubsite</v>
      </c>
      <c r="E25" s="82" t="s">
        <v>1560</v>
      </c>
      <c r="F25" s="82" t="s">
        <v>1561</v>
      </c>
      <c r="G25" s="82" t="s">
        <v>185</v>
      </c>
      <c r="H25" s="82" t="s">
        <v>201</v>
      </c>
      <c r="I25" s="82" t="s">
        <v>1542</v>
      </c>
      <c r="J25" s="96" t="s">
        <v>1562</v>
      </c>
      <c r="K25" s="82"/>
      <c r="L25" s="91" t="s">
        <v>1533</v>
      </c>
      <c r="M25" s="83"/>
      <c r="N25" s="83"/>
      <c r="O25" s="83"/>
      <c r="P25" s="83"/>
      <c r="Q25" s="83"/>
      <c r="R25" s="83"/>
      <c r="S25" s="83"/>
      <c r="T25" s="83"/>
      <c r="U25" s="83"/>
      <c r="V25" s="83"/>
      <c r="W25" s="83"/>
      <c r="X25" s="83"/>
      <c r="Y25" s="83"/>
      <c r="Z25" s="83"/>
    </row>
    <row r="26" spans="1:26" ht="65.25" customHeight="1">
      <c r="A26" s="81" t="s">
        <v>1563</v>
      </c>
      <c r="B26" s="82" t="s">
        <v>1473</v>
      </c>
      <c r="C26" s="82" t="str">
        <f t="shared" si="0"/>
        <v>PlasmaticEbvDnaAtBaseline</v>
      </c>
      <c r="D26" s="82" t="str">
        <f t="array" ref="D26">"CUS_"&amp;C26</f>
        <v>CUS_PlasmaticEbvDnaAtBaseline</v>
      </c>
      <c r="E26" s="82" t="s">
        <v>1563</v>
      </c>
      <c r="F26" s="82" t="s">
        <v>1564</v>
      </c>
      <c r="G26" s="82" t="s">
        <v>185</v>
      </c>
      <c r="H26" s="82" t="s">
        <v>201</v>
      </c>
      <c r="I26" s="82" t="s">
        <v>1565</v>
      </c>
      <c r="J26" s="82" t="s">
        <v>1566</v>
      </c>
      <c r="K26" s="82"/>
      <c r="L26" s="83"/>
      <c r="M26" s="83"/>
      <c r="N26" s="83"/>
      <c r="O26" s="83"/>
      <c r="P26" s="83"/>
      <c r="Q26" s="83"/>
      <c r="R26" s="83"/>
      <c r="S26" s="83"/>
      <c r="T26" s="83"/>
      <c r="U26" s="83"/>
      <c r="V26" s="83"/>
      <c r="W26" s="83"/>
      <c r="X26" s="83"/>
      <c r="Y26" s="83"/>
      <c r="Z26" s="83"/>
    </row>
    <row r="27" spans="1:26" ht="65.25" customHeight="1">
      <c r="A27" s="81" t="s">
        <v>1567</v>
      </c>
      <c r="B27" s="82" t="s">
        <v>1473</v>
      </c>
      <c r="C27" s="82" t="str">
        <f t="shared" si="0"/>
        <v>PrimerType</v>
      </c>
      <c r="D27" s="82" t="str">
        <f t="array" ref="D27">"CUS_"&amp;C27</f>
        <v>CUS_PrimerType</v>
      </c>
      <c r="E27" s="82" t="s">
        <v>1567</v>
      </c>
      <c r="F27" s="82" t="s">
        <v>1568</v>
      </c>
      <c r="G27" s="82" t="s">
        <v>185</v>
      </c>
      <c r="H27" s="82" t="s">
        <v>201</v>
      </c>
      <c r="I27" s="82" t="s">
        <v>1569</v>
      </c>
      <c r="J27" s="82" t="s">
        <v>1570</v>
      </c>
      <c r="K27" s="82"/>
      <c r="L27" s="83"/>
      <c r="M27" s="83"/>
      <c r="N27" s="83"/>
      <c r="O27" s="83"/>
      <c r="P27" s="83"/>
      <c r="Q27" s="83"/>
      <c r="R27" s="83"/>
      <c r="S27" s="83"/>
      <c r="T27" s="83"/>
      <c r="U27" s="83"/>
      <c r="V27" s="83"/>
      <c r="W27" s="83"/>
      <c r="X27" s="83"/>
      <c r="Y27" s="83"/>
      <c r="Z27" s="83"/>
    </row>
    <row r="28" spans="1:26" ht="65.25" customHeight="1">
      <c r="A28" s="97" t="s">
        <v>1571</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1473</v>
      </c>
      <c r="C29" s="82" t="str">
        <f t="shared" si="0"/>
        <v>CopyNumber</v>
      </c>
      <c r="D29" s="82" t="str">
        <f t="array" ref="D29">"CUS_"&amp;C29</f>
        <v>CUS_CopyNumber</v>
      </c>
      <c r="E29" s="82" t="s">
        <v>866</v>
      </c>
      <c r="F29" s="82" t="s">
        <v>1572</v>
      </c>
      <c r="G29" s="82" t="s">
        <v>344</v>
      </c>
      <c r="H29" s="82" t="s">
        <v>201</v>
      </c>
      <c r="I29" s="82" t="s">
        <v>1573</v>
      </c>
      <c r="J29" s="82" t="s">
        <v>344</v>
      </c>
      <c r="K29" s="82"/>
      <c r="L29" s="83"/>
      <c r="M29" s="83"/>
      <c r="N29" s="83"/>
      <c r="O29" s="83"/>
      <c r="P29" s="83"/>
      <c r="Q29" s="83"/>
      <c r="R29" s="83"/>
      <c r="S29" s="83"/>
      <c r="T29" s="83"/>
      <c r="U29" s="83"/>
      <c r="V29" s="83"/>
      <c r="W29" s="83"/>
      <c r="X29" s="83"/>
      <c r="Y29" s="83"/>
      <c r="Z29" s="83"/>
    </row>
    <row r="30" spans="1:26" ht="65.25" customHeight="1">
      <c r="A30" s="81" t="s">
        <v>1574</v>
      </c>
      <c r="B30" s="82" t="s">
        <v>1473</v>
      </c>
      <c r="C30" s="82" t="str">
        <f t="shared" si="0"/>
        <v>HpvStatus</v>
      </c>
      <c r="D30" s="82" t="str">
        <f t="array" ref="D30">"CUS_"&amp;C30</f>
        <v>CUS_HpvStatus</v>
      </c>
      <c r="E30" s="82" t="s">
        <v>1574</v>
      </c>
      <c r="F30" s="82" t="s">
        <v>1575</v>
      </c>
      <c r="G30" s="82" t="s">
        <v>185</v>
      </c>
      <c r="H30" s="82" t="s">
        <v>201</v>
      </c>
      <c r="I30" s="82" t="s">
        <v>1576</v>
      </c>
      <c r="J30" s="82" t="s">
        <v>1577</v>
      </c>
      <c r="K30" s="82"/>
      <c r="L30" s="83"/>
      <c r="M30" s="83"/>
      <c r="N30" s="83"/>
      <c r="O30" s="83"/>
      <c r="P30" s="83"/>
      <c r="Q30" s="83"/>
      <c r="R30" s="83"/>
      <c r="S30" s="83"/>
      <c r="T30" s="83"/>
      <c r="U30" s="83"/>
      <c r="V30" s="83"/>
      <c r="W30" s="83"/>
      <c r="X30" s="83"/>
      <c r="Y30" s="83"/>
      <c r="Z30" s="83"/>
    </row>
    <row r="31" spans="1:26" ht="65.25" customHeight="1">
      <c r="A31" s="81" t="s">
        <v>1578</v>
      </c>
      <c r="B31" s="82" t="s">
        <v>1473</v>
      </c>
      <c r="C31" s="82" t="str">
        <f t="shared" si="0"/>
        <v>HpvStatusDetectedBy</v>
      </c>
      <c r="D31" s="82" t="str">
        <f t="array" ref="D31">"CUS_"&amp;C31</f>
        <v>CUS_HpvStatusDetectedBy</v>
      </c>
      <c r="E31" s="82" t="s">
        <v>1579</v>
      </c>
      <c r="F31" s="82" t="s">
        <v>1580</v>
      </c>
      <c r="G31" s="82" t="s">
        <v>185</v>
      </c>
      <c r="H31" s="82" t="s">
        <v>201</v>
      </c>
      <c r="I31" s="82" t="s">
        <v>1581</v>
      </c>
      <c r="J31" s="82" t="s">
        <v>1582</v>
      </c>
      <c r="K31" s="82"/>
      <c r="L31" s="83"/>
      <c r="M31" s="83"/>
      <c r="N31" s="83"/>
      <c r="O31" s="83"/>
      <c r="P31" s="83"/>
      <c r="Q31" s="83"/>
      <c r="R31" s="83"/>
      <c r="S31" s="83"/>
      <c r="T31" s="83"/>
      <c r="U31" s="83"/>
      <c r="V31" s="83"/>
      <c r="W31" s="83"/>
      <c r="X31" s="83"/>
      <c r="Y31" s="83"/>
      <c r="Z31" s="83"/>
    </row>
    <row r="32" spans="1:26" ht="65.25" customHeight="1">
      <c r="A32" s="81" t="s">
        <v>1583</v>
      </c>
      <c r="B32" s="82" t="s">
        <v>1473</v>
      </c>
      <c r="C32" s="82" t="str">
        <f t="shared" si="0"/>
        <v>P16</v>
      </c>
      <c r="D32" s="82" t="str">
        <f t="array" ref="D32">"CUS_"&amp;C32</f>
        <v>CUS_P16</v>
      </c>
      <c r="E32" s="82" t="s">
        <v>1583</v>
      </c>
      <c r="F32" s="82" t="s">
        <v>1584</v>
      </c>
      <c r="G32" s="82" t="s">
        <v>185</v>
      </c>
      <c r="H32" s="82" t="s">
        <v>201</v>
      </c>
      <c r="I32" s="82" t="s">
        <v>1576</v>
      </c>
      <c r="J32" s="82" t="s">
        <v>1585</v>
      </c>
      <c r="K32" s="82"/>
      <c r="L32" s="83"/>
      <c r="M32" s="83"/>
      <c r="N32" s="83"/>
      <c r="O32" s="83"/>
      <c r="P32" s="83"/>
      <c r="Q32" s="83"/>
      <c r="R32" s="83"/>
      <c r="S32" s="83"/>
      <c r="T32" s="83"/>
      <c r="U32" s="83"/>
      <c r="V32" s="83"/>
      <c r="W32" s="83"/>
      <c r="X32" s="83"/>
      <c r="Y32" s="83"/>
      <c r="Z32" s="83"/>
    </row>
    <row r="33" spans="1:26" ht="65.25" customHeight="1">
      <c r="A33" s="81" t="s">
        <v>1586</v>
      </c>
      <c r="B33" s="82" t="s">
        <v>1473</v>
      </c>
      <c r="C33" s="82" t="str">
        <f t="shared" si="0"/>
        <v>Pd-L1</v>
      </c>
      <c r="D33" s="82" t="str">
        <f t="array" ref="D33">"CUS_"&amp;C33</f>
        <v>CUS_Pd-L1</v>
      </c>
      <c r="E33" s="82" t="s">
        <v>1586</v>
      </c>
      <c r="F33" s="82" t="s">
        <v>1587</v>
      </c>
      <c r="G33" s="82" t="s">
        <v>185</v>
      </c>
      <c r="H33" s="82" t="s">
        <v>201</v>
      </c>
      <c r="I33" s="82" t="s">
        <v>1576</v>
      </c>
      <c r="J33" s="82" t="s">
        <v>1588</v>
      </c>
      <c r="K33" s="82"/>
      <c r="L33" s="83"/>
      <c r="M33" s="83"/>
      <c r="N33" s="83"/>
      <c r="O33" s="83"/>
      <c r="P33" s="83"/>
      <c r="Q33" s="83"/>
      <c r="R33" s="83"/>
      <c r="S33" s="83"/>
      <c r="T33" s="83"/>
      <c r="U33" s="83"/>
      <c r="V33" s="83"/>
      <c r="W33" s="83"/>
      <c r="X33" s="83"/>
      <c r="Y33" s="83"/>
      <c r="Z33" s="83"/>
    </row>
    <row r="34" spans="1:26" ht="65.25" customHeight="1">
      <c r="A34" s="81" t="s">
        <v>1589</v>
      </c>
      <c r="B34" s="82" t="s">
        <v>1473</v>
      </c>
      <c r="C34" s="82" t="str">
        <f t="shared" si="0"/>
        <v>Pd-L1Method</v>
      </c>
      <c r="D34" s="82" t="str">
        <f t="array" ref="D34">"CUS_"&amp;C34</f>
        <v>CUS_Pd-L1Method</v>
      </c>
      <c r="E34" s="82" t="s">
        <v>1589</v>
      </c>
      <c r="F34" s="82" t="s">
        <v>1590</v>
      </c>
      <c r="G34" s="82" t="s">
        <v>185</v>
      </c>
      <c r="H34" s="82" t="s">
        <v>201</v>
      </c>
      <c r="I34" s="82" t="s">
        <v>1581</v>
      </c>
      <c r="J34" s="82" t="s">
        <v>1591</v>
      </c>
      <c r="K34" s="82"/>
      <c r="L34" s="83"/>
      <c r="M34" s="83"/>
      <c r="N34" s="83"/>
      <c r="O34" s="83"/>
      <c r="P34" s="83"/>
      <c r="Q34" s="83"/>
      <c r="R34" s="83"/>
      <c r="S34" s="83"/>
      <c r="T34" s="83"/>
      <c r="U34" s="83"/>
      <c r="V34" s="83"/>
      <c r="W34" s="83"/>
      <c r="X34" s="83"/>
      <c r="Y34" s="83"/>
      <c r="Z34" s="83"/>
    </row>
    <row r="35" spans="1:26" ht="65.25" customHeight="1">
      <c r="A35" s="81" t="s">
        <v>1592</v>
      </c>
      <c r="B35" s="82" t="s">
        <v>1473</v>
      </c>
      <c r="C35" s="82" t="str">
        <f t="shared" si="0"/>
        <v>Pd-L1CpsValue</v>
      </c>
      <c r="D35" s="82" t="str">
        <f t="array" ref="D35">"CUS_"&amp;C35</f>
        <v>CUS_Pd-L1CpsValue</v>
      </c>
      <c r="E35" s="82" t="s">
        <v>1593</v>
      </c>
      <c r="F35" s="82" t="s">
        <v>1594</v>
      </c>
      <c r="G35" s="82" t="s">
        <v>344</v>
      </c>
      <c r="H35" s="82" t="s">
        <v>201</v>
      </c>
      <c r="I35" s="82" t="s">
        <v>1595</v>
      </c>
      <c r="J35" s="82" t="s">
        <v>80</v>
      </c>
      <c r="K35" s="82"/>
      <c r="L35" s="83"/>
      <c r="M35" s="83"/>
      <c r="N35" s="83"/>
      <c r="O35" s="83"/>
      <c r="P35" s="83"/>
      <c r="Q35" s="83"/>
      <c r="R35" s="83"/>
      <c r="S35" s="83"/>
      <c r="T35" s="83"/>
      <c r="U35" s="83"/>
      <c r="V35" s="83"/>
      <c r="W35" s="83"/>
      <c r="X35" s="83"/>
      <c r="Y35" s="83"/>
      <c r="Z35" s="83"/>
    </row>
    <row r="36" spans="1:26" ht="65.25" customHeight="1">
      <c r="A36" s="81" t="s">
        <v>1596</v>
      </c>
      <c r="B36" s="82" t="s">
        <v>1473</v>
      </c>
      <c r="C36" s="82" t="str">
        <f t="shared" si="0"/>
        <v>Pd-L1TpsValue</v>
      </c>
      <c r="D36" s="82" t="str">
        <f t="array" ref="D36">"CUS_"&amp;C36</f>
        <v>CUS_Pd-L1TpsValue</v>
      </c>
      <c r="E36" s="82" t="s">
        <v>1597</v>
      </c>
      <c r="F36" s="82" t="s">
        <v>1598</v>
      </c>
      <c r="G36" s="82" t="s">
        <v>344</v>
      </c>
      <c r="H36" s="82" t="s">
        <v>201</v>
      </c>
      <c r="I36" s="82" t="s">
        <v>1599</v>
      </c>
      <c r="J36" s="82" t="s">
        <v>80</v>
      </c>
      <c r="K36" s="82"/>
      <c r="L36" s="83"/>
      <c r="M36" s="83"/>
      <c r="N36" s="83"/>
      <c r="O36" s="83"/>
      <c r="P36" s="83"/>
      <c r="Q36" s="83"/>
      <c r="R36" s="83"/>
      <c r="S36" s="83"/>
      <c r="T36" s="83"/>
      <c r="U36" s="83"/>
      <c r="V36" s="83"/>
      <c r="W36" s="83"/>
      <c r="X36" s="83"/>
      <c r="Y36" s="83"/>
      <c r="Z36" s="83"/>
    </row>
    <row r="37" spans="1:26" ht="65.25" customHeight="1">
      <c r="A37" s="81" t="s">
        <v>1600</v>
      </c>
      <c r="B37" s="82"/>
      <c r="C37" s="82" t="str">
        <f t="shared" si="0"/>
        <v>Crp–CReactiveProteinTested</v>
      </c>
      <c r="D37" s="82" t="str">
        <f t="array" ref="D37">"CUS_"&amp;C37</f>
        <v>CUS_Crp–CReactiveProteinTested</v>
      </c>
      <c r="E37" s="82" t="s">
        <v>1600</v>
      </c>
      <c r="F37" s="82" t="s">
        <v>1601</v>
      </c>
      <c r="G37" s="82" t="s">
        <v>185</v>
      </c>
      <c r="H37" s="82" t="s">
        <v>201</v>
      </c>
      <c r="I37" s="82" t="s">
        <v>1576</v>
      </c>
      <c r="J37" s="82" t="s">
        <v>1585</v>
      </c>
      <c r="K37" s="82"/>
      <c r="L37" s="83"/>
      <c r="M37" s="83"/>
      <c r="N37" s="83"/>
      <c r="O37" s="83"/>
      <c r="P37" s="83"/>
      <c r="Q37" s="83"/>
      <c r="R37" s="83"/>
      <c r="S37" s="83"/>
      <c r="T37" s="83"/>
      <c r="U37" s="83"/>
      <c r="V37" s="83"/>
      <c r="W37" s="83"/>
      <c r="X37" s="83"/>
      <c r="Y37" s="83"/>
      <c r="Z37" s="83"/>
    </row>
    <row r="38" spans="1:26" ht="65.25" customHeight="1">
      <c r="A38" s="81" t="s">
        <v>1602</v>
      </c>
      <c r="B38" s="82"/>
      <c r="C38" s="82" t="str">
        <f t="shared" si="0"/>
        <v>CReactiveProtein-Crp(Mg/Dl)</v>
      </c>
      <c r="D38" s="82" t="str">
        <f t="array" ref="D38">"CUS_"&amp;C38</f>
        <v>CUS_CReactiveProtein-Crp(Mg/Dl)</v>
      </c>
      <c r="E38" s="82" t="s">
        <v>1602</v>
      </c>
      <c r="F38" s="82" t="s">
        <v>1603</v>
      </c>
      <c r="G38" s="82" t="s">
        <v>185</v>
      </c>
      <c r="H38" s="82" t="s">
        <v>201</v>
      </c>
      <c r="I38" s="82" t="s">
        <v>1604</v>
      </c>
      <c r="J38" s="82" t="s">
        <v>80</v>
      </c>
      <c r="K38" s="82"/>
      <c r="L38" s="83"/>
      <c r="M38" s="83"/>
      <c r="N38" s="83"/>
      <c r="O38" s="83"/>
      <c r="P38" s="83"/>
      <c r="Q38" s="83"/>
      <c r="R38" s="83"/>
      <c r="S38" s="83"/>
      <c r="T38" s="83"/>
      <c r="U38" s="83"/>
      <c r="V38" s="83"/>
      <c r="W38" s="83"/>
      <c r="X38" s="83"/>
      <c r="Y38" s="83"/>
      <c r="Z38" s="83"/>
    </row>
    <row r="39" spans="1:26" ht="65.25" customHeight="1">
      <c r="A39" s="81" t="s">
        <v>1605</v>
      </c>
      <c r="B39" s="82"/>
      <c r="C39" s="82" t="str">
        <f t="shared" si="0"/>
        <v>InstrumentStatus</v>
      </c>
      <c r="D39" s="82" t="str">
        <f t="array" ref="D39">"CUS_"&amp;C39</f>
        <v>CUS_InstrumentStatus</v>
      </c>
      <c r="E39" s="82" t="s">
        <v>1605</v>
      </c>
      <c r="F39" s="82" t="s">
        <v>152</v>
      </c>
      <c r="G39" s="82" t="s">
        <v>1606</v>
      </c>
      <c r="H39" s="82" t="s">
        <v>201</v>
      </c>
      <c r="I39" s="82" t="s">
        <v>1607</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64" t="s">
        <v>23</v>
      </c>
      <c r="B1" s="164"/>
      <c r="C1" s="164"/>
      <c r="D1" s="164"/>
      <c r="E1" s="164"/>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65" t="s">
        <v>120</v>
      </c>
      <c r="E24" s="30" t="s">
        <v>41</v>
      </c>
      <c r="F24" s="30" t="s">
        <v>118</v>
      </c>
      <c r="G24" s="30" t="s">
        <v>48</v>
      </c>
      <c r="H24" s="31" t="s">
        <v>37</v>
      </c>
    </row>
    <row r="25" spans="1:9" ht="42">
      <c r="A25" s="33" t="s">
        <v>121</v>
      </c>
      <c r="B25" s="30" t="s">
        <v>39</v>
      </c>
      <c r="C25" s="165"/>
      <c r="E25" s="30" t="s">
        <v>41</v>
      </c>
      <c r="F25" s="30" t="s">
        <v>118</v>
      </c>
      <c r="G25" s="30" t="s">
        <v>48</v>
      </c>
      <c r="H25" s="31" t="s">
        <v>37</v>
      </c>
      <c r="I25" s="42"/>
    </row>
    <row r="26" spans="1:9" ht="42">
      <c r="A26" s="33" t="s">
        <v>122</v>
      </c>
      <c r="B26" s="30" t="s">
        <v>39</v>
      </c>
      <c r="C26" s="165"/>
      <c r="E26" s="30" t="s">
        <v>41</v>
      </c>
      <c r="F26" s="30" t="s">
        <v>118</v>
      </c>
      <c r="G26" s="30" t="s">
        <v>48</v>
      </c>
      <c r="H26" s="31" t="s">
        <v>37</v>
      </c>
    </row>
    <row r="27" spans="1:9" ht="42">
      <c r="A27" s="33" t="s">
        <v>123</v>
      </c>
      <c r="B27" s="30" t="s">
        <v>39</v>
      </c>
      <c r="C27" s="165"/>
      <c r="E27" s="30" t="s">
        <v>41</v>
      </c>
      <c r="F27" s="30" t="s">
        <v>118</v>
      </c>
      <c r="G27" s="30" t="s">
        <v>48</v>
      </c>
      <c r="H27" s="31" t="s">
        <v>37</v>
      </c>
    </row>
    <row r="28" spans="1:9" ht="42">
      <c r="A28" s="33" t="s">
        <v>124</v>
      </c>
      <c r="B28" s="30" t="s">
        <v>39</v>
      </c>
      <c r="C28" s="165"/>
      <c r="E28" s="30" t="s">
        <v>41</v>
      </c>
      <c r="F28" s="30" t="s">
        <v>118</v>
      </c>
      <c r="G28" s="30" t="s">
        <v>48</v>
      </c>
      <c r="H28" s="31" t="s">
        <v>37</v>
      </c>
    </row>
    <row r="29" spans="1:9" ht="42">
      <c r="A29" s="33" t="s">
        <v>125</v>
      </c>
      <c r="B29" s="30" t="s">
        <v>39</v>
      </c>
      <c r="C29" s="165"/>
      <c r="E29" s="30" t="s">
        <v>41</v>
      </c>
      <c r="F29" s="30" t="s">
        <v>118</v>
      </c>
      <c r="G29" s="30" t="s">
        <v>48</v>
      </c>
      <c r="H29" s="31" t="s">
        <v>37</v>
      </c>
    </row>
    <row r="30" spans="1:9" ht="42">
      <c r="A30" s="33" t="s">
        <v>126</v>
      </c>
      <c r="B30" s="30" t="s">
        <v>39</v>
      </c>
      <c r="C30" s="165"/>
      <c r="E30" s="30" t="s">
        <v>41</v>
      </c>
      <c r="F30" s="30" t="s">
        <v>118</v>
      </c>
      <c r="G30" s="30" t="s">
        <v>48</v>
      </c>
      <c r="H30" s="31" t="s">
        <v>37</v>
      </c>
    </row>
    <row r="31" spans="1:9" ht="42">
      <c r="A31" s="33" t="s">
        <v>127</v>
      </c>
      <c r="B31" s="30" t="s">
        <v>39</v>
      </c>
      <c r="C31" s="165"/>
      <c r="E31" s="30" t="s">
        <v>41</v>
      </c>
      <c r="F31" s="30" t="s">
        <v>118</v>
      </c>
      <c r="G31" s="30" t="s">
        <v>48</v>
      </c>
      <c r="H31" s="31" t="s">
        <v>37</v>
      </c>
    </row>
    <row r="32" spans="1:9" ht="42">
      <c r="A32" s="33" t="s">
        <v>128</v>
      </c>
      <c r="B32" s="30" t="s">
        <v>39</v>
      </c>
      <c r="C32" s="165"/>
      <c r="E32" s="30" t="s">
        <v>41</v>
      </c>
      <c r="F32" s="30" t="s">
        <v>118</v>
      </c>
      <c r="G32" s="30" t="s">
        <v>48</v>
      </c>
      <c r="H32" s="31" t="s">
        <v>37</v>
      </c>
    </row>
    <row r="33" spans="1:9" ht="42">
      <c r="A33" s="33" t="s">
        <v>129</v>
      </c>
      <c r="B33" s="30" t="s">
        <v>39</v>
      </c>
      <c r="C33" s="165"/>
      <c r="E33" s="30" t="s">
        <v>41</v>
      </c>
      <c r="F33" s="30" t="s">
        <v>118</v>
      </c>
      <c r="G33" s="30" t="s">
        <v>48</v>
      </c>
      <c r="H33" s="31" t="s">
        <v>37</v>
      </c>
    </row>
    <row r="34" spans="1:9" ht="42">
      <c r="A34" s="33" t="s">
        <v>130</v>
      </c>
      <c r="B34" s="30" t="s">
        <v>39</v>
      </c>
      <c r="C34" s="165"/>
      <c r="E34" s="30" t="s">
        <v>41</v>
      </c>
      <c r="F34" s="30" t="s">
        <v>118</v>
      </c>
      <c r="G34" s="30" t="s">
        <v>48</v>
      </c>
      <c r="H34" s="31" t="s">
        <v>37</v>
      </c>
    </row>
    <row r="35" spans="1:9" ht="42">
      <c r="A35" s="33" t="s">
        <v>131</v>
      </c>
      <c r="B35" s="30" t="s">
        <v>39</v>
      </c>
      <c r="C35" s="165"/>
      <c r="E35" s="30" t="s">
        <v>41</v>
      </c>
      <c r="F35" s="30" t="s">
        <v>118</v>
      </c>
      <c r="G35" s="30" t="s">
        <v>48</v>
      </c>
      <c r="H35" s="31" t="s">
        <v>37</v>
      </c>
    </row>
    <row r="36" spans="1:9" ht="42">
      <c r="A36" s="33" t="s">
        <v>132</v>
      </c>
      <c r="B36" s="30" t="s">
        <v>39</v>
      </c>
      <c r="C36" s="165"/>
      <c r="E36" s="30" t="s">
        <v>41</v>
      </c>
      <c r="F36" s="30" t="s">
        <v>118</v>
      </c>
      <c r="G36" s="30" t="s">
        <v>48</v>
      </c>
      <c r="H36" s="31" t="s">
        <v>37</v>
      </c>
    </row>
    <row r="37" spans="1:9" ht="42">
      <c r="A37" s="33" t="s">
        <v>133</v>
      </c>
      <c r="B37" s="30" t="s">
        <v>39</v>
      </c>
      <c r="C37" s="165"/>
      <c r="E37" s="30" t="s">
        <v>41</v>
      </c>
      <c r="F37" s="30" t="s">
        <v>118</v>
      </c>
      <c r="G37" s="30" t="s">
        <v>48</v>
      </c>
      <c r="H37" s="31" t="s">
        <v>37</v>
      </c>
    </row>
    <row r="38" spans="1:9" ht="42">
      <c r="A38" s="33" t="s">
        <v>134</v>
      </c>
      <c r="B38" s="30" t="s">
        <v>39</v>
      </c>
      <c r="C38" s="165"/>
      <c r="E38" s="30" t="s">
        <v>41</v>
      </c>
      <c r="F38" s="30" t="s">
        <v>118</v>
      </c>
      <c r="G38" s="30" t="s">
        <v>48</v>
      </c>
      <c r="H38" s="31" t="s">
        <v>37</v>
      </c>
    </row>
    <row r="39" spans="1:9" ht="42">
      <c r="A39" s="33" t="s">
        <v>135</v>
      </c>
      <c r="B39" s="30" t="s">
        <v>39</v>
      </c>
      <c r="C39" s="165"/>
      <c r="E39" s="30" t="s">
        <v>41</v>
      </c>
      <c r="F39" s="30" t="s">
        <v>118</v>
      </c>
      <c r="G39" s="30" t="s">
        <v>48</v>
      </c>
      <c r="H39" s="31" t="s">
        <v>37</v>
      </c>
    </row>
    <row r="40" spans="1:9" ht="42">
      <c r="A40" s="33" t="s">
        <v>136</v>
      </c>
      <c r="B40" s="30" t="s">
        <v>39</v>
      </c>
      <c r="C40" s="165"/>
      <c r="E40" s="30" t="s">
        <v>41</v>
      </c>
      <c r="F40" s="30" t="s">
        <v>118</v>
      </c>
      <c r="G40" s="30" t="s">
        <v>48</v>
      </c>
      <c r="H40" s="31" t="s">
        <v>37</v>
      </c>
    </row>
    <row r="41" spans="1:9" ht="42">
      <c r="A41" s="33" t="s">
        <v>137</v>
      </c>
      <c r="B41" s="30" t="s">
        <v>39</v>
      </c>
      <c r="C41" s="165"/>
      <c r="E41" s="30" t="s">
        <v>41</v>
      </c>
      <c r="F41" s="30" t="s">
        <v>118</v>
      </c>
      <c r="G41" s="30" t="s">
        <v>48</v>
      </c>
      <c r="H41" s="31" t="s">
        <v>37</v>
      </c>
    </row>
    <row r="42" spans="1:9" ht="42">
      <c r="A42" s="33" t="s">
        <v>138</v>
      </c>
      <c r="B42" s="30" t="s">
        <v>39</v>
      </c>
      <c r="C42" s="165"/>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zoomScale="115" zoomScaleNormal="115" workbookViewId="0">
      <selection activeCell="C25" sqref="C25"/>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0" t="s">
        <v>1765</v>
      </c>
      <c r="B1" s="100" t="s">
        <v>1764</v>
      </c>
      <c r="C1" s="100" t="s">
        <v>1763</v>
      </c>
      <c r="D1" s="100" t="s">
        <v>4</v>
      </c>
      <c r="E1" s="100" t="s">
        <v>7</v>
      </c>
      <c r="F1" s="100" t="s">
        <v>1469</v>
      </c>
      <c r="G1" s="100" t="s">
        <v>1762</v>
      </c>
      <c r="H1" s="100" t="s">
        <v>5</v>
      </c>
      <c r="I1" s="100" t="s">
        <v>6</v>
      </c>
    </row>
    <row r="2" spans="1:11">
      <c r="A2">
        <v>0</v>
      </c>
      <c r="B2" t="s">
        <v>1761</v>
      </c>
      <c r="C2" t="s">
        <v>14</v>
      </c>
      <c r="D2" t="s">
        <v>1760</v>
      </c>
      <c r="E2" t="s">
        <v>1759</v>
      </c>
      <c r="F2" t="s">
        <v>1758</v>
      </c>
      <c r="H2">
        <v>1</v>
      </c>
      <c r="I2">
        <v>1</v>
      </c>
      <c r="K2" s="112"/>
    </row>
    <row r="3" spans="1:11">
      <c r="A3">
        <v>1</v>
      </c>
      <c r="B3" t="s">
        <v>1757</v>
      </c>
      <c r="C3" t="s">
        <v>1472</v>
      </c>
      <c r="D3" t="s">
        <v>1475</v>
      </c>
      <c r="E3" t="s">
        <v>209</v>
      </c>
      <c r="F3" t="s">
        <v>213</v>
      </c>
      <c r="H3">
        <v>1</v>
      </c>
      <c r="I3">
        <v>1</v>
      </c>
    </row>
    <row r="4" spans="1:11">
      <c r="A4">
        <v>2</v>
      </c>
      <c r="B4" t="s">
        <v>1756</v>
      </c>
      <c r="C4" t="s">
        <v>1479</v>
      </c>
      <c r="D4" t="s">
        <v>1755</v>
      </c>
      <c r="E4" t="s">
        <v>1754</v>
      </c>
      <c r="F4" t="s">
        <v>1753</v>
      </c>
      <c r="H4">
        <v>1</v>
      </c>
      <c r="I4">
        <v>1</v>
      </c>
    </row>
    <row r="5" spans="1:11">
      <c r="A5">
        <v>3</v>
      </c>
      <c r="B5" t="s">
        <v>1752</v>
      </c>
      <c r="C5" t="s">
        <v>1483</v>
      </c>
      <c r="D5" t="s">
        <v>1484</v>
      </c>
      <c r="E5" t="s">
        <v>1485</v>
      </c>
      <c r="F5" t="s">
        <v>1488</v>
      </c>
      <c r="H5">
        <v>1</v>
      </c>
      <c r="I5">
        <v>1</v>
      </c>
    </row>
    <row r="6" spans="1:11">
      <c r="A6">
        <v>4</v>
      </c>
      <c r="B6" t="s">
        <v>1751</v>
      </c>
      <c r="C6" t="s">
        <v>1750</v>
      </c>
      <c r="D6" t="s">
        <v>1749</v>
      </c>
      <c r="E6" t="s">
        <v>275</v>
      </c>
      <c r="F6" t="s">
        <v>1748</v>
      </c>
      <c r="G6" t="s">
        <v>1748</v>
      </c>
      <c r="H6">
        <v>0</v>
      </c>
      <c r="I6">
        <v>1</v>
      </c>
    </row>
    <row r="7" spans="1:11">
      <c r="A7">
        <v>5</v>
      </c>
      <c r="B7" t="s">
        <v>1747</v>
      </c>
      <c r="C7" t="s">
        <v>1489</v>
      </c>
      <c r="D7" t="s">
        <v>1491</v>
      </c>
      <c r="E7" t="s">
        <v>275</v>
      </c>
      <c r="F7" t="s">
        <v>1746</v>
      </c>
      <c r="G7" t="s">
        <v>1745</v>
      </c>
      <c r="H7">
        <v>1</v>
      </c>
      <c r="I7">
        <v>1</v>
      </c>
    </row>
    <row r="8" spans="1:11">
      <c r="A8">
        <v>7</v>
      </c>
      <c r="B8" t="s">
        <v>1744</v>
      </c>
      <c r="C8" t="s">
        <v>1499</v>
      </c>
      <c r="D8" t="s">
        <v>1500</v>
      </c>
      <c r="E8" t="s">
        <v>185</v>
      </c>
      <c r="F8" t="s">
        <v>1743</v>
      </c>
      <c r="G8" t="s">
        <v>1742</v>
      </c>
      <c r="H8">
        <v>1</v>
      </c>
      <c r="I8">
        <v>1</v>
      </c>
    </row>
    <row r="9" spans="1:11">
      <c r="A9">
        <v>8</v>
      </c>
      <c r="B9" t="s">
        <v>1741</v>
      </c>
      <c r="C9" t="s">
        <v>1505</v>
      </c>
      <c r="D9" t="s">
        <v>1506</v>
      </c>
      <c r="E9" t="s">
        <v>185</v>
      </c>
      <c r="F9" t="s">
        <v>1740</v>
      </c>
      <c r="G9" t="s">
        <v>1739</v>
      </c>
      <c r="H9">
        <v>1</v>
      </c>
      <c r="I9">
        <v>1</v>
      </c>
    </row>
    <row r="10" spans="1:11">
      <c r="A10">
        <v>9</v>
      </c>
      <c r="B10" t="s">
        <v>1738</v>
      </c>
      <c r="C10" t="s">
        <v>1511</v>
      </c>
      <c r="D10" t="s">
        <v>1512</v>
      </c>
      <c r="E10" t="s">
        <v>185</v>
      </c>
      <c r="F10" t="s">
        <v>1737</v>
      </c>
      <c r="G10" t="s">
        <v>1736</v>
      </c>
      <c r="H10">
        <v>1</v>
      </c>
      <c r="I10">
        <v>1</v>
      </c>
    </row>
    <row r="11" spans="1:11">
      <c r="A11">
        <v>10</v>
      </c>
      <c r="B11" t="s">
        <v>1735</v>
      </c>
      <c r="C11" t="s">
        <v>1517</v>
      </c>
      <c r="D11" t="s">
        <v>1518</v>
      </c>
      <c r="E11" t="s">
        <v>185</v>
      </c>
      <c r="F11" t="s">
        <v>1734</v>
      </c>
      <c r="G11" t="s">
        <v>1733</v>
      </c>
      <c r="H11">
        <v>1</v>
      </c>
      <c r="I11">
        <v>1</v>
      </c>
    </row>
    <row r="12" spans="1:11">
      <c r="A12">
        <v>11</v>
      </c>
      <c r="B12" t="s">
        <v>1732</v>
      </c>
      <c r="C12" t="s">
        <v>1523</v>
      </c>
      <c r="D12" t="s">
        <v>1524</v>
      </c>
      <c r="E12" t="s">
        <v>185</v>
      </c>
      <c r="F12" t="s">
        <v>1731</v>
      </c>
      <c r="G12" t="s">
        <v>1730</v>
      </c>
      <c r="H12">
        <v>1</v>
      </c>
      <c r="I12">
        <v>1</v>
      </c>
    </row>
    <row r="13" spans="1:11">
      <c r="A13">
        <v>13</v>
      </c>
      <c r="B13" t="s">
        <v>1729</v>
      </c>
      <c r="C13" t="s">
        <v>1539</v>
      </c>
      <c r="D13" t="s">
        <v>1541</v>
      </c>
      <c r="E13" t="s">
        <v>185</v>
      </c>
      <c r="F13" t="s">
        <v>1728</v>
      </c>
      <c r="G13" t="s">
        <v>1727</v>
      </c>
      <c r="H13">
        <v>1</v>
      </c>
      <c r="I13">
        <v>1</v>
      </c>
    </row>
    <row r="14" spans="1:11">
      <c r="A14">
        <v>14</v>
      </c>
      <c r="B14" t="s">
        <v>1726</v>
      </c>
      <c r="C14" t="s">
        <v>1545</v>
      </c>
      <c r="D14" t="s">
        <v>1546</v>
      </c>
      <c r="E14" t="s">
        <v>185</v>
      </c>
      <c r="F14" t="s">
        <v>1725</v>
      </c>
      <c r="G14" t="s">
        <v>1724</v>
      </c>
      <c r="H14">
        <v>1</v>
      </c>
      <c r="I14">
        <v>1</v>
      </c>
    </row>
    <row r="15" spans="1:11">
      <c r="A15">
        <v>15</v>
      </c>
      <c r="B15" t="s">
        <v>1723</v>
      </c>
      <c r="C15" t="s">
        <v>1548</v>
      </c>
      <c r="D15" t="s">
        <v>1549</v>
      </c>
      <c r="E15" t="s">
        <v>185</v>
      </c>
      <c r="F15" t="s">
        <v>1722</v>
      </c>
      <c r="G15" t="s">
        <v>1721</v>
      </c>
      <c r="H15">
        <v>1</v>
      </c>
      <c r="I15">
        <v>1</v>
      </c>
    </row>
    <row r="16" spans="1:11">
      <c r="A16">
        <v>16</v>
      </c>
      <c r="B16" t="s">
        <v>1720</v>
      </c>
      <c r="C16" t="s">
        <v>1551</v>
      </c>
      <c r="D16" t="s">
        <v>1552</v>
      </c>
      <c r="E16" t="s">
        <v>185</v>
      </c>
      <c r="F16" t="s">
        <v>1719</v>
      </c>
      <c r="G16" t="s">
        <v>1718</v>
      </c>
      <c r="H16">
        <v>1</v>
      </c>
      <c r="I16">
        <v>1</v>
      </c>
    </row>
    <row r="17" spans="1:9">
      <c r="A17">
        <v>17</v>
      </c>
      <c r="B17" t="s">
        <v>1717</v>
      </c>
      <c r="C17" t="s">
        <v>1554</v>
      </c>
      <c r="D17" t="s">
        <v>1555</v>
      </c>
      <c r="E17" t="s">
        <v>185</v>
      </c>
      <c r="F17" t="s">
        <v>1716</v>
      </c>
      <c r="G17" t="s">
        <v>1715</v>
      </c>
      <c r="H17">
        <v>1</v>
      </c>
      <c r="I17">
        <v>1</v>
      </c>
    </row>
    <row r="18" spans="1:9">
      <c r="A18">
        <v>18</v>
      </c>
      <c r="B18" t="s">
        <v>1714</v>
      </c>
      <c r="C18" t="s">
        <v>1557</v>
      </c>
      <c r="D18" t="s">
        <v>1558</v>
      </c>
      <c r="E18" t="s">
        <v>185</v>
      </c>
      <c r="F18" t="s">
        <v>1559</v>
      </c>
      <c r="G18" t="s">
        <v>1713</v>
      </c>
      <c r="H18">
        <v>1</v>
      </c>
      <c r="I18">
        <v>1</v>
      </c>
    </row>
    <row r="19" spans="1:9">
      <c r="A19">
        <v>19</v>
      </c>
      <c r="B19" t="s">
        <v>1712</v>
      </c>
      <c r="C19" t="s">
        <v>1560</v>
      </c>
      <c r="D19" t="s">
        <v>1561</v>
      </c>
      <c r="E19" t="s">
        <v>185</v>
      </c>
      <c r="F19" t="s">
        <v>1562</v>
      </c>
      <c r="G19" t="s">
        <v>1711</v>
      </c>
      <c r="H19">
        <v>1</v>
      </c>
      <c r="I19">
        <v>1</v>
      </c>
    </row>
    <row r="20" spans="1:9">
      <c r="A20">
        <v>20</v>
      </c>
      <c r="B20" t="s">
        <v>1710</v>
      </c>
      <c r="C20" t="s">
        <v>1563</v>
      </c>
      <c r="D20" t="s">
        <v>1564</v>
      </c>
      <c r="E20" t="s">
        <v>185</v>
      </c>
      <c r="F20" t="s">
        <v>1566</v>
      </c>
      <c r="G20" t="s">
        <v>1707</v>
      </c>
      <c r="H20">
        <v>0</v>
      </c>
      <c r="I20">
        <v>1</v>
      </c>
    </row>
    <row r="21" spans="1:9">
      <c r="A21">
        <v>21</v>
      </c>
      <c r="B21" t="s">
        <v>1709</v>
      </c>
      <c r="C21" t="s">
        <v>1574</v>
      </c>
      <c r="D21" t="s">
        <v>1575</v>
      </c>
      <c r="E21" t="s">
        <v>185</v>
      </c>
      <c r="F21" t="s">
        <v>1577</v>
      </c>
      <c r="G21" t="s">
        <v>1707</v>
      </c>
      <c r="H21">
        <v>0</v>
      </c>
      <c r="I21">
        <v>1</v>
      </c>
    </row>
    <row r="22" spans="1:9">
      <c r="A22">
        <v>22</v>
      </c>
      <c r="B22" t="s">
        <v>1708</v>
      </c>
      <c r="C22" t="s">
        <v>1600</v>
      </c>
      <c r="D22" t="s">
        <v>1601</v>
      </c>
      <c r="E22" t="s">
        <v>185</v>
      </c>
      <c r="F22" t="s">
        <v>1585</v>
      </c>
      <c r="G22" t="s">
        <v>1707</v>
      </c>
      <c r="H22">
        <v>0</v>
      </c>
      <c r="I22">
        <v>1</v>
      </c>
    </row>
    <row r="27" spans="1:9">
      <c r="C27" s="9" t="s">
        <v>3</v>
      </c>
      <c r="D27" s="1" t="s">
        <v>4</v>
      </c>
      <c r="E27" s="3" t="s">
        <v>5</v>
      </c>
      <c r="F27" s="3" t="s">
        <v>6</v>
      </c>
      <c r="G27" s="3" t="s">
        <v>7</v>
      </c>
      <c r="H27" s="105" t="s">
        <v>1610</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25" zoomScaleNormal="100" workbookViewId="0">
      <selection activeCell="C30" sqref="C30"/>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1788</v>
      </c>
      <c r="J4" s="16" t="str">
        <f>CONCATENATE("Logical: ",B4)</f>
        <v>Logical: CancerEpisodeI4rc</v>
      </c>
    </row>
    <row r="5" spans="1:12">
      <c r="A5" s="14" t="s">
        <v>16</v>
      </c>
      <c r="B5" s="46" t="s">
        <v>1789</v>
      </c>
      <c r="J5" s="16" t="str">
        <f>CONCATENATE("Id: ",B5)</f>
        <v>Id: CancerEpisode</v>
      </c>
    </row>
    <row r="6" spans="1:12">
      <c r="A6" s="14" t="s">
        <v>10</v>
      </c>
      <c r="B6" s="47" t="s">
        <v>1899</v>
      </c>
      <c r="J6" s="17" t="str">
        <f>CONCATENATE("Title: ##34#",B6,"##34#")</f>
        <v>Title: ##34#Cancer  Episode##34#</v>
      </c>
    </row>
    <row r="7" spans="1:12" ht="30.25" thickBot="1">
      <c r="A7" s="26" t="s">
        <v>2</v>
      </c>
      <c r="B7" s="48" t="s">
        <v>1790</v>
      </c>
      <c r="C7" s="9" t="s">
        <v>3</v>
      </c>
      <c r="D7" s="1" t="s">
        <v>4</v>
      </c>
      <c r="E7" s="3" t="s">
        <v>5</v>
      </c>
      <c r="F7" s="3" t="s">
        <v>6</v>
      </c>
      <c r="G7" s="3" t="s">
        <v>7</v>
      </c>
      <c r="H7" s="105" t="s">
        <v>1610</v>
      </c>
      <c r="J7" s="17" t="str">
        <f>CONCATENATE("Description: "," ##334#",B7,"##334#",)</f>
        <v>Description:  ##334#Cancer Episode
Maturity Level: 0 Draft##334#</v>
      </c>
    </row>
    <row r="8" spans="1:12" ht="44.25">
      <c r="A8" s="11">
        <v>0</v>
      </c>
      <c r="B8" s="107" t="s">
        <v>1805</v>
      </c>
      <c r="C8" s="12" t="s">
        <v>14</v>
      </c>
      <c r="D8" s="12" t="s">
        <v>1760</v>
      </c>
      <c r="E8" s="11">
        <v>1</v>
      </c>
      <c r="F8" s="11">
        <v>1</v>
      </c>
      <c r="G8" s="113" t="s">
        <v>1783</v>
      </c>
      <c r="H8" s="12" t="s">
        <v>1758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09" t="s">
        <v>1806</v>
      </c>
      <c r="C9" s="12" t="s">
        <v>1472</v>
      </c>
      <c r="D9" s="12" t="s">
        <v>1475</v>
      </c>
      <c r="E9" s="11">
        <v>1</v>
      </c>
      <c r="F9" s="11">
        <v>1</v>
      </c>
      <c r="G9" s="108"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07" t="s">
        <v>1807</v>
      </c>
      <c r="C10" s="12" t="s">
        <v>1479</v>
      </c>
      <c r="D10" s="12" t="s">
        <v>1755</v>
      </c>
      <c r="E10" s="11">
        <v>1</v>
      </c>
      <c r="F10" s="11">
        <v>1</v>
      </c>
      <c r="G10" s="108" t="s">
        <v>1786</v>
      </c>
      <c r="H10" s="12" t="s">
        <v>1753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07" t="s">
        <v>1808</v>
      </c>
      <c r="C11" s="12" t="s">
        <v>1483</v>
      </c>
      <c r="D11" s="12" t="s">
        <v>1484</v>
      </c>
      <c r="E11" s="11">
        <v>1</v>
      </c>
      <c r="F11" s="11">
        <v>1</v>
      </c>
      <c r="G11" s="108" t="s">
        <v>1784</v>
      </c>
      <c r="H11" s="12" t="s">
        <v>1488</v>
      </c>
      <c r="I11" s="25"/>
      <c r="J11" s="12" t="str">
        <f t="shared" si="0"/>
        <v>* ageAtDiagnosis 1..1 integer  ##34#Age at diagnosis##34# ##334#Age of the patient at the time of the diagnosis.##334#</v>
      </c>
      <c r="L11" s="12" t="str">
        <f t="shared" si="1"/>
        <v>* ageAtDiagnosis ^comment = ##334#Whole number greater than 0##334#</v>
      </c>
    </row>
    <row r="12" spans="1:12" ht="29.5">
      <c r="A12" s="6">
        <v>4</v>
      </c>
      <c r="B12" s="107" t="s">
        <v>1809</v>
      </c>
      <c r="C12" s="12" t="s">
        <v>1750</v>
      </c>
      <c r="D12" s="12" t="s">
        <v>1749</v>
      </c>
      <c r="E12" s="11">
        <v>0</v>
      </c>
      <c r="F12" s="11">
        <v>1</v>
      </c>
      <c r="G12" s="108" t="s">
        <v>1786</v>
      </c>
      <c r="H12" s="115" t="s">
        <v>1766</v>
      </c>
      <c r="I12" s="25"/>
      <c r="J12" s="12" t="str">
        <f t="shared" si="0"/>
        <v>* grading 0..1 CodeableConcept ##34#Grading##34# ##334#Grading of the cancer##334#</v>
      </c>
      <c r="L12" s="12" t="str">
        <f t="shared" si="1"/>
        <v>* grading ^comment = ##334#Check thisCheck this##334#</v>
      </c>
    </row>
    <row r="13" spans="1:12" s="2" customFormat="1" ht="339.25">
      <c r="A13" s="11">
        <v>5</v>
      </c>
      <c r="B13" s="109" t="s">
        <v>1810</v>
      </c>
      <c r="C13" s="12" t="s">
        <v>1489</v>
      </c>
      <c r="D13" s="12" t="s">
        <v>1491</v>
      </c>
      <c r="E13" s="11">
        <v>1</v>
      </c>
      <c r="F13" s="11">
        <v>1</v>
      </c>
      <c r="G13" s="108" t="s">
        <v>1786</v>
      </c>
      <c r="H13" s="12" t="s">
        <v>1767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2" customFormat="1" ht="29.5">
      <c r="A14" s="6"/>
      <c r="B14" s="6" t="s">
        <v>1811</v>
      </c>
      <c r="C14" s="4" t="s">
        <v>1785</v>
      </c>
      <c r="D14" s="4" t="s">
        <v>1785</v>
      </c>
      <c r="E14" s="6">
        <v>1</v>
      </c>
      <c r="F14" s="6">
        <v>1</v>
      </c>
      <c r="G14" s="4" t="s">
        <v>1</v>
      </c>
      <c r="H14" s="4"/>
      <c r="I14" s="116"/>
      <c r="J14" s="12" t="str">
        <f t="shared" si="0"/>
        <v>* histologySubGroup 1..1 BackboneElement ##34#Histology Subgroups##34# ##334#Histology Subgroups##334#</v>
      </c>
      <c r="K14" s="73"/>
      <c r="L14" s="12" t="str">
        <f t="shared" si="1"/>
        <v/>
      </c>
    </row>
    <row r="15" spans="1:12" s="2" customFormat="1" ht="409.5">
      <c r="A15" s="11">
        <v>6</v>
      </c>
      <c r="B15" s="109" t="s">
        <v>1812</v>
      </c>
      <c r="C15" s="12" t="s">
        <v>1499</v>
      </c>
      <c r="D15" s="12" t="s">
        <v>1500</v>
      </c>
      <c r="E15" s="117">
        <v>1</v>
      </c>
      <c r="F15" s="11">
        <v>1</v>
      </c>
      <c r="G15" s="114" t="s">
        <v>1786</v>
      </c>
      <c r="H15" s="12" t="s">
        <v>1768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09" t="s">
        <v>1813</v>
      </c>
      <c r="C16" s="12" t="s">
        <v>1505</v>
      </c>
      <c r="D16" s="12" t="s">
        <v>1506</v>
      </c>
      <c r="E16" s="117">
        <v>1</v>
      </c>
      <c r="F16" s="11">
        <v>1</v>
      </c>
      <c r="G16" s="114" t="s">
        <v>1786</v>
      </c>
      <c r="H16" s="12" t="s">
        <v>1769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09" t="s">
        <v>1814</v>
      </c>
      <c r="C17" s="12" t="s">
        <v>1511</v>
      </c>
      <c r="D17" s="12" t="s">
        <v>1512</v>
      </c>
      <c r="E17" s="117">
        <v>1</v>
      </c>
      <c r="F17" s="11">
        <v>1</v>
      </c>
      <c r="G17" s="114" t="s">
        <v>1786</v>
      </c>
      <c r="H17" s="12" t="s">
        <v>1770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09" t="s">
        <v>1815</v>
      </c>
      <c r="C18" s="12" t="s">
        <v>1517</v>
      </c>
      <c r="D18" s="12" t="s">
        <v>1518</v>
      </c>
      <c r="E18" s="117">
        <v>1</v>
      </c>
      <c r="F18" s="11">
        <v>1</v>
      </c>
      <c r="G18" s="114" t="s">
        <v>1786</v>
      </c>
      <c r="H18" s="12" t="s">
        <v>1771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09" t="s">
        <v>1816</v>
      </c>
      <c r="C19" s="12" t="s">
        <v>1523</v>
      </c>
      <c r="D19" s="12" t="s">
        <v>1524</v>
      </c>
      <c r="E19" s="117">
        <v>1</v>
      </c>
      <c r="F19" s="11">
        <v>1</v>
      </c>
      <c r="G19" s="114" t="s">
        <v>1786</v>
      </c>
      <c r="H19" s="12" t="s">
        <v>1772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09" t="s">
        <v>1820</v>
      </c>
      <c r="C20" s="12" t="s">
        <v>1539</v>
      </c>
      <c r="D20" s="12" t="s">
        <v>1541</v>
      </c>
      <c r="E20" s="117">
        <v>1</v>
      </c>
      <c r="F20" s="11">
        <v>1</v>
      </c>
      <c r="G20" s="114" t="s">
        <v>1786</v>
      </c>
      <c r="H20" s="12" t="s">
        <v>1773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09" t="s">
        <v>1821</v>
      </c>
      <c r="C21" s="12" t="s">
        <v>1545</v>
      </c>
      <c r="D21" s="12" t="s">
        <v>1546</v>
      </c>
      <c r="E21" s="117">
        <v>1</v>
      </c>
      <c r="F21" s="11">
        <v>1</v>
      </c>
      <c r="G21" s="114" t="s">
        <v>1786</v>
      </c>
      <c r="H21" s="12" t="s">
        <v>1774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09" t="s">
        <v>1826</v>
      </c>
      <c r="C22" s="12" t="s">
        <v>1548</v>
      </c>
      <c r="D22" s="12" t="s">
        <v>1549</v>
      </c>
      <c r="E22" s="117">
        <v>1</v>
      </c>
      <c r="F22" s="11">
        <v>1</v>
      </c>
      <c r="G22" s="114" t="s">
        <v>1786</v>
      </c>
      <c r="H22" s="12" t="s">
        <v>1775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09" t="s">
        <v>1822</v>
      </c>
      <c r="C23" s="12" t="s">
        <v>1551</v>
      </c>
      <c r="D23" s="12" t="s">
        <v>1552</v>
      </c>
      <c r="E23" s="117">
        <v>1</v>
      </c>
      <c r="F23" s="11">
        <v>1</v>
      </c>
      <c r="G23" s="114" t="s">
        <v>1786</v>
      </c>
      <c r="H23" s="12" t="s">
        <v>1776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09" t="s">
        <v>1824</v>
      </c>
      <c r="C24" s="12" t="s">
        <v>1554</v>
      </c>
      <c r="D24" s="12" t="s">
        <v>1555</v>
      </c>
      <c r="E24" s="117">
        <v>1</v>
      </c>
      <c r="F24" s="11">
        <v>1</v>
      </c>
      <c r="G24" s="114" t="s">
        <v>1786</v>
      </c>
      <c r="H24" s="12" t="s">
        <v>1777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09" t="s">
        <v>1823</v>
      </c>
      <c r="C25" s="12" t="s">
        <v>1557</v>
      </c>
      <c r="D25" s="12" t="s">
        <v>1558</v>
      </c>
      <c r="E25" s="117">
        <v>1</v>
      </c>
      <c r="F25" s="11">
        <v>1</v>
      </c>
      <c r="G25" s="114" t="s">
        <v>1786</v>
      </c>
      <c r="H25" s="12" t="s">
        <v>1778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09" t="s">
        <v>1825</v>
      </c>
      <c r="C26" s="12" t="s">
        <v>1560</v>
      </c>
      <c r="D26" s="12" t="s">
        <v>1561</v>
      </c>
      <c r="E26" s="117">
        <v>1</v>
      </c>
      <c r="F26" s="11">
        <v>1</v>
      </c>
      <c r="G26" s="114" t="s">
        <v>1786</v>
      </c>
      <c r="H26" s="12" t="s">
        <v>1779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07" t="s">
        <v>1817</v>
      </c>
      <c r="C27" s="12" t="s">
        <v>1563</v>
      </c>
      <c r="D27" s="12" t="s">
        <v>1564</v>
      </c>
      <c r="E27" s="11">
        <v>0</v>
      </c>
      <c r="F27" s="11">
        <v>1</v>
      </c>
      <c r="G27" s="114" t="s">
        <v>1786</v>
      </c>
      <c r="H27" s="12" t="s">
        <v>1780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07" t="s">
        <v>1818</v>
      </c>
      <c r="C28" s="12" t="s">
        <v>1574</v>
      </c>
      <c r="D28" s="12" t="s">
        <v>1575</v>
      </c>
      <c r="E28" s="11">
        <v>0</v>
      </c>
      <c r="F28" s="11">
        <v>1</v>
      </c>
      <c r="G28" s="114" t="s">
        <v>1786</v>
      </c>
      <c r="H28" s="12" t="s">
        <v>1781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09" t="s">
        <v>1819</v>
      </c>
      <c r="C29" s="12" t="s">
        <v>2324</v>
      </c>
      <c r="D29" s="12" t="s">
        <v>1601</v>
      </c>
      <c r="E29" s="11">
        <v>0</v>
      </c>
      <c r="F29" s="11">
        <v>1</v>
      </c>
      <c r="G29" s="114" t="s">
        <v>1786</v>
      </c>
      <c r="H29" s="12" t="s">
        <v>1782</v>
      </c>
      <c r="I29" s="25"/>
      <c r="J29" s="12" t="str">
        <f t="shared" si="0"/>
        <v>* crpCReactiveProteinTested 0..1 CodeableConcept ##34#CRP - C reactive protein tested##34#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F3" sqref="F3"/>
    </sheetView>
  </sheetViews>
  <sheetFormatPr defaultRowHeight="14.75"/>
  <cols>
    <col min="3" max="3" width="108.2265625" style="12" customWidth="1"/>
    <col min="7" max="7" width="29.54296875" customWidth="1"/>
    <col min="8" max="8" width="54.90625" customWidth="1"/>
  </cols>
  <sheetData>
    <row r="1" spans="3:7" ht="15.5" thickBot="1">
      <c r="C1" s="23" t="str">
        <f>CancerEpisode!J1</f>
        <v>//===================================================</v>
      </c>
    </row>
    <row r="2" spans="3:7" ht="16.75" thickBot="1">
      <c r="C2" s="24" t="str">
        <f>CancerEpisode!J2</f>
        <v>//  Logical Model</v>
      </c>
      <c r="G2" s="29" t="s">
        <v>1787</v>
      </c>
    </row>
    <row r="3" spans="3:7">
      <c r="C3" s="24" t="str">
        <f>CancerEpisode!J3</f>
        <v>//===================================================</v>
      </c>
    </row>
    <row r="4" spans="3:7">
      <c r="C4" s="16" t="str">
        <f>CancerEpisode!J4</f>
        <v>Logical: CancerEpisodeI4rc</v>
      </c>
    </row>
    <row r="5" spans="3:7">
      <c r="C5" s="16" t="str">
        <f>CancerEpisode!J5</f>
        <v>Id: CancerEpisode</v>
      </c>
    </row>
    <row r="6" spans="3:7">
      <c r="C6" s="16" t="str">
        <f>CancerEpisode!J6</f>
        <v>Title: ##34#Cancer  Episode##34#</v>
      </c>
    </row>
    <row r="7" spans="3:7" ht="29.5">
      <c r="C7" s="16" t="str">
        <f>CancerEpisode!J7</f>
        <v>Description:  ##334#Cancer Episode
Maturity Level: 0 Draft##334#</v>
      </c>
    </row>
    <row r="8" spans="3:7" ht="29.5">
      <c r="C8" s="12" t="str">
        <f>IF(CancerEpisode!J8="*  ..  ##34###34# ##334###334#","//--- END",CancerEpisode!J8)</f>
        <v>* patient 1..1 http://hl7.eu/fhir/ig/idea4rc/StructureDefinition/Subject ##34#Patient##34# ##334#Patient element containing the data regarding the patient followed by the hospital##334#</v>
      </c>
    </row>
    <row r="9" spans="3:7" ht="29.5">
      <c r="C9" s="12" t="str">
        <f>IF(CancerEpisode!J9="*  ..  ##34###34# ##334###334#","//--- END",CancerEpisode!J9)</f>
        <v>* dateOfDiagnosis 1..1 date ##34#Date of diagnosis (biopsy or surgical piece)##34# ##334#Date of the procedure from which the specimen was obtained that allowed the histological diagnosis.##334#</v>
      </c>
    </row>
    <row r="10" spans="3:7" ht="29.5">
      <c r="C10" s="12" t="str">
        <f>IF(CancerEpisode!J10="*  ..  ##34###34# ##334###334#","//--- END",CancerEpisode!J10)</f>
        <v>* biopsyDoneBy 1..1 CodeableConcept ##34#Biopsy done by##34# ##334#Describes the institution where diagnostic procedure was performed##334#</v>
      </c>
    </row>
    <row r="11" spans="3:7">
      <c r="C11" s="12" t="str">
        <f>IF(CancerEpisode!J11="*  ..  ##34###34# ##334###334#","//--- END",CancerEpisode!J11)</f>
        <v>* ageAtDiagnosis 1..1 integer  ##34#Age at diagnosis##34# ##334#Age of the patient at the time of the diagnosis.##334#</v>
      </c>
    </row>
    <row r="12" spans="3:7">
      <c r="C12" s="12" t="str">
        <f>IF(CancerEpisode!J12="*  ..  ##34###34# ##334###334#","//--- END",CancerEpisode!J12)</f>
        <v>* grading 0..1 CodeableConcept ##34#Grading##34# ##334#Grading of the cancer##334#</v>
      </c>
    </row>
    <row r="13" spans="3:7" ht="29.5">
      <c r="C13" s="12" t="str">
        <f>IF(CancerEpisode!J13="*  ..  ##34###34# ##334###334#","//--- END",CancerEpisode!J13)</f>
        <v>* histologyGroup 1..1 CodeableConcept ##34#Histology (WHO 2017) group##34# ##334#Histology of prymary tumour  according to WHO 2017 clasification.##334#</v>
      </c>
    </row>
    <row r="14" spans="3:7">
      <c r="C14" s="12" t="str">
        <f>IF(CancerEpisode!J14="*  ..  ##34###34# ##334###334#","//--- END",CancerEpisode!J14)</f>
        <v>* histologySubGroup 1..1 BackboneElement ##34#Histology Subgroups##34# ##334#Histology Subgroups##334#</v>
      </c>
    </row>
    <row r="15" spans="3:7" ht="29.5">
      <c r="C15" s="12" t="str">
        <f>IF(CancerEpisode!J15="*  ..  ##34###34# ##334###334#","//--- END",CancerEpisode!J15)</f>
        <v>* histologySubGroup.histologySquamous 1..1 CodeableConcept ##34#Histology Squamous##34# ##334#Specifies the histological subgroup for squamous cancers##334#</v>
      </c>
    </row>
    <row r="16" spans="3:7" ht="29.5">
      <c r="C16" s="12" t="str">
        <f>IF(CancerEpisode!J16="*  ..  ##34###34# ##334###334#","//--- END",CancerEpisode!J16)</f>
        <v>* histologySubGroup.histologyAdenocarcinoma 1..1 CodeableConcept ##34#Histology Adenocarcinoma##34# ##334#Specifies the histological subgroup for adenocarcinomas##334#</v>
      </c>
    </row>
    <row r="17" spans="3:3" ht="29.5">
      <c r="C17" s="12" t="str">
        <f>IF(CancerEpisode!J17="*  ..  ##34###34# ##334###334#","//--- END",CancerEpisode!J17)</f>
        <v>* histologySubGroup.histologyNeuroendocrine 1..1 CodeableConcept ##34#Histology Neuroendocrine##34# ##334#Specifies the histological subgroup for neuroendocrine cancers ##334#</v>
      </c>
    </row>
    <row r="18" spans="3:3" ht="29.5">
      <c r="C18" s="12" t="str">
        <f>IF(CancerEpisode!J18="*  ..  ##34###34# ##334###334#","//--- END",CancerEpisode!J18)</f>
        <v>* histologySubGroup.histologyOdontogenicCarcinoma 1..1 CodeableConcept ##34#Histology Odontogenic Carcinoma##34# ##334#Specifies the histological subgroup for odontogenic carcinomas##334#</v>
      </c>
    </row>
    <row r="19" spans="3:3" ht="29.5">
      <c r="C19" s="12" t="str">
        <f>IF(CancerEpisode!J19="*  ..  ##34###34# ##334###334#","//--- END",CancerEpisode!J19)</f>
        <v>* histologySubGroup.histologySNUC 1..1 CodeableConcept ##34#Histology Sinonasal undifferentiated carcinoma##34# ##334#Specifies the histological subgroup for sinonasl undifferentiated carcinomas##334#</v>
      </c>
    </row>
    <row r="20" spans="3:3" ht="29.5">
      <c r="C20" s="12" t="str">
        <f>IF(CancerEpisode!J20="*  ..  ##34###34# ##334###334#","//--- END",CancerEpisode!J20)</f>
        <v>* histologySubGroup.nasalCavityAndParanasalSinusesSubsite 1..1 CodeableConcept ##34#Nasal cavity and paranasal sinuses subsite##34# ##334#Specifies the subsite for cancers occurred in nasal cavity and paranasal sinusess##334#</v>
      </c>
    </row>
    <row r="21" spans="3:3" ht="29.5">
      <c r="C21" s="12" t="str">
        <f>IF(CancerEpisode!J21="*  ..  ##34###34# ##334###334#","//--- END",CancerEpisode!J21)</f>
        <v>* histologySubGroup.nasopharynxSubsite 1..1 CodeableConcept ##34#Nasopharynx  subsite##34# ##334#Specifies the subsite for cancers occurred in nasopharynx##334#</v>
      </c>
    </row>
    <row r="22" spans="3:3" ht="29.5">
      <c r="C22" s="12" t="str">
        <f>IF(CancerEpisode!J22="*  ..  ##34###34# ##334###334#","//--- END",CancerEpisode!J22)</f>
        <v>* histologySubGroup.hypopharynxSubsite 1..1 CodeableConcept ##34#Hypopharynx subsite##34# ##334#Specifies the subsite for cancers occurred in hypopharynx##334#</v>
      </c>
    </row>
    <row r="23" spans="3:3" ht="29.5">
      <c r="C23" s="12" t="str">
        <f>IF(CancerEpisode!J23="*  ..  ##34###34# ##334###334#","//--- END",CancerEpisode!J23)</f>
        <v>* histologySubGroup.oropharynxSubsite 1..1 CodeableConcept ##34#Oropharynx subsite##34# ##334#Specifies the subsite for cancers occurred in oropharynx##334#</v>
      </c>
    </row>
    <row r="24" spans="3:3" ht="29.5">
      <c r="C24" s="12" t="str">
        <f>IF(CancerEpisode!J24="*  ..  ##34###34# ##334###334#","//--- END",CancerEpisode!J24)</f>
        <v>* histologySubGroup.larynxSubsite 1..1 CodeableConcept ##34#Larynx subsite##34# ##334#Specifies the subsite for cancers occurred in larynx##334#</v>
      </c>
    </row>
    <row r="25" spans="3:3" ht="29.5">
      <c r="C25" s="12" t="str">
        <f>IF(CancerEpisode!J25="*  ..  ##34###34# ##334###334#","//--- END",CancerEpisode!J25)</f>
        <v>* histologySubGroup.oralCavitySubsite 1..1 CodeableConcept ##34#Oral cavity subsite##34# ##334#Specifies the subsite for cancers occurred in oral cavity##334#</v>
      </c>
    </row>
    <row r="26" spans="3:3" ht="29.5">
      <c r="C26" s="12" t="str">
        <f>IF(CancerEpisode!J26="*  ..  ##34###34# ##334###334#","//--- END",CancerEpisode!J26)</f>
        <v>* histologySubGroup.lipSubsite 1..1 CodeableConcept ##34#Lip subsite##34# ##334#Specifies the subsite for cancers occurred in lip##334#</v>
      </c>
    </row>
    <row r="27" spans="3:3" ht="29.5">
      <c r="C27" s="12" t="str">
        <f>IF(CancerEpisode!J27="*  ..  ##34###34# ##334###334#","//--- END",CancerEpisode!J27)</f>
        <v>* plasmaticEbvDnaAtBaseline 0..1 CodeableConcept ##34#Plasmatic EBV DNA at baseline##34# ##334#Describes the result of EBV DNA plasma testing before treatment in NPC type II and III (WHO) ##334#</v>
      </c>
    </row>
    <row r="28" spans="3:3" ht="29.5">
      <c r="C28" s="12" t="str">
        <f>IF(CancerEpisode!J28="*  ..  ##34###34# ##334###334#","//--- END",CancerEpisode!J28)</f>
        <v>* hpvStatus 0..1 CodeableConcept ##34#HPV status##34# ##334#Describes the result of HPV tumor testing in oral carcinoma ##334#</v>
      </c>
    </row>
    <row r="29" spans="3:3" ht="29.5">
      <c r="C29" s="12" t="str">
        <f>IF(CancerEpisode!J29="*  ..  ##34###34# ##334###334#","//--- END",CancerEpisode!J29)</f>
        <v>* crpCReactiveProteinTested 0..1 CodeableConcept ##34#CRP - C reactive protein tested##34# ##334#Describes the result of C reactive protein testing##334#</v>
      </c>
    </row>
    <row r="30" spans="3:3">
      <c r="C30" s="12" t="str">
        <f>IF(CancerEpisode!J30="*  ..  ##34###34# ##334###334#","//--- END",CancerEpisode!J30)</f>
        <v>//--- END</v>
      </c>
    </row>
    <row r="31" spans="3:3">
      <c r="C31" s="12" t="str">
        <f>IF(CancerEpisode!J31="*  ..  ##34###34# ##334###334#","//--- END",CancerEpisode!J31)</f>
        <v>//--- END</v>
      </c>
    </row>
    <row r="32" spans="3:3">
      <c r="C32" s="12" t="str">
        <f>IF(CancerEpisode!J32="*  ..  ##34###34# ##334###334#","//--- END",CancerEpisode!J32)</f>
        <v>//--- END</v>
      </c>
    </row>
    <row r="33" spans="3:3">
      <c r="C33" s="12" t="str">
        <f>IF(CancerEpisode!J33="*  ..  ##34###34# ##334###334#","//--- END",CancerEpisode!J33)</f>
        <v>//--- END</v>
      </c>
    </row>
    <row r="45" spans="3:3">
      <c r="C45" s="23" t="s">
        <v>1613</v>
      </c>
    </row>
    <row r="46" spans="3:3">
      <c r="C46" s="24" t="s">
        <v>1706</v>
      </c>
    </row>
    <row r="47" spans="3:3">
      <c r="C47" s="24" t="s">
        <v>1613</v>
      </c>
    </row>
    <row r="48" spans="3:3">
      <c r="C48" s="12" t="str">
        <f>IF(CancerEpisode!L8="*  ..  ##34###34# ##334###334#","//--- END",CancerEpisode!L8)</f>
        <v>* patient ^comment = ##334#A patient element data##334#</v>
      </c>
    </row>
    <row r="49" spans="3:3">
      <c r="C49" s="12" t="str">
        <f>IF(CancerEpisode!L9="*  ..  ##34###34# ##334###334#","//--- END",CancerEpisode!L9)</f>
        <v>* dateOfDiagnosis ^comment = ##334#YYYY-MM-DD##334#</v>
      </c>
    </row>
    <row r="50" spans="3:3">
      <c r="C50" s="12" t="str">
        <f>IF(CancerEpisode!L10="*  ..  ##34###34# ##334###334#","//--- END",CancerEpisode!L10)</f>
        <v>* biopsyDoneBy ^comment = ##334#The hospital; A different hospital##334#</v>
      </c>
    </row>
    <row r="51" spans="3:3">
      <c r="C51" s="12" t="str">
        <f>IF(CancerEpisode!L11="*  ..  ##34###34# ##334###334#","//--- END",CancerEpisode!L11)</f>
        <v>* ageAtDiagnosis ^comment = ##334#Whole number greater than 0##334#</v>
      </c>
    </row>
    <row r="52" spans="3:3">
      <c r="C52" s="12" t="str">
        <f>IF(CancerEpisode!L12="*  ..  ##34###34# ##334###334#","//--- END",CancerEpisode!L12)</f>
        <v>* grading ^comment = ##334#Check thisCheck this##334#</v>
      </c>
    </row>
    <row r="53" spans="3:3" ht="236">
      <c r="C53" s="12" t="str">
        <f>IF(CancerEpisode!L13="*  ..  ##34###34# ##334###334#","//--- END",CancerEpisode!L13)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IF(CancerEpisode!L14="*  ..  ##34###34# ##334###334#","//--- END",CancerEpisode!L14)</f>
        <v/>
      </c>
    </row>
    <row r="55" spans="3:3" ht="354">
      <c r="C55" s="12" t="str">
        <f>IF(CancerEpisode!L15="*  ..  ##34###34# ##334###334#","//--- END",CancerEpisode!L15)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IF(CancerEpisode!L16="*  ..  ##34###34# ##334###334#","//--- END",CancerEpisode!L16)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IF(CancerEpisode!L17="*  ..  ##34###34# ##334###334#","//--- END",CancerEpisode!L17)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IF(CancerEpisode!L18="*  ..  ##34###34# ##334###334#","//--- END",CancerEpisode!L18)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IF(CancerEpisode!L19="*  ..  ##34###34# ##334###334#","//--- END",CancerEpisode!L19)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IF(CancerEpisode!L20="*  ..  ##34###34# ##334###334#","//--- END",CancerEpisode!L20)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IF(CancerEpisode!L21="*  ..  ##34###34# ##334###334#","//--- END",CancerEpisode!L21)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IF(CancerEpisode!L22="*  ..  ##34###34# ##334###334#","//--- END",CancerEpisode!L22)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IF(CancerEpisode!L23="*  ..  ##34###34# ##334###334#","//--- END",CancerEpisode!L23)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IF(CancerEpisode!L24="*  ..  ##34###34# ##334###334#","//--- END",CancerEpisode!L24)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IF(CancerEpisode!L25="*  ..  ##34###34# ##334###334#","//--- END",CancerEpisode!L25)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IF(CancerEpisode!L26="*  ..  ##34###34# ##334###334#","//--- END",CancerEpisode!L26)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IF(CancerEpisode!L27="*  ..  ##34###34# ##334###334#","//--- END",CancerEpisode!L27)</f>
        <v>* plasmaticEbvDnaAtBaseline ^comment = ##334# Positive; Negative; not tested; Positive - 9191
 Negative - 9189
not tested - 45878602##334#</v>
      </c>
    </row>
    <row r="68" spans="3:3" ht="44.25">
      <c r="C68" s="12" t="str">
        <f>IF(CancerEpisode!L28="*  ..  ##34###34# ##334###334#","//--- END",CancerEpisode!L28)</f>
        <v>* hpvStatus ^comment = ##334# Positive; Negative; Not tested; Positive - 9191
 Negative - 9189
not tested - 45878602##334#</v>
      </c>
    </row>
    <row r="69" spans="3:3" ht="44.25">
      <c r="C69" s="12" t="str">
        <f>IF(CancerEpisode!L29="*  ..  ##34###34# ##334###334#","//--- END",CancerEpisode!L29)</f>
        <v>* crpCReactiveProteinTested ^comment = ##334#Positive; Negative; Not tested; Positive - 9191
 Negative - 9189
not tested - 45878602##334#</v>
      </c>
    </row>
    <row r="70" spans="3:3">
      <c r="C70" s="12" t="str">
        <f>IF(CancerEpisode!L30="*  ..  ##34###34# ##334###334#","//--- END",CancerEpisode!L30)</f>
        <v>//--- END</v>
      </c>
    </row>
    <row r="71" spans="3:3">
      <c r="C71" s="12" t="str">
        <f>IF(CancerEpisode!L31="*  ..  ##34###34# ##334###334#","//--- END",CancerEpisode!L31)</f>
        <v>//--- END</v>
      </c>
    </row>
    <row r="72" spans="3:3">
      <c r="C72" s="12" t="str">
        <f>IF(CancerEpisode!L32="*  ..  ##34###34# ##334###334#","//--- END",CancerEpisode!L32)</f>
        <v>//--- END</v>
      </c>
    </row>
    <row r="73" spans="3:3">
      <c r="C73" s="12" t="str">
        <f>IF(CancerEpisode!L33="*  ..  ##34###34# ##334###334#","//--- END",CancerEpisode!L33)</f>
        <v>//--- END</v>
      </c>
    </row>
    <row r="74" spans="3:3">
      <c r="C74" s="12" t="str">
        <f>IF(CancerEpisode!L34="*  ..  ##34###34# ##334###334#","//--- END",CancerEpisode!L34)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topLeftCell="A32" workbookViewId="0">
      <selection activeCell="E4" sqref="E4:G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66" t="s">
        <v>1804</v>
      </c>
      <c r="F4" s="167"/>
      <c r="G4" s="167"/>
    </row>
    <row r="5" spans="1:19">
      <c r="B5" s="62" t="s">
        <v>10</v>
      </c>
      <c r="C5" s="7" t="s">
        <v>1801</v>
      </c>
      <c r="D5" s="62"/>
      <c r="E5" s="7"/>
    </row>
    <row r="6" spans="1:19">
      <c r="B6" s="62" t="s">
        <v>18</v>
      </c>
      <c r="C6" s="56"/>
      <c r="D6" s="62" t="s">
        <v>1793</v>
      </c>
      <c r="E6" s="166" t="str">
        <f>E3</f>
        <v>http://hl7.eu/fhir/ig/idea4rc/StructureDefinition/CancerEpisode</v>
      </c>
      <c r="F6" s="167"/>
      <c r="G6" s="167"/>
    </row>
    <row r="7" spans="1:19">
      <c r="B7" s="62" t="s">
        <v>15</v>
      </c>
      <c r="C7" s="119"/>
      <c r="D7" s="62" t="s">
        <v>1794</v>
      </c>
      <c r="E7" s="166" t="s">
        <v>1804</v>
      </c>
      <c r="F7" s="167"/>
      <c r="G7" s="167"/>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CancerEpisode!B9</f>
        <v>dateOfDiagnosis</v>
      </c>
      <c r="C16" s="11" t="str">
        <f>CancerEpisode!C9</f>
        <v>Date of diagnosis (biopsy or surgical piece)</v>
      </c>
      <c r="D16" s="12" t="s">
        <v>1831</v>
      </c>
      <c r="E16" s="11"/>
      <c r="F16" s="64" t="s">
        <v>1407</v>
      </c>
      <c r="G16" s="121" t="s">
        <v>1797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CancerEpisode!B10</f>
        <v>biopsyDoneBy</v>
      </c>
      <c r="C17" s="11" t="str">
        <f>CancerEpisode!C10</f>
        <v>Biopsy done by</v>
      </c>
      <c r="D17" s="12" t="s">
        <v>1832</v>
      </c>
      <c r="E17" s="11"/>
      <c r="F17" s="64" t="s">
        <v>1407</v>
      </c>
      <c r="G17" s="123" t="s">
        <v>1906</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id ofType Observation and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CancerEpisode!B11</f>
        <v>ageAtDiagnosis</v>
      </c>
      <c r="C18" s="11" t="str">
        <f>CancerEpisode!C11</f>
        <v>Age at diagnosis</v>
      </c>
      <c r="D18" s="12" t="s">
        <v>1830</v>
      </c>
      <c r="E18" s="11"/>
      <c r="F18" s="64" t="s">
        <v>1430</v>
      </c>
      <c r="G18" s="124" t="s">
        <v>1833</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CancerEpisode!B12</f>
        <v>grading</v>
      </c>
      <c r="C19" s="11" t="str">
        <f>CancerEpisode!C12</f>
        <v>Grading</v>
      </c>
      <c r="D19" s="125" t="s">
        <v>1834</v>
      </c>
      <c r="E19" s="11"/>
      <c r="F19" s="64" t="s">
        <v>1407</v>
      </c>
      <c r="G19" s="64" t="s">
        <v>1797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CancerEpisode!B13</f>
        <v>histologyGroup</v>
      </c>
      <c r="C20" s="11" t="str">
        <f>CancerEpisode!C13</f>
        <v>Histology (WHO 2017) group</v>
      </c>
      <c r="D20" s="12" t="s">
        <v>1867</v>
      </c>
      <c r="E20" s="11"/>
      <c r="F20" s="64" t="s">
        <v>1407</v>
      </c>
      <c r="G20" s="123" t="s">
        <v>1907</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approach is sufficient##34#</v>
      </c>
      <c r="P20" s="11">
        <v>6</v>
      </c>
      <c r="Q20" s="11">
        <f t="shared" si="13"/>
        <v>0</v>
      </c>
      <c r="R20" s="11">
        <f t="shared" si="14"/>
        <v>6</v>
      </c>
      <c r="S20" s="12" t="str" cm="1">
        <f t="array" ref="S20">INDEX('CancerEpisode-ConceptMap-1'!$I$15:$N$123,Q20+1,R20)</f>
        <v/>
      </c>
    </row>
    <row r="21" spans="1:19" ht="88.5">
      <c r="A21" s="59"/>
      <c r="B21" s="11" t="str">
        <f>CancerEpisode!B14</f>
        <v>histologySubGroup</v>
      </c>
      <c r="C21" s="11" t="str">
        <f>CancerEpisode!C14</f>
        <v>Histology Subgroups</v>
      </c>
      <c r="D21" s="12" t="s">
        <v>1867</v>
      </c>
      <c r="E21" s="11"/>
      <c r="F21" s="64" t="s">
        <v>1407</v>
      </c>
      <c r="G21" s="142" t="s">
        <v>1868</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CancerEpisode!B15</f>
        <v>histologySubGroup.histologySquamous</v>
      </c>
      <c r="C22" s="11" t="str">
        <f>CancerEpisode!C15</f>
        <v>Histology Squamous</v>
      </c>
      <c r="D22" s="12" t="s">
        <v>1867</v>
      </c>
      <c r="E22" s="11"/>
      <c r="F22" s="64" t="s">
        <v>1407</v>
      </c>
      <c r="G22" s="121" t="s">
        <v>1868</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CancerEpisode!B16</f>
        <v>histologySubGroup.histologyAdenocarcinoma</v>
      </c>
      <c r="C23" s="11" t="str">
        <f>CancerEpisode!C16</f>
        <v>Histology Adenocarcinoma</v>
      </c>
      <c r="D23" s="12" t="s">
        <v>1867</v>
      </c>
      <c r="E23" s="11"/>
      <c r="F23" s="64" t="s">
        <v>1407</v>
      </c>
      <c r="G23" s="121" t="s">
        <v>1868</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CancerEpisode!B17</f>
        <v>histologySubGroup.histologyNeuroendocrine</v>
      </c>
      <c r="C24" s="11" t="str">
        <f>CancerEpisode!C17</f>
        <v>Histology Neuroendocrine</v>
      </c>
      <c r="D24" s="12" t="s">
        <v>1867</v>
      </c>
      <c r="E24" s="11"/>
      <c r="F24" s="64" t="s">
        <v>1407</v>
      </c>
      <c r="G24" s="121" t="s">
        <v>1868</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CancerEpisode!B18</f>
        <v>histologySubGroup.histologyOdontogenicCarcinoma</v>
      </c>
      <c r="C25" s="11" t="str">
        <f>CancerEpisode!C18</f>
        <v>Histology Odontogenic Carcinoma</v>
      </c>
      <c r="D25" s="12" t="s">
        <v>1867</v>
      </c>
      <c r="E25" s="12"/>
      <c r="F25" s="64" t="s">
        <v>1407</v>
      </c>
      <c r="G25" s="121" t="s">
        <v>1868</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CancerEpisode!B19</f>
        <v>histologySubGroup.histologySNUC</v>
      </c>
      <c r="C26" s="11" t="str">
        <f>CancerEpisode!C19</f>
        <v>Histology Sinonasal undifferentiated carcinoma</v>
      </c>
      <c r="D26" s="12" t="s">
        <v>1867</v>
      </c>
      <c r="E26" s="12"/>
      <c r="F26" s="64" t="s">
        <v>1407</v>
      </c>
      <c r="G26" s="121" t="s">
        <v>1868</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CancerEpisode!B20</f>
        <v>histologySubGroup.nasalCavityAndParanasalSinusesSubsite</v>
      </c>
      <c r="C27" s="11" t="str">
        <f>CancerEpisode!C20</f>
        <v>Nasal cavity and paranasal sinuses subsite</v>
      </c>
      <c r="D27" s="12" t="s">
        <v>1867</v>
      </c>
      <c r="E27" s="12"/>
      <c r="F27" s="64" t="s">
        <v>1407</v>
      </c>
      <c r="G27" s="121" t="s">
        <v>1868</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CancerEpisode!B21</f>
        <v>histologySubGroup.nasopharynxSubsite</v>
      </c>
      <c r="C28" s="11" t="str">
        <f>CancerEpisode!C21</f>
        <v>Nasopharynx  subsite</v>
      </c>
      <c r="D28" s="12" t="s">
        <v>1867</v>
      </c>
      <c r="E28" s="12"/>
      <c r="F28" s="64" t="s">
        <v>1407</v>
      </c>
      <c r="G28" s="121" t="s">
        <v>1868</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CancerEpisode!B22</f>
        <v>histologySubGroup.hypopharynxSubsite</v>
      </c>
      <c r="C29" s="11" t="str">
        <f>CancerEpisode!C22</f>
        <v>Hypopharynx subsite</v>
      </c>
      <c r="D29" s="12" t="s">
        <v>1867</v>
      </c>
      <c r="E29" s="12"/>
      <c r="F29" s="64" t="s">
        <v>1407</v>
      </c>
      <c r="G29" s="121" t="s">
        <v>1868</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CancerEpisode!B23</f>
        <v>histologySubGroup.oropharynxSubsite</v>
      </c>
      <c r="C30" s="11" t="str">
        <f>CancerEpisode!C23</f>
        <v>Oropharynx subsite</v>
      </c>
      <c r="D30" s="12" t="s">
        <v>1867</v>
      </c>
      <c r="E30" s="12"/>
      <c r="F30" s="64" t="s">
        <v>1407</v>
      </c>
      <c r="G30" s="121" t="s">
        <v>1868</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CancerEpisode!B24</f>
        <v>histologySubGroup.larynxSubsite</v>
      </c>
      <c r="C31" s="11" t="str">
        <f>CancerEpisode!C24</f>
        <v>Larynx subsite</v>
      </c>
      <c r="D31" s="12" t="s">
        <v>1867</v>
      </c>
      <c r="E31" s="12"/>
      <c r="F31" s="64" t="s">
        <v>1407</v>
      </c>
      <c r="G31" s="121" t="s">
        <v>1868</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CancerEpisode!B25</f>
        <v>histologySubGroup.oralCavitySubsite</v>
      </c>
      <c r="C32" s="11" t="str">
        <f>CancerEpisode!C25</f>
        <v>Oral cavity subsite</v>
      </c>
      <c r="D32" s="12" t="s">
        <v>1867</v>
      </c>
      <c r="E32" s="12"/>
      <c r="F32" s="64" t="s">
        <v>1407</v>
      </c>
      <c r="G32" s="121" t="s">
        <v>1868</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id ofType Observation and conformsTo http://hl7.eu/fhir/ig/idea4rc/StructureDefinition/Observation-diagnosis-eu-i4rc##34#</v>
      </c>
    </row>
    <row r="33" spans="1:19" ht="88.5">
      <c r="B33" s="11" t="str">
        <f>CancerEpisode!B26</f>
        <v>histologySubGroup.lipSubsite</v>
      </c>
      <c r="C33" s="11" t="str">
        <f>CancerEpisode!C26</f>
        <v>Lip subsite</v>
      </c>
      <c r="D33" s="12" t="s">
        <v>1867</v>
      </c>
      <c r="E33" s="12"/>
      <c r="F33" s="64" t="s">
        <v>1407</v>
      </c>
      <c r="G33" s="121" t="s">
        <v>1868</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103.25">
      <c r="B34" s="11" t="str">
        <f>CancerEpisode!B27</f>
        <v>plasmaticEbvDnaAtBaseline</v>
      </c>
      <c r="C34" s="11" t="str">
        <f>CancerEpisode!C27</f>
        <v>Plasmatic EBV DNA at baseline</v>
      </c>
      <c r="D34" s="126" t="s">
        <v>1900</v>
      </c>
      <c r="E34" s="12"/>
      <c r="F34" s="64" t="s">
        <v>1407</v>
      </c>
      <c r="G34" s="141" t="s">
        <v>1903</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#Condition.evidence:plasmaticEbvDnaAtBaseline.valueCodeableConcept</v>
      </c>
      <c r="L34" s="12" t="str">
        <f t="shared" si="18"/>
        <v>* group[=].element[=].target.display = ##34###34#</v>
      </c>
      <c r="M34" s="12" t="str">
        <f t="shared" si="19"/>
        <v>* group[=].element[=].target.equivalence = #relatedto</v>
      </c>
      <c r="N34" s="12" t="str">
        <f t="shared" si="20"/>
        <v>* group[=].element[=].target.comment = ##34#Where Observation.code is 43730-1 EBV DNA NAA+probe Qn.
NOTE : code to be changed !##34#</v>
      </c>
      <c r="P34" s="11">
        <v>20</v>
      </c>
      <c r="Q34" s="11">
        <f t="shared" si="13"/>
        <v>3</v>
      </c>
      <c r="R34" s="11">
        <f t="shared" si="14"/>
        <v>2</v>
      </c>
      <c r="S34" s="12" t="str" cm="1">
        <f t="array" ref="S34">INDEX('CancerEpisode-ConceptMap-1'!$I$15:$N$123,Q34+1,R34)</f>
        <v>* group[=].element[=].display = ##34#Age at diagnosis##34#</v>
      </c>
    </row>
    <row r="35" spans="1:19" ht="147.5">
      <c r="B35" s="11" t="str">
        <f>CancerEpisode!B28</f>
        <v>hpvStatus</v>
      </c>
      <c r="C35" s="11" t="str">
        <f>CancerEpisode!C28</f>
        <v>HPV status</v>
      </c>
      <c r="D35" s="126" t="s">
        <v>1901</v>
      </c>
      <c r="E35" s="12"/>
      <c r="F35" s="64" t="s">
        <v>1407</v>
      </c>
      <c r="G35" s="141" t="s">
        <v>1904</v>
      </c>
      <c r="H35" s="58"/>
      <c r="I35" s="12" t="str">
        <f t="shared" si="15"/>
        <v>* group[=].element[+].code = #CancerEpisode.hpvStatus</v>
      </c>
      <c r="J35" s="12" t="str">
        <f t="shared" si="16"/>
        <v>* group[=].element[=].display = ##34#HPV status##34#</v>
      </c>
      <c r="K35" s="12" t="str">
        <f t="shared" si="17"/>
        <v>* group[=].element[=].target.code = #Condition.evidence:hpvStatus.valueCodeableConcept</v>
      </c>
      <c r="L35" s="12" t="str">
        <f t="shared" si="18"/>
        <v>* group[=].element[=].target.display = ##34###34#</v>
      </c>
      <c r="M35" s="12" t="str">
        <f t="shared" si="19"/>
        <v>* group[=].element[=].target.equivalence = #relatedto</v>
      </c>
      <c r="N35" s="12" t="str">
        <f t="shared" si="20"/>
        <v>* group[=].element[=].target.comment = ##34#Where Observation.code is 77377-0 HPV 16 and 18 and 31+33+35+39+45+51+52+56+58+59+66+68 DNA (Specimen) [Interp]
NOTE : code to be checked !##34#</v>
      </c>
      <c r="P35" s="11">
        <v>21</v>
      </c>
      <c r="Q35" s="11">
        <f t="shared" si="13"/>
        <v>3</v>
      </c>
      <c r="R35" s="11">
        <f t="shared" si="14"/>
        <v>3</v>
      </c>
      <c r="S35" s="12" t="str" cm="1">
        <f t="array" ref="S35">INDEX('CancerEpisode-ConceptMap-1'!$I$15:$N$123,Q35+1,R35)</f>
        <v>* group[=].element[=].target.code = #Condition.onsetAge</v>
      </c>
    </row>
    <row r="36" spans="1:19" ht="118">
      <c r="B36" s="11" t="str">
        <f>CancerEpisode!B29</f>
        <v>crpCReactiveProteinTested</v>
      </c>
      <c r="C36" s="11" t="str">
        <f>CancerEpisode!C29</f>
        <v>CRP - C reactive protein tested</v>
      </c>
      <c r="D36" s="126" t="s">
        <v>1902</v>
      </c>
      <c r="E36" s="12"/>
      <c r="F36" s="64" t="s">
        <v>1407</v>
      </c>
      <c r="G36" s="141" t="s">
        <v>1905</v>
      </c>
      <c r="H36" s="58"/>
      <c r="I36" s="12" t="str">
        <f t="shared" si="15"/>
        <v>* group[=].element[+].code = #CancerEpisode.crpCReactiveProteinTested</v>
      </c>
      <c r="J36" s="12" t="str">
        <f t="shared" si="16"/>
        <v>* group[=].element[=].display = ##34#CRP - C reactive protein tested##34#</v>
      </c>
      <c r="K36" s="12" t="str">
        <f t="shared" si="17"/>
        <v>* group[=].element[=].target.code = #Condition.evidence:crpCReactiveProteinTested.valueCodeableConcept</v>
      </c>
      <c r="L36" s="12" t="str">
        <f t="shared" si="18"/>
        <v>* group[=].element[=].target.display = ##34###34#</v>
      </c>
      <c r="M36" s="12" t="str">
        <f t="shared" si="19"/>
        <v>* group[=].element[=].target.equivalence = #relatedto</v>
      </c>
      <c r="N36" s="12" t="str">
        <f t="shared" si="20"/>
        <v>* group[=].element[=].target.comment = ##34#Where Observation.code is 11039-5 C reactive protein [Presence] in Serum or Plasma
NOTE : code to be checked !##34#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approach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ht="29.5">
      <c r="P131" s="11">
        <v>117</v>
      </c>
      <c r="Q131" s="11">
        <f t="shared" si="23"/>
        <v>19</v>
      </c>
      <c r="R131" s="11">
        <f t="shared" si="24"/>
        <v>3</v>
      </c>
      <c r="S131" s="12" t="str" cm="1">
        <f t="array" ref="S131">INDEX('CancerEpisode-ConceptMap-1'!$I$15:$N$123,Q131+1,R131)</f>
        <v>* group[=].element[=].target.code = #Condition.evidence:plasmaticEbvDnaAtBaseline.valueCodeableConcept</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ht="44.25">
      <c r="P134" s="11">
        <v>120</v>
      </c>
      <c r="Q134" s="11">
        <f t="shared" si="23"/>
        <v>19</v>
      </c>
      <c r="R134" s="11">
        <f t="shared" si="24"/>
        <v>6</v>
      </c>
      <c r="S134" s="12" t="str" cm="1">
        <f t="array" ref="S134">INDEX('CancerEpisode-ConceptMap-1'!$I$15:$N$123,Q134+1,R134)</f>
        <v>* group[=].element[=].target.comment = ##34#Where Observation.code is 43730-1 EBV DNA NAA+probe Qn.
NOTE : code to be changed !##34#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ht="29.5">
      <c r="P137" s="11">
        <v>123</v>
      </c>
      <c r="Q137" s="11">
        <f t="shared" si="23"/>
        <v>20</v>
      </c>
      <c r="R137" s="11">
        <f t="shared" si="24"/>
        <v>3</v>
      </c>
      <c r="S137" s="12" t="str" cm="1">
        <f t="array" ref="S137">INDEX('CancerEpisode-ConceptMap-1'!$I$15:$N$123,Q137+1,R137)</f>
        <v>* group[=].element[=].target.code = #Condition.evidence:hpvStatus.valueCodeableConcept</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ht="59">
      <c r="P140" s="11">
        <v>126</v>
      </c>
      <c r="Q140" s="11">
        <f t="shared" si="23"/>
        <v>20</v>
      </c>
      <c r="R140" s="11">
        <f t="shared" si="24"/>
        <v>6</v>
      </c>
      <c r="S140" s="12" t="str" cm="1">
        <f t="array" ref="S140">INDEX('CancerEpisode-ConceptMap-1'!$I$15:$N$123,Q140+1,R140)</f>
        <v>* group[=].element[=].target.comment = ##34#Where Observation.code is 77377-0 HPV 16 and 18 and 31+33+35+39+45+51+52+56+58+59+66+68 DNA (Specimen) [Interp]
NOTE : code to be checked !##34#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tested##34#</v>
      </c>
    </row>
    <row r="143" spans="16:19" ht="29.5">
      <c r="P143" s="11">
        <v>129</v>
      </c>
      <c r="Q143" s="11">
        <f t="shared" si="23"/>
        <v>21</v>
      </c>
      <c r="R143" s="11">
        <f t="shared" si="24"/>
        <v>3</v>
      </c>
      <c r="S143" s="12" t="str" cm="1">
        <f t="array" ref="S143">INDEX('CancerEpisode-ConceptMap-1'!$I$15:$N$123,Q143+1,R143)</f>
        <v>* group[=].element[=].target.code = #Condition.evidence:crpCReactiveProteinTested.valueCodeableConcept</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ht="44.25">
      <c r="P146" s="11">
        <v>132</v>
      </c>
      <c r="Q146" s="11">
        <f t="shared" si="23"/>
        <v>21</v>
      </c>
      <c r="R146" s="11">
        <f t="shared" si="24"/>
        <v>6</v>
      </c>
      <c r="S146" s="12" t="str" cm="1">
        <f t="array" ref="S146">INDEX('CancerEpisode-ConceptMap-1'!$I$15:$N$123,Q146+1,R146)</f>
        <v>* group[=].element[=].target.comment = ##34#Where Observation.code is 11039-5 C reactive protein [Presence] in Serum or Plasma
NOTE : code to be checked !##34#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G21" sqref="G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1869</v>
      </c>
      <c r="D3" s="62" t="s">
        <v>1791</v>
      </c>
      <c r="E3" s="118" t="str">
        <f>$C$1&amp;CancerEpisode!B5</f>
        <v>http://hl7.eu/fhir/ig/idea4rc/StructureDefinition/CancerEpisode</v>
      </c>
    </row>
    <row r="4" spans="1:19">
      <c r="B4" s="62" t="s">
        <v>16</v>
      </c>
      <c r="C4" s="28" t="s">
        <v>1800</v>
      </c>
      <c r="D4" s="62" t="s">
        <v>1792</v>
      </c>
      <c r="E4" s="118" t="s">
        <v>1829</v>
      </c>
    </row>
    <row r="5" spans="1:19">
      <c r="B5" s="62" t="s">
        <v>10</v>
      </c>
      <c r="C5" s="7" t="s">
        <v>1801</v>
      </c>
      <c r="D5" s="62"/>
      <c r="E5" s="7"/>
    </row>
    <row r="6" spans="1:19">
      <c r="B6" s="62" t="s">
        <v>18</v>
      </c>
      <c r="C6" s="56"/>
      <c r="D6" s="62" t="s">
        <v>1793</v>
      </c>
      <c r="E6" s="166" t="str">
        <f>E3</f>
        <v>http://hl7.eu/fhir/ig/idea4rc/StructureDefinition/CancerEpisode</v>
      </c>
      <c r="F6" s="167"/>
      <c r="G6" s="167"/>
    </row>
    <row r="7" spans="1:19">
      <c r="B7" s="62" t="s">
        <v>15</v>
      </c>
      <c r="C7" s="119"/>
      <c r="D7" s="62" t="s">
        <v>1794</v>
      </c>
      <c r="E7" s="166" t="s">
        <v>1894</v>
      </c>
      <c r="F7" s="167"/>
      <c r="G7" s="167"/>
    </row>
    <row r="8" spans="1:19" ht="44.25">
      <c r="B8" s="62" t="s">
        <v>1795</v>
      </c>
      <c r="C8" s="120" t="s">
        <v>1801</v>
      </c>
      <c r="D8" s="62"/>
      <c r="E8" s="7"/>
      <c r="I8" s="12" t="s">
        <v>1402</v>
      </c>
      <c r="J8" s="12" t="s">
        <v>1403</v>
      </c>
      <c r="K8" s="12" t="s">
        <v>1404</v>
      </c>
      <c r="L8" s="12" t="s">
        <v>1405</v>
      </c>
      <c r="M8" s="11" t="s">
        <v>1406</v>
      </c>
      <c r="P8" s="49" t="s">
        <v>1441</v>
      </c>
      <c r="Q8" s="49">
        <v>6</v>
      </c>
    </row>
    <row r="9" spans="1:19" ht="29.5">
      <c r="B9" s="62" t="s">
        <v>1796</v>
      </c>
      <c r="C9" s="12" t="s">
        <v>1802</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CancerEpisode!B5</f>
        <v>CancerEpisode</v>
      </c>
      <c r="C14" s="11"/>
      <c r="D14" s="4" t="s">
        <v>1827</v>
      </c>
      <c r="E14" s="6"/>
      <c r="F14" s="64"/>
      <c r="G14" s="64"/>
      <c r="I14" s="12"/>
      <c r="J14" s="11"/>
      <c r="K14" s="11"/>
      <c r="L14" s="11"/>
      <c r="M14" s="63"/>
      <c r="N14" s="66"/>
    </row>
    <row r="15" spans="1:19" ht="44.25">
      <c r="A15" s="59"/>
      <c r="B15" s="11" t="str">
        <f>CancerEpisode!B8</f>
        <v>patient</v>
      </c>
      <c r="C15" s="11" t="str">
        <f>CancerEpisode!C8</f>
        <v>Patient</v>
      </c>
      <c r="D15" s="12" t="s">
        <v>1828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CancerEpisode!B9</f>
        <v>dateOfDiagnosis</v>
      </c>
      <c r="C16" s="11" t="str">
        <f>CancerEpisode!C9</f>
        <v>Date of diagnosis (biopsy or surgical piece)</v>
      </c>
      <c r="D16" s="12" t="s">
        <v>1896</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CancerEpisode!B10</f>
        <v>biopsyDoneBy</v>
      </c>
      <c r="C17" s="11" t="str">
        <f>CancerEpisode!C10</f>
        <v>Biopsy done by</v>
      </c>
      <c r="D17" s="12" t="s">
        <v>1895</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24"/>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24"/>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24"/>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24"/>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24"/>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24"/>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24"/>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24"/>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24"/>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24"/>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24"/>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24"/>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24"/>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24"/>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24"/>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24"/>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24"/>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24"/>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24"/>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24"/>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24"/>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24"/>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24"/>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24"/>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24"/>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24"/>
      <c r="P44" s="11">
        <v>30</v>
      </c>
      <c r="Q44" s="11">
        <f t="shared" si="5"/>
        <v>4</v>
      </c>
      <c r="R44" s="11">
        <f t="shared" si="6"/>
        <v>6</v>
      </c>
      <c r="S44" s="12" cm="1">
        <f t="array" ref="S44">INDEX('CancerEpisode-ConceptMap-2'!$I$15:$N$123,Q44+1,R44)</f>
        <v>0</v>
      </c>
    </row>
    <row r="45" spans="1:19">
      <c r="A45" s="59"/>
      <c r="B45" s="11"/>
      <c r="C45" s="11"/>
      <c r="D45" s="12"/>
      <c r="E45" s="11"/>
      <c r="F45" s="64"/>
      <c r="G45" s="124"/>
      <c r="P45" s="11">
        <v>31</v>
      </c>
      <c r="Q45" s="11">
        <f t="shared" si="5"/>
        <v>5</v>
      </c>
      <c r="R45" s="11">
        <f t="shared" si="6"/>
        <v>1</v>
      </c>
      <c r="S45" s="12" cm="1">
        <f t="array" ref="S45">INDEX('CancerEpisode-ConceptMap-2'!$I$15:$N$123,Q45+1,R45)</f>
        <v>0</v>
      </c>
    </row>
    <row r="46" spans="1:19">
      <c r="A46" s="59"/>
      <c r="B46" s="11"/>
      <c r="C46" s="11"/>
      <c r="D46" s="12"/>
      <c r="E46" s="11"/>
      <c r="F46" s="64"/>
      <c r="G46" s="124"/>
      <c r="P46" s="11">
        <v>32</v>
      </c>
      <c r="Q46" s="11">
        <f t="shared" si="5"/>
        <v>5</v>
      </c>
      <c r="R46" s="11">
        <f t="shared" si="6"/>
        <v>2</v>
      </c>
      <c r="S46" s="12" cm="1">
        <f t="array" ref="S46">INDEX('CancerEpisode-ConceptMap-2'!$I$15:$N$123,Q46+1,R46)</f>
        <v>0</v>
      </c>
    </row>
    <row r="47" spans="1:19">
      <c r="A47" s="59"/>
      <c r="B47" s="11"/>
      <c r="C47" s="11"/>
      <c r="D47" s="12"/>
      <c r="E47" s="11"/>
      <c r="F47" s="64"/>
      <c r="G47" s="124"/>
      <c r="P47" s="11">
        <v>33</v>
      </c>
      <c r="Q47" s="11">
        <f t="shared" si="5"/>
        <v>5</v>
      </c>
      <c r="R47" s="11">
        <f t="shared" si="6"/>
        <v>3</v>
      </c>
      <c r="S47" s="12" cm="1">
        <f t="array" ref="S47">INDEX('CancerEpisode-ConceptMap-2'!$I$15:$N$123,Q47+1,R47)</f>
        <v>0</v>
      </c>
    </row>
    <row r="48" spans="1:19">
      <c r="A48" s="59"/>
      <c r="B48" s="11"/>
      <c r="C48" s="11"/>
      <c r="D48" s="12"/>
      <c r="E48" s="11"/>
      <c r="F48" s="64"/>
      <c r="G48" s="124"/>
      <c r="P48" s="11">
        <v>34</v>
      </c>
      <c r="Q48" s="11">
        <f t="shared" si="5"/>
        <v>5</v>
      </c>
      <c r="R48" s="11">
        <f t="shared" si="6"/>
        <v>4</v>
      </c>
      <c r="S48" s="12" cm="1">
        <f t="array" ref="S48">INDEX('CancerEpisode-ConceptMap-2'!$I$15:$N$123,Q48+1,R48)</f>
        <v>0</v>
      </c>
    </row>
    <row r="49" spans="1:19">
      <c r="A49" s="59"/>
      <c r="B49" s="11"/>
      <c r="C49" s="11"/>
      <c r="D49" s="12"/>
      <c r="E49" s="11"/>
      <c r="F49" s="64"/>
      <c r="G49" s="124"/>
      <c r="P49" s="11">
        <v>35</v>
      </c>
      <c r="Q49" s="11">
        <f t="shared" si="5"/>
        <v>5</v>
      </c>
      <c r="R49" s="11">
        <f t="shared" si="6"/>
        <v>5</v>
      </c>
      <c r="S49" s="12" cm="1">
        <f t="array" ref="S49">INDEX('CancerEpisode-ConceptMap-2'!$I$15:$N$123,Q49+1,R49)</f>
        <v>0</v>
      </c>
    </row>
    <row r="50" spans="1:19">
      <c r="A50" s="59"/>
      <c r="B50" s="11"/>
      <c r="C50" s="11"/>
      <c r="D50" s="12"/>
      <c r="E50" s="11"/>
      <c r="F50" s="64"/>
      <c r="G50" s="124"/>
      <c r="P50" s="11">
        <v>36</v>
      </c>
      <c r="Q50" s="11">
        <f t="shared" si="5"/>
        <v>5</v>
      </c>
      <c r="R50" s="11">
        <f t="shared" si="6"/>
        <v>6</v>
      </c>
      <c r="S50" s="12" cm="1">
        <f t="array" ref="S50">INDEX('CancerEpisode-ConceptMap-2'!$I$15:$N$123,Q50+1,R50)</f>
        <v>0</v>
      </c>
    </row>
    <row r="51" spans="1:19">
      <c r="A51" s="59"/>
      <c r="B51" s="11"/>
      <c r="C51" s="11"/>
      <c r="D51" s="12"/>
      <c r="E51" s="11"/>
      <c r="F51" s="64"/>
      <c r="G51" s="124"/>
      <c r="P51" s="11">
        <v>37</v>
      </c>
      <c r="Q51" s="11">
        <f t="shared" si="5"/>
        <v>6</v>
      </c>
      <c r="R51" s="11">
        <f t="shared" si="6"/>
        <v>1</v>
      </c>
      <c r="S51" s="12" cm="1">
        <f t="array" ref="S51">INDEX('CancerEpisode-ConceptMap-2'!$I$15:$N$123,Q51+1,R51)</f>
        <v>0</v>
      </c>
    </row>
    <row r="52" spans="1:19">
      <c r="A52" s="59"/>
      <c r="B52" s="11"/>
      <c r="C52" s="11"/>
      <c r="D52" s="12"/>
      <c r="E52" s="11"/>
      <c r="F52" s="64"/>
      <c r="G52" s="124"/>
      <c r="P52" s="11">
        <v>38</v>
      </c>
      <c r="Q52" s="11">
        <f t="shared" si="5"/>
        <v>6</v>
      </c>
      <c r="R52" s="11">
        <f t="shared" si="6"/>
        <v>2</v>
      </c>
      <c r="S52" s="12" cm="1">
        <f t="array" ref="S52">INDEX('CancerEpisode-ConceptMap-2'!$I$15:$N$123,Q52+1,R52)</f>
        <v>0</v>
      </c>
    </row>
    <row r="53" spans="1:19">
      <c r="A53" s="59"/>
      <c r="B53" s="11"/>
      <c r="C53" s="11"/>
      <c r="D53" s="12"/>
      <c r="E53" s="11"/>
      <c r="F53" s="64"/>
      <c r="G53" s="124"/>
      <c r="P53" s="11">
        <v>39</v>
      </c>
      <c r="Q53" s="11">
        <f t="shared" si="5"/>
        <v>6</v>
      </c>
      <c r="R53" s="11">
        <f t="shared" si="6"/>
        <v>3</v>
      </c>
      <c r="S53" s="12" cm="1">
        <f t="array" ref="S53">INDEX('CancerEpisode-ConceptMap-2'!$I$15:$N$123,Q53+1,R53)</f>
        <v>0</v>
      </c>
    </row>
    <row r="54" spans="1:19">
      <c r="A54" s="59"/>
      <c r="B54" s="11"/>
      <c r="C54" s="11"/>
      <c r="D54" s="12"/>
      <c r="E54" s="11"/>
      <c r="F54" s="64"/>
      <c r="G54" s="124"/>
      <c r="P54" s="11">
        <v>40</v>
      </c>
      <c r="Q54" s="11">
        <f t="shared" si="5"/>
        <v>6</v>
      </c>
      <c r="R54" s="11">
        <f t="shared" si="6"/>
        <v>4</v>
      </c>
      <c r="S54" s="12" cm="1">
        <f t="array" ref="S54">INDEX('CancerEpisode-ConceptMap-2'!$I$15:$N$123,Q54+1,R54)</f>
        <v>0</v>
      </c>
    </row>
    <row r="55" spans="1:19">
      <c r="A55" s="59"/>
      <c r="B55" s="11"/>
      <c r="C55" s="11"/>
      <c r="D55" s="12"/>
      <c r="E55" s="11"/>
      <c r="F55" s="64"/>
      <c r="G55" s="124"/>
      <c r="P55" s="11">
        <v>41</v>
      </c>
      <c r="Q55" s="11">
        <f t="shared" si="5"/>
        <v>6</v>
      </c>
      <c r="R55" s="11">
        <f t="shared" si="6"/>
        <v>5</v>
      </c>
      <c r="S55" s="12" cm="1">
        <f t="array" ref="S55">INDEX('CancerEpisode-ConceptMap-2'!$I$15:$N$123,Q55+1,R55)</f>
        <v>0</v>
      </c>
    </row>
    <row r="56" spans="1:19">
      <c r="A56" s="59"/>
      <c r="B56" s="11"/>
      <c r="C56" s="11"/>
      <c r="D56" s="12"/>
      <c r="E56" s="11"/>
      <c r="F56" s="64"/>
      <c r="G56" s="124"/>
      <c r="P56" s="11">
        <v>42</v>
      </c>
      <c r="Q56" s="11">
        <f t="shared" si="5"/>
        <v>6</v>
      </c>
      <c r="R56" s="11">
        <f t="shared" si="6"/>
        <v>6</v>
      </c>
      <c r="S56" s="12" cm="1">
        <f t="array" ref="S56">INDEX('CancerEpisode-ConceptMap-2'!$I$15:$N$123,Q56+1,R56)</f>
        <v>0</v>
      </c>
    </row>
    <row r="57" spans="1:19">
      <c r="A57" s="59"/>
      <c r="B57" s="11"/>
      <c r="C57" s="11"/>
      <c r="D57" s="12"/>
      <c r="E57" s="11"/>
      <c r="F57" s="64"/>
      <c r="G57" s="124"/>
      <c r="P57" s="11">
        <v>43</v>
      </c>
      <c r="Q57" s="11">
        <f t="shared" si="5"/>
        <v>7</v>
      </c>
      <c r="R57" s="11">
        <f t="shared" si="6"/>
        <v>1</v>
      </c>
      <c r="S57" s="12" cm="1">
        <f t="array" ref="S57">INDEX('CancerEpisode-ConceptMap-2'!$I$15:$N$123,Q57+1,R57)</f>
        <v>0</v>
      </c>
    </row>
    <row r="58" spans="1:19">
      <c r="A58" s="59"/>
      <c r="B58" s="11"/>
      <c r="C58" s="11"/>
      <c r="D58" s="12"/>
      <c r="E58" s="11"/>
      <c r="F58" s="64"/>
      <c r="G58" s="124"/>
      <c r="P58" s="11">
        <v>44</v>
      </c>
      <c r="Q58" s="11">
        <f t="shared" si="5"/>
        <v>7</v>
      </c>
      <c r="R58" s="11">
        <f t="shared" si="6"/>
        <v>2</v>
      </c>
      <c r="S58" s="12" cm="1">
        <f t="array" ref="S58">INDEX('CancerEpisode-ConceptMap-2'!$I$15:$N$123,Q58+1,R58)</f>
        <v>0</v>
      </c>
    </row>
    <row r="59" spans="1:19">
      <c r="A59" s="59"/>
      <c r="B59" s="11"/>
      <c r="C59" s="11"/>
      <c r="D59" s="12"/>
      <c r="E59" s="11"/>
      <c r="F59" s="64"/>
      <c r="G59" s="124"/>
      <c r="P59" s="11">
        <v>45</v>
      </c>
      <c r="Q59" s="11">
        <f t="shared" si="5"/>
        <v>7</v>
      </c>
      <c r="R59" s="11">
        <f t="shared" si="6"/>
        <v>3</v>
      </c>
      <c r="S59" s="12" cm="1">
        <f t="array" ref="S59">INDEX('CancerEpisode-ConceptMap-2'!$I$15:$N$123,Q59+1,R59)</f>
        <v>0</v>
      </c>
    </row>
    <row r="60" spans="1:19">
      <c r="A60" s="59"/>
      <c r="B60" s="11"/>
      <c r="C60" s="11"/>
      <c r="D60" s="12"/>
      <c r="E60" s="11"/>
      <c r="F60" s="64"/>
      <c r="G60" s="124"/>
      <c r="P60" s="11">
        <v>46</v>
      </c>
      <c r="Q60" s="11">
        <f t="shared" si="5"/>
        <v>7</v>
      </c>
      <c r="R60" s="11">
        <f t="shared" si="6"/>
        <v>4</v>
      </c>
      <c r="S60" s="12" cm="1">
        <f t="array" ref="S60">INDEX('CancerEpisode-ConceptMap-2'!$I$15:$N$123,Q60+1,R60)</f>
        <v>0</v>
      </c>
    </row>
    <row r="61" spans="1:19">
      <c r="A61" s="59"/>
      <c r="B61" s="11"/>
      <c r="C61" s="11"/>
      <c r="D61" s="12"/>
      <c r="E61" s="11"/>
      <c r="F61" s="64"/>
      <c r="G61" s="124"/>
      <c r="P61" s="11">
        <v>47</v>
      </c>
      <c r="Q61" s="11">
        <f t="shared" si="5"/>
        <v>7</v>
      </c>
      <c r="R61" s="11">
        <f t="shared" si="6"/>
        <v>5</v>
      </c>
      <c r="S61" s="12" cm="1">
        <f t="array" ref="S61">INDEX('CancerEpisode-ConceptMap-2'!$I$15:$N$123,Q61+1,R61)</f>
        <v>0</v>
      </c>
    </row>
    <row r="62" spans="1:19">
      <c r="A62" s="59"/>
      <c r="B62" s="11"/>
      <c r="C62" s="11"/>
      <c r="D62" s="12"/>
      <c r="E62" s="11"/>
      <c r="F62" s="64"/>
      <c r="G62" s="124"/>
      <c r="P62" s="11">
        <v>48</v>
      </c>
      <c r="Q62" s="11">
        <f t="shared" si="5"/>
        <v>7</v>
      </c>
      <c r="R62" s="11">
        <f t="shared" si="6"/>
        <v>6</v>
      </c>
      <c r="S62" s="12" cm="1">
        <f t="array" ref="S62">INDEX('CancerEpisode-ConceptMap-2'!$I$15:$N$123,Q62+1,R62)</f>
        <v>0</v>
      </c>
    </row>
    <row r="63" spans="1:19">
      <c r="A63" s="59"/>
      <c r="B63" s="11"/>
      <c r="C63" s="11"/>
      <c r="D63" s="12"/>
      <c r="E63" s="11"/>
      <c r="F63" s="64"/>
      <c r="G63" s="124"/>
      <c r="P63" s="11">
        <v>49</v>
      </c>
      <c r="Q63" s="11">
        <f t="shared" si="5"/>
        <v>8</v>
      </c>
      <c r="R63" s="11">
        <f t="shared" si="6"/>
        <v>1</v>
      </c>
      <c r="S63" s="12" cm="1">
        <f t="array" ref="S63">INDEX('CancerEpisode-ConceptMap-2'!$I$15:$N$123,Q63+1,R63)</f>
        <v>0</v>
      </c>
    </row>
    <row r="64" spans="1:19">
      <c r="A64" s="59"/>
      <c r="B64" s="11"/>
      <c r="C64" s="11"/>
      <c r="D64" s="12"/>
      <c r="E64" s="11"/>
      <c r="F64" s="64"/>
      <c r="G64" s="124"/>
      <c r="P64" s="11">
        <v>50</v>
      </c>
      <c r="Q64" s="11">
        <f t="shared" si="5"/>
        <v>8</v>
      </c>
      <c r="R64" s="11">
        <f t="shared" si="6"/>
        <v>2</v>
      </c>
      <c r="S64" s="12" cm="1">
        <f t="array" ref="S64">INDEX('CancerEpisode-ConceptMap-2'!$I$15:$N$123,Q64+1,R64)</f>
        <v>0</v>
      </c>
    </row>
    <row r="65" spans="1:19">
      <c r="A65" s="59"/>
      <c r="B65" s="11"/>
      <c r="C65" s="11"/>
      <c r="D65" s="12"/>
      <c r="E65" s="11"/>
      <c r="F65" s="64"/>
      <c r="G65" s="124"/>
      <c r="P65" s="11">
        <v>51</v>
      </c>
      <c r="Q65" s="11">
        <f t="shared" si="5"/>
        <v>8</v>
      </c>
      <c r="R65" s="11">
        <f t="shared" si="6"/>
        <v>3</v>
      </c>
      <c r="S65" s="12" cm="1">
        <f t="array" ref="S65">INDEX('CancerEpisode-ConceptMap-2'!$I$15:$N$123,Q65+1,R65)</f>
        <v>0</v>
      </c>
    </row>
    <row r="66" spans="1:19">
      <c r="A66" s="59"/>
      <c r="B66" s="11"/>
      <c r="C66" s="11"/>
      <c r="D66" s="12"/>
      <c r="E66" s="11"/>
      <c r="F66" s="64"/>
      <c r="G66" s="124"/>
      <c r="P66" s="11">
        <v>52</v>
      </c>
      <c r="Q66" s="11">
        <f t="shared" si="5"/>
        <v>8</v>
      </c>
      <c r="R66" s="11">
        <f t="shared" si="6"/>
        <v>4</v>
      </c>
      <c r="S66" s="12" cm="1">
        <f t="array" ref="S66">INDEX('CancerEpisode-ConceptMap-2'!$I$15:$N$123,Q66+1,R66)</f>
        <v>0</v>
      </c>
    </row>
    <row r="67" spans="1:19">
      <c r="A67" s="59"/>
      <c r="B67" s="11"/>
      <c r="C67" s="11"/>
      <c r="D67" s="12"/>
      <c r="E67" s="11"/>
      <c r="F67" s="64"/>
      <c r="G67" s="124"/>
      <c r="P67" s="11">
        <v>53</v>
      </c>
      <c r="Q67" s="11">
        <f t="shared" si="5"/>
        <v>8</v>
      </c>
      <c r="R67" s="11">
        <f t="shared" si="6"/>
        <v>5</v>
      </c>
      <c r="S67" s="12" cm="1">
        <f t="array" ref="S67">INDEX('CancerEpisode-ConceptMap-2'!$I$15:$N$123,Q67+1,R67)</f>
        <v>0</v>
      </c>
    </row>
    <row r="68" spans="1:19">
      <c r="A68" s="59"/>
      <c r="B68" s="11"/>
      <c r="C68" s="11"/>
      <c r="D68" s="12"/>
      <c r="E68" s="11"/>
      <c r="F68" s="64"/>
      <c r="G68" s="124"/>
      <c r="P68" s="11">
        <v>54</v>
      </c>
      <c r="Q68" s="11">
        <f t="shared" si="5"/>
        <v>8</v>
      </c>
      <c r="R68" s="11">
        <f t="shared" si="6"/>
        <v>6</v>
      </c>
      <c r="S68" s="12" cm="1">
        <f t="array" ref="S68">INDEX('CancerEpisode-ConceptMap-2'!$I$15:$N$123,Q68+1,R68)</f>
        <v>0</v>
      </c>
    </row>
    <row r="69" spans="1:19">
      <c r="A69" s="59"/>
      <c r="B69" s="11"/>
      <c r="C69" s="11"/>
      <c r="D69" s="12"/>
      <c r="E69" s="11"/>
      <c r="F69" s="64"/>
      <c r="G69" s="124"/>
      <c r="P69" s="11">
        <v>55</v>
      </c>
      <c r="Q69" s="11">
        <f t="shared" si="5"/>
        <v>9</v>
      </c>
      <c r="R69" s="11">
        <f t="shared" si="6"/>
        <v>1</v>
      </c>
      <c r="S69" s="12" cm="1">
        <f t="array" ref="S69">INDEX('CancerEpisode-ConceptMap-2'!$I$15:$N$123,Q69+1,R69)</f>
        <v>0</v>
      </c>
    </row>
    <row r="70" spans="1:19">
      <c r="A70" s="59"/>
      <c r="B70" s="11"/>
      <c r="C70" s="11"/>
      <c r="D70" s="12"/>
      <c r="E70" s="11"/>
      <c r="F70" s="64"/>
      <c r="G70" s="124"/>
      <c r="P70" s="11">
        <v>56</v>
      </c>
      <c r="Q70" s="11">
        <f t="shared" si="5"/>
        <v>9</v>
      </c>
      <c r="R70" s="11">
        <f t="shared" si="6"/>
        <v>2</v>
      </c>
      <c r="S70" s="12" cm="1">
        <f t="array" ref="S70">INDEX('CancerEpisode-ConceptMap-2'!$I$15:$N$123,Q70+1,R70)</f>
        <v>0</v>
      </c>
    </row>
    <row r="71" spans="1:19">
      <c r="A71" s="59"/>
      <c r="B71" s="11"/>
      <c r="C71" s="11"/>
      <c r="D71" s="12"/>
      <c r="E71" s="11"/>
      <c r="F71" s="64"/>
      <c r="G71" s="124"/>
      <c r="P71" s="11">
        <v>57</v>
      </c>
      <c r="Q71" s="11">
        <f t="shared" si="5"/>
        <v>9</v>
      </c>
      <c r="R71" s="11">
        <f t="shared" si="6"/>
        <v>3</v>
      </c>
      <c r="S71" s="12" cm="1">
        <f t="array" ref="S71">INDEX('CancerEpisode-ConceptMap-2'!$I$15:$N$123,Q71+1,R71)</f>
        <v>0</v>
      </c>
    </row>
    <row r="72" spans="1:19">
      <c r="A72" s="59"/>
      <c r="B72" s="11"/>
      <c r="C72" s="11"/>
      <c r="D72" s="12"/>
      <c r="E72" s="11"/>
      <c r="F72" s="64"/>
      <c r="G72" s="124"/>
      <c r="P72" s="11">
        <v>58</v>
      </c>
      <c r="Q72" s="11">
        <f t="shared" si="5"/>
        <v>9</v>
      </c>
      <c r="R72" s="11">
        <f t="shared" si="6"/>
        <v>4</v>
      </c>
      <c r="S72" s="12" cm="1">
        <f t="array" ref="S72">INDEX('CancerEpisode-ConceptMap-2'!$I$15:$N$123,Q72+1,R72)</f>
        <v>0</v>
      </c>
    </row>
    <row r="73" spans="1:19">
      <c r="A73" s="59"/>
      <c r="B73" s="11"/>
      <c r="C73" s="11"/>
      <c r="D73" s="12"/>
      <c r="E73" s="11"/>
      <c r="F73" s="64"/>
      <c r="G73" s="124"/>
      <c r="P73" s="11">
        <v>59</v>
      </c>
      <c r="Q73" s="11">
        <f t="shared" si="5"/>
        <v>9</v>
      </c>
      <c r="R73" s="11">
        <f t="shared" si="6"/>
        <v>5</v>
      </c>
      <c r="S73" s="12" cm="1">
        <f t="array" ref="S73">INDEX('CancerEpisode-ConceptMap-2'!$I$15:$N$123,Q73+1,R73)</f>
        <v>0</v>
      </c>
    </row>
    <row r="74" spans="1:19">
      <c r="A74" s="59"/>
      <c r="B74" s="11"/>
      <c r="C74" s="11"/>
      <c r="D74" s="12"/>
      <c r="E74" s="11"/>
      <c r="F74" s="64"/>
      <c r="G74" s="124"/>
      <c r="P74" s="11">
        <v>60</v>
      </c>
      <c r="Q74" s="11">
        <f t="shared" si="5"/>
        <v>9</v>
      </c>
      <c r="R74" s="11">
        <f t="shared" si="6"/>
        <v>6</v>
      </c>
      <c r="S74" s="12" cm="1">
        <f t="array" ref="S74">INDEX('CancerEpisode-ConceptMap-2'!$I$15:$N$123,Q74+1,R74)</f>
        <v>0</v>
      </c>
    </row>
    <row r="75" spans="1:19">
      <c r="A75" s="59"/>
      <c r="B75" s="11"/>
      <c r="C75" s="11"/>
      <c r="D75" s="12"/>
      <c r="E75" s="11"/>
      <c r="F75" s="64"/>
      <c r="G75" s="124"/>
      <c r="P75" s="11">
        <v>61</v>
      </c>
      <c r="Q75" s="11">
        <f t="shared" si="5"/>
        <v>10</v>
      </c>
      <c r="R75" s="11">
        <f t="shared" si="6"/>
        <v>1</v>
      </c>
      <c r="S75" s="12" cm="1">
        <f t="array" ref="S75">INDEX('CancerEpisode-ConceptMap-2'!$I$15:$N$123,Q75+1,R75)</f>
        <v>0</v>
      </c>
    </row>
    <row r="76" spans="1:19">
      <c r="A76" s="59"/>
      <c r="B76" s="11"/>
      <c r="C76" s="11"/>
      <c r="D76" s="12"/>
      <c r="E76" s="11"/>
      <c r="F76" s="64"/>
      <c r="G76" s="124"/>
      <c r="P76" s="11">
        <v>62</v>
      </c>
      <c r="Q76" s="11">
        <f t="shared" si="5"/>
        <v>10</v>
      </c>
      <c r="R76" s="11">
        <f t="shared" si="6"/>
        <v>2</v>
      </c>
      <c r="S76" s="12" cm="1">
        <f t="array" ref="S76">INDEX('CancerEpisode-ConceptMap-2'!$I$15:$N$123,Q76+1,R76)</f>
        <v>0</v>
      </c>
    </row>
    <row r="77" spans="1:19">
      <c r="A77" s="59"/>
      <c r="B77" s="11"/>
      <c r="C77" s="11"/>
      <c r="D77" s="12"/>
      <c r="E77" s="11"/>
      <c r="F77" s="64"/>
      <c r="G77" s="124"/>
      <c r="P77" s="11">
        <v>63</v>
      </c>
      <c r="Q77" s="11">
        <f t="shared" si="5"/>
        <v>10</v>
      </c>
      <c r="R77" s="11">
        <f t="shared" si="6"/>
        <v>3</v>
      </c>
      <c r="S77" s="12" cm="1">
        <f t="array" ref="S77">INDEX('CancerEpisode-ConceptMap-2'!$I$15:$N$123,Q77+1,R77)</f>
        <v>0</v>
      </c>
    </row>
    <row r="78" spans="1:19">
      <c r="A78" s="59"/>
      <c r="B78" s="11"/>
      <c r="C78" s="11"/>
      <c r="D78" s="12"/>
      <c r="E78" s="11"/>
      <c r="F78" s="64"/>
      <c r="G78" s="124"/>
      <c r="P78" s="11">
        <v>64</v>
      </c>
      <c r="Q78" s="11">
        <f t="shared" si="5"/>
        <v>10</v>
      </c>
      <c r="R78" s="11">
        <f t="shared" si="6"/>
        <v>4</v>
      </c>
      <c r="S78" s="12" cm="1">
        <f t="array" ref="S78">INDEX('CancerEpisode-ConceptMap-2'!$I$15:$N$123,Q78+1,R78)</f>
        <v>0</v>
      </c>
    </row>
    <row r="79" spans="1:19">
      <c r="A79" s="59"/>
      <c r="B79" s="11"/>
      <c r="C79" s="11"/>
      <c r="D79" s="12"/>
      <c r="E79" s="11"/>
      <c r="F79" s="64"/>
      <c r="G79" s="124"/>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24"/>
      <c r="P80" s="11">
        <v>66</v>
      </c>
      <c r="Q80" s="11">
        <f t="shared" si="8"/>
        <v>10</v>
      </c>
      <c r="R80" s="11">
        <f t="shared" si="9"/>
        <v>6</v>
      </c>
      <c r="S80" s="12" cm="1">
        <f t="array" ref="S80">INDEX('CancerEpisode-ConceptMap-2'!$I$15:$N$123,Q80+1,R80)</f>
        <v>0</v>
      </c>
    </row>
    <row r="81" spans="1:19">
      <c r="A81" s="59"/>
      <c r="B81" s="11"/>
      <c r="C81" s="11"/>
      <c r="D81" s="12"/>
      <c r="E81" s="11"/>
      <c r="F81" s="64"/>
      <c r="G81" s="124"/>
      <c r="P81" s="11">
        <v>67</v>
      </c>
      <c r="Q81" s="11">
        <f t="shared" si="8"/>
        <v>11</v>
      </c>
      <c r="R81" s="11">
        <f t="shared" si="9"/>
        <v>1</v>
      </c>
      <c r="S81" s="12" cm="1">
        <f t="array" ref="S81">INDEX('CancerEpisode-ConceptMap-2'!$I$15:$N$123,Q81+1,R81)</f>
        <v>0</v>
      </c>
    </row>
    <row r="82" spans="1:19">
      <c r="A82" s="59"/>
      <c r="B82" s="11"/>
      <c r="C82" s="11"/>
      <c r="D82" s="12"/>
      <c r="E82" s="11"/>
      <c r="F82" s="64"/>
      <c r="G82" s="124"/>
      <c r="P82" s="11">
        <v>68</v>
      </c>
      <c r="Q82" s="11">
        <f t="shared" si="8"/>
        <v>11</v>
      </c>
      <c r="R82" s="11">
        <f t="shared" si="9"/>
        <v>2</v>
      </c>
      <c r="S82" s="12" cm="1">
        <f t="array" ref="S82">INDEX('CancerEpisode-ConceptMap-2'!$I$15:$N$123,Q82+1,R82)</f>
        <v>0</v>
      </c>
    </row>
    <row r="83" spans="1:19">
      <c r="A83" s="59"/>
      <c r="B83" s="11"/>
      <c r="C83" s="11"/>
      <c r="D83" s="12"/>
      <c r="E83" s="11"/>
      <c r="F83" s="64"/>
      <c r="G83" s="124"/>
      <c r="P83" s="11">
        <v>69</v>
      </c>
      <c r="Q83" s="11">
        <f t="shared" si="8"/>
        <v>11</v>
      </c>
      <c r="R83" s="11">
        <f t="shared" si="9"/>
        <v>3</v>
      </c>
      <c r="S83" s="12" cm="1">
        <f t="array" ref="S83">INDEX('CancerEpisode-ConceptMap-2'!$I$15:$N$123,Q83+1,R83)</f>
        <v>0</v>
      </c>
    </row>
    <row r="84" spans="1:19">
      <c r="A84" s="59"/>
      <c r="B84" s="11"/>
      <c r="C84" s="11"/>
      <c r="D84" s="12"/>
      <c r="E84" s="11"/>
      <c r="F84" s="64"/>
      <c r="G84" s="124"/>
      <c r="P84" s="11">
        <v>70</v>
      </c>
      <c r="Q84" s="11">
        <f t="shared" si="8"/>
        <v>11</v>
      </c>
      <c r="R84" s="11">
        <f t="shared" si="9"/>
        <v>4</v>
      </c>
      <c r="S84" s="12" cm="1">
        <f t="array" ref="S84">INDEX('CancerEpisode-ConceptMap-2'!$I$15:$N$123,Q84+1,R84)</f>
        <v>0</v>
      </c>
    </row>
    <row r="85" spans="1:19">
      <c r="A85" s="59"/>
      <c r="B85" s="11"/>
      <c r="C85" s="11"/>
      <c r="D85" s="12"/>
      <c r="E85" s="11"/>
      <c r="F85" s="64"/>
      <c r="G85" s="124"/>
      <c r="P85" s="11">
        <v>71</v>
      </c>
      <c r="Q85" s="11">
        <f t="shared" si="8"/>
        <v>11</v>
      </c>
      <c r="R85" s="11">
        <f t="shared" si="9"/>
        <v>5</v>
      </c>
      <c r="S85" s="12" cm="1">
        <f t="array" ref="S85">INDEX('CancerEpisode-ConceptMap-2'!$I$15:$N$123,Q85+1,R85)</f>
        <v>0</v>
      </c>
    </row>
    <row r="86" spans="1:19">
      <c r="A86" s="59"/>
      <c r="B86" s="11"/>
      <c r="C86" s="11"/>
      <c r="D86" s="12"/>
      <c r="E86" s="11"/>
      <c r="F86" s="64"/>
      <c r="G86" s="124"/>
      <c r="P86" s="11">
        <v>72</v>
      </c>
      <c r="Q86" s="11">
        <f t="shared" si="8"/>
        <v>11</v>
      </c>
      <c r="R86" s="11">
        <f t="shared" si="9"/>
        <v>6</v>
      </c>
      <c r="S86" s="12" cm="1">
        <f t="array" ref="S86">INDEX('CancerEpisode-ConceptMap-2'!$I$15:$N$123,Q86+1,R86)</f>
        <v>0</v>
      </c>
    </row>
    <row r="87" spans="1:19">
      <c r="A87" s="59"/>
      <c r="B87" s="11"/>
      <c r="C87" s="11"/>
      <c r="D87" s="12"/>
      <c r="E87" s="11"/>
      <c r="F87" s="64"/>
      <c r="G87" s="124"/>
      <c r="P87" s="11">
        <v>73</v>
      </c>
      <c r="Q87" s="11">
        <f t="shared" si="8"/>
        <v>12</v>
      </c>
      <c r="R87" s="11">
        <f t="shared" si="9"/>
        <v>1</v>
      </c>
      <c r="S87" s="12" cm="1">
        <f t="array" ref="S87">INDEX('CancerEpisode-ConceptMap-2'!$I$15:$N$123,Q87+1,R87)</f>
        <v>0</v>
      </c>
    </row>
    <row r="88" spans="1:19">
      <c r="A88" s="59"/>
      <c r="B88" s="11"/>
      <c r="C88" s="11"/>
      <c r="D88" s="12"/>
      <c r="E88" s="11"/>
      <c r="F88" s="64"/>
      <c r="G88" s="124"/>
      <c r="P88" s="11">
        <v>74</v>
      </c>
      <c r="Q88" s="11">
        <f t="shared" si="8"/>
        <v>12</v>
      </c>
      <c r="R88" s="11">
        <f t="shared" si="9"/>
        <v>2</v>
      </c>
      <c r="S88" s="12" cm="1">
        <f t="array" ref="S88">INDEX('CancerEpisode-ConceptMap-2'!$I$15:$N$123,Q88+1,R88)</f>
        <v>0</v>
      </c>
    </row>
    <row r="89" spans="1:19">
      <c r="G89" s="124"/>
      <c r="P89" s="11">
        <v>75</v>
      </c>
      <c r="Q89" s="11">
        <f t="shared" si="8"/>
        <v>12</v>
      </c>
      <c r="R89" s="11">
        <f t="shared" si="9"/>
        <v>3</v>
      </c>
      <c r="S89" s="12" cm="1">
        <f t="array" ref="S89">INDEX('CancerEpisode-ConceptMap-2'!$I$15:$N$123,Q89+1,R89)</f>
        <v>0</v>
      </c>
    </row>
    <row r="90" spans="1:19">
      <c r="G90" s="124"/>
      <c r="P90" s="11">
        <v>76</v>
      </c>
      <c r="Q90" s="11">
        <f t="shared" si="8"/>
        <v>12</v>
      </c>
      <c r="R90" s="11">
        <f t="shared" si="9"/>
        <v>4</v>
      </c>
      <c r="S90" s="12" cm="1">
        <f t="array" ref="S90">INDEX('CancerEpisode-ConceptMap-2'!$I$15:$N$123,Q90+1,R90)</f>
        <v>0</v>
      </c>
    </row>
    <row r="91" spans="1:19">
      <c r="G91" s="124"/>
      <c r="P91" s="11">
        <v>77</v>
      </c>
      <c r="Q91" s="11">
        <f t="shared" si="8"/>
        <v>12</v>
      </c>
      <c r="R91" s="11">
        <f t="shared" si="9"/>
        <v>5</v>
      </c>
      <c r="S91" s="12" cm="1">
        <f t="array" ref="S91">INDEX('CancerEpisode-ConceptMap-2'!$I$15:$N$123,Q91+1,R91)</f>
        <v>0</v>
      </c>
    </row>
    <row r="92" spans="1:19">
      <c r="G92" s="124"/>
      <c r="P92" s="11">
        <v>78</v>
      </c>
      <c r="Q92" s="11">
        <f t="shared" si="8"/>
        <v>12</v>
      </c>
      <c r="R92" s="11">
        <f t="shared" si="9"/>
        <v>6</v>
      </c>
      <c r="S92" s="12" cm="1">
        <f t="array" ref="S92">INDEX('CancerEpisode-ConceptMap-2'!$I$15:$N$123,Q92+1,R92)</f>
        <v>0</v>
      </c>
    </row>
    <row r="93" spans="1:19">
      <c r="G93" s="124"/>
      <c r="P93" s="11">
        <v>79</v>
      </c>
      <c r="Q93" s="11">
        <f t="shared" si="8"/>
        <v>13</v>
      </c>
      <c r="R93" s="11">
        <f t="shared" si="9"/>
        <v>1</v>
      </c>
      <c r="S93" s="12" cm="1">
        <f t="array" ref="S93">INDEX('CancerEpisode-ConceptMap-2'!$I$15:$N$123,Q93+1,R93)</f>
        <v>0</v>
      </c>
    </row>
    <row r="94" spans="1:19">
      <c r="G94" s="124"/>
      <c r="P94" s="11">
        <v>80</v>
      </c>
      <c r="Q94" s="11">
        <f t="shared" si="8"/>
        <v>13</v>
      </c>
      <c r="R94" s="11">
        <f t="shared" si="9"/>
        <v>2</v>
      </c>
      <c r="S94" s="12" cm="1">
        <f t="array" ref="S94">INDEX('CancerEpisode-ConceptMap-2'!$I$15:$N$123,Q94+1,R94)</f>
        <v>0</v>
      </c>
    </row>
    <row r="95" spans="1:19">
      <c r="G95" s="124"/>
      <c r="P95" s="11">
        <v>81</v>
      </c>
      <c r="Q95" s="11">
        <f t="shared" si="8"/>
        <v>13</v>
      </c>
      <c r="R95" s="11">
        <f t="shared" si="9"/>
        <v>3</v>
      </c>
      <c r="S95" s="12" cm="1">
        <f t="array" ref="S95">INDEX('CancerEpisode-ConceptMap-2'!$I$15:$N$123,Q95+1,R95)</f>
        <v>0</v>
      </c>
    </row>
    <row r="96" spans="1:19">
      <c r="G96" s="124"/>
      <c r="P96" s="11">
        <v>82</v>
      </c>
      <c r="Q96" s="11">
        <f t="shared" si="8"/>
        <v>13</v>
      </c>
      <c r="R96" s="11">
        <f t="shared" si="9"/>
        <v>4</v>
      </c>
      <c r="S96" s="12" cm="1">
        <f t="array" ref="S96">INDEX('CancerEpisode-ConceptMap-2'!$I$15:$N$123,Q96+1,R96)</f>
        <v>0</v>
      </c>
    </row>
    <row r="97" spans="7:19">
      <c r="G97" s="124"/>
      <c r="P97" s="11">
        <v>83</v>
      </c>
      <c r="Q97" s="11">
        <f t="shared" si="8"/>
        <v>13</v>
      </c>
      <c r="R97" s="11">
        <f t="shared" si="9"/>
        <v>5</v>
      </c>
      <c r="S97" s="12" cm="1">
        <f t="array" ref="S97">INDEX('CancerEpisode-ConceptMap-2'!$I$15:$N$123,Q97+1,R97)</f>
        <v>0</v>
      </c>
    </row>
    <row r="98" spans="7:19">
      <c r="G98" s="124"/>
      <c r="P98" s="11">
        <v>84</v>
      </c>
      <c r="Q98" s="11">
        <f t="shared" si="8"/>
        <v>13</v>
      </c>
      <c r="R98" s="11">
        <f t="shared" si="9"/>
        <v>6</v>
      </c>
      <c r="S98" s="12" cm="1">
        <f t="array" ref="S98">INDEX('CancerEpisode-ConceptMap-2'!$I$15:$N$123,Q98+1,R98)</f>
        <v>0</v>
      </c>
    </row>
    <row r="99" spans="7:19">
      <c r="G99" s="124"/>
      <c r="P99" s="11">
        <v>85</v>
      </c>
      <c r="Q99" s="11">
        <f t="shared" si="8"/>
        <v>14</v>
      </c>
      <c r="R99" s="11">
        <f t="shared" si="9"/>
        <v>1</v>
      </c>
      <c r="S99" s="12" cm="1">
        <f t="array" ref="S99">INDEX('CancerEpisode-ConceptMap-2'!$I$15:$N$123,Q99+1,R99)</f>
        <v>0</v>
      </c>
    </row>
    <row r="100" spans="7:19">
      <c r="G100" s="124"/>
      <c r="P100" s="11">
        <v>86</v>
      </c>
      <c r="Q100" s="11">
        <f t="shared" si="8"/>
        <v>14</v>
      </c>
      <c r="R100" s="11">
        <f t="shared" si="9"/>
        <v>2</v>
      </c>
      <c r="S100" s="12" cm="1">
        <f t="array" ref="S100">INDEX('CancerEpisode-ConceptMap-2'!$I$15:$N$123,Q100+1,R100)</f>
        <v>0</v>
      </c>
    </row>
    <row r="101" spans="7:19">
      <c r="G101" s="124"/>
      <c r="P101" s="11">
        <v>87</v>
      </c>
      <c r="Q101" s="11">
        <f t="shared" si="8"/>
        <v>14</v>
      </c>
      <c r="R101" s="11">
        <f t="shared" si="9"/>
        <v>3</v>
      </c>
      <c r="S101" s="12" cm="1">
        <f t="array" ref="S101">INDEX('CancerEpisode-ConceptMap-2'!$I$15:$N$123,Q101+1,R101)</f>
        <v>0</v>
      </c>
    </row>
    <row r="102" spans="7:19">
      <c r="G102" s="124"/>
      <c r="P102" s="11">
        <v>88</v>
      </c>
      <c r="Q102" s="11">
        <f t="shared" si="8"/>
        <v>14</v>
      </c>
      <c r="R102" s="11">
        <f t="shared" si="9"/>
        <v>4</v>
      </c>
      <c r="S102" s="12" cm="1">
        <f t="array" ref="S102">INDEX('CancerEpisode-ConceptMap-2'!$I$15:$N$123,Q102+1,R102)</f>
        <v>0</v>
      </c>
    </row>
    <row r="103" spans="7:19">
      <c r="G103" s="124"/>
      <c r="P103" s="11">
        <v>89</v>
      </c>
      <c r="Q103" s="11">
        <f t="shared" si="8"/>
        <v>14</v>
      </c>
      <c r="R103" s="11">
        <f t="shared" si="9"/>
        <v>5</v>
      </c>
      <c r="S103" s="12" cm="1">
        <f t="array" ref="S103">INDEX('CancerEpisode-ConceptMap-2'!$I$15:$N$123,Q103+1,R103)</f>
        <v>0</v>
      </c>
    </row>
    <row r="104" spans="7:19">
      <c r="G104" s="124"/>
      <c r="P104" s="11">
        <v>90</v>
      </c>
      <c r="Q104" s="11">
        <f t="shared" si="8"/>
        <v>14</v>
      </c>
      <c r="R104" s="11">
        <f t="shared" si="9"/>
        <v>6</v>
      </c>
      <c r="S104" s="12" cm="1">
        <f t="array" ref="S104">INDEX('CancerEpisode-ConceptMap-2'!$I$15:$N$123,Q104+1,R104)</f>
        <v>0</v>
      </c>
    </row>
    <row r="105" spans="7:19">
      <c r="G105" s="124"/>
      <c r="P105" s="11">
        <v>91</v>
      </c>
      <c r="Q105" s="11">
        <f t="shared" si="8"/>
        <v>15</v>
      </c>
      <c r="R105" s="11">
        <f t="shared" si="9"/>
        <v>1</v>
      </c>
      <c r="S105" s="12" cm="1">
        <f t="array" ref="S105">INDEX('CancerEpisode-ConceptMap-2'!$I$15:$N$123,Q105+1,R105)</f>
        <v>0</v>
      </c>
    </row>
    <row r="106" spans="7:19">
      <c r="G106" s="124"/>
      <c r="P106" s="11">
        <v>92</v>
      </c>
      <c r="Q106" s="11">
        <f t="shared" si="8"/>
        <v>15</v>
      </c>
      <c r="R106" s="11">
        <f t="shared" si="9"/>
        <v>2</v>
      </c>
      <c r="S106" s="12" cm="1">
        <f t="array" ref="S106">INDEX('CancerEpisode-ConceptMap-2'!$I$15:$N$123,Q106+1,R106)</f>
        <v>0</v>
      </c>
    </row>
    <row r="107" spans="7:19">
      <c r="G107" s="124"/>
      <c r="P107" s="11">
        <v>93</v>
      </c>
      <c r="Q107" s="11">
        <f t="shared" si="8"/>
        <v>15</v>
      </c>
      <c r="R107" s="11">
        <f t="shared" si="9"/>
        <v>3</v>
      </c>
      <c r="S107" s="12" cm="1">
        <f t="array" ref="S107">INDEX('CancerEpisode-ConceptMap-2'!$I$15:$N$123,Q107+1,R107)</f>
        <v>0</v>
      </c>
    </row>
    <row r="108" spans="7:19">
      <c r="G108" s="124"/>
      <c r="P108" s="11">
        <v>94</v>
      </c>
      <c r="Q108" s="11">
        <f t="shared" si="8"/>
        <v>15</v>
      </c>
      <c r="R108" s="11">
        <f t="shared" si="9"/>
        <v>4</v>
      </c>
      <c r="S108" s="12" cm="1">
        <f t="array" ref="S108">INDEX('CancerEpisode-ConceptMap-2'!$I$15:$N$123,Q108+1,R108)</f>
        <v>0</v>
      </c>
    </row>
    <row r="109" spans="7:19">
      <c r="G109" s="124"/>
      <c r="P109" s="11">
        <v>95</v>
      </c>
      <c r="Q109" s="11">
        <f t="shared" si="8"/>
        <v>15</v>
      </c>
      <c r="R109" s="11">
        <f t="shared" si="9"/>
        <v>5</v>
      </c>
      <c r="S109" s="12" cm="1">
        <f t="array" ref="S109">INDEX('CancerEpisode-ConceptMap-2'!$I$15:$N$123,Q109+1,R109)</f>
        <v>0</v>
      </c>
    </row>
    <row r="110" spans="7:19">
      <c r="G110" s="124"/>
      <c r="P110" s="11">
        <v>96</v>
      </c>
      <c r="Q110" s="11">
        <f t="shared" si="8"/>
        <v>15</v>
      </c>
      <c r="R110" s="11">
        <f t="shared" si="9"/>
        <v>6</v>
      </c>
      <c r="S110" s="12" cm="1">
        <f t="array" ref="S110">INDEX('CancerEpisode-ConceptMap-2'!$I$15:$N$123,Q110+1,R110)</f>
        <v>0</v>
      </c>
    </row>
    <row r="111" spans="7:19">
      <c r="G111" s="124"/>
      <c r="P111" s="11">
        <v>97</v>
      </c>
      <c r="Q111" s="11">
        <f t="shared" si="8"/>
        <v>16</v>
      </c>
      <c r="R111" s="11">
        <f t="shared" si="9"/>
        <v>1</v>
      </c>
      <c r="S111" s="12" cm="1">
        <f t="array" ref="S111">INDEX('CancerEpisode-ConceptMap-2'!$I$15:$N$123,Q111+1,R111)</f>
        <v>0</v>
      </c>
    </row>
    <row r="112" spans="7:19">
      <c r="G112" s="124"/>
      <c r="P112" s="11">
        <v>98</v>
      </c>
      <c r="Q112" s="11">
        <f t="shared" si="8"/>
        <v>16</v>
      </c>
      <c r="R112" s="11">
        <f t="shared" si="9"/>
        <v>2</v>
      </c>
      <c r="S112" s="12" cm="1">
        <f t="array" ref="S112">INDEX('CancerEpisode-ConceptMap-2'!$I$15:$N$123,Q112+1,R112)</f>
        <v>0</v>
      </c>
    </row>
    <row r="113" spans="7:19">
      <c r="G113" s="124"/>
      <c r="P113" s="11">
        <v>99</v>
      </c>
      <c r="Q113" s="11">
        <f t="shared" si="8"/>
        <v>16</v>
      </c>
      <c r="R113" s="11">
        <f t="shared" si="9"/>
        <v>3</v>
      </c>
      <c r="S113" s="12" cm="1">
        <f t="array" ref="S113">INDEX('CancerEpisode-ConceptMap-2'!$I$15:$N$123,Q113+1,R113)</f>
        <v>0</v>
      </c>
    </row>
    <row r="114" spans="7:19">
      <c r="G114" s="124"/>
      <c r="P114" s="11">
        <v>100</v>
      </c>
      <c r="Q114" s="11">
        <f t="shared" si="8"/>
        <v>16</v>
      </c>
      <c r="R114" s="11">
        <f t="shared" si="9"/>
        <v>4</v>
      </c>
      <c r="S114" s="12" cm="1">
        <f t="array" ref="S114">INDEX('CancerEpisode-ConceptMap-2'!$I$15:$N$123,Q114+1,R114)</f>
        <v>0</v>
      </c>
    </row>
    <row r="115" spans="7:19">
      <c r="G115" s="124"/>
      <c r="P115" s="11">
        <v>101</v>
      </c>
      <c r="Q115" s="11">
        <f t="shared" si="8"/>
        <v>16</v>
      </c>
      <c r="R115" s="11">
        <f t="shared" si="9"/>
        <v>5</v>
      </c>
      <c r="S115" s="12" cm="1">
        <f t="array" ref="S115">INDEX('CancerEpisode-ConceptMap-2'!$I$15:$N$123,Q115+1,R115)</f>
        <v>0</v>
      </c>
    </row>
    <row r="116" spans="7:19">
      <c r="G116" s="124"/>
      <c r="P116" s="11">
        <v>102</v>
      </c>
      <c r="Q116" s="11">
        <f t="shared" si="8"/>
        <v>16</v>
      </c>
      <c r="R116" s="11">
        <f t="shared" si="9"/>
        <v>6</v>
      </c>
      <c r="S116" s="12" cm="1">
        <f t="array" ref="S116">INDEX('CancerEpisode-ConceptMap-2'!$I$15:$N$123,Q116+1,R116)</f>
        <v>0</v>
      </c>
    </row>
    <row r="117" spans="7:19">
      <c r="G117" s="124"/>
      <c r="P117" s="11">
        <v>103</v>
      </c>
      <c r="Q117" s="11">
        <f t="shared" si="8"/>
        <v>17</v>
      </c>
      <c r="R117" s="11">
        <f t="shared" si="9"/>
        <v>1</v>
      </c>
      <c r="S117" s="12" cm="1">
        <f t="array" ref="S117">INDEX('CancerEpisode-ConceptMap-2'!$I$15:$N$123,Q117+1,R117)</f>
        <v>0</v>
      </c>
    </row>
    <row r="118" spans="7:19">
      <c r="G118" s="124"/>
      <c r="P118" s="11">
        <v>104</v>
      </c>
      <c r="Q118" s="11">
        <f t="shared" si="8"/>
        <v>17</v>
      </c>
      <c r="R118" s="11">
        <f t="shared" si="9"/>
        <v>2</v>
      </c>
      <c r="S118" s="12" cm="1">
        <f t="array" ref="S118">INDEX('CancerEpisode-ConceptMap-2'!$I$15:$N$123,Q118+1,R118)</f>
        <v>0</v>
      </c>
    </row>
    <row r="119" spans="7:19">
      <c r="G119" s="124"/>
      <c r="P119" s="11">
        <v>105</v>
      </c>
      <c r="Q119" s="11">
        <f t="shared" si="8"/>
        <v>17</v>
      </c>
      <c r="R119" s="11">
        <f t="shared" si="9"/>
        <v>3</v>
      </c>
      <c r="S119" s="12" cm="1">
        <f t="array" ref="S119">INDEX('CancerEpisode-ConceptMap-2'!$I$15:$N$123,Q119+1,R119)</f>
        <v>0</v>
      </c>
    </row>
    <row r="120" spans="7:19">
      <c r="G120" s="124"/>
      <c r="P120" s="11">
        <v>106</v>
      </c>
      <c r="Q120" s="11">
        <f t="shared" si="8"/>
        <v>17</v>
      </c>
      <c r="R120" s="11">
        <f t="shared" si="9"/>
        <v>4</v>
      </c>
      <c r="S120" s="12" cm="1">
        <f t="array" ref="S120">INDEX('CancerEpisode-ConceptMap-2'!$I$15:$N$123,Q120+1,R120)</f>
        <v>0</v>
      </c>
    </row>
    <row r="121" spans="7:19">
      <c r="G121" s="124"/>
      <c r="P121" s="11">
        <v>107</v>
      </c>
      <c r="Q121" s="11">
        <f t="shared" si="8"/>
        <v>17</v>
      </c>
      <c r="R121" s="11">
        <f t="shared" si="9"/>
        <v>5</v>
      </c>
      <c r="S121" s="12" cm="1">
        <f t="array" ref="S121">INDEX('CancerEpisode-ConceptMap-2'!$I$15:$N$123,Q121+1,R121)</f>
        <v>0</v>
      </c>
    </row>
    <row r="122" spans="7:19">
      <c r="G122" s="124"/>
      <c r="P122" s="11">
        <v>108</v>
      </c>
      <c r="Q122" s="11">
        <f t="shared" si="8"/>
        <v>17</v>
      </c>
      <c r="R122" s="11">
        <f t="shared" si="9"/>
        <v>6</v>
      </c>
      <c r="S122" s="12" cm="1">
        <f t="array" ref="S122">INDEX('CancerEpisode-ConceptMap-2'!$I$15:$N$123,Q122+1,R122)</f>
        <v>0</v>
      </c>
    </row>
    <row r="123" spans="7:19">
      <c r="G123" s="124"/>
      <c r="P123" s="11">
        <v>109</v>
      </c>
      <c r="Q123" s="11">
        <f t="shared" si="8"/>
        <v>18</v>
      </c>
      <c r="R123" s="11">
        <f t="shared" si="9"/>
        <v>1</v>
      </c>
      <c r="S123" s="12" cm="1">
        <f t="array" ref="S123">INDEX('CancerEpisode-ConceptMap-2'!$I$15:$N$123,Q123+1,R123)</f>
        <v>0</v>
      </c>
    </row>
    <row r="124" spans="7:19">
      <c r="G124" s="124"/>
      <c r="P124" s="11">
        <v>110</v>
      </c>
      <c r="Q124" s="11">
        <f t="shared" si="8"/>
        <v>18</v>
      </c>
      <c r="R124" s="11">
        <f t="shared" si="9"/>
        <v>2</v>
      </c>
      <c r="S124" s="12" cm="1">
        <f t="array" ref="S124">INDEX('CancerEpisode-ConceptMap-2'!$I$15:$N$123,Q124+1,R124)</f>
        <v>0</v>
      </c>
    </row>
    <row r="125" spans="7:19">
      <c r="G125" s="124"/>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G21" sqref="G21"/>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1799</v>
      </c>
    </row>
    <row r="3" spans="2:7">
      <c r="B3" s="24" t="s">
        <v>20</v>
      </c>
    </row>
    <row r="4" spans="2:7">
      <c r="B4" s="65" t="str">
        <f>"Instance: "&amp;'CancerEpisode-ConceptMap-1'!C4</f>
        <v>Instance: cancerEpisode2FHIR</v>
      </c>
    </row>
    <row r="5" spans="2:7">
      <c r="B5" s="65" t="s">
        <v>1447</v>
      </c>
    </row>
    <row r="6" spans="2:7">
      <c r="B6" s="65" t="s">
        <v>1438</v>
      </c>
    </row>
    <row r="7" spans="2:7">
      <c r="B7" s="65" t="s">
        <v>1798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##34#http://hl7.eu/fhir/ig/idea4rc/StructureDefinition/Condition-primaryCancer-eu-i4rc##34#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22"/>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id ofType Observation and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approach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#Condition.evidence:plasmaticEbvDnaAtBaseline.valueCodeableConcept</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ht="29.5">
      <c r="B138" s="12" t="str">
        <f>IF('CancerEpisode-ConceptMap-1'!S134=0,"//---END",'CancerEpisode-ConceptMap-1'!S134)</f>
        <v>* group[=].element[=].target.comment = ##34#Where Observation.code is 43730-1 EBV DNA NAA+probe Qn.
NOTE : code to be changed !##34#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#Condition.evidence:hpvStatus.valueCodeableConcept</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ht="44.25">
      <c r="B144" s="12" t="str">
        <f>IF('CancerEpisode-ConceptMap-1'!S140=0,"//---END",'CancerEpisode-ConceptMap-1'!S140)</f>
        <v>* group[=].element[=].target.comment = ##34#Where Observation.code is 77377-0 HPV 16 and 18 and 31+33+35+39+45+51+52+56+58+59+66+68 DNA (Specimen) [Interp]
NOTE : code to be checked !##34#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tested##34#</v>
      </c>
    </row>
    <row r="147" spans="2:2">
      <c r="B147" s="12" t="str">
        <f>IF('CancerEpisode-ConceptMap-1'!S143=0,"//---END",'CancerEpisode-ConceptMap-1'!S143)</f>
        <v>* group[=].element[=].target.code = #Condition.evidence:crpCReactiveProteinTested.valueCodeableConcept</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ht="29.5">
      <c r="B150" s="12" t="str">
        <f>IF('CancerEpisode-ConceptMap-1'!S146=0,"//---END",'CancerEpisode-ConceptMap-1'!S146)</f>
        <v>* group[=].element[=].target.comment = ##34#Where Observation.code is 11039-5 C reactive protein [Presence] in Serum or Plasma
NOTE : code to be checked !##34#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22"/>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22"/>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22" zoomScale="145" zoomScaleNormal="145" workbookViewId="0">
      <selection activeCell="B32" sqref="B32"/>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06" t="s">
        <v>155</v>
      </c>
      <c r="C7" s="9" t="s">
        <v>3</v>
      </c>
      <c r="D7" s="1" t="s">
        <v>4</v>
      </c>
      <c r="E7" s="3" t="s">
        <v>5</v>
      </c>
      <c r="F7" s="3" t="s">
        <v>6</v>
      </c>
      <c r="G7" s="3" t="s">
        <v>7</v>
      </c>
      <c r="H7" s="105" t="s">
        <v>1610</v>
      </c>
      <c r="J7" s="17" t="str">
        <f>CONCATENATE("Description: "," ##334#",B7,"##334#",)</f>
        <v>Description:  ##334#Subject of care 
Maturity Level: 0 Draft##334#</v>
      </c>
    </row>
    <row r="8" spans="1:12" ht="59">
      <c r="A8" s="6">
        <v>0</v>
      </c>
      <c r="B8" s="107" t="s">
        <v>1857</v>
      </c>
      <c r="C8" s="12" t="s">
        <v>52</v>
      </c>
      <c r="D8" s="12" t="s">
        <v>1898</v>
      </c>
      <c r="E8" s="11">
        <v>1</v>
      </c>
      <c r="F8" s="11">
        <v>1</v>
      </c>
      <c r="G8" s="108" t="s">
        <v>1786</v>
      </c>
      <c r="H8" s="108" t="s">
        <v>1696</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07" t="s">
        <v>1858</v>
      </c>
      <c r="C9" s="12" t="s">
        <v>58</v>
      </c>
      <c r="D9" s="12" t="s">
        <v>60</v>
      </c>
      <c r="E9" s="11">
        <v>1</v>
      </c>
      <c r="F9" s="11">
        <v>1</v>
      </c>
      <c r="G9" s="108" t="s">
        <v>1786</v>
      </c>
      <c r="H9" s="108" t="s">
        <v>1697</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07" t="s">
        <v>1859</v>
      </c>
      <c r="C10" s="12" t="s">
        <v>1675</v>
      </c>
      <c r="D10" s="12" t="s">
        <v>66</v>
      </c>
      <c r="E10" s="11">
        <v>1</v>
      </c>
      <c r="F10" s="11">
        <v>1</v>
      </c>
      <c r="G10" s="108" t="s">
        <v>1786</v>
      </c>
      <c r="H10" s="108" t="s">
        <v>1698</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07" t="s">
        <v>1860</v>
      </c>
      <c r="C11" s="12" t="s">
        <v>70</v>
      </c>
      <c r="D11" s="12" t="s">
        <v>72</v>
      </c>
      <c r="E11" s="11">
        <v>1</v>
      </c>
      <c r="F11" s="11">
        <v>1</v>
      </c>
      <c r="G11" s="108" t="s">
        <v>1786</v>
      </c>
      <c r="H11" s="108" t="s">
        <v>1699</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07" t="s">
        <v>1861</v>
      </c>
      <c r="C12" s="12" t="s">
        <v>76</v>
      </c>
      <c r="D12" s="12" t="s">
        <v>1676</v>
      </c>
      <c r="E12" s="11">
        <v>0</v>
      </c>
      <c r="F12" s="11">
        <v>1</v>
      </c>
      <c r="G12" s="108" t="s">
        <v>1786</v>
      </c>
      <c r="H12" s="108" t="s">
        <v>1700</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07" t="s">
        <v>1862</v>
      </c>
      <c r="C13" s="12" t="s">
        <v>79</v>
      </c>
      <c r="D13" s="12" t="s">
        <v>1677</v>
      </c>
      <c r="E13" s="11">
        <v>0</v>
      </c>
      <c r="F13" s="11">
        <v>1</v>
      </c>
      <c r="G13" s="108" t="s">
        <v>1608</v>
      </c>
      <c r="H13" s="108" t="s">
        <v>1701</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07" t="s">
        <v>1863</v>
      </c>
      <c r="C14" s="12" t="s">
        <v>83</v>
      </c>
      <c r="D14" s="12" t="s">
        <v>84</v>
      </c>
      <c r="E14" s="11">
        <v>0</v>
      </c>
      <c r="F14" s="11">
        <v>1</v>
      </c>
      <c r="G14" s="108" t="s">
        <v>1608</v>
      </c>
      <c r="H14" s="108" t="s">
        <v>1701</v>
      </c>
      <c r="I14" s="25"/>
      <c r="J14" s="12" t="str">
        <f t="shared" si="1"/>
        <v>* yearsAsSmoker 0..1 integer ##34#Number of years as a smoker##34# ##334#Number of years the person has smoked##334#</v>
      </c>
      <c r="L14" s="12" t="str">
        <f t="shared" si="2"/>
        <v>* yearsAsSmoker ^comment = ##334#numeric
##334#</v>
      </c>
    </row>
    <row r="15" spans="1:12" ht="44.25">
      <c r="A15" s="11">
        <v>7</v>
      </c>
      <c r="B15" s="107" t="s">
        <v>1864</v>
      </c>
      <c r="C15" s="12" t="s">
        <v>92</v>
      </c>
      <c r="D15" s="12" t="s">
        <v>94</v>
      </c>
      <c r="E15" s="11">
        <v>1</v>
      </c>
      <c r="F15" s="11">
        <v>1</v>
      </c>
      <c r="G15" s="108" t="s">
        <v>1786</v>
      </c>
      <c r="H15" s="108" t="s">
        <v>1702</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07" t="s">
        <v>1835</v>
      </c>
      <c r="C16" s="4" t="s">
        <v>1835</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1848</v>
      </c>
      <c r="C17" s="12" t="s">
        <v>1836</v>
      </c>
      <c r="D17" s="12" t="s">
        <v>116</v>
      </c>
      <c r="E17" s="11">
        <v>1</v>
      </c>
      <c r="F17" s="11">
        <v>1</v>
      </c>
      <c r="G17" s="108" t="s">
        <v>1786</v>
      </c>
      <c r="H17" s="108" t="s">
        <v>1703</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09" t="s">
        <v>1843</v>
      </c>
      <c r="C18" s="12" t="s">
        <v>119</v>
      </c>
      <c r="D18" s="111" t="s">
        <v>119</v>
      </c>
      <c r="E18" s="11">
        <v>0</v>
      </c>
      <c r="F18" s="11">
        <v>1</v>
      </c>
      <c r="G18" s="108" t="s">
        <v>157</v>
      </c>
      <c r="H18" s="108" t="s">
        <v>184</v>
      </c>
      <c r="I18" s="25"/>
      <c r="J18" s="12" t="str">
        <f t="shared" si="1"/>
        <v>* comorbidity.myocardialInfarction 0..1 boolean ##34#Myocardial infarction##34# ##334#Myocardial infarction##334#</v>
      </c>
      <c r="L18" s="12" t="str">
        <f t="shared" si="2"/>
        <v/>
      </c>
    </row>
    <row r="19" spans="1:12" ht="29.5">
      <c r="A19" s="11">
        <v>11</v>
      </c>
      <c r="B19" s="109" t="s">
        <v>1849</v>
      </c>
      <c r="C19" s="12" t="s">
        <v>1678</v>
      </c>
      <c r="D19" s="108" t="s">
        <v>1678</v>
      </c>
      <c r="E19" s="11">
        <v>0</v>
      </c>
      <c r="F19" s="11">
        <v>1</v>
      </c>
      <c r="G19" s="108" t="s">
        <v>157</v>
      </c>
      <c r="H19" s="108" t="s">
        <v>184</v>
      </c>
      <c r="I19" s="25"/>
      <c r="J19" s="12" t="str">
        <f t="shared" si="1"/>
        <v>* comorbidity.congestiveHeartFailure 0..1 boolean ##34#Congestive heart failure##34# ##334#Congestive heart failure##334#</v>
      </c>
      <c r="L19" s="12" t="str">
        <f t="shared" si="2"/>
        <v/>
      </c>
    </row>
    <row r="20" spans="1:12" ht="29.5">
      <c r="A20" s="11">
        <v>12</v>
      </c>
      <c r="B20" s="109" t="s">
        <v>1854</v>
      </c>
      <c r="C20" s="12" t="s">
        <v>1679</v>
      </c>
      <c r="D20" s="108" t="s">
        <v>1679</v>
      </c>
      <c r="E20" s="11">
        <v>0</v>
      </c>
      <c r="F20" s="11">
        <v>1</v>
      </c>
      <c r="G20" s="108" t="s">
        <v>157</v>
      </c>
      <c r="H20" s="108" t="s">
        <v>184</v>
      </c>
      <c r="I20" s="25"/>
      <c r="J20" s="12" t="str">
        <f t="shared" si="1"/>
        <v>* comorbidity.peripheralVascularDisease 0..1 boolean ##34#Peripheral vascular disease##34# ##334#Peripheral vascular disease##334#</v>
      </c>
      <c r="L20" s="12" t="str">
        <f t="shared" si="2"/>
        <v/>
      </c>
    </row>
    <row r="21" spans="1:12" ht="44.25">
      <c r="A21" s="6">
        <v>13</v>
      </c>
      <c r="B21" s="110" t="s">
        <v>1850</v>
      </c>
      <c r="C21" s="12" t="s">
        <v>1680</v>
      </c>
      <c r="D21" s="108" t="s">
        <v>1680</v>
      </c>
      <c r="E21" s="11">
        <v>0</v>
      </c>
      <c r="F21" s="11">
        <v>1</v>
      </c>
      <c r="G21" s="108" t="s">
        <v>157</v>
      </c>
      <c r="H21" s="108"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09" t="s">
        <v>1840</v>
      </c>
      <c r="C22" s="12" t="s">
        <v>1681</v>
      </c>
      <c r="D22" s="108" t="s">
        <v>1681</v>
      </c>
      <c r="E22" s="11">
        <v>0</v>
      </c>
      <c r="F22" s="11">
        <v>1</v>
      </c>
      <c r="G22" s="108" t="s">
        <v>157</v>
      </c>
      <c r="H22" s="108" t="s">
        <v>184</v>
      </c>
      <c r="I22" s="25"/>
      <c r="J22" s="12" t="str">
        <f t="shared" si="1"/>
        <v>* comorbidity.dementia 0..1 boolean ##34#Dementia##34# ##334#Dementia##334#</v>
      </c>
      <c r="L22" s="12" t="str">
        <f t="shared" si="2"/>
        <v/>
      </c>
    </row>
    <row r="23" spans="1:12" ht="29.5">
      <c r="A23" s="11">
        <v>15</v>
      </c>
      <c r="B23" s="109" t="s">
        <v>1851</v>
      </c>
      <c r="C23" s="12" t="s">
        <v>1682</v>
      </c>
      <c r="D23" s="108" t="s">
        <v>1682</v>
      </c>
      <c r="E23" s="11">
        <v>0</v>
      </c>
      <c r="F23" s="11">
        <v>1</v>
      </c>
      <c r="G23" s="108" t="s">
        <v>157</v>
      </c>
      <c r="H23" s="108" t="s">
        <v>184</v>
      </c>
      <c r="I23" s="25"/>
      <c r="J23" s="12" t="str">
        <f t="shared" si="1"/>
        <v>* comorbidity.chronicPulmonaryDisease 0..1 boolean ##34#Chronic pulmonary disease##34# ##334#Chronic pulmonary disease##334#</v>
      </c>
      <c r="L23" s="12" t="str">
        <f t="shared" si="2"/>
        <v/>
      </c>
    </row>
    <row r="24" spans="1:12" ht="29.5">
      <c r="A24" s="11">
        <v>16</v>
      </c>
      <c r="B24" s="109" t="s">
        <v>1852</v>
      </c>
      <c r="C24" s="12" t="s">
        <v>1683</v>
      </c>
      <c r="D24" s="108" t="s">
        <v>1683</v>
      </c>
      <c r="E24" s="11">
        <v>0</v>
      </c>
      <c r="F24" s="11">
        <v>1</v>
      </c>
      <c r="G24" s="108" t="s">
        <v>157</v>
      </c>
      <c r="H24" s="108" t="s">
        <v>184</v>
      </c>
      <c r="I24" s="25"/>
      <c r="J24" s="12" t="str">
        <f t="shared" si="1"/>
        <v>* comorbidity.connectiveTissueDisease 0..1 boolean ##34#Connective tissue disease##34# ##334#Connective tissue disease##334#</v>
      </c>
      <c r="L24" s="12" t="str">
        <f t="shared" si="2"/>
        <v/>
      </c>
    </row>
    <row r="25" spans="1:12">
      <c r="A25" s="11">
        <v>17</v>
      </c>
      <c r="B25" s="109" t="s">
        <v>1853</v>
      </c>
      <c r="C25" s="12" t="s">
        <v>1684</v>
      </c>
      <c r="D25" s="108" t="s">
        <v>1684</v>
      </c>
      <c r="E25" s="11">
        <v>0</v>
      </c>
      <c r="F25" s="11">
        <v>1</v>
      </c>
      <c r="G25" s="108" t="s">
        <v>157</v>
      </c>
      <c r="H25" s="108" t="s">
        <v>184</v>
      </c>
      <c r="I25" s="25"/>
      <c r="J25" s="12" t="str">
        <f t="shared" si="1"/>
        <v>* comorbidity.ulcer 0..1 boolean ##34#Ulcer##34# ##334#Ulcer##334#</v>
      </c>
      <c r="L25" s="12" t="str">
        <f t="shared" si="2"/>
        <v/>
      </c>
    </row>
    <row r="26" spans="1:12" ht="29.5">
      <c r="A26" s="6">
        <v>18</v>
      </c>
      <c r="B26" s="109" t="s">
        <v>1844</v>
      </c>
      <c r="C26" s="12" t="s">
        <v>1685</v>
      </c>
      <c r="D26" s="108" t="s">
        <v>1685</v>
      </c>
      <c r="E26" s="11">
        <v>0</v>
      </c>
      <c r="F26" s="11">
        <v>1</v>
      </c>
      <c r="G26" s="108" t="s">
        <v>157</v>
      </c>
      <c r="H26" s="108" t="s">
        <v>184</v>
      </c>
      <c r="I26" s="25"/>
      <c r="J26" s="12" t="str">
        <f t="shared" si="1"/>
        <v>* comorbidity.mildLiverDisease 0..1 boolean ##34#Mild liver disease##34# ##334#Mild liver disease##334#</v>
      </c>
      <c r="L26" s="12" t="str">
        <f t="shared" si="2"/>
        <v/>
      </c>
    </row>
    <row r="27" spans="1:12" ht="29.5">
      <c r="A27" s="6">
        <v>19</v>
      </c>
      <c r="B27" s="109" t="s">
        <v>1845</v>
      </c>
      <c r="C27" s="12" t="s">
        <v>1686</v>
      </c>
      <c r="D27" s="108" t="s">
        <v>1686</v>
      </c>
      <c r="E27" s="11">
        <v>0</v>
      </c>
      <c r="F27" s="11">
        <v>1</v>
      </c>
      <c r="G27" s="108" t="s">
        <v>157</v>
      </c>
      <c r="H27" s="108" t="s">
        <v>184</v>
      </c>
      <c r="I27" s="25"/>
      <c r="J27" s="12" t="str">
        <f t="shared" si="1"/>
        <v>* comorbidity.moderateToSevereLiverDisease 0..1 boolean ##34#Moderate to severe liver disease##34# ##334#Moderate to severe liver disease##334#</v>
      </c>
      <c r="L27" s="12" t="str">
        <f t="shared" si="2"/>
        <v/>
      </c>
    </row>
    <row r="28" spans="1:12" ht="29.5">
      <c r="A28" s="6">
        <v>20</v>
      </c>
      <c r="B28" s="110" t="s">
        <v>1841</v>
      </c>
      <c r="C28" s="12" t="s">
        <v>1687</v>
      </c>
      <c r="D28" s="108" t="s">
        <v>1687</v>
      </c>
      <c r="E28" s="11">
        <v>0</v>
      </c>
      <c r="F28" s="11">
        <v>1</v>
      </c>
      <c r="G28" s="108" t="s">
        <v>157</v>
      </c>
      <c r="H28" s="108" t="s">
        <v>184</v>
      </c>
      <c r="I28" s="25"/>
      <c r="J28" s="12" t="str">
        <f t="shared" si="1"/>
        <v>* comorbidity.diabetesWithoutComplications 0..1 boolean ##34#Diabetes (without complications)##34# ##334#Diabetes (without complications)##334#</v>
      </c>
      <c r="L28" s="12" t="str">
        <f t="shared" si="2"/>
        <v/>
      </c>
    </row>
    <row r="29" spans="1:12" ht="29.5">
      <c r="A29" s="6">
        <v>21</v>
      </c>
      <c r="B29" s="109" t="s">
        <v>1842</v>
      </c>
      <c r="C29" s="12" t="s">
        <v>1688</v>
      </c>
      <c r="D29" s="108" t="s">
        <v>1688</v>
      </c>
      <c r="E29" s="11">
        <v>0</v>
      </c>
      <c r="F29" s="11">
        <v>1</v>
      </c>
      <c r="G29" s="108" t="s">
        <v>157</v>
      </c>
      <c r="H29" s="108" t="s">
        <v>184</v>
      </c>
      <c r="I29" s="25"/>
      <c r="J29" s="12" t="str">
        <f t="shared" si="1"/>
        <v>* comorbidity.diabetesWithEndOrganDamage 0..1 boolean ##34#Diabetes with end organ damage##34# ##334#Diabetes with end organ damage##334#</v>
      </c>
      <c r="L29" s="12" t="str">
        <f t="shared" si="2"/>
        <v/>
      </c>
    </row>
    <row r="30" spans="1:12" ht="29.5">
      <c r="A30" s="11">
        <v>22</v>
      </c>
      <c r="B30" s="109" t="s">
        <v>1837</v>
      </c>
      <c r="C30" s="12" t="s">
        <v>1689</v>
      </c>
      <c r="D30" s="108" t="s">
        <v>1689</v>
      </c>
      <c r="E30" s="11">
        <v>0</v>
      </c>
      <c r="F30" s="11">
        <v>1</v>
      </c>
      <c r="G30" s="108" t="s">
        <v>157</v>
      </c>
      <c r="H30" s="108" t="s">
        <v>184</v>
      </c>
      <c r="I30" s="25"/>
      <c r="J30" s="12" t="str">
        <f t="shared" si="1"/>
        <v>* comorbidity.hemiplegia 0..1 boolean ##34#Hemiplegia##34# ##334#Hemiplegia##334#</v>
      </c>
      <c r="L30" s="12" t="str">
        <f t="shared" si="2"/>
        <v/>
      </c>
    </row>
    <row r="31" spans="1:12" ht="29.5">
      <c r="A31" s="6">
        <v>23</v>
      </c>
      <c r="B31" s="109" t="s">
        <v>1846</v>
      </c>
      <c r="C31" s="12" t="s">
        <v>1690</v>
      </c>
      <c r="D31" s="108" t="s">
        <v>1690</v>
      </c>
      <c r="E31" s="11">
        <v>0</v>
      </c>
      <c r="F31" s="11">
        <v>1</v>
      </c>
      <c r="G31" s="108" t="s">
        <v>157</v>
      </c>
      <c r="H31" s="108" t="s">
        <v>184</v>
      </c>
      <c r="I31" s="25"/>
      <c r="J31" s="12" t="str">
        <f t="shared" si="1"/>
        <v>* comorbidity.moderateToSevereRenalDisease 0..1 boolean ##34#Moderate to severe renal disease##34# ##334#Moderate to severe renal disease##334#</v>
      </c>
      <c r="L31" s="12" t="str">
        <f t="shared" si="2"/>
        <v/>
      </c>
    </row>
    <row r="32" spans="1:12" ht="29.5">
      <c r="A32" s="6">
        <v>24</v>
      </c>
      <c r="B32" s="110" t="s">
        <v>1855</v>
      </c>
      <c r="C32" s="12" t="s">
        <v>1691</v>
      </c>
      <c r="D32" s="108" t="s">
        <v>1691</v>
      </c>
      <c r="E32" s="11">
        <v>0</v>
      </c>
      <c r="F32" s="11">
        <v>1</v>
      </c>
      <c r="G32" s="108" t="s">
        <v>157</v>
      </c>
      <c r="H32" s="108" t="s">
        <v>184</v>
      </c>
      <c r="I32" s="25"/>
      <c r="J32" s="12" t="str">
        <f t="shared" si="1"/>
        <v>* comorbidity.solidTumorNonMetastatic 0..1 boolean ##34#Solid tumor (non metastatic)##34# ##334#Solid tumor (non metastatic)##334#</v>
      </c>
      <c r="L32" s="12" t="str">
        <f t="shared" si="2"/>
        <v/>
      </c>
    </row>
    <row r="33" spans="1:12" ht="29.5">
      <c r="A33" s="6">
        <v>25</v>
      </c>
      <c r="B33" s="109" t="s">
        <v>1847</v>
      </c>
      <c r="C33" s="12" t="s">
        <v>1692</v>
      </c>
      <c r="D33" s="108" t="s">
        <v>1692</v>
      </c>
      <c r="E33" s="11">
        <v>0</v>
      </c>
      <c r="F33" s="11">
        <v>1</v>
      </c>
      <c r="G33" s="108" t="s">
        <v>157</v>
      </c>
      <c r="H33" s="108" t="s">
        <v>184</v>
      </c>
      <c r="I33" s="25"/>
      <c r="J33" s="12" t="str">
        <f t="shared" si="1"/>
        <v>* comorbidity.metastaticSolidTumor 0..1 boolean ##34#Metastatic solid tumor##34# ##334#Metastatic solid tumor##334#</v>
      </c>
      <c r="L33" s="12" t="str">
        <f t="shared" si="2"/>
        <v/>
      </c>
    </row>
    <row r="34" spans="1:12" ht="29.5">
      <c r="A34" s="11">
        <v>26</v>
      </c>
      <c r="B34" s="109" t="s">
        <v>1838</v>
      </c>
      <c r="C34" s="12" t="s">
        <v>1693</v>
      </c>
      <c r="D34" s="108" t="s">
        <v>1693</v>
      </c>
      <c r="E34" s="11">
        <v>0</v>
      </c>
      <c r="F34" s="11">
        <v>1</v>
      </c>
      <c r="G34" s="108" t="s">
        <v>157</v>
      </c>
      <c r="H34" s="108" t="s">
        <v>184</v>
      </c>
      <c r="I34" s="25"/>
      <c r="J34" s="12" t="str">
        <f t="shared" si="1"/>
        <v>* comorbidity.leukemia 0..1 boolean ##34#Leukemia##34# ##334#Leukemia##334#</v>
      </c>
      <c r="L34" s="12" t="str">
        <f t="shared" si="2"/>
        <v/>
      </c>
    </row>
    <row r="35" spans="1:12" ht="29.5">
      <c r="A35" s="6">
        <v>27</v>
      </c>
      <c r="B35" s="110" t="s">
        <v>1839</v>
      </c>
      <c r="C35" s="12" t="s">
        <v>137</v>
      </c>
      <c r="D35" s="108" t="s">
        <v>137</v>
      </c>
      <c r="E35" s="11">
        <v>0</v>
      </c>
      <c r="F35" s="11">
        <v>1</v>
      </c>
      <c r="G35" s="108" t="s">
        <v>157</v>
      </c>
      <c r="H35" s="108" t="s">
        <v>184</v>
      </c>
      <c r="I35" s="25"/>
      <c r="J35" s="12" t="str">
        <f t="shared" si="1"/>
        <v>* comorbidity.lymphomaOrMultipleMyeloma 0..1 boolean ##34#Lymphoma, Multiple myeloma##34# ##334#Lymphoma, Multiple myeloma##334#</v>
      </c>
      <c r="L35" s="12" t="str">
        <f t="shared" si="2"/>
        <v/>
      </c>
    </row>
    <row r="36" spans="1:12">
      <c r="A36" s="11">
        <v>28</v>
      </c>
      <c r="B36" s="109" t="s">
        <v>1856</v>
      </c>
      <c r="C36" s="12" t="s">
        <v>1694</v>
      </c>
      <c r="D36" s="108" t="s">
        <v>1694</v>
      </c>
      <c r="E36" s="11">
        <v>0</v>
      </c>
      <c r="F36" s="11">
        <v>1</v>
      </c>
      <c r="G36" s="108" t="s">
        <v>157</v>
      </c>
      <c r="H36" s="108" t="s">
        <v>184</v>
      </c>
      <c r="I36" s="25"/>
      <c r="J36" s="12" t="str">
        <f t="shared" si="1"/>
        <v>* comorbidity.aids 0..1 boolean ##34#AIDS##34# ##334#AIDS##334#</v>
      </c>
      <c r="L36" s="12" t="str">
        <f t="shared" si="2"/>
        <v/>
      </c>
    </row>
    <row r="37" spans="1:12" ht="59">
      <c r="A37" s="11">
        <v>29</v>
      </c>
      <c r="B37" s="110" t="s">
        <v>1865</v>
      </c>
      <c r="C37" s="12" t="s">
        <v>143</v>
      </c>
      <c r="D37" s="12" t="s">
        <v>143</v>
      </c>
      <c r="E37" s="11">
        <v>0</v>
      </c>
      <c r="F37" s="11">
        <v>1</v>
      </c>
      <c r="G37" s="108" t="s">
        <v>1786</v>
      </c>
      <c r="H37" s="108" t="s">
        <v>1704</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07" t="s">
        <v>1866</v>
      </c>
      <c r="C38" s="12" t="s">
        <v>147</v>
      </c>
      <c r="D38" s="12" t="s">
        <v>147</v>
      </c>
      <c r="E38" s="11">
        <v>0</v>
      </c>
      <c r="F38" s="11">
        <v>1</v>
      </c>
      <c r="G38" s="108" t="s">
        <v>1786</v>
      </c>
      <c r="H38" s="108" t="s">
        <v>1705</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1695</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1609</v>
      </c>
      <c r="E9" s="27" t="str">
        <f>CONCATENATE("* -&gt; ##34#",C9,"##34#")</f>
        <v>* -&gt; ##34#TBD##34#</v>
      </c>
      <c r="H9" s="7"/>
      <c r="I9" s="7"/>
      <c r="J9" s="7"/>
      <c r="K9" s="7"/>
      <c r="L9" s="7"/>
      <c r="M9" s="7"/>
      <c r="N9" s="7"/>
      <c r="O9" s="7"/>
    </row>
    <row r="10" spans="1:15">
      <c r="A10" s="11"/>
      <c r="B10" s="11" t="str">
        <f>Subject!B8</f>
        <v>sex</v>
      </c>
      <c r="C10" s="11" t="s">
        <v>1609</v>
      </c>
      <c r="E10" s="12" t="str">
        <f t="shared" ref="E10:E49" si="0">IF(B10=0,"*  -&gt; ##34###34#",CONCATENATE("* ",B10," -&gt; ##34#",C10,"##34#"))</f>
        <v>* sex -&gt; ##34#TBD##34#</v>
      </c>
      <c r="H10" s="7"/>
      <c r="I10" s="7"/>
      <c r="J10" s="7"/>
      <c r="K10" s="7"/>
      <c r="L10" s="7"/>
      <c r="M10" s="7"/>
      <c r="N10" s="7"/>
      <c r="O10" s="7"/>
    </row>
    <row r="11" spans="1:15">
      <c r="A11" s="11"/>
      <c r="B11" s="11" t="str">
        <f>Subject!B9</f>
        <v>race</v>
      </c>
      <c r="C11" s="11" t="s">
        <v>1609</v>
      </c>
      <c r="E11" s="12" t="str">
        <f t="shared" si="0"/>
        <v>* race -&gt; ##34#TBD##34#</v>
      </c>
      <c r="H11" s="7"/>
      <c r="I11" s="7"/>
      <c r="J11" s="7"/>
      <c r="K11" s="7"/>
      <c r="L11" s="7"/>
      <c r="M11" s="7"/>
      <c r="N11" s="7"/>
      <c r="O11" s="7"/>
    </row>
    <row r="12" spans="1:15">
      <c r="A12" s="11"/>
      <c r="B12" s="11" t="str">
        <f>Subject!B10</f>
        <v>countryOfResidence</v>
      </c>
      <c r="C12" s="11" t="s">
        <v>1609</v>
      </c>
      <c r="E12" s="12" t="str">
        <f t="shared" si="0"/>
        <v>* countryOfResidence -&gt; ##34#TBD##34#</v>
      </c>
      <c r="H12" s="7"/>
      <c r="I12" s="7"/>
      <c r="J12" s="7"/>
      <c r="K12" s="7"/>
      <c r="L12" s="7"/>
      <c r="M12" s="7"/>
      <c r="N12" s="7"/>
      <c r="O12" s="7"/>
    </row>
    <row r="13" spans="1:15">
      <c r="A13" s="11"/>
      <c r="B13" s="11" t="str">
        <f>Subject!B11</f>
        <v>smoking</v>
      </c>
      <c r="C13" s="11" t="s">
        <v>1609</v>
      </c>
      <c r="E13" s="12" t="str">
        <f t="shared" si="0"/>
        <v>* smoking -&gt; ##34#TBD##34#</v>
      </c>
      <c r="H13" s="7"/>
      <c r="I13" s="7"/>
      <c r="J13" s="7"/>
      <c r="K13" s="7"/>
      <c r="L13" s="7"/>
      <c r="M13" s="7"/>
      <c r="N13" s="7"/>
      <c r="O13" s="7"/>
    </row>
    <row r="14" spans="1:15">
      <c r="A14" s="11"/>
      <c r="B14" s="11" t="str">
        <f>Subject!B12</f>
        <v>smokingType</v>
      </c>
      <c r="C14" s="11" t="s">
        <v>1609</v>
      </c>
      <c r="E14" s="12" t="str">
        <f t="shared" si="0"/>
        <v>* smokingType -&gt; ##34#TBD##34#</v>
      </c>
      <c r="H14" s="7"/>
      <c r="I14" s="7"/>
      <c r="J14" s="7"/>
      <c r="K14" s="7"/>
      <c r="L14" s="7"/>
      <c r="M14" s="7"/>
      <c r="N14" s="7"/>
      <c r="O14" s="7"/>
    </row>
    <row r="15" spans="1:15">
      <c r="A15" s="11"/>
      <c r="B15" s="11" t="str">
        <f>Subject!B13</f>
        <v>cigSmokedPerDay</v>
      </c>
      <c r="C15" s="11" t="s">
        <v>1609</v>
      </c>
      <c r="E15" s="12" t="str">
        <f t="shared" si="0"/>
        <v>* cigSmokedPerDay -&gt; ##34#TBD##34#</v>
      </c>
      <c r="H15" s="7"/>
      <c r="I15" s="7"/>
      <c r="J15" s="7"/>
      <c r="K15" s="7"/>
      <c r="L15" s="7"/>
      <c r="M15" s="7"/>
      <c r="N15" s="7"/>
      <c r="O15" s="7"/>
    </row>
    <row r="16" spans="1:15">
      <c r="A16" s="11"/>
      <c r="B16" s="11" t="str">
        <f>Subject!B14</f>
        <v>yearsAsSmoker</v>
      </c>
      <c r="C16" s="11" t="s">
        <v>1609</v>
      </c>
      <c r="E16" s="12" t="str">
        <f t="shared" si="0"/>
        <v>* yearsAsSmoker -&gt; ##34#TBD##34#</v>
      </c>
      <c r="H16" s="7"/>
      <c r="I16" s="7"/>
      <c r="J16" s="7"/>
      <c r="K16" s="7"/>
      <c r="L16" s="7"/>
      <c r="M16" s="7"/>
      <c r="N16" s="7"/>
      <c r="O16" s="7"/>
    </row>
    <row r="17" spans="1:5">
      <c r="A17" s="11"/>
      <c r="B17" s="11" t="str">
        <f>Subject!B15</f>
        <v>alcohol</v>
      </c>
      <c r="C17" s="11" t="s">
        <v>1609</v>
      </c>
      <c r="E17" s="12" t="str">
        <f t="shared" si="0"/>
        <v>* alcohol -&gt; ##34#TBD##34#</v>
      </c>
    </row>
    <row r="18" spans="1:5">
      <c r="A18" s="11"/>
      <c r="B18" s="11" t="str">
        <f>Subject!B16</f>
        <v>comorbidity</v>
      </c>
      <c r="C18" s="11" t="s">
        <v>1609</v>
      </c>
      <c r="E18" s="12" t="str">
        <f t="shared" si="0"/>
        <v>* comorbidity -&gt; ##34#TBD##34#</v>
      </c>
    </row>
    <row r="19" spans="1:5">
      <c r="A19" s="11"/>
      <c r="B19" s="11" t="str">
        <f>Subject!B17</f>
        <v>comorbidity.flag</v>
      </c>
      <c r="C19" s="11" t="s">
        <v>1609</v>
      </c>
      <c r="E19" s="12" t="str">
        <f t="shared" si="0"/>
        <v>* comorbidity.flag -&gt; ##34#TBD##34#</v>
      </c>
    </row>
    <row r="20" spans="1:5">
      <c r="A20" s="11"/>
      <c r="B20" s="11" t="str">
        <f>Subject!B18</f>
        <v>comorbidity.myocardialInfarction</v>
      </c>
      <c r="C20" s="11" t="s">
        <v>1609</v>
      </c>
      <c r="E20" s="12" t="str">
        <f t="shared" si="0"/>
        <v>* comorbidity.myocardialInfarction -&gt; ##34#TBD##34#</v>
      </c>
    </row>
    <row r="21" spans="1:5">
      <c r="B21" s="11" t="str">
        <f>Subject!B19</f>
        <v>comorbidity.congestiveHeartFailure</v>
      </c>
      <c r="C21" s="11" t="s">
        <v>1609</v>
      </c>
      <c r="E21" s="12" t="str">
        <f t="shared" si="0"/>
        <v>* comorbidity.congestiveHeartFailure -&gt; ##34#TBD##34#</v>
      </c>
    </row>
    <row r="22" spans="1:5">
      <c r="B22" s="11" t="str">
        <f>Subject!B20</f>
        <v>comorbidity.peripheralVascularDisease</v>
      </c>
      <c r="C22" s="11" t="s">
        <v>1609</v>
      </c>
      <c r="E22" s="12" t="str">
        <f t="shared" si="0"/>
        <v>* comorbidity.peripheralVascularDisease -&gt; ##34#TBD##34#</v>
      </c>
    </row>
    <row r="23" spans="1:5">
      <c r="B23" s="11" t="str">
        <f>Subject!B21</f>
        <v>comorbidity.cerebrovascularAccidentExceptHemiplegia</v>
      </c>
      <c r="C23" s="11" t="s">
        <v>1609</v>
      </c>
      <c r="E23" s="12" t="str">
        <f t="shared" si="0"/>
        <v>* comorbidity.cerebrovascularAccidentExceptHemiplegia -&gt; ##34#TBD##34#</v>
      </c>
    </row>
    <row r="24" spans="1:5">
      <c r="B24" s="11" t="str">
        <f>Subject!B22</f>
        <v>comorbidity.dementia</v>
      </c>
      <c r="C24" s="11" t="s">
        <v>1609</v>
      </c>
      <c r="E24" s="12" t="str">
        <f t="shared" si="0"/>
        <v>* comorbidity.dementia -&gt; ##34#TBD##34#</v>
      </c>
    </row>
    <row r="25" spans="1:5">
      <c r="B25" s="11" t="str">
        <f>Subject!B23</f>
        <v>comorbidity.chronicPulmonaryDisease</v>
      </c>
      <c r="C25" s="11" t="s">
        <v>1609</v>
      </c>
      <c r="E25" s="12" t="str">
        <f t="shared" si="0"/>
        <v>* comorbidity.chronicPulmonaryDisease -&gt; ##34#TBD##34#</v>
      </c>
    </row>
    <row r="26" spans="1:5">
      <c r="B26" s="11" t="str">
        <f>Subject!B24</f>
        <v>comorbidity.connectiveTissueDisease</v>
      </c>
      <c r="C26" s="11" t="s">
        <v>1609</v>
      </c>
      <c r="E26" s="12" t="str">
        <f t="shared" si="0"/>
        <v>* comorbidity.connectiveTissueDisease -&gt; ##34#TBD##34#</v>
      </c>
    </row>
    <row r="27" spans="1:5">
      <c r="B27" s="11" t="str">
        <f>Subject!B25</f>
        <v>comorbidity.ulcer</v>
      </c>
      <c r="C27" s="11" t="s">
        <v>1609</v>
      </c>
      <c r="E27" s="12" t="str">
        <f t="shared" si="0"/>
        <v>* comorbidity.ulcer -&gt; ##34#TBD##34#</v>
      </c>
    </row>
    <row r="28" spans="1:5">
      <c r="B28" s="11" t="str">
        <f>Subject!B26</f>
        <v>comorbidity.mildLiverDisease</v>
      </c>
      <c r="C28" s="11" t="s">
        <v>1609</v>
      </c>
      <c r="E28" s="12" t="str">
        <f t="shared" si="0"/>
        <v>* comorbidity.mildLiverDisease -&gt; ##34#TBD##34#</v>
      </c>
    </row>
    <row r="29" spans="1:5">
      <c r="B29" s="11" t="str">
        <f>Subject!B27</f>
        <v>comorbidity.moderateToSevereLiverDisease</v>
      </c>
      <c r="C29" s="11" t="s">
        <v>1609</v>
      </c>
      <c r="E29" s="12" t="str">
        <f t="shared" si="0"/>
        <v>* comorbidity.moderateToSevereLiverDisease -&gt; ##34#TBD##34#</v>
      </c>
    </row>
    <row r="30" spans="1:5">
      <c r="B30" s="11" t="str">
        <f>Subject!B28</f>
        <v>comorbidity.diabetesWithoutComplications</v>
      </c>
      <c r="C30" s="11" t="s">
        <v>1609</v>
      </c>
      <c r="E30" s="12" t="str">
        <f t="shared" si="0"/>
        <v>* comorbidity.diabetesWithoutComplications -&gt; ##34#TBD##34#</v>
      </c>
    </row>
    <row r="31" spans="1:5">
      <c r="B31" s="11" t="str">
        <f>Subject!B29</f>
        <v>comorbidity.diabetesWithEndOrganDamage</v>
      </c>
      <c r="C31" s="11" t="s">
        <v>1609</v>
      </c>
      <c r="E31" s="12" t="str">
        <f t="shared" si="0"/>
        <v>* comorbidity.diabetesWithEndOrganDamage -&gt; ##34#TBD##34#</v>
      </c>
    </row>
    <row r="32" spans="1:5">
      <c r="B32" s="11" t="str">
        <f>Subject!B30</f>
        <v>comorbidity.hemiplegia</v>
      </c>
      <c r="C32" s="11" t="s">
        <v>1609</v>
      </c>
      <c r="E32" s="12" t="str">
        <f t="shared" si="0"/>
        <v>* comorbidity.hemiplegia -&gt; ##34#TBD##34#</v>
      </c>
    </row>
    <row r="33" spans="2:5">
      <c r="B33" s="11" t="str">
        <f>Subject!B31</f>
        <v>comorbidity.moderateToSevereRenalDisease</v>
      </c>
      <c r="C33" s="11" t="s">
        <v>1609</v>
      </c>
      <c r="E33" s="12" t="str">
        <f t="shared" si="0"/>
        <v>* comorbidity.moderateToSevereRenalDisease -&gt; ##34#TBD##34#</v>
      </c>
    </row>
    <row r="34" spans="2:5">
      <c r="B34" s="11" t="str">
        <f>Subject!B32</f>
        <v>comorbidity.solidTumorNonMetastatic</v>
      </c>
      <c r="C34" s="11" t="s">
        <v>1609</v>
      </c>
      <c r="E34" s="12" t="str">
        <f t="shared" si="0"/>
        <v>* comorbidity.solidTumorNonMetastatic -&gt; ##34#TBD##34#</v>
      </c>
    </row>
    <row r="35" spans="2:5">
      <c r="B35" s="11" t="str">
        <f>Subject!B33</f>
        <v>comorbidity.metastaticSolidTumor</v>
      </c>
      <c r="C35" s="11" t="s">
        <v>1609</v>
      </c>
      <c r="E35" s="12" t="str">
        <f t="shared" si="0"/>
        <v>* comorbidity.metastaticSolidTumor -&gt; ##34#TBD##34#</v>
      </c>
    </row>
    <row r="36" spans="2:5">
      <c r="B36" s="11" t="str">
        <f>Subject!B34</f>
        <v>comorbidity.leukemia</v>
      </c>
      <c r="C36" s="11" t="s">
        <v>1609</v>
      </c>
      <c r="E36" s="12" t="str">
        <f t="shared" si="0"/>
        <v>* comorbidity.leukemia -&gt; ##34#TBD##34#</v>
      </c>
    </row>
    <row r="37" spans="2:5">
      <c r="B37" s="11" t="str">
        <f>Subject!B35</f>
        <v>comorbidity.lymphomaOrMultipleMyeloma</v>
      </c>
      <c r="C37" s="11" t="s">
        <v>1609</v>
      </c>
      <c r="E37" s="12" t="str">
        <f t="shared" si="0"/>
        <v>* comorbidity.lymphomaOrMultipleMyeloma -&gt; ##34#TBD##34#</v>
      </c>
    </row>
    <row r="38" spans="2:5">
      <c r="B38" s="11" t="str">
        <f>Subject!B36</f>
        <v>comorbidity.aids</v>
      </c>
      <c r="C38" s="11" t="s">
        <v>1609</v>
      </c>
      <c r="E38" s="12" t="str">
        <f t="shared" si="0"/>
        <v>* comorbidity.aids -&gt; ##34#TBD##34#</v>
      </c>
    </row>
    <row r="39" spans="2:5">
      <c r="B39" s="11" t="str">
        <f>Subject!B37</f>
        <v>ecogPsAtDiagnosis</v>
      </c>
      <c r="C39" s="11" t="s">
        <v>1609</v>
      </c>
      <c r="E39" s="12" t="str">
        <f t="shared" si="0"/>
        <v>* ecogPsAtDiagnosis -&gt; ##34#TBD##34#</v>
      </c>
    </row>
    <row r="40" spans="2:5">
      <c r="B40" s="11" t="str">
        <f>Subject!B38</f>
        <v>karnofsyIndexAtDiagnosis</v>
      </c>
      <c r="C40" s="11" t="s">
        <v>1609</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topLeftCell="A24" workbookViewId="0">
      <selection activeCell="C44" sqref="C44:C4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1613</v>
      </c>
    </row>
    <row r="46" spans="3:3">
      <c r="C46" s="24" t="s">
        <v>1706</v>
      </c>
    </row>
    <row r="47" spans="3:3">
      <c r="C47" s="24" t="s">
        <v>1613</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5" sqref="E5"/>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66" t="s">
        <v>1897</v>
      </c>
      <c r="F4" s="167"/>
      <c r="G4" s="167"/>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1897</v>
      </c>
      <c r="F7" s="167"/>
      <c r="G7" s="167"/>
    </row>
    <row r="8" spans="1:19" ht="44.25">
      <c r="B8" s="62" t="s">
        <v>1795</v>
      </c>
      <c r="C8" s="103" t="s">
        <v>1872</v>
      </c>
      <c r="D8" s="62"/>
      <c r="E8"/>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1875</v>
      </c>
      <c r="E15" s="12"/>
      <c r="F15" s="64" t="s">
        <v>1429</v>
      </c>
      <c r="G15" s="124" t="s">
        <v>1874</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1876</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1877</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1878</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88.5">
      <c r="A15" s="59"/>
      <c r="B15" s="11" t="str">
        <f>Subject!B11</f>
        <v>smoking</v>
      </c>
      <c r="C15" s="11" t="str">
        <f>Subject!C11</f>
        <v>Smoking</v>
      </c>
      <c r="D15" s="12" t="s">
        <v>1881</v>
      </c>
      <c r="E15" s="12"/>
      <c r="F15" s="64" t="s">
        <v>1429</v>
      </c>
      <c r="G15" s="124"/>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1880</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1882</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1883</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1884</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73.75">
      <c r="A15" s="59"/>
      <c r="B15" s="11" t="str">
        <f>Subject!B15</f>
        <v>alcohol</v>
      </c>
      <c r="C15" s="11" t="str">
        <f>Subject!C15</f>
        <v>Alcohol</v>
      </c>
      <c r="D15" s="12" t="s">
        <v>1885</v>
      </c>
      <c r="E15" s="12"/>
      <c r="F15" s="64" t="s">
        <v>1429</v>
      </c>
      <c r="G15" s="124"/>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1886</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24"/>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1887</v>
      </c>
      <c r="E16" s="11"/>
      <c r="F16" s="64" t="s">
        <v>1407</v>
      </c>
      <c r="G16" s="124" t="s">
        <v>1889</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1887</v>
      </c>
      <c r="E17" s="11"/>
      <c r="F17" s="64" t="s">
        <v>1429</v>
      </c>
      <c r="G17" s="124" t="s">
        <v>1888</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1887</v>
      </c>
      <c r="E18" s="11"/>
      <c r="F18" s="64" t="s">
        <v>1429</v>
      </c>
      <c r="G18" s="124" t="s">
        <v>1888</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1887</v>
      </c>
      <c r="E19" s="11"/>
      <c r="F19" s="64" t="s">
        <v>1429</v>
      </c>
      <c r="G19" s="124" t="s">
        <v>1888</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1887</v>
      </c>
      <c r="E20" s="11"/>
      <c r="F20" s="64" t="s">
        <v>1429</v>
      </c>
      <c r="G20" s="124" t="s">
        <v>1888</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1887</v>
      </c>
      <c r="E21" s="11"/>
      <c r="F21" s="64" t="s">
        <v>1429</v>
      </c>
      <c r="G21" s="124" t="s">
        <v>1888</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1887</v>
      </c>
      <c r="E22" s="11"/>
      <c r="F22" s="64" t="s">
        <v>1429</v>
      </c>
      <c r="G22" s="124" t="s">
        <v>1888</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1887</v>
      </c>
      <c r="E23" s="11"/>
      <c r="F23" s="64" t="s">
        <v>1429</v>
      </c>
      <c r="G23" s="124" t="s">
        <v>1888</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1887</v>
      </c>
      <c r="E24" s="11"/>
      <c r="F24" s="64" t="s">
        <v>1429</v>
      </c>
      <c r="G24" s="124" t="s">
        <v>1888</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1887</v>
      </c>
      <c r="E25" s="12"/>
      <c r="F25" s="64" t="s">
        <v>1429</v>
      </c>
      <c r="G25" s="124" t="s">
        <v>1888</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1887</v>
      </c>
      <c r="E26" s="12"/>
      <c r="F26" s="64" t="s">
        <v>1429</v>
      </c>
      <c r="G26" s="124" t="s">
        <v>1888</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1887</v>
      </c>
      <c r="E27" s="12"/>
      <c r="F27" s="64" t="s">
        <v>1429</v>
      </c>
      <c r="G27" s="124" t="s">
        <v>1888</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1887</v>
      </c>
      <c r="E28" s="12"/>
      <c r="F28" s="64" t="s">
        <v>1429</v>
      </c>
      <c r="G28" s="124" t="s">
        <v>1888</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1887</v>
      </c>
      <c r="E29" s="12"/>
      <c r="F29" s="64" t="s">
        <v>1429</v>
      </c>
      <c r="G29" s="124" t="s">
        <v>1888</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1887</v>
      </c>
      <c r="E30" s="12"/>
      <c r="F30" s="64" t="s">
        <v>1429</v>
      </c>
      <c r="G30" s="124" t="s">
        <v>1888</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1887</v>
      </c>
      <c r="E31" s="12"/>
      <c r="F31" s="64" t="s">
        <v>1429</v>
      </c>
      <c r="G31" s="124" t="s">
        <v>1888</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1887</v>
      </c>
      <c r="E32" s="12"/>
      <c r="F32" s="64" t="s">
        <v>1429</v>
      </c>
      <c r="G32" s="124" t="s">
        <v>1888</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1887</v>
      </c>
      <c r="E33" s="12"/>
      <c r="F33" s="64" t="s">
        <v>1429</v>
      </c>
      <c r="G33" s="124" t="s">
        <v>1888</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1887</v>
      </c>
      <c r="E34" s="12"/>
      <c r="F34" s="64" t="s">
        <v>1429</v>
      </c>
      <c r="G34" s="124" t="s">
        <v>1888</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1887</v>
      </c>
      <c r="E35" s="12"/>
      <c r="F35" s="64" t="s">
        <v>1429</v>
      </c>
      <c r="G35" s="124" t="s">
        <v>1888</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7" t="s">
        <v>1803</v>
      </c>
    </row>
    <row r="2" spans="1:19" ht="15.5" thickBot="1"/>
    <row r="3" spans="1:19" ht="15.5" thickBot="1">
      <c r="B3" s="62" t="s">
        <v>17</v>
      </c>
      <c r="C3" s="28" t="s">
        <v>1871</v>
      </c>
      <c r="D3" s="62" t="s">
        <v>1791</v>
      </c>
      <c r="E3" s="118" t="str">
        <f>$C$1&amp;Subject!B5</f>
        <v>http://hl7.eu/fhir/ig/idea4rc/StructureDefinition/Subject</v>
      </c>
    </row>
    <row r="4" spans="1:19">
      <c r="B4" s="62" t="s">
        <v>16</v>
      </c>
      <c r="C4" s="28" t="s">
        <v>1870</v>
      </c>
      <c r="D4" s="62" t="s">
        <v>1792</v>
      </c>
      <c r="E4" s="118" t="s">
        <v>1829</v>
      </c>
    </row>
    <row r="5" spans="1:19">
      <c r="B5" s="62" t="s">
        <v>10</v>
      </c>
      <c r="C5" s="128" t="s">
        <v>1872</v>
      </c>
      <c r="D5" s="62"/>
      <c r="E5" s="7"/>
    </row>
    <row r="6" spans="1:19">
      <c r="B6" s="62" t="s">
        <v>18</v>
      </c>
      <c r="C6" s="129"/>
      <c r="D6" s="62" t="s">
        <v>1793</v>
      </c>
      <c r="E6" s="166" t="str">
        <f>E3</f>
        <v>http://hl7.eu/fhir/ig/idea4rc/StructureDefinition/Subject</v>
      </c>
      <c r="F6" s="167"/>
      <c r="G6" s="167"/>
    </row>
    <row r="7" spans="1:19">
      <c r="B7" s="62" t="s">
        <v>15</v>
      </c>
      <c r="C7" s="130"/>
      <c r="D7" s="62" t="s">
        <v>1794</v>
      </c>
      <c r="E7" s="166" t="s">
        <v>1890</v>
      </c>
      <c r="F7" s="167"/>
      <c r="G7" s="167"/>
    </row>
    <row r="8" spans="1:19" ht="44.25">
      <c r="B8" s="62" t="s">
        <v>1795</v>
      </c>
      <c r="C8" s="103" t="s">
        <v>1872</v>
      </c>
      <c r="D8" s="62"/>
      <c r="E8" s="7"/>
      <c r="I8" s="12" t="s">
        <v>1402</v>
      </c>
      <c r="J8" s="12" t="s">
        <v>1403</v>
      </c>
      <c r="K8" s="12" t="s">
        <v>1404</v>
      </c>
      <c r="L8" s="12" t="s">
        <v>1405</v>
      </c>
      <c r="M8" s="11" t="s">
        <v>1406</v>
      </c>
      <c r="P8" s="49" t="s">
        <v>1441</v>
      </c>
      <c r="Q8" s="49">
        <v>6</v>
      </c>
    </row>
    <row r="9" spans="1:19">
      <c r="B9" s="62" t="s">
        <v>1796</v>
      </c>
      <c r="C9" s="12" t="s">
        <v>1873</v>
      </c>
      <c r="D9" s="62"/>
      <c r="E9" s="118"/>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Subject!B5</f>
        <v>Subject</v>
      </c>
      <c r="C14" s="12"/>
      <c r="D14" s="4" t="s">
        <v>1879</v>
      </c>
      <c r="E14" s="6"/>
      <c r="F14" s="64"/>
      <c r="G14" s="64"/>
      <c r="I14" s="12"/>
      <c r="J14" s="11"/>
      <c r="K14" s="11"/>
      <c r="L14" s="11"/>
      <c r="M14" s="63"/>
      <c r="N14" s="66"/>
    </row>
    <row r="15" spans="1:19" ht="44.25">
      <c r="A15" s="59"/>
      <c r="B15" s="11" t="str">
        <f>Subject!B38</f>
        <v>karnofsyIndexAtDiagnosis</v>
      </c>
      <c r="C15" s="11" t="str">
        <f>Subject!C38</f>
        <v>Karnofsy index at diagnosis</v>
      </c>
      <c r="D15" s="12" t="s">
        <v>1891</v>
      </c>
      <c r="E15" s="12"/>
      <c r="F15" s="64" t="s">
        <v>1430</v>
      </c>
      <c r="G15" s="124"/>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24"/>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24"/>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24"/>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0"/>
      <c r="C19" s="110"/>
      <c r="D19" s="136" t="s">
        <v>1793</v>
      </c>
      <c r="E19" s="137" t="str">
        <f>E3</f>
        <v>http://hl7.eu/fhir/ig/idea4rc/StructureDefinition/Subject</v>
      </c>
      <c r="F19" s="138"/>
      <c r="G19" s="139"/>
      <c r="H19" s="58"/>
      <c r="I19" s="139"/>
      <c r="J19" s="139"/>
      <c r="K19" s="139"/>
      <c r="L19" s="139"/>
      <c r="M19" s="139"/>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0"/>
      <c r="C20" s="110"/>
      <c r="D20" s="136" t="s">
        <v>1794</v>
      </c>
      <c r="E20" s="137" t="s">
        <v>1892</v>
      </c>
      <c r="F20" s="138"/>
      <c r="G20" s="139"/>
      <c r="H20" s="58"/>
      <c r="I20" s="139"/>
      <c r="J20" s="139"/>
      <c r="K20" s="139"/>
      <c r="L20" s="139"/>
      <c r="M20" s="139"/>
      <c r="N20" s="12" t="str">
        <f t="shared" si="4"/>
        <v/>
      </c>
      <c r="P20" s="11">
        <v>6</v>
      </c>
      <c r="Q20" s="11">
        <f t="shared" si="5"/>
        <v>0</v>
      </c>
      <c r="R20" s="11">
        <f t="shared" si="6"/>
        <v>6</v>
      </c>
      <c r="S20" s="12" t="str" cm="1">
        <f t="array" ref="S20">INDEX('Subject-ConceptMap-5'!$I$15:$N$17,Q20+1,R20)</f>
        <v/>
      </c>
    </row>
    <row r="21" spans="1:19" ht="44.25" customHeight="1">
      <c r="A21" s="59"/>
      <c r="B21" s="110"/>
      <c r="C21" s="110"/>
      <c r="D21" s="136"/>
      <c r="E21" s="137"/>
      <c r="F21" s="138"/>
      <c r="G21" s="139"/>
      <c r="H21" s="58"/>
      <c r="I21" s="139"/>
      <c r="J21" s="139"/>
      <c r="K21" s="139"/>
      <c r="L21" s="139"/>
      <c r="M21" s="139"/>
      <c r="N21" s="12"/>
      <c r="P21" s="110"/>
      <c r="Q21" s="110"/>
      <c r="R21" s="110"/>
      <c r="S21" s="111"/>
    </row>
    <row r="22" spans="1:19" ht="88.5" customHeight="1">
      <c r="A22" s="59"/>
      <c r="B22" s="11" t="str">
        <f>Subject!B37</f>
        <v>ecogPsAtDiagnosis</v>
      </c>
      <c r="C22" s="12" t="str">
        <f>Subject!C37</f>
        <v>Eastern Cooperative Oncology Group performance status (ECOG PS)  at diagnosis</v>
      </c>
      <c r="D22" s="12" t="s">
        <v>1891</v>
      </c>
      <c r="E22" s="12"/>
      <c r="F22" s="64" t="s">
        <v>1430</v>
      </c>
      <c r="G22" s="124"/>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24"/>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24"/>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24"/>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24"/>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24"/>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24"/>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24"/>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24"/>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24"/>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24"/>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24"/>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24"/>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24"/>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24"/>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workbookViewId="0">
      <selection activeCell="B73" sqref="B73:B76"/>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1893</v>
      </c>
    </row>
    <row r="3" spans="2:7">
      <c r="B3" s="24" t="s">
        <v>20</v>
      </c>
    </row>
    <row r="4" spans="2:7">
      <c r="B4" s="65" t="str">
        <f>"Instance: "&amp;'Subject-ConceptMap-1'!C4</f>
        <v>Instance: subject2FHIR</v>
      </c>
    </row>
    <row r="5" spans="2:7">
      <c r="B5" s="65" t="s">
        <v>1447</v>
      </c>
    </row>
    <row r="6" spans="2:7">
      <c r="B6" s="65" t="s">
        <v>1438</v>
      </c>
    </row>
    <row r="7" spans="2:7">
      <c r="B7" s="65" t="s">
        <v>1798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##34#http://hl7.eu/fhir/ig/idea4rc/StructureDefinition/patient-eu-i4rc##34#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22"/>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31"/>
    </row>
    <row r="74" spans="2:2">
      <c r="B74" s="68" t="str">
        <f>"* group[+].source = ##34#"&amp;'Subject-ConceptMap-2'!E6&amp;"##34#"</f>
        <v>* group[+].source = ##34#http://hl7.eu/fhir/ig/idea4rc/StructureDefinition/Subject##34#</v>
      </c>
    </row>
    <row r="75" spans="2:2">
      <c r="B75" s="132" t="str">
        <f>"* group[=].target = ##34#"&amp;'Subject-ConceptMap-2'!E7&amp;"##34#"</f>
        <v>* group[=].target = ##34#http://hl7.eu/fhir/ig/idea4rc/StructureDefinition/observation-tobaccouse-eu-i4rc##34#</v>
      </c>
    </row>
    <row r="76" spans="2:2">
      <c r="B76" s="133"/>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31"/>
    </row>
    <row r="120" spans="2:3">
      <c r="B120" s="68" t="str">
        <f>"* group[+].source = ##34#"&amp;'Subject-ConceptMap-3'!E6&amp;"##34#"</f>
        <v>* group[+].source = ##34#http://hl7.eu/fhir/ig/idea4rc/StructureDefinition/Subject##34#</v>
      </c>
    </row>
    <row r="121" spans="2:3">
      <c r="B121" s="132" t="str">
        <f>"* group[=].target = ##34#"&amp;'Subject-ConceptMap-3'!E7&amp;"##34#"</f>
        <v>* group[=].target = ##34#http://hl7.eu/fhir/ig/idea4rc/StructureDefinition/observation-alcoholuse-eu-i4rc##34#</v>
      </c>
    </row>
    <row r="122" spans="2:3">
      <c r="B122" s="134"/>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35"/>
    </row>
    <row r="140" spans="2:3">
      <c r="B140" s="11"/>
      <c r="C140" s="135"/>
    </row>
    <row r="141" spans="2:3">
      <c r="B141" s="11"/>
      <c r="C141" s="135"/>
    </row>
    <row r="142" spans="2:3">
      <c r="B142" s="11"/>
    </row>
    <row r="143" spans="2:3">
      <c r="B143" s="131"/>
    </row>
    <row r="144" spans="2:3">
      <c r="B144" s="132" t="str">
        <f>"* group[+].source = ##34#"&amp;'Subject-ConceptMap-4'!E6&amp;"##34#"</f>
        <v>* group[+].source = ##34#http://hl7.eu/fhir/ig/idea4rc/StructureDefinition/Subject##34#</v>
      </c>
    </row>
    <row r="145" spans="2:2">
      <c r="B145" s="132" t="str">
        <f>"* group[=].target = ##34#"&amp;'Subject-ConceptMap-4'!E7&amp;"##34#"</f>
        <v>* group[=].target = ##34#http://hl7.eu/fhir/ig/idea4rc/StructureDefinition/observation-comorbidity-eu-i4rc##34#</v>
      </c>
    </row>
    <row r="146" spans="2:2">
      <c r="B146" s="133"/>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0"/>
    </row>
    <row r="279" spans="2:2" s="7" customFormat="1">
      <c r="B279" s="120"/>
    </row>
    <row r="280" spans="2:2" s="7" customFormat="1">
      <c r="B280" s="133"/>
    </row>
    <row r="281" spans="2:2" s="7" customFormat="1">
      <c r="B281" s="140" t="str">
        <f>"* group[+].source = ##34#"&amp;'Subject-ConceptMap-5'!E6&amp;"##34#"</f>
        <v>* group[+].source = ##34#http://hl7.eu/fhir/ig/idea4rc/StructureDefinition/Subject##34#</v>
      </c>
    </row>
    <row r="282" spans="2:2" s="7" customFormat="1">
      <c r="B282" s="140" t="str">
        <f>"* group[=].target = ##34#"&amp;'Subject-ConceptMap-5'!E7&amp;"##34#"</f>
        <v>* group[=].target = ##34#http://hl7.eu/fhir/ig/idea4rc/StructureDefinition/observation-karnofsky-performance-statuseu-i4rc##34#</v>
      </c>
    </row>
    <row r="283" spans="2:2" s="7" customFormat="1">
      <c r="B283" s="133"/>
    </row>
    <row r="284" spans="2:2" s="7" customFormat="1">
      <c r="B284" s="120" t="str">
        <f>IF('Subject-ConceptMap-5'!S15=0,"//---END",'Subject-ConceptMap-5'!S15)</f>
        <v>* group[=].element[+].code = #Subject.karnofsyIndexAtDiagnosis</v>
      </c>
    </row>
    <row r="285" spans="2:2" s="7" customFormat="1">
      <c r="B285" s="120"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31"/>
    </row>
    <row r="295" spans="2:2">
      <c r="B295" s="132" t="str">
        <f>"* group[+].source = ##34#"&amp;'Subject-ConceptMap-5'!E19&amp;"##34#"</f>
        <v>* group[+].source = ##34#http://hl7.eu/fhir/ig/idea4rc/StructureDefinition/Subject##34#</v>
      </c>
    </row>
    <row r="296" spans="2:2">
      <c r="B296" s="132" t="str">
        <f>"* group[=].target = ##34#"&amp;'Subject-ConceptMap-5'!E20&amp;"##34#"</f>
        <v>* group[=].target = ##34#http://hl7.eu/fhir/ig/idea4rc/StructureDefinition/observation-ecog-performance-status-eu-i4rc##34#</v>
      </c>
    </row>
    <row r="297" spans="2:2">
      <c r="B297" s="133"/>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CEACD-CCB2-42F1-8EC4-16DAF73960B6}">
  <dimension ref="A1:I53"/>
  <sheetViews>
    <sheetView topLeftCell="A7" workbookViewId="0">
      <selection activeCell="B28" sqref="B28:H44"/>
    </sheetView>
  </sheetViews>
  <sheetFormatPr defaultRowHeight="14.75"/>
  <cols>
    <col min="1" max="1" width="5.31640625" bestFit="1" customWidth="1"/>
    <col min="2" max="2" width="44.40625" bestFit="1" customWidth="1"/>
    <col min="3" max="3" width="33.6796875" bestFit="1" customWidth="1"/>
    <col min="4" max="4" width="66.2265625" customWidth="1"/>
    <col min="5" max="5" width="16.04296875" bestFit="1" customWidth="1"/>
    <col min="6" max="6" width="33.2265625" customWidth="1"/>
    <col min="7" max="7" width="33.953125" customWidth="1"/>
    <col min="8" max="8" width="50.953125" customWidth="1"/>
    <col min="9" max="9" width="4.31640625" bestFit="1"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2019</v>
      </c>
      <c r="C2" t="s">
        <v>2020</v>
      </c>
      <c r="D2" t="s">
        <v>2021</v>
      </c>
      <c r="E2" t="s">
        <v>1759</v>
      </c>
      <c r="F2" t="s">
        <v>1789</v>
      </c>
      <c r="H2">
        <v>1</v>
      </c>
      <c r="I2">
        <v>1</v>
      </c>
    </row>
    <row r="3" spans="1:9">
      <c r="A3">
        <v>1</v>
      </c>
      <c r="B3" t="s">
        <v>2022</v>
      </c>
      <c r="C3" t="s">
        <v>2023</v>
      </c>
      <c r="D3" t="s">
        <v>2024</v>
      </c>
      <c r="E3" t="s">
        <v>1754</v>
      </c>
      <c r="F3" t="s">
        <v>2025</v>
      </c>
      <c r="G3" t="s">
        <v>2026</v>
      </c>
      <c r="H3">
        <v>1</v>
      </c>
      <c r="I3">
        <v>1</v>
      </c>
    </row>
    <row r="4" spans="1:9">
      <c r="A4">
        <v>2</v>
      </c>
      <c r="B4" t="s">
        <v>2027</v>
      </c>
      <c r="C4" t="s">
        <v>2028</v>
      </c>
      <c r="D4" t="s">
        <v>2029</v>
      </c>
      <c r="E4" t="s">
        <v>1754</v>
      </c>
      <c r="F4" t="s">
        <v>2030</v>
      </c>
      <c r="G4" t="s">
        <v>1979</v>
      </c>
      <c r="H4">
        <v>0</v>
      </c>
      <c r="I4">
        <v>1</v>
      </c>
    </row>
    <row r="5" spans="1:9">
      <c r="A5">
        <v>3</v>
      </c>
      <c r="B5" t="s">
        <v>2031</v>
      </c>
      <c r="C5" t="s">
        <v>2032</v>
      </c>
      <c r="D5" t="s">
        <v>2033</v>
      </c>
      <c r="E5" t="s">
        <v>209</v>
      </c>
      <c r="F5" t="s">
        <v>213</v>
      </c>
      <c r="H5">
        <v>0</v>
      </c>
      <c r="I5">
        <v>1</v>
      </c>
    </row>
    <row r="6" spans="1:9">
      <c r="A6">
        <v>4</v>
      </c>
      <c r="B6" t="s">
        <v>2034</v>
      </c>
      <c r="C6" t="s">
        <v>2035</v>
      </c>
      <c r="D6" t="s">
        <v>2036</v>
      </c>
      <c r="E6" t="s">
        <v>275</v>
      </c>
      <c r="F6" t="s">
        <v>2037</v>
      </c>
      <c r="G6" t="s">
        <v>1983</v>
      </c>
      <c r="H6">
        <v>0</v>
      </c>
      <c r="I6">
        <v>1</v>
      </c>
    </row>
    <row r="7" spans="1:9">
      <c r="A7">
        <v>5</v>
      </c>
      <c r="B7" t="s">
        <v>2038</v>
      </c>
      <c r="C7" t="s">
        <v>2039</v>
      </c>
      <c r="D7" t="s">
        <v>2040</v>
      </c>
      <c r="E7" t="s">
        <v>275</v>
      </c>
      <c r="F7" t="s">
        <v>2037</v>
      </c>
      <c r="G7" t="s">
        <v>1983</v>
      </c>
      <c r="H7">
        <v>0</v>
      </c>
      <c r="I7">
        <v>1</v>
      </c>
    </row>
    <row r="8" spans="1:9">
      <c r="A8">
        <v>6</v>
      </c>
      <c r="B8" t="s">
        <v>2041</v>
      </c>
      <c r="C8" t="s">
        <v>2042</v>
      </c>
      <c r="D8" t="s">
        <v>2043</v>
      </c>
      <c r="E8" t="s">
        <v>275</v>
      </c>
      <c r="F8" t="s">
        <v>2037</v>
      </c>
      <c r="G8" t="s">
        <v>1983</v>
      </c>
      <c r="H8">
        <v>0</v>
      </c>
      <c r="I8">
        <v>1</v>
      </c>
    </row>
    <row r="9" spans="1:9">
      <c r="A9">
        <v>7</v>
      </c>
      <c r="B9" t="s">
        <v>2044</v>
      </c>
      <c r="C9" t="s">
        <v>2045</v>
      </c>
      <c r="D9" t="s">
        <v>1625</v>
      </c>
      <c r="E9" t="s">
        <v>1606</v>
      </c>
      <c r="F9" t="s">
        <v>1932</v>
      </c>
      <c r="H9">
        <v>0</v>
      </c>
      <c r="I9">
        <v>1</v>
      </c>
    </row>
    <row r="10" spans="1:9">
      <c r="A10">
        <v>8</v>
      </c>
      <c r="B10" t="s">
        <v>2046</v>
      </c>
      <c r="C10" t="s">
        <v>2047</v>
      </c>
      <c r="D10" t="s">
        <v>1627</v>
      </c>
      <c r="E10" t="s">
        <v>1606</v>
      </c>
      <c r="F10" t="s">
        <v>1932</v>
      </c>
      <c r="H10">
        <v>0</v>
      </c>
      <c r="I10">
        <v>1</v>
      </c>
    </row>
    <row r="11" spans="1:9">
      <c r="A11">
        <v>9</v>
      </c>
      <c r="B11" t="s">
        <v>2048</v>
      </c>
      <c r="C11" t="s">
        <v>2049</v>
      </c>
      <c r="D11" t="s">
        <v>1629</v>
      </c>
      <c r="E11" t="s">
        <v>1606</v>
      </c>
      <c r="F11" t="s">
        <v>1932</v>
      </c>
      <c r="H11">
        <v>0</v>
      </c>
      <c r="I11">
        <v>1</v>
      </c>
    </row>
    <row r="12" spans="1:9">
      <c r="A12">
        <v>10</v>
      </c>
      <c r="B12" t="s">
        <v>2050</v>
      </c>
      <c r="C12" t="s">
        <v>2051</v>
      </c>
      <c r="D12" t="s">
        <v>1631</v>
      </c>
      <c r="E12" t="s">
        <v>1606</v>
      </c>
      <c r="F12" t="s">
        <v>1932</v>
      </c>
      <c r="H12">
        <v>0</v>
      </c>
      <c r="I12">
        <v>1</v>
      </c>
    </row>
    <row r="13" spans="1:9">
      <c r="A13">
        <v>11</v>
      </c>
      <c r="B13" t="s">
        <v>2052</v>
      </c>
      <c r="C13" t="s">
        <v>2053</v>
      </c>
      <c r="D13" t="s">
        <v>1633</v>
      </c>
      <c r="E13" t="s">
        <v>1606</v>
      </c>
      <c r="F13" t="s">
        <v>1932</v>
      </c>
      <c r="H13">
        <v>0</v>
      </c>
      <c r="I13">
        <v>1</v>
      </c>
    </row>
    <row r="14" spans="1:9">
      <c r="A14">
        <v>12</v>
      </c>
      <c r="B14" t="s">
        <v>2054</v>
      </c>
      <c r="C14" t="s">
        <v>2055</v>
      </c>
      <c r="D14" t="s">
        <v>1635</v>
      </c>
      <c r="E14" t="s">
        <v>1606</v>
      </c>
      <c r="F14" t="s">
        <v>1932</v>
      </c>
      <c r="H14">
        <v>0</v>
      </c>
      <c r="I14">
        <v>1</v>
      </c>
    </row>
    <row r="15" spans="1:9">
      <c r="A15">
        <v>13</v>
      </c>
      <c r="B15" t="s">
        <v>2056</v>
      </c>
      <c r="C15" t="s">
        <v>2057</v>
      </c>
      <c r="D15" t="s">
        <v>1637</v>
      </c>
      <c r="E15" t="s">
        <v>1606</v>
      </c>
      <c r="F15" t="s">
        <v>1932</v>
      </c>
      <c r="H15">
        <v>0</v>
      </c>
      <c r="I15">
        <v>1</v>
      </c>
    </row>
    <row r="16" spans="1:9">
      <c r="A16">
        <v>14</v>
      </c>
      <c r="B16" t="s">
        <v>2058</v>
      </c>
      <c r="C16" t="s">
        <v>2059</v>
      </c>
      <c r="D16" t="s">
        <v>1639</v>
      </c>
      <c r="E16" t="s">
        <v>1606</v>
      </c>
      <c r="F16" t="s">
        <v>1932</v>
      </c>
      <c r="H16">
        <v>0</v>
      </c>
      <c r="I16">
        <v>1</v>
      </c>
    </row>
    <row r="17" spans="1:9">
      <c r="A17">
        <v>15</v>
      </c>
      <c r="B17" t="s">
        <v>2060</v>
      </c>
      <c r="C17" t="s">
        <v>2061</v>
      </c>
      <c r="D17" t="s">
        <v>1641</v>
      </c>
      <c r="E17" t="s">
        <v>1606</v>
      </c>
      <c r="F17" t="s">
        <v>1932</v>
      </c>
      <c r="H17">
        <v>0</v>
      </c>
      <c r="I17">
        <v>1</v>
      </c>
    </row>
    <row r="18" spans="1:9">
      <c r="A18">
        <v>16</v>
      </c>
      <c r="B18" t="s">
        <v>2062</v>
      </c>
      <c r="C18" t="s">
        <v>2063</v>
      </c>
      <c r="D18" t="s">
        <v>1643</v>
      </c>
      <c r="E18" t="s">
        <v>1606</v>
      </c>
      <c r="F18" t="s">
        <v>1932</v>
      </c>
      <c r="H18">
        <v>0</v>
      </c>
      <c r="I18">
        <v>1</v>
      </c>
    </row>
    <row r="27" spans="1:9">
      <c r="B27" s="11"/>
      <c r="C27" s="146" t="s">
        <v>3</v>
      </c>
      <c r="D27" s="147" t="s">
        <v>4</v>
      </c>
      <c r="E27" s="11" t="s">
        <v>5</v>
      </c>
      <c r="F27" s="11" t="s">
        <v>6</v>
      </c>
      <c r="G27" s="11" t="s">
        <v>7</v>
      </c>
      <c r="H27" s="148" t="s">
        <v>1610</v>
      </c>
    </row>
    <row r="28" spans="1:9">
      <c r="B28" s="11" t="str">
        <f>B2</f>
        <v>EpisodeEvent.CancerEpisodeReference</v>
      </c>
      <c r="C28" s="11" t="str">
        <f t="shared" ref="C28:D28" si="0">C2</f>
        <v>Cancer Episode Reference</v>
      </c>
      <c r="D28" s="11" t="str">
        <f t="shared" si="0"/>
        <v>CancerEpisode element containing the data regarding the patient's cancer</v>
      </c>
      <c r="E28" s="11">
        <f>H2</f>
        <v>1</v>
      </c>
      <c r="F28" s="11">
        <f>I2</f>
        <v>1</v>
      </c>
      <c r="G28" s="11" t="str">
        <f>E2</f>
        <v>ElementReference</v>
      </c>
      <c r="H28" s="12" t="str">
        <f>CONCATENATE(F2,$K$2,G2)</f>
        <v>CancerEpisode</v>
      </c>
    </row>
    <row r="29" spans="1:9" ht="73.75">
      <c r="B29" s="11" t="str">
        <f t="shared" ref="B29:D29" si="1">B3</f>
        <v>EpisodeEvent.EventType</v>
      </c>
      <c r="C29" s="11" t="str">
        <f t="shared" si="1"/>
        <v>Event type</v>
      </c>
      <c r="D29" s="11" t="str">
        <f t="shared" si="1"/>
        <v>Type of event registered</v>
      </c>
      <c r="E29" s="11">
        <f t="shared" ref="E29:F29" si="2">H3</f>
        <v>1</v>
      </c>
      <c r="F29" s="11">
        <f t="shared" si="2"/>
        <v>1</v>
      </c>
      <c r="G29" s="11" t="str">
        <f t="shared" ref="G29:G44" si="3">E3</f>
        <v>CustomCode</v>
      </c>
      <c r="H29" s="12" t="str">
        <f t="shared" ref="H29:H44" si="4">CONCATENATE(F3,$K$2,G3)</f>
        <v xml:space="preserve">Baseline; Progression; Recurrence; Persistent diseaseBaseline -  4190366
Progression - 4168352
Recurrence - 4097297
Persistent disease - </v>
      </c>
    </row>
    <row r="30" spans="1:9">
      <c r="B30" s="11" t="str">
        <f t="shared" ref="B30:D30" si="5">B4</f>
        <v>EpisodeEvent.DefinedAt</v>
      </c>
      <c r="C30" s="11" t="str">
        <f t="shared" si="5"/>
        <v>Defined At</v>
      </c>
      <c r="D30" s="11" t="str">
        <f t="shared" si="5"/>
        <v>Whether or not the progression/recurrnce or persistent disease  was performed at the registering hospital or another hospital.</v>
      </c>
      <c r="E30" s="11">
        <f t="shared" ref="E30:F30" si="6">H4</f>
        <v>0</v>
      </c>
      <c r="F30" s="11">
        <f t="shared" si="6"/>
        <v>1</v>
      </c>
      <c r="G30" s="11" t="str">
        <f t="shared" si="3"/>
        <v>CustomCode</v>
      </c>
      <c r="H30" s="12" t="str">
        <f t="shared" si="4"/>
        <v>the hospital; a different hospitalCustom</v>
      </c>
    </row>
    <row r="31" spans="1:9">
      <c r="B31" s="11" t="str">
        <f t="shared" ref="B31:D31" si="7">B5</f>
        <v>EpisodeEvent.DateOfEpisode</v>
      </c>
      <c r="C31" s="11" t="str">
        <f t="shared" si="7"/>
        <v>Date of episode</v>
      </c>
      <c r="D31" s="11" t="str">
        <f t="shared" si="7"/>
        <v>Start date of progression/recurrence or persistent disease</v>
      </c>
      <c r="E31" s="11">
        <f t="shared" ref="E31:F31" si="8">H5</f>
        <v>0</v>
      </c>
      <c r="F31" s="11">
        <f t="shared" si="8"/>
        <v>1</v>
      </c>
      <c r="G31" s="11" t="str">
        <f t="shared" si="3"/>
        <v>Date</v>
      </c>
      <c r="H31" s="12" t="str">
        <f t="shared" si="4"/>
        <v>YYYY-MM-DD</v>
      </c>
    </row>
    <row r="32" spans="1:9" ht="44.25">
      <c r="B32" s="11" t="str">
        <f t="shared" ref="B32:D32" si="9">B6</f>
        <v>EpisodeEvent.IsLocal</v>
      </c>
      <c r="C32" s="11" t="str">
        <f t="shared" si="9"/>
        <v>Is local</v>
      </c>
      <c r="D32" s="11" t="str">
        <f t="shared" si="9"/>
        <v>Describes if the progression /recurrence or persistent disease is local</v>
      </c>
      <c r="E32" s="11">
        <f t="shared" ref="E32:F32" si="10">H6</f>
        <v>0</v>
      </c>
      <c r="F32" s="11">
        <f t="shared" si="10"/>
        <v>1</v>
      </c>
      <c r="G32" s="11" t="str">
        <f t="shared" si="3"/>
        <v>Code</v>
      </c>
      <c r="H32" s="12" t="str">
        <f t="shared" si="4"/>
        <v>Yes; No; UnknownYes - 4188539
No -  4188540
Unknown - 4129922</v>
      </c>
    </row>
    <row r="33" spans="2:8" ht="44.25">
      <c r="B33" s="11" t="str">
        <f t="shared" ref="B33:D33" si="11">B7</f>
        <v>EpisodeEvent.IsRegional</v>
      </c>
      <c r="C33" s="11" t="str">
        <f t="shared" si="11"/>
        <v>Is regional</v>
      </c>
      <c r="D33" s="11" t="str">
        <f t="shared" si="11"/>
        <v>Describes if the progression /recurrence or persistent disease is regional</v>
      </c>
      <c r="E33" s="11">
        <f t="shared" ref="E33:F33" si="12">H7</f>
        <v>0</v>
      </c>
      <c r="F33" s="11">
        <f t="shared" si="12"/>
        <v>1</v>
      </c>
      <c r="G33" s="11" t="str">
        <f t="shared" si="3"/>
        <v>Code</v>
      </c>
      <c r="H33" s="12" t="str">
        <f t="shared" si="4"/>
        <v>Yes; No; UnknownYes - 4188539
No -  4188540
Unknown - 4129922</v>
      </c>
    </row>
    <row r="34" spans="2:8" ht="44.25">
      <c r="B34" s="11" t="str">
        <f t="shared" ref="B34:D34" si="13">B8</f>
        <v>EpisodeEvent.IsMetastatic</v>
      </c>
      <c r="C34" s="11" t="str">
        <f t="shared" si="13"/>
        <v>Is metastatic</v>
      </c>
      <c r="D34" s="11" t="str">
        <f t="shared" si="13"/>
        <v>Describes if the progression /recurrence or persistent disease is metastatic</v>
      </c>
      <c r="E34" s="11">
        <f t="shared" ref="E34:F34" si="14">H8</f>
        <v>0</v>
      </c>
      <c r="F34" s="11">
        <f t="shared" si="14"/>
        <v>1</v>
      </c>
      <c r="G34" s="11" t="str">
        <f t="shared" si="3"/>
        <v>Code</v>
      </c>
      <c r="H34" s="12" t="str">
        <f t="shared" si="4"/>
        <v>Yes; No; UnknownYes - 4188539
No -  4188540
Unknown - 4129922</v>
      </c>
    </row>
    <row r="35" spans="2:8">
      <c r="B35" s="11" t="str">
        <f t="shared" ref="B35:D35" si="15">B9</f>
        <v>EpisodeEvent.SiteOfMetastasis.SoftTissue</v>
      </c>
      <c r="C35" s="11" t="str">
        <f t="shared" si="15"/>
        <v>Site of metastasis_soft tissue</v>
      </c>
      <c r="D35" s="11" t="str">
        <f t="shared" si="15"/>
        <v>Describes if site of metastasic disease  is soft tissue</v>
      </c>
      <c r="E35" s="11">
        <f t="shared" ref="E35:F35" si="16">H9</f>
        <v>0</v>
      </c>
      <c r="F35" s="11">
        <f t="shared" si="16"/>
        <v>1</v>
      </c>
      <c r="G35" s="11" t="str">
        <f t="shared" si="3"/>
        <v>Boolean</v>
      </c>
      <c r="H35" s="12" t="str">
        <f t="shared" si="4"/>
        <v>True; False</v>
      </c>
    </row>
    <row r="36" spans="2:8">
      <c r="B36" s="11" t="str">
        <f t="shared" ref="B36:D36" si="17">B10</f>
        <v>EpisodeEvent.SiteOfMetastasis.DistantLymphNodes</v>
      </c>
      <c r="C36" s="11" t="str">
        <f t="shared" si="17"/>
        <v>Site of metastasis_distant lymph nodes</v>
      </c>
      <c r="D36" s="11" t="str">
        <f t="shared" si="17"/>
        <v>Describes if site of metastasic disease  is dystan lymph node</v>
      </c>
      <c r="E36" s="11">
        <f t="shared" ref="E36:F36" si="18">H10</f>
        <v>0</v>
      </c>
      <c r="F36" s="11">
        <f t="shared" si="18"/>
        <v>1</v>
      </c>
      <c r="G36" s="11" t="str">
        <f t="shared" si="3"/>
        <v>Boolean</v>
      </c>
      <c r="H36" s="12" t="str">
        <f t="shared" si="4"/>
        <v>True; False</v>
      </c>
    </row>
    <row r="37" spans="2:8">
      <c r="B37" s="11" t="str">
        <f t="shared" ref="B37:D37" si="19">B11</f>
        <v>EpisodeEvent.SiteOfMetastasis.Lung</v>
      </c>
      <c r="C37" s="11" t="str">
        <f t="shared" si="19"/>
        <v>Site of metastasis_lung</v>
      </c>
      <c r="D37" s="11" t="str">
        <f t="shared" si="19"/>
        <v>Describes if site of metastasic disease  is lung</v>
      </c>
      <c r="E37" s="11">
        <f t="shared" ref="E37:F37" si="20">H11</f>
        <v>0</v>
      </c>
      <c r="F37" s="11">
        <f t="shared" si="20"/>
        <v>1</v>
      </c>
      <c r="G37" s="11" t="str">
        <f t="shared" si="3"/>
        <v>Boolean</v>
      </c>
      <c r="H37" s="12" t="str">
        <f t="shared" si="4"/>
        <v>True; False</v>
      </c>
    </row>
    <row r="38" spans="2:8">
      <c r="B38" s="11" t="str">
        <f t="shared" ref="B38:D38" si="21">B12</f>
        <v>EpisodeEvent.SiteOfMetastasis.Bone</v>
      </c>
      <c r="C38" s="11" t="str">
        <f t="shared" si="21"/>
        <v>Site of metastasis_bone</v>
      </c>
      <c r="D38" s="11" t="str">
        <f t="shared" si="21"/>
        <v>Describes if site of metastasic disease  is bone</v>
      </c>
      <c r="E38" s="11">
        <f t="shared" ref="E38:F38" si="22">H12</f>
        <v>0</v>
      </c>
      <c r="F38" s="11">
        <f t="shared" si="22"/>
        <v>1</v>
      </c>
      <c r="G38" s="11" t="str">
        <f t="shared" si="3"/>
        <v>Boolean</v>
      </c>
      <c r="H38" s="12" t="str">
        <f t="shared" si="4"/>
        <v>True; False</v>
      </c>
    </row>
    <row r="39" spans="2:8">
      <c r="B39" s="11" t="str">
        <f t="shared" ref="B39:D39" si="23">B13</f>
        <v>EpisodeEvent.SiteOfMetastasis.Liver</v>
      </c>
      <c r="C39" s="11" t="str">
        <f t="shared" si="23"/>
        <v>Site of metastasis_liver</v>
      </c>
      <c r="D39" s="11" t="str">
        <f t="shared" si="23"/>
        <v>Describes if site of metastasic disease  is liver</v>
      </c>
      <c r="E39" s="11">
        <f t="shared" ref="E39:F39" si="24">H13</f>
        <v>0</v>
      </c>
      <c r="F39" s="11">
        <f t="shared" si="24"/>
        <v>1</v>
      </c>
      <c r="G39" s="11" t="str">
        <f t="shared" si="3"/>
        <v>Boolean</v>
      </c>
      <c r="H39" s="12" t="str">
        <f t="shared" si="4"/>
        <v>True; False</v>
      </c>
    </row>
    <row r="40" spans="2:8">
      <c r="B40" s="11" t="str">
        <f t="shared" ref="B40:D40" si="25">B14</f>
        <v>EpisodeEvent.SiteOfMetastasis.Pleura</v>
      </c>
      <c r="C40" s="11" t="str">
        <f t="shared" si="25"/>
        <v>Site of metastasis_pleura</v>
      </c>
      <c r="D40" s="11" t="str">
        <f t="shared" si="25"/>
        <v>Describes if site of metastasic disease  is pleura</v>
      </c>
      <c r="E40" s="11">
        <f t="shared" ref="E40:F40" si="26">H14</f>
        <v>0</v>
      </c>
      <c r="F40" s="11">
        <f t="shared" si="26"/>
        <v>1</v>
      </c>
      <c r="G40" s="11" t="str">
        <f t="shared" si="3"/>
        <v>Boolean</v>
      </c>
      <c r="H40" s="12" t="str">
        <f t="shared" si="4"/>
        <v>True; False</v>
      </c>
    </row>
    <row r="41" spans="2:8">
      <c r="B41" s="11" t="str">
        <f t="shared" ref="B41:D41" si="27">B15</f>
        <v>EpisodeEvent.SiteOfMetastasis.Peritoneum</v>
      </c>
      <c r="C41" s="11" t="str">
        <f t="shared" si="27"/>
        <v>Site of metastasis_peritoneum</v>
      </c>
      <c r="D41" s="11" t="str">
        <f t="shared" si="27"/>
        <v>Describes if site of metastasic disease  is peritoneum</v>
      </c>
      <c r="E41" s="11">
        <f t="shared" ref="E41:F41" si="28">H15</f>
        <v>0</v>
      </c>
      <c r="F41" s="11">
        <f t="shared" si="28"/>
        <v>1</v>
      </c>
      <c r="G41" s="11" t="str">
        <f t="shared" si="3"/>
        <v>Boolean</v>
      </c>
      <c r="H41" s="12" t="str">
        <f t="shared" si="4"/>
        <v>True; False</v>
      </c>
    </row>
    <row r="42" spans="2:8">
      <c r="B42" s="11" t="str">
        <f t="shared" ref="B42:D42" si="29">B16</f>
        <v>EpisodeEvent.SiteOfMetastasis.Brain</v>
      </c>
      <c r="C42" s="11" t="str">
        <f t="shared" si="29"/>
        <v>Site of  metastasis_brain</v>
      </c>
      <c r="D42" s="11" t="str">
        <f t="shared" si="29"/>
        <v>Describes if site of metastasic disease  is brain</v>
      </c>
      <c r="E42" s="11">
        <f t="shared" ref="E42:F42" si="30">H16</f>
        <v>0</v>
      </c>
      <c r="F42" s="11">
        <f t="shared" si="30"/>
        <v>1</v>
      </c>
      <c r="G42" s="11" t="str">
        <f t="shared" si="3"/>
        <v>Boolean</v>
      </c>
      <c r="H42" s="12" t="str">
        <f t="shared" si="4"/>
        <v>True; False</v>
      </c>
    </row>
    <row r="43" spans="2:8">
      <c r="B43" s="11" t="str">
        <f t="shared" ref="B43:D43" si="31">B17</f>
        <v>EpisodeEvent.SiteOfMetastasis.OtherViscera</v>
      </c>
      <c r="C43" s="11" t="str">
        <f t="shared" si="31"/>
        <v>Site of  metastasis_other viscera</v>
      </c>
      <c r="D43" s="11" t="str">
        <f t="shared" si="31"/>
        <v>Describes if site of metastasic disease  is other viscera</v>
      </c>
      <c r="E43" s="11">
        <f t="shared" ref="E43:F43" si="32">H17</f>
        <v>0</v>
      </c>
      <c r="F43" s="11">
        <f t="shared" si="32"/>
        <v>1</v>
      </c>
      <c r="G43" s="11" t="str">
        <f t="shared" si="3"/>
        <v>Boolean</v>
      </c>
      <c r="H43" s="12" t="str">
        <f t="shared" si="4"/>
        <v>True; False</v>
      </c>
    </row>
    <row r="44" spans="2:8">
      <c r="B44" s="11" t="str">
        <f t="shared" ref="B44:D44" si="33">B18</f>
        <v>EpisodeEvent.SiteOfMetastasis.Unknown</v>
      </c>
      <c r="C44" s="11" t="str">
        <f t="shared" si="33"/>
        <v>Site of  metastasis_unknown</v>
      </c>
      <c r="D44" s="11" t="str">
        <f t="shared" si="33"/>
        <v>Describes if site of metastasic disease  is unknown</v>
      </c>
      <c r="E44" s="11">
        <f t="shared" ref="E44:F44" si="34">H18</f>
        <v>0</v>
      </c>
      <c r="F44" s="11">
        <f t="shared" si="34"/>
        <v>1</v>
      </c>
      <c r="G44" s="11" t="str">
        <f t="shared" si="3"/>
        <v>Boolean</v>
      </c>
      <c r="H44" s="12" t="str">
        <f t="shared" si="4"/>
        <v>True; False</v>
      </c>
    </row>
    <row r="45" spans="2:8">
      <c r="H45" s="2"/>
    </row>
    <row r="46" spans="2:8">
      <c r="H46" s="2"/>
    </row>
    <row r="47" spans="2:8">
      <c r="H47" s="2"/>
    </row>
    <row r="48" spans="2:8">
      <c r="H48" s="2"/>
    </row>
    <row r="49" spans="8:8">
      <c r="H49" s="2"/>
    </row>
    <row r="50" spans="8:8">
      <c r="H50" s="2"/>
    </row>
    <row r="51" spans="8:8">
      <c r="H51" s="2"/>
    </row>
    <row r="52" spans="8:8">
      <c r="H52" s="2"/>
    </row>
    <row r="53" spans="8:8">
      <c r="H53" s="2"/>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M30"/>
  <sheetViews>
    <sheetView topLeftCell="A9" zoomScale="145" zoomScaleNormal="145" workbookViewId="0">
      <selection activeCell="A16" sqref="A16:A2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2067</v>
      </c>
      <c r="J4" s="16" t="str">
        <f>CONCATENATE("Logical: ",B4)</f>
        <v>Logical: EpisodeEvent</v>
      </c>
    </row>
    <row r="5" spans="1:12" ht="19.899999999999999" customHeight="1">
      <c r="A5" s="14" t="s">
        <v>16</v>
      </c>
      <c r="B5" s="46" t="s">
        <v>2067</v>
      </c>
      <c r="J5" s="16" t="str">
        <f>CONCATENATE("Id: ",B5)</f>
        <v>Id: EpisodeEvent</v>
      </c>
    </row>
    <row r="6" spans="1:12" ht="19.899999999999999" customHeight="1">
      <c r="A6" s="14" t="s">
        <v>10</v>
      </c>
      <c r="B6" s="47" t="s">
        <v>1952</v>
      </c>
      <c r="J6" s="17" t="str">
        <f>CONCATENATE("Title: ##34#",B6,"##34#")</f>
        <v>Title: ##34#Episode Event##34#</v>
      </c>
    </row>
    <row r="7" spans="1:12" ht="19.899999999999999" customHeight="1">
      <c r="A7" s="26" t="s">
        <v>2</v>
      </c>
      <c r="B7" s="47" t="s">
        <v>1952</v>
      </c>
      <c r="C7" s="9" t="s">
        <v>3</v>
      </c>
      <c r="D7" s="1" t="s">
        <v>4</v>
      </c>
      <c r="E7" s="3" t="s">
        <v>5</v>
      </c>
      <c r="F7" s="3" t="s">
        <v>6</v>
      </c>
      <c r="G7" s="3" t="s">
        <v>7</v>
      </c>
      <c r="H7" s="105" t="s">
        <v>1610</v>
      </c>
      <c r="J7" s="17" t="str">
        <f>CONCATENATE("Description: "," ##334#",B7,"##334#",)</f>
        <v>Description:  ##334#Episode Event##334#</v>
      </c>
    </row>
    <row r="8" spans="1:12" ht="20.25" customHeight="1">
      <c r="A8" s="100">
        <v>0</v>
      </c>
      <c r="B8" s="57" t="s">
        <v>2068</v>
      </c>
      <c r="C8" s="11" t="s">
        <v>2020</v>
      </c>
      <c r="D8" s="11" t="s">
        <v>2021</v>
      </c>
      <c r="E8" s="11">
        <v>1</v>
      </c>
      <c r="F8" s="11">
        <v>1</v>
      </c>
      <c r="G8" t="s">
        <v>2085</v>
      </c>
      <c r="H8" s="12" t="s">
        <v>1789</v>
      </c>
      <c r="I8" s="25"/>
      <c r="J8" s="12" t="str">
        <f t="shared" ref="J8" si="0">CONCATENATE("* ",B8, " ",E8,"..",F8," ",G8," ##34#",C8,"##34# ##334#",D8,"##334#")</f>
        <v>* cancerEpisode 1..1 http://hl7.eu/fhir/ig/idea4rc/StructureDefinition/CancerEpisode ##34#Cancer Episode Reference##34# ##334#CancerEpisode element containing the data regarding the patient's cancer##334#</v>
      </c>
      <c r="L8" s="12" t="str">
        <f>IF(H8="",IF(J8="*  ..  ##34###34# ##334###334#",J8,""),IF(J8="*  ..  ##34###34# ##334###334#",J8,CONCATENATE("* ",B8," ^comment = ##334#",H8,"##334#")))</f>
        <v>* cancerEpisode ^comment = ##334#CancerEpisode##334#</v>
      </c>
    </row>
    <row r="9" spans="1:12" ht="73.75">
      <c r="A9" s="100">
        <v>1</v>
      </c>
      <c r="B9" s="57" t="s">
        <v>2082</v>
      </c>
      <c r="C9" s="11" t="s">
        <v>2023</v>
      </c>
      <c r="D9" s="11" t="s">
        <v>2024</v>
      </c>
      <c r="E9" s="11">
        <v>1</v>
      </c>
      <c r="F9" s="11">
        <v>1</v>
      </c>
      <c r="G9" s="57" t="s">
        <v>1786</v>
      </c>
      <c r="H9" s="12" t="s">
        <v>2064</v>
      </c>
      <c r="I9" s="25"/>
      <c r="J9" s="12" t="str">
        <f t="shared" ref="J9:J30" si="1">CONCATENATE("* ",B9, " ",E9,"..",F9," ",G9," ##34#",C9,"##34# ##334#",D9,"##334#")</f>
        <v>* eventType 1..1 CodeableConcept ##34#Event type##34# ##334#Type of event registered##334#</v>
      </c>
      <c r="L9" s="12" t="str">
        <f t="shared" ref="L9:L30" si="2">IF(H9="",IF(J9="*  ..  ##34###34# ##334###334#",J9,""),IF(J9="*  ..  ##34###34# ##334###334#",J9,CONCATENATE("* ",B9," ^comment = ##334#",H9,"##334#")))</f>
        <v>* eventType ^comment = ##334#Baseline; Progression; Recurrence; Persistent diseaseBaseline -  4190366
Progression - 4168352
Recurrence - 4097297
Persistent disease - ##334#</v>
      </c>
    </row>
    <row r="10" spans="1:12" ht="44.25">
      <c r="A10" s="101">
        <v>2</v>
      </c>
      <c r="B10" s="57" t="s">
        <v>2083</v>
      </c>
      <c r="C10" s="11" t="s">
        <v>2028</v>
      </c>
      <c r="D10" s="12" t="s">
        <v>2029</v>
      </c>
      <c r="E10" s="11">
        <v>0</v>
      </c>
      <c r="F10" s="11">
        <v>1</v>
      </c>
      <c r="G10" s="57" t="s">
        <v>1786</v>
      </c>
      <c r="H10" s="12" t="s">
        <v>2065</v>
      </c>
      <c r="I10" s="25"/>
      <c r="J10" s="12" t="str">
        <f t="shared" si="1"/>
        <v>* definedAt 0..1 CodeableConcept ##34#Defined At##34# ##334#Whether or not the progression/recurrnce or persistent disease  was performed at the registering hospital or another hospital.##334#</v>
      </c>
      <c r="L10" s="12" t="str">
        <f t="shared" si="2"/>
        <v>* definedAt ^comment = ##334#the hospital; a different hospitalCustom##334#</v>
      </c>
    </row>
    <row r="11" spans="1:12" ht="19.899999999999999" customHeight="1">
      <c r="A11" s="100">
        <v>3</v>
      </c>
      <c r="B11" s="57" t="s">
        <v>2084</v>
      </c>
      <c r="C11" s="11" t="s">
        <v>2032</v>
      </c>
      <c r="D11" s="11" t="s">
        <v>2033</v>
      </c>
      <c r="E11" s="11">
        <v>0</v>
      </c>
      <c r="F11" s="11">
        <v>1</v>
      </c>
      <c r="G11" s="57" t="s">
        <v>156</v>
      </c>
      <c r="H11" s="12" t="s">
        <v>213</v>
      </c>
      <c r="I11" s="25"/>
      <c r="J11" s="12" t="str">
        <f t="shared" si="1"/>
        <v>* dateOfEpisode 0..1 date ##34#Date of episode##34# ##334#Start date of progression/recurrence or persistent disease##334#</v>
      </c>
      <c r="L11" s="12" t="str">
        <f t="shared" si="2"/>
        <v>* dateOfEpisode ^comment = ##334#YYYY-MM-DD##334#</v>
      </c>
    </row>
    <row r="12" spans="1:12" ht="19.899999999999999" customHeight="1">
      <c r="A12" s="100">
        <v>4</v>
      </c>
      <c r="B12" s="57" t="s">
        <v>2079</v>
      </c>
      <c r="C12" s="11" t="s">
        <v>2035</v>
      </c>
      <c r="D12" s="11" t="s">
        <v>2036</v>
      </c>
      <c r="E12" s="11">
        <v>0</v>
      </c>
      <c r="F12" s="11">
        <v>1</v>
      </c>
      <c r="G12" s="57" t="s">
        <v>1786</v>
      </c>
      <c r="H12" s="12" t="s">
        <v>2066</v>
      </c>
      <c r="I12" s="25"/>
      <c r="J12" s="12" t="str">
        <f t="shared" si="1"/>
        <v>* isLocal 0..1 CodeableConcept ##34#Is local##34# ##334#Describes if the progression /recurrence or persistent disease is local##334#</v>
      </c>
      <c r="L12" s="12" t="str">
        <f t="shared" si="2"/>
        <v>* isLocal ^comment = ##334#Yes; No; UnknownYes - 4188539
No -  4188540
Unknown - 4129922##334#</v>
      </c>
    </row>
    <row r="13" spans="1:12" ht="19.899999999999999" customHeight="1">
      <c r="A13" s="100">
        <v>5</v>
      </c>
      <c r="B13" s="57" t="s">
        <v>2080</v>
      </c>
      <c r="C13" s="11" t="s">
        <v>2039</v>
      </c>
      <c r="D13" s="12" t="s">
        <v>2040</v>
      </c>
      <c r="E13" s="11">
        <v>0</v>
      </c>
      <c r="F13" s="11">
        <v>1</v>
      </c>
      <c r="G13" s="57" t="s">
        <v>1786</v>
      </c>
      <c r="H13" s="12" t="s">
        <v>2066</v>
      </c>
      <c r="I13" s="25"/>
      <c r="J13" s="12" t="str">
        <f t="shared" si="1"/>
        <v>* isRegional 0..1 CodeableConcept ##34#Is regional##34# ##334#Describes if the progression /recurrence or persistent disease is regional##334#</v>
      </c>
      <c r="L13" s="12" t="str">
        <f t="shared" si="2"/>
        <v>* isRegional ^comment = ##334#Yes; No; UnknownYes - 4188539
No -  4188540
Unknown - 4129922##334#</v>
      </c>
    </row>
    <row r="14" spans="1:12" ht="19.899999999999999" customHeight="1">
      <c r="A14" s="100">
        <v>6</v>
      </c>
      <c r="B14" s="57" t="s">
        <v>2081</v>
      </c>
      <c r="C14" s="11" t="s">
        <v>2042</v>
      </c>
      <c r="D14" s="12" t="s">
        <v>2043</v>
      </c>
      <c r="E14" s="11">
        <v>0</v>
      </c>
      <c r="F14" s="11">
        <v>1</v>
      </c>
      <c r="G14" s="57" t="s">
        <v>1786</v>
      </c>
      <c r="H14" s="12" t="s">
        <v>2066</v>
      </c>
      <c r="I14" s="25"/>
      <c r="J14" s="12" t="str">
        <f t="shared" si="1"/>
        <v>* isMetastatic 0..1 CodeableConcept ##34#Is metastatic##34# ##334#Describes if the progression /recurrence or persistent disease is metastatic##334#</v>
      </c>
      <c r="L14" s="12" t="str">
        <f t="shared" si="2"/>
        <v>* isMetastatic ^comment = ##334#Yes; No; UnknownYes - 4188539
No -  4188540
Unknown - 4129922##334#</v>
      </c>
    </row>
    <row r="15" spans="1:12" ht="19.899999999999999" customHeight="1">
      <c r="A15" s="100"/>
      <c r="B15" s="6" t="s">
        <v>2087</v>
      </c>
      <c r="C15" s="6" t="s">
        <v>2088</v>
      </c>
      <c r="D15" s="6" t="s">
        <v>2088</v>
      </c>
      <c r="E15" s="11">
        <v>0</v>
      </c>
      <c r="F15" s="11">
        <v>1</v>
      </c>
      <c r="G15" s="149" t="s">
        <v>1</v>
      </c>
      <c r="H15" s="4"/>
      <c r="I15" s="25"/>
      <c r="J15" s="12" t="str">
        <f t="shared" si="1"/>
        <v>* siteOfMetastasis 0..1 BackboneElement ##34#Site of metastasis##34# ##334#Site of metastasis##334#</v>
      </c>
      <c r="L15" s="12" t="str">
        <f t="shared" si="2"/>
        <v/>
      </c>
    </row>
    <row r="16" spans="1:12" ht="19.899999999999999" customHeight="1">
      <c r="A16" s="158">
        <v>7</v>
      </c>
      <c r="B16" s="57" t="s">
        <v>2069</v>
      </c>
      <c r="C16" s="11" t="s">
        <v>2045</v>
      </c>
      <c r="D16" s="12" t="s">
        <v>1625</v>
      </c>
      <c r="E16" s="11">
        <v>0</v>
      </c>
      <c r="F16" s="11">
        <v>1</v>
      </c>
      <c r="G16" s="57" t="s">
        <v>157</v>
      </c>
      <c r="H16" s="12" t="s">
        <v>1932</v>
      </c>
      <c r="I16" s="25"/>
      <c r="J16" s="12" t="str">
        <f t="shared" si="1"/>
        <v>* siteOfMetastasis.softTissue 0..1 boolean ##34#Site of metastasis_soft tissue##34# ##334#Describes if site of metastasic disease  is soft tissue##334#</v>
      </c>
      <c r="L16" s="12" t="str">
        <f t="shared" si="2"/>
        <v>* siteOfMetastasis.softTissue ^comment = ##334#True; False##334#</v>
      </c>
    </row>
    <row r="17" spans="1:13" ht="19.899999999999999" customHeight="1">
      <c r="A17" s="158">
        <v>8</v>
      </c>
      <c r="B17" s="57" t="s">
        <v>2076</v>
      </c>
      <c r="C17" s="11" t="s">
        <v>2047</v>
      </c>
      <c r="D17" s="12" t="s">
        <v>1627</v>
      </c>
      <c r="E17" s="11">
        <v>0</v>
      </c>
      <c r="F17" s="11">
        <v>1</v>
      </c>
      <c r="G17" s="57" t="s">
        <v>157</v>
      </c>
      <c r="H17" s="12" t="s">
        <v>1932</v>
      </c>
      <c r="I17" s="25"/>
      <c r="J17" s="12" t="str">
        <f t="shared" si="1"/>
        <v>* siteOfMetastasis.distantLymphNodes 0..1 boolean ##34#Site of metastasis_distant lymph nodes##34# ##334#Describes if site of metastasic disease  is dystan lymph node##334#</v>
      </c>
      <c r="L17" s="12" t="str">
        <f t="shared" si="2"/>
        <v>* siteOfMetastasis.distantLymphNodes ^comment = ##334#True; False##334#</v>
      </c>
    </row>
    <row r="18" spans="1:13" ht="19.899999999999999" customHeight="1">
      <c r="A18" s="158">
        <v>9</v>
      </c>
      <c r="B18" s="57" t="s">
        <v>2072</v>
      </c>
      <c r="C18" s="11" t="s">
        <v>2049</v>
      </c>
      <c r="D18" s="12" t="s">
        <v>1629</v>
      </c>
      <c r="E18" s="11">
        <v>0</v>
      </c>
      <c r="F18" s="11">
        <v>1</v>
      </c>
      <c r="G18" s="57" t="s">
        <v>157</v>
      </c>
      <c r="H18" s="12" t="s">
        <v>1932</v>
      </c>
      <c r="I18" s="25"/>
      <c r="J18" s="12" t="str">
        <f t="shared" si="1"/>
        <v>* siteOfMetastasis.lung 0..1 boolean ##34#Site of metastasis_lung##34# ##334#Describes if site of metastasic disease  is lung##334#</v>
      </c>
      <c r="L18" s="12" t="str">
        <f t="shared" si="2"/>
        <v>* siteOfMetastasis.lung ^comment = ##334#True; False##334#</v>
      </c>
    </row>
    <row r="19" spans="1:13" ht="19.899999999999999" customHeight="1">
      <c r="A19" s="158">
        <v>10</v>
      </c>
      <c r="B19" s="57" t="s">
        <v>2070</v>
      </c>
      <c r="C19" s="11" t="s">
        <v>2051</v>
      </c>
      <c r="D19" s="11" t="s">
        <v>1631</v>
      </c>
      <c r="E19" s="11">
        <v>0</v>
      </c>
      <c r="F19" s="11">
        <v>1</v>
      </c>
      <c r="G19" s="57" t="s">
        <v>157</v>
      </c>
      <c r="H19" s="12" t="s">
        <v>1932</v>
      </c>
      <c r="J19" s="12" t="str">
        <f t="shared" si="1"/>
        <v>* siteOfMetastasis.bone 0..1 boolean ##34#Site of metastasis_bone##34# ##334#Describes if site of metastasic disease  is bone##334#</v>
      </c>
      <c r="L19" s="12" t="str">
        <f t="shared" si="2"/>
        <v>* siteOfMetastasis.bone ^comment = ##334#True; False##334#</v>
      </c>
    </row>
    <row r="20" spans="1:13" ht="19.899999999999999" customHeight="1">
      <c r="A20" s="158">
        <v>11</v>
      </c>
      <c r="B20" s="57" t="s">
        <v>2073</v>
      </c>
      <c r="C20" s="11" t="s">
        <v>2053</v>
      </c>
      <c r="D20" s="11" t="s">
        <v>1633</v>
      </c>
      <c r="E20" s="11">
        <v>0</v>
      </c>
      <c r="F20" s="11">
        <v>1</v>
      </c>
      <c r="G20" s="57" t="s">
        <v>157</v>
      </c>
      <c r="H20" s="12" t="s">
        <v>1932</v>
      </c>
      <c r="J20" s="12" t="str">
        <f t="shared" si="1"/>
        <v>* siteOfMetastasis.liver 0..1 boolean ##34#Site of metastasis_liver##34# ##334#Describes if site of metastasic disease  is liver##334#</v>
      </c>
      <c r="L20" s="12" t="str">
        <f t="shared" si="2"/>
        <v>* siteOfMetastasis.liver ^comment = ##334#True; False##334#</v>
      </c>
    </row>
    <row r="21" spans="1:13" ht="19.899999999999999" customHeight="1">
      <c r="A21" s="158">
        <v>12</v>
      </c>
      <c r="B21" s="57" t="s">
        <v>2074</v>
      </c>
      <c r="C21" s="11" t="s">
        <v>2055</v>
      </c>
      <c r="D21" s="11" t="s">
        <v>1635</v>
      </c>
      <c r="E21" s="11">
        <v>0</v>
      </c>
      <c r="F21" s="11">
        <v>1</v>
      </c>
      <c r="G21" s="57" t="s">
        <v>157</v>
      </c>
      <c r="H21" s="12" t="s">
        <v>1932</v>
      </c>
      <c r="J21" s="12" t="str">
        <f t="shared" si="1"/>
        <v>* siteOfMetastasis.pleura 0..1 boolean ##34#Site of metastasis_pleura##34# ##334#Describes if site of metastasic disease  is pleura##334#</v>
      </c>
      <c r="L21" s="12" t="str">
        <f t="shared" si="2"/>
        <v>* siteOfMetastasis.pleura ^comment = ##334#True; False##334#</v>
      </c>
    </row>
    <row r="22" spans="1:13" ht="19.899999999999999" customHeight="1">
      <c r="A22" s="158">
        <v>13</v>
      </c>
      <c r="B22" s="57" t="s">
        <v>2075</v>
      </c>
      <c r="C22" s="11" t="s">
        <v>2057</v>
      </c>
      <c r="D22" s="11" t="s">
        <v>1637</v>
      </c>
      <c r="E22" s="11">
        <v>0</v>
      </c>
      <c r="F22" s="11">
        <v>1</v>
      </c>
      <c r="G22" s="57" t="s">
        <v>157</v>
      </c>
      <c r="H22" s="12" t="s">
        <v>1932</v>
      </c>
      <c r="J22" s="12" t="str">
        <f t="shared" si="1"/>
        <v>* siteOfMetastasis.peritoneum 0..1 boolean ##34#Site of metastasis_peritoneum##34# ##334#Describes if site of metastasic disease  is peritoneum##334#</v>
      </c>
      <c r="L22" s="12" t="str">
        <f t="shared" si="2"/>
        <v>* siteOfMetastasis.peritoneum ^comment = ##334#True; False##334#</v>
      </c>
      <c r="M22"/>
    </row>
    <row r="23" spans="1:13" ht="19.899999999999999" customHeight="1">
      <c r="A23" s="158">
        <v>14</v>
      </c>
      <c r="B23" s="57" t="s">
        <v>2071</v>
      </c>
      <c r="C23" s="11" t="s">
        <v>2059</v>
      </c>
      <c r="D23" s="11" t="s">
        <v>1639</v>
      </c>
      <c r="E23" s="11">
        <v>0</v>
      </c>
      <c r="F23" s="11">
        <v>1</v>
      </c>
      <c r="G23" s="57" t="s">
        <v>157</v>
      </c>
      <c r="H23" s="12" t="s">
        <v>1932</v>
      </c>
      <c r="J23" s="12" t="str">
        <f t="shared" si="1"/>
        <v>* siteOfMetastasis.brain 0..1 boolean ##34#Site of  metastasis_brain##34# ##334#Describes if site of metastasic disease  is brain##334#</v>
      </c>
      <c r="L23" s="12" t="str">
        <f t="shared" si="2"/>
        <v>* siteOfMetastasis.brain ^comment = ##334#True; False##334#</v>
      </c>
      <c r="M23"/>
    </row>
    <row r="24" spans="1:13" ht="19.899999999999999" customHeight="1">
      <c r="A24" s="158">
        <v>15</v>
      </c>
      <c r="B24" s="57" t="s">
        <v>2077</v>
      </c>
      <c r="C24" s="11" t="s">
        <v>2061</v>
      </c>
      <c r="D24" s="12" t="s">
        <v>1641</v>
      </c>
      <c r="E24" s="11">
        <v>0</v>
      </c>
      <c r="F24" s="11">
        <v>1</v>
      </c>
      <c r="G24" s="57" t="s">
        <v>157</v>
      </c>
      <c r="H24" s="12" t="s">
        <v>1932</v>
      </c>
      <c r="J24" s="12" t="str">
        <f t="shared" si="1"/>
        <v>* siteOfMetastasis.otherViscera 0..1 boolean ##34#Site of  metastasis_other viscera##34# ##334#Describes if site of metastasic disease  is other viscera##334#</v>
      </c>
      <c r="L24" s="12" t="str">
        <f t="shared" si="2"/>
        <v>* siteOfMetastasis.otherViscera ^comment = ##334#True; False##334#</v>
      </c>
      <c r="M24"/>
    </row>
    <row r="25" spans="1:13" ht="19.899999999999999" customHeight="1">
      <c r="A25" s="158">
        <v>16</v>
      </c>
      <c r="B25" s="57" t="s">
        <v>2078</v>
      </c>
      <c r="C25" s="11" t="s">
        <v>2063</v>
      </c>
      <c r="D25" s="12" t="s">
        <v>1643</v>
      </c>
      <c r="E25" s="11">
        <v>0</v>
      </c>
      <c r="F25" s="11">
        <v>1</v>
      </c>
      <c r="G25" s="57" t="s">
        <v>157</v>
      </c>
      <c r="H25" s="12" t="s">
        <v>1932</v>
      </c>
      <c r="J25" s="12" t="str">
        <f t="shared" si="1"/>
        <v>* siteOfMetastasis.unknown 0..1 boolean ##34#Site of  metastasis_unknown##34# ##334#Describes if site of metastasic disease  is unknown##334#</v>
      </c>
      <c r="L25" s="12" t="str">
        <f t="shared" si="2"/>
        <v>* siteOfMetastasis.unknown ^comment = ##334#True; False##334#</v>
      </c>
      <c r="M25"/>
    </row>
    <row r="26" spans="1:13" ht="19.899999999999999" customHeight="1">
      <c r="A26" s="143">
        <v>17</v>
      </c>
      <c r="C26"/>
      <c r="D26" s="2"/>
      <c r="J26" s="12" t="str">
        <f t="shared" si="1"/>
        <v>*  ..  ##34###34# ##334###334#</v>
      </c>
      <c r="L26" s="12" t="str">
        <f t="shared" si="2"/>
        <v>*  ..  ##34###34# ##334###334#</v>
      </c>
      <c r="M26"/>
    </row>
    <row r="27" spans="1:13" ht="19.899999999999999" customHeight="1">
      <c r="A27" s="100">
        <v>18</v>
      </c>
      <c r="C27"/>
      <c r="D27" s="2"/>
      <c r="J27" s="12" t="str">
        <f t="shared" si="1"/>
        <v>*  ..  ##34###34# ##334###334#</v>
      </c>
      <c r="L27" s="12" t="str">
        <f t="shared" si="2"/>
        <v>*  ..  ##34###34# ##334###334#</v>
      </c>
      <c r="M27"/>
    </row>
    <row r="28" spans="1:13" ht="19.899999999999999" customHeight="1">
      <c r="J28" s="12" t="str">
        <f t="shared" si="1"/>
        <v>*  ..  ##34###34# ##334###334#</v>
      </c>
      <c r="L28" s="12" t="str">
        <f t="shared" si="2"/>
        <v>*  ..  ##34###34# ##334###334#</v>
      </c>
    </row>
    <row r="29" spans="1:13" ht="19.899999999999999" customHeight="1">
      <c r="J29" s="12" t="str">
        <f t="shared" si="1"/>
        <v>*  ..  ##34###34# ##334###334#</v>
      </c>
      <c r="L29" s="12" t="str">
        <f t="shared" si="2"/>
        <v>*  ..  ##34###34# ##334###334#</v>
      </c>
    </row>
    <row r="30" spans="1:13" ht="19.899999999999999" customHeight="1">
      <c r="J30" s="12" t="str">
        <f t="shared" si="1"/>
        <v>*  ..  ##34###34# ##334###334#</v>
      </c>
      <c r="L30" s="12" t="str">
        <f t="shared" si="2"/>
        <v>*  ..  ##34###34# ##334###334#</v>
      </c>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E892-C279-4D16-A59D-A3D1AFDBB6CD}">
  <sheetPr codeName="Foglio54"/>
  <dimension ref="A1:O103"/>
  <sheetViews>
    <sheetView workbookViewId="0">
      <selection activeCell="C4" sqref="C4"/>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EpisodeEvent</v>
      </c>
      <c r="E7" s="20" t="str">
        <f>CONCATENATE("Source: ",C7)</f>
        <v>Source: EpisodeEvent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EpisodeEvent!B5</f>
        <v>EpisodeEvent</v>
      </c>
      <c r="C9" s="6" t="s">
        <v>1609</v>
      </c>
      <c r="E9" s="27" t="str">
        <f>CONCATENATE("* -&gt; ##34#",C9,"##34#")</f>
        <v>* -&gt; ##34#TBD##34#</v>
      </c>
      <c r="H9" s="7"/>
      <c r="I9" s="7"/>
      <c r="J9" s="7"/>
      <c r="K9" s="7"/>
      <c r="L9" s="7"/>
      <c r="M9" s="7"/>
      <c r="N9" s="7"/>
      <c r="O9" s="7"/>
    </row>
    <row r="10" spans="1:15">
      <c r="A10" s="11"/>
      <c r="B10" s="11" t="str">
        <f>EpisodeEvent!B8</f>
        <v>cancerEpisode</v>
      </c>
      <c r="C10" s="11" t="s">
        <v>1609</v>
      </c>
      <c r="E10" s="12" t="str">
        <f t="shared" ref="E10:E73" si="0">IF(B10=0,"*  -&gt; ##34###34#",CONCATENATE("* ",B10," -&gt; ##34#",C10,"##34#"))</f>
        <v>* cancerEpisode -&gt; ##34#TBD##34#</v>
      </c>
      <c r="H10" s="7"/>
      <c r="I10" s="7"/>
      <c r="J10" s="7"/>
      <c r="K10" s="7"/>
      <c r="L10" s="7"/>
      <c r="M10" s="7"/>
      <c r="N10" s="7"/>
      <c r="O10" s="7"/>
    </row>
    <row r="11" spans="1:15">
      <c r="A11" s="11"/>
      <c r="B11" s="11" t="str">
        <f>EpisodeEvent!B9</f>
        <v>eventType</v>
      </c>
      <c r="C11" s="11" t="s">
        <v>1609</v>
      </c>
      <c r="E11" s="12" t="str">
        <f t="shared" si="0"/>
        <v>* eventType -&gt; ##34#TBD##34#</v>
      </c>
      <c r="H11" s="7"/>
      <c r="I11" s="7"/>
      <c r="J11" s="7"/>
      <c r="K11" s="7"/>
      <c r="L11" s="7"/>
      <c r="M11" s="7"/>
      <c r="N11" s="7"/>
      <c r="O11" s="7"/>
    </row>
    <row r="12" spans="1:15">
      <c r="A12" s="11"/>
      <c r="B12" s="11" t="str">
        <f>EpisodeEvent!B10</f>
        <v>definedAt</v>
      </c>
      <c r="C12" s="11" t="s">
        <v>1609</v>
      </c>
      <c r="E12" s="12" t="str">
        <f t="shared" si="0"/>
        <v>* definedAt -&gt; ##34#TBD##34#</v>
      </c>
      <c r="H12" s="7"/>
      <c r="I12" s="7"/>
      <c r="J12" s="7"/>
      <c r="K12" s="7"/>
      <c r="L12" s="7"/>
      <c r="M12" s="7"/>
      <c r="N12" s="7"/>
      <c r="O12" s="7"/>
    </row>
    <row r="13" spans="1:15">
      <c r="A13" s="11"/>
      <c r="B13" s="11" t="str">
        <f>EpisodeEvent!B11</f>
        <v>dateOfEpisode</v>
      </c>
      <c r="C13" s="11" t="s">
        <v>1609</v>
      </c>
      <c r="E13" s="12" t="str">
        <f t="shared" si="0"/>
        <v>* dateOfEpisode -&gt; ##34#TBD##34#</v>
      </c>
      <c r="H13" s="7"/>
      <c r="I13" s="7"/>
      <c r="J13" s="7"/>
      <c r="K13" s="7"/>
      <c r="L13" s="7"/>
      <c r="M13" s="7"/>
      <c r="N13" s="7"/>
      <c r="O13" s="7"/>
    </row>
    <row r="14" spans="1:15">
      <c r="A14" s="11"/>
      <c r="B14" s="11" t="str">
        <f>EpisodeEvent!B12</f>
        <v>isLocal</v>
      </c>
      <c r="C14" s="11" t="s">
        <v>1609</v>
      </c>
      <c r="E14" s="12" t="str">
        <f t="shared" si="0"/>
        <v>* isLocal -&gt; ##34#TBD##34#</v>
      </c>
      <c r="H14" s="7"/>
      <c r="I14" s="7"/>
      <c r="J14" s="7"/>
      <c r="K14" s="7"/>
      <c r="L14" s="7"/>
      <c r="M14" s="7"/>
      <c r="N14" s="7"/>
      <c r="O14" s="7"/>
    </row>
    <row r="15" spans="1:15">
      <c r="A15" s="11"/>
      <c r="B15" s="11" t="str">
        <f>EpisodeEvent!B13</f>
        <v>isRegional</v>
      </c>
      <c r="C15" s="11" t="s">
        <v>1609</v>
      </c>
      <c r="E15" s="12" t="str">
        <f t="shared" si="0"/>
        <v>* isRegional -&gt; ##34#TBD##34#</v>
      </c>
      <c r="H15" s="7"/>
      <c r="I15" s="7"/>
      <c r="J15" s="7"/>
      <c r="K15" s="7"/>
      <c r="L15" s="7"/>
      <c r="M15" s="7"/>
      <c r="N15" s="7"/>
      <c r="O15" s="7"/>
    </row>
    <row r="16" spans="1:15">
      <c r="A16" s="11"/>
      <c r="B16" s="11" t="str">
        <f>EpisodeEvent!B14</f>
        <v>isMetastatic</v>
      </c>
      <c r="C16" s="11" t="s">
        <v>1609</v>
      </c>
      <c r="E16" s="12" t="str">
        <f t="shared" si="0"/>
        <v>* isMetastatic -&gt; ##34#TBD##34#</v>
      </c>
      <c r="H16" s="7"/>
      <c r="I16" s="7"/>
      <c r="J16" s="7"/>
      <c r="K16" s="7"/>
      <c r="L16" s="7"/>
      <c r="M16" s="7"/>
      <c r="N16" s="7"/>
      <c r="O16" s="7"/>
    </row>
    <row r="17" spans="1:5">
      <c r="A17" s="11"/>
      <c r="B17" s="11" t="str">
        <f>EpisodeEvent!B16</f>
        <v>siteOfMetastasis.softTissue</v>
      </c>
      <c r="C17" s="11" t="s">
        <v>1609</v>
      </c>
      <c r="E17" s="12" t="str">
        <f t="shared" si="0"/>
        <v>* siteOfMetastasis.softTissue -&gt; ##34#TBD##34#</v>
      </c>
    </row>
    <row r="18" spans="1:5">
      <c r="A18" s="11"/>
      <c r="B18" s="11" t="str">
        <f>EpisodeEvent!B17</f>
        <v>siteOfMetastasis.distantLymphNodes</v>
      </c>
      <c r="C18" s="11" t="s">
        <v>1609</v>
      </c>
      <c r="E18" s="12" t="str">
        <f t="shared" si="0"/>
        <v>* siteOfMetastasis.distantLymphNodes -&gt; ##34#TBD##34#</v>
      </c>
    </row>
    <row r="19" spans="1:5">
      <c r="A19" s="11"/>
      <c r="B19" s="11" t="str">
        <f>EpisodeEvent!B18</f>
        <v>siteOfMetastasis.lung</v>
      </c>
      <c r="C19" s="11" t="s">
        <v>1609</v>
      </c>
      <c r="E19" s="12" t="str">
        <f t="shared" si="0"/>
        <v>* siteOfMetastasis.lung -&gt; ##34#TBD##34#</v>
      </c>
    </row>
    <row r="20" spans="1:5">
      <c r="A20" s="11"/>
      <c r="B20" s="11" t="str">
        <f>EpisodeEvent!B19</f>
        <v>siteOfMetastasis.bone</v>
      </c>
      <c r="C20" s="11" t="s">
        <v>1609</v>
      </c>
      <c r="E20" s="12" t="str">
        <f t="shared" si="0"/>
        <v>* siteOfMetastasis.bone -&gt; ##34#TBD##34#</v>
      </c>
    </row>
    <row r="21" spans="1:5">
      <c r="B21" s="11" t="str">
        <f>EpisodeEvent!B20</f>
        <v>siteOfMetastasis.liver</v>
      </c>
      <c r="C21" s="11" t="s">
        <v>1609</v>
      </c>
      <c r="E21" s="12" t="str">
        <f t="shared" si="0"/>
        <v>* siteOfMetastasis.liver -&gt; ##34#TBD##34#</v>
      </c>
    </row>
    <row r="22" spans="1:5">
      <c r="B22" s="11" t="str">
        <f>EpisodeEvent!B21</f>
        <v>siteOfMetastasis.pleura</v>
      </c>
      <c r="C22" s="11" t="s">
        <v>1609</v>
      </c>
      <c r="E22" s="12" t="str">
        <f t="shared" si="0"/>
        <v>* siteOfMetastasis.pleura -&gt; ##34#TBD##34#</v>
      </c>
    </row>
    <row r="23" spans="1:5">
      <c r="B23" s="11" t="str">
        <f>EpisodeEvent!B22</f>
        <v>siteOfMetastasis.peritoneum</v>
      </c>
      <c r="C23" s="11" t="s">
        <v>1609</v>
      </c>
      <c r="E23" s="12" t="str">
        <f t="shared" si="0"/>
        <v>* siteOfMetastasis.peritoneum -&gt; ##34#TBD##34#</v>
      </c>
    </row>
    <row r="24" spans="1:5">
      <c r="B24" s="11" t="str">
        <f>EpisodeEvent!B23</f>
        <v>siteOfMetastasis.brain</v>
      </c>
      <c r="C24" s="11" t="s">
        <v>1609</v>
      </c>
      <c r="E24" s="12" t="str">
        <f t="shared" si="0"/>
        <v>* siteOfMetastasis.brain -&gt; ##34#TBD##34#</v>
      </c>
    </row>
    <row r="25" spans="1:5">
      <c r="B25" s="11" t="str">
        <f>EpisodeEvent!B24</f>
        <v>siteOfMetastasis.otherViscera</v>
      </c>
      <c r="C25" s="11" t="s">
        <v>1609</v>
      </c>
      <c r="E25" s="12" t="str">
        <f t="shared" si="0"/>
        <v>* siteOfMetastasis.otherViscera -&gt; ##34#TBD##34#</v>
      </c>
    </row>
    <row r="26" spans="1:5">
      <c r="B26" s="11" t="str">
        <f>EpisodeEvent!B25</f>
        <v>siteOfMetastasis.unknown</v>
      </c>
      <c r="C26" s="11" t="s">
        <v>1609</v>
      </c>
      <c r="E26" s="12" t="str">
        <f t="shared" si="0"/>
        <v>* siteOfMetastasis.unknown -&gt; ##34#TBD##34#</v>
      </c>
    </row>
    <row r="27" spans="1:5">
      <c r="B27" s="11">
        <f>EpisodeEvent!B26</f>
        <v>0</v>
      </c>
      <c r="C27" s="11" t="s">
        <v>1609</v>
      </c>
      <c r="E27" s="12" t="str">
        <f t="shared" si="0"/>
        <v>*  -&gt; ##34###34#</v>
      </c>
    </row>
    <row r="28" spans="1:5">
      <c r="B28" s="11">
        <f>EpisodeEvent!B27</f>
        <v>0</v>
      </c>
      <c r="C28" s="11" t="s">
        <v>1609</v>
      </c>
      <c r="E28" s="12" t="str">
        <f t="shared" si="0"/>
        <v>*  -&gt; ##34###34#</v>
      </c>
    </row>
    <row r="29" spans="1:5">
      <c r="B29" s="11" t="e">
        <f>EpisodeEvent!#REF!</f>
        <v>#REF!</v>
      </c>
      <c r="C29" s="11" t="s">
        <v>1609</v>
      </c>
      <c r="E29" s="12" t="e">
        <f t="shared" si="0"/>
        <v>#REF!</v>
      </c>
    </row>
    <row r="30" spans="1:5">
      <c r="B30" s="11" t="e">
        <f>EpisodeEvent!#REF!</f>
        <v>#REF!</v>
      </c>
      <c r="C30" s="11" t="s">
        <v>1609</v>
      </c>
      <c r="E30" s="12" t="e">
        <f t="shared" si="0"/>
        <v>#REF!</v>
      </c>
    </row>
    <row r="31" spans="1:5">
      <c r="B31" s="11" t="e">
        <f>EpisodeEvent!#REF!</f>
        <v>#REF!</v>
      </c>
      <c r="C31" s="11" t="s">
        <v>1609</v>
      </c>
      <c r="E31" s="12" t="e">
        <f t="shared" si="0"/>
        <v>#REF!</v>
      </c>
    </row>
    <row r="32" spans="1:5">
      <c r="B32" s="11" t="e">
        <f>EpisodeEvent!#REF!</f>
        <v>#REF!</v>
      </c>
      <c r="C32" s="11" t="s">
        <v>1609</v>
      </c>
      <c r="E32" s="12" t="e">
        <f t="shared" si="0"/>
        <v>#REF!</v>
      </c>
    </row>
    <row r="33" spans="2:5">
      <c r="B33" s="11" t="e">
        <f>EpisodeEvent!#REF!</f>
        <v>#REF!</v>
      </c>
      <c r="C33" s="11" t="s">
        <v>1609</v>
      </c>
      <c r="E33" s="12" t="e">
        <f t="shared" si="0"/>
        <v>#REF!</v>
      </c>
    </row>
    <row r="34" spans="2:5">
      <c r="B34" s="11" t="e">
        <f>EpisodeEvent!#REF!</f>
        <v>#REF!</v>
      </c>
      <c r="C34" s="11" t="s">
        <v>1609</v>
      </c>
      <c r="E34" s="12" t="e">
        <f t="shared" si="0"/>
        <v>#REF!</v>
      </c>
    </row>
    <row r="35" spans="2:5">
      <c r="B35" s="11" t="e">
        <f>EpisodeEvent!#REF!</f>
        <v>#REF!</v>
      </c>
      <c r="C35" s="11" t="s">
        <v>1609</v>
      </c>
      <c r="E35" s="12" t="e">
        <f t="shared" si="0"/>
        <v>#REF!</v>
      </c>
    </row>
    <row r="36" spans="2:5">
      <c r="B36" s="11" t="e">
        <f>EpisodeEvent!#REF!</f>
        <v>#REF!</v>
      </c>
      <c r="C36" s="11" t="s">
        <v>1609</v>
      </c>
      <c r="E36" s="12" t="e">
        <f t="shared" si="0"/>
        <v>#REF!</v>
      </c>
    </row>
    <row r="37" spans="2:5">
      <c r="B37" s="11" t="e">
        <f>EpisodeEvent!#REF!</f>
        <v>#REF!</v>
      </c>
      <c r="C37" s="11" t="s">
        <v>1609</v>
      </c>
      <c r="E37" s="12" t="e">
        <f t="shared" si="0"/>
        <v>#REF!</v>
      </c>
    </row>
    <row r="38" spans="2:5">
      <c r="B38" s="11" t="e">
        <f>EpisodeEvent!#REF!</f>
        <v>#REF!</v>
      </c>
      <c r="C38" s="11" t="s">
        <v>1609</v>
      </c>
      <c r="E38" s="12" t="e">
        <f t="shared" si="0"/>
        <v>#REF!</v>
      </c>
    </row>
    <row r="39" spans="2:5">
      <c r="B39" s="11" t="e">
        <f>EpisodeEvent!#REF!</f>
        <v>#REF!</v>
      </c>
      <c r="C39" s="11" t="s">
        <v>1609</v>
      </c>
      <c r="E39" s="12" t="e">
        <f t="shared" si="0"/>
        <v>#REF!</v>
      </c>
    </row>
    <row r="40" spans="2:5">
      <c r="B40" s="11" t="e">
        <f>EpisodeEvent!#REF!</f>
        <v>#REF!</v>
      </c>
      <c r="C40" s="11" t="s">
        <v>1609</v>
      </c>
      <c r="E40" s="12" t="e">
        <f t="shared" si="0"/>
        <v>#REF!</v>
      </c>
    </row>
    <row r="41" spans="2:5">
      <c r="B41" s="11" t="e">
        <f>EpisodeEvent!#REF!</f>
        <v>#REF!</v>
      </c>
      <c r="C41" s="11" t="s">
        <v>1609</v>
      </c>
      <c r="E41" s="12" t="e">
        <f t="shared" si="0"/>
        <v>#REF!</v>
      </c>
    </row>
    <row r="42" spans="2:5">
      <c r="B42" s="11" t="e">
        <f>EpisodeEvent!#REF!</f>
        <v>#REF!</v>
      </c>
      <c r="C42" s="11" t="s">
        <v>1609</v>
      </c>
      <c r="E42" s="12" t="e">
        <f t="shared" si="0"/>
        <v>#REF!</v>
      </c>
    </row>
    <row r="43" spans="2:5">
      <c r="B43" s="11" t="e">
        <f>EpisodeEvent!#REF!</f>
        <v>#REF!</v>
      </c>
      <c r="C43" s="11" t="s">
        <v>1609</v>
      </c>
      <c r="E43" s="12" t="e">
        <f t="shared" si="0"/>
        <v>#REF!</v>
      </c>
    </row>
    <row r="44" spans="2:5">
      <c r="B44" s="11" t="e">
        <f>EpisodeEvent!#REF!</f>
        <v>#REF!</v>
      </c>
      <c r="C44" s="11" t="s">
        <v>1609</v>
      </c>
      <c r="E44" s="12" t="e">
        <f t="shared" si="0"/>
        <v>#REF!</v>
      </c>
    </row>
    <row r="45" spans="2:5">
      <c r="B45" s="11" t="e">
        <f>EpisodeEvent!#REF!</f>
        <v>#REF!</v>
      </c>
      <c r="C45" s="11" t="s">
        <v>1609</v>
      </c>
      <c r="E45" s="12" t="e">
        <f t="shared" si="0"/>
        <v>#REF!</v>
      </c>
    </row>
    <row r="46" spans="2:5">
      <c r="B46" s="11" t="e">
        <f>EpisodeEvent!#REF!</f>
        <v>#REF!</v>
      </c>
      <c r="C46" s="11" t="s">
        <v>1609</v>
      </c>
      <c r="E46" s="12" t="e">
        <f t="shared" si="0"/>
        <v>#REF!</v>
      </c>
    </row>
    <row r="47" spans="2:5">
      <c r="B47" s="11" t="e">
        <f>EpisodeEvent!#REF!</f>
        <v>#REF!</v>
      </c>
      <c r="C47" s="11" t="s">
        <v>1609</v>
      </c>
      <c r="E47" s="12" t="e">
        <f t="shared" si="0"/>
        <v>#REF!</v>
      </c>
    </row>
    <row r="48" spans="2:5">
      <c r="B48" s="11" t="e">
        <f>EpisodeEvent!#REF!</f>
        <v>#REF!</v>
      </c>
      <c r="C48" s="11" t="s">
        <v>1609</v>
      </c>
      <c r="E48" s="12" t="e">
        <f t="shared" si="0"/>
        <v>#REF!</v>
      </c>
    </row>
    <row r="49" spans="2:5">
      <c r="B49" s="11" t="e">
        <f>EpisodeEvent!#REF!</f>
        <v>#REF!</v>
      </c>
      <c r="C49" s="11" t="s">
        <v>1609</v>
      </c>
      <c r="E49" s="12" t="e">
        <f t="shared" si="0"/>
        <v>#REF!</v>
      </c>
    </row>
    <row r="50" spans="2:5">
      <c r="B50" s="11" t="e">
        <f>EpisodeEvent!#REF!</f>
        <v>#REF!</v>
      </c>
      <c r="C50" s="11" t="s">
        <v>1609</v>
      </c>
      <c r="E50" s="12" t="e">
        <f t="shared" si="0"/>
        <v>#REF!</v>
      </c>
    </row>
    <row r="51" spans="2:5">
      <c r="B51" s="11" t="e">
        <f>EpisodeEvent!#REF!</f>
        <v>#REF!</v>
      </c>
      <c r="C51" s="11" t="s">
        <v>1609</v>
      </c>
      <c r="E51" s="12" t="e">
        <f t="shared" si="0"/>
        <v>#REF!</v>
      </c>
    </row>
    <row r="52" spans="2:5">
      <c r="B52" s="11" t="e">
        <f>EpisodeEvent!#REF!</f>
        <v>#REF!</v>
      </c>
      <c r="C52" s="11" t="s">
        <v>1609</v>
      </c>
      <c r="E52" s="12" t="e">
        <f t="shared" si="0"/>
        <v>#REF!</v>
      </c>
    </row>
    <row r="53" spans="2:5">
      <c r="B53" s="11" t="e">
        <f>EpisodeEvent!#REF!</f>
        <v>#REF!</v>
      </c>
      <c r="C53" s="11" t="s">
        <v>1609</v>
      </c>
      <c r="E53" s="12" t="e">
        <f t="shared" si="0"/>
        <v>#REF!</v>
      </c>
    </row>
    <row r="54" spans="2:5">
      <c r="B54" s="11" t="e">
        <f>EpisodeEvent!#REF!</f>
        <v>#REF!</v>
      </c>
      <c r="C54" s="11" t="s">
        <v>1609</v>
      </c>
      <c r="E54" s="12" t="e">
        <f t="shared" si="0"/>
        <v>#REF!</v>
      </c>
    </row>
    <row r="55" spans="2:5">
      <c r="B55" s="11" t="e">
        <f>EpisodeEvent!#REF!</f>
        <v>#REF!</v>
      </c>
      <c r="C55" s="11" t="s">
        <v>1609</v>
      </c>
      <c r="E55" s="12" t="e">
        <f t="shared" si="0"/>
        <v>#REF!</v>
      </c>
    </row>
    <row r="56" spans="2:5">
      <c r="B56" s="11" t="e">
        <f>EpisodeEvent!#REF!</f>
        <v>#REF!</v>
      </c>
      <c r="C56" s="11" t="s">
        <v>1609</v>
      </c>
      <c r="E56" s="12" t="e">
        <f t="shared" si="0"/>
        <v>#REF!</v>
      </c>
    </row>
    <row r="57" spans="2:5">
      <c r="B57" s="11" t="e">
        <f>EpisodeEvent!#REF!</f>
        <v>#REF!</v>
      </c>
      <c r="C57" s="11" t="s">
        <v>1609</v>
      </c>
      <c r="E57" s="12" t="e">
        <f t="shared" si="0"/>
        <v>#REF!</v>
      </c>
    </row>
    <row r="58" spans="2:5">
      <c r="B58" s="11" t="e">
        <f>EpisodeEvent!#REF!</f>
        <v>#REF!</v>
      </c>
      <c r="C58" s="11" t="s">
        <v>1609</v>
      </c>
      <c r="E58" s="12" t="e">
        <f t="shared" si="0"/>
        <v>#REF!</v>
      </c>
    </row>
    <row r="59" spans="2:5">
      <c r="B59" s="11" t="e">
        <f>EpisodeEvent!#REF!</f>
        <v>#REF!</v>
      </c>
      <c r="C59" s="11" t="s">
        <v>1609</v>
      </c>
      <c r="E59" s="12" t="e">
        <f t="shared" si="0"/>
        <v>#REF!</v>
      </c>
    </row>
    <row r="60" spans="2:5">
      <c r="B60" s="11" t="e">
        <f>EpisodeEvent!#REF!</f>
        <v>#REF!</v>
      </c>
      <c r="C60" s="11" t="s">
        <v>1609</v>
      </c>
      <c r="E60" s="12" t="e">
        <f t="shared" si="0"/>
        <v>#REF!</v>
      </c>
    </row>
    <row r="61" spans="2:5">
      <c r="B61" s="11" t="e">
        <f>EpisodeEvent!#REF!</f>
        <v>#REF!</v>
      </c>
      <c r="C61" s="11" t="s">
        <v>1609</v>
      </c>
      <c r="E61" s="12" t="e">
        <f t="shared" si="0"/>
        <v>#REF!</v>
      </c>
    </row>
    <row r="62" spans="2:5">
      <c r="B62" s="11" t="e">
        <f>EpisodeEvent!#REF!</f>
        <v>#REF!</v>
      </c>
      <c r="C62" s="11" t="s">
        <v>1609</v>
      </c>
      <c r="E62" s="12" t="e">
        <f t="shared" si="0"/>
        <v>#REF!</v>
      </c>
    </row>
    <row r="63" spans="2:5">
      <c r="B63" s="11" t="e">
        <f>EpisodeEvent!#REF!</f>
        <v>#REF!</v>
      </c>
      <c r="C63" s="11" t="s">
        <v>1609</v>
      </c>
      <c r="E63" s="12" t="e">
        <f t="shared" si="0"/>
        <v>#REF!</v>
      </c>
    </row>
    <row r="64" spans="2:5">
      <c r="B64" s="11" t="e">
        <f>EpisodeEvent!#REF!</f>
        <v>#REF!</v>
      </c>
      <c r="C64" s="11" t="s">
        <v>1609</v>
      </c>
      <c r="E64" s="12" t="e">
        <f t="shared" si="0"/>
        <v>#REF!</v>
      </c>
    </row>
    <row r="65" spans="2:5">
      <c r="B65" s="11" t="e">
        <f>EpisodeEvent!#REF!</f>
        <v>#REF!</v>
      </c>
      <c r="C65" s="11" t="s">
        <v>1609</v>
      </c>
      <c r="E65" s="12" t="e">
        <f t="shared" si="0"/>
        <v>#REF!</v>
      </c>
    </row>
    <row r="66" spans="2:5">
      <c r="B66" s="11" t="e">
        <f>EpisodeEvent!#REF!</f>
        <v>#REF!</v>
      </c>
      <c r="C66" s="11" t="s">
        <v>1609</v>
      </c>
      <c r="E66" s="12" t="e">
        <f t="shared" si="0"/>
        <v>#REF!</v>
      </c>
    </row>
    <row r="67" spans="2:5">
      <c r="B67" s="11" t="e">
        <f>EpisodeEvent!#REF!</f>
        <v>#REF!</v>
      </c>
      <c r="C67" s="11" t="s">
        <v>1609</v>
      </c>
      <c r="E67" s="12" t="e">
        <f t="shared" si="0"/>
        <v>#REF!</v>
      </c>
    </row>
    <row r="68" spans="2:5">
      <c r="B68" s="11" t="e">
        <f>EpisodeEvent!#REF!</f>
        <v>#REF!</v>
      </c>
      <c r="C68" s="11" t="s">
        <v>1609</v>
      </c>
      <c r="E68" s="12" t="e">
        <f t="shared" si="0"/>
        <v>#REF!</v>
      </c>
    </row>
    <row r="69" spans="2:5">
      <c r="B69" s="11" t="e">
        <f>EpisodeEvent!#REF!</f>
        <v>#REF!</v>
      </c>
      <c r="C69" s="11" t="s">
        <v>1609</v>
      </c>
      <c r="E69" s="12" t="e">
        <f t="shared" si="0"/>
        <v>#REF!</v>
      </c>
    </row>
    <row r="70" spans="2:5">
      <c r="B70" s="11" t="e">
        <f>EpisodeEvent!#REF!</f>
        <v>#REF!</v>
      </c>
      <c r="C70" s="11" t="s">
        <v>1609</v>
      </c>
      <c r="E70" s="12" t="e">
        <f t="shared" si="0"/>
        <v>#REF!</v>
      </c>
    </row>
    <row r="71" spans="2:5">
      <c r="B71" s="11" t="e">
        <f>EpisodeEvent!#REF!</f>
        <v>#REF!</v>
      </c>
      <c r="C71" s="11" t="s">
        <v>1609</v>
      </c>
      <c r="E71" s="12" t="e">
        <f t="shared" si="0"/>
        <v>#REF!</v>
      </c>
    </row>
    <row r="72" spans="2:5">
      <c r="B72" s="11" t="e">
        <f>EpisodeEvent!#REF!</f>
        <v>#REF!</v>
      </c>
      <c r="C72" s="11" t="s">
        <v>1609</v>
      </c>
      <c r="E72" s="12" t="e">
        <f t="shared" si="0"/>
        <v>#REF!</v>
      </c>
    </row>
    <row r="73" spans="2:5">
      <c r="B73" s="11" t="e">
        <f>EpisodeEvent!#REF!</f>
        <v>#REF!</v>
      </c>
      <c r="C73" s="11" t="s">
        <v>1609</v>
      </c>
      <c r="E73" s="12" t="e">
        <f t="shared" si="0"/>
        <v>#REF!</v>
      </c>
    </row>
    <row r="74" spans="2:5">
      <c r="B74" s="11" t="e">
        <f>EpisodeEvent!#REF!</f>
        <v>#REF!</v>
      </c>
      <c r="C74" s="11" t="s">
        <v>1609</v>
      </c>
      <c r="E74" s="12" t="e">
        <f t="shared" ref="E74:E98" si="1">IF(B74=0,"*  -&gt; ##34###34#",CONCATENATE("* ",B74," -&gt; ##34#",C74,"##34#"))</f>
        <v>#REF!</v>
      </c>
    </row>
    <row r="75" spans="2:5">
      <c r="B75" s="11" t="e">
        <f>EpisodeEvent!#REF!</f>
        <v>#REF!</v>
      </c>
      <c r="C75" s="11" t="s">
        <v>1609</v>
      </c>
      <c r="E75" s="12" t="e">
        <f t="shared" si="1"/>
        <v>#REF!</v>
      </c>
    </row>
    <row r="76" spans="2:5">
      <c r="B76" s="11" t="e">
        <f>EpisodeEvent!#REF!</f>
        <v>#REF!</v>
      </c>
      <c r="C76" s="11" t="s">
        <v>1609</v>
      </c>
      <c r="E76" s="12" t="e">
        <f t="shared" si="1"/>
        <v>#REF!</v>
      </c>
    </row>
    <row r="77" spans="2:5">
      <c r="B77" s="11" t="e">
        <f>EpisodeEvent!#REF!</f>
        <v>#REF!</v>
      </c>
      <c r="C77" s="11" t="s">
        <v>1609</v>
      </c>
      <c r="E77" s="12" t="e">
        <f t="shared" si="1"/>
        <v>#REF!</v>
      </c>
    </row>
    <row r="78" spans="2:5">
      <c r="B78" s="11" t="e">
        <f>EpisodeEvent!#REF!</f>
        <v>#REF!</v>
      </c>
      <c r="C78" s="11" t="s">
        <v>1609</v>
      </c>
      <c r="E78" s="12" t="e">
        <f t="shared" si="1"/>
        <v>#REF!</v>
      </c>
    </row>
    <row r="79" spans="2:5">
      <c r="B79" s="11" t="e">
        <f>EpisodeEvent!#REF!</f>
        <v>#REF!</v>
      </c>
      <c r="C79" s="11" t="s">
        <v>1609</v>
      </c>
      <c r="E79" s="12" t="e">
        <f t="shared" si="1"/>
        <v>#REF!</v>
      </c>
    </row>
    <row r="80" spans="2:5">
      <c r="B80" s="11" t="e">
        <f>EpisodeEvent!#REF!</f>
        <v>#REF!</v>
      </c>
      <c r="C80" s="11" t="s">
        <v>1609</v>
      </c>
      <c r="E80" s="12" t="e">
        <f t="shared" si="1"/>
        <v>#REF!</v>
      </c>
    </row>
    <row r="81" spans="2:5">
      <c r="B81" s="11" t="e">
        <f>EpisodeEvent!#REF!</f>
        <v>#REF!</v>
      </c>
      <c r="C81" s="11" t="s">
        <v>1609</v>
      </c>
      <c r="E81" s="12" t="e">
        <f t="shared" si="1"/>
        <v>#REF!</v>
      </c>
    </row>
    <row r="82" spans="2:5">
      <c r="B82" s="11" t="e">
        <f>EpisodeEvent!#REF!</f>
        <v>#REF!</v>
      </c>
      <c r="C82" s="11" t="s">
        <v>1609</v>
      </c>
      <c r="E82" s="12" t="e">
        <f t="shared" si="1"/>
        <v>#REF!</v>
      </c>
    </row>
    <row r="83" spans="2:5">
      <c r="B83" s="11" t="e">
        <f>EpisodeEvent!#REF!</f>
        <v>#REF!</v>
      </c>
      <c r="C83" s="11" t="s">
        <v>1609</v>
      </c>
      <c r="E83" s="12" t="e">
        <f t="shared" si="1"/>
        <v>#REF!</v>
      </c>
    </row>
    <row r="84" spans="2:5">
      <c r="B84" s="11" t="e">
        <f>EpisodeEvent!#REF!</f>
        <v>#REF!</v>
      </c>
      <c r="C84" s="11" t="s">
        <v>1609</v>
      </c>
      <c r="E84" s="12" t="e">
        <f t="shared" si="1"/>
        <v>#REF!</v>
      </c>
    </row>
    <row r="85" spans="2:5">
      <c r="B85" s="11" t="e">
        <f>EpisodeEvent!#REF!</f>
        <v>#REF!</v>
      </c>
      <c r="C85" s="11" t="s">
        <v>1609</v>
      </c>
      <c r="E85" s="12" t="e">
        <f t="shared" si="1"/>
        <v>#REF!</v>
      </c>
    </row>
    <row r="86" spans="2:5">
      <c r="B86" s="11" t="e">
        <f>EpisodeEvent!#REF!</f>
        <v>#REF!</v>
      </c>
      <c r="C86" s="11" t="s">
        <v>1609</v>
      </c>
      <c r="E86" s="12" t="e">
        <f t="shared" si="1"/>
        <v>#REF!</v>
      </c>
    </row>
    <row r="87" spans="2:5">
      <c r="B87" s="11" t="e">
        <f>EpisodeEvent!#REF!</f>
        <v>#REF!</v>
      </c>
      <c r="C87" s="11" t="s">
        <v>1609</v>
      </c>
      <c r="E87" s="12" t="e">
        <f t="shared" si="1"/>
        <v>#REF!</v>
      </c>
    </row>
    <row r="88" spans="2:5">
      <c r="B88" s="11" t="e">
        <f>EpisodeEvent!#REF!</f>
        <v>#REF!</v>
      </c>
      <c r="C88" s="11" t="s">
        <v>1609</v>
      </c>
      <c r="E88" s="12" t="e">
        <f t="shared" si="1"/>
        <v>#REF!</v>
      </c>
    </row>
    <row r="89" spans="2:5">
      <c r="B89" s="11" t="e">
        <f>EpisodeEvent!#REF!</f>
        <v>#REF!</v>
      </c>
      <c r="C89" s="11" t="s">
        <v>1609</v>
      </c>
      <c r="E89" s="12" t="e">
        <f t="shared" si="1"/>
        <v>#REF!</v>
      </c>
    </row>
    <row r="90" spans="2:5">
      <c r="B90" s="11" t="e">
        <f>EpisodeEvent!#REF!</f>
        <v>#REF!</v>
      </c>
      <c r="C90" s="11" t="s">
        <v>1609</v>
      </c>
      <c r="E90" s="12" t="e">
        <f t="shared" si="1"/>
        <v>#REF!</v>
      </c>
    </row>
    <row r="91" spans="2:5">
      <c r="B91" s="11" t="e">
        <f>EpisodeEvent!#REF!</f>
        <v>#REF!</v>
      </c>
      <c r="C91" s="11" t="s">
        <v>1609</v>
      </c>
      <c r="E91" s="12" t="e">
        <f t="shared" si="1"/>
        <v>#REF!</v>
      </c>
    </row>
    <row r="92" spans="2:5">
      <c r="B92" s="11" t="e">
        <f>EpisodeEvent!#REF!</f>
        <v>#REF!</v>
      </c>
      <c r="C92" s="11" t="s">
        <v>1609</v>
      </c>
      <c r="E92" s="12" t="e">
        <f t="shared" si="1"/>
        <v>#REF!</v>
      </c>
    </row>
    <row r="93" spans="2:5">
      <c r="B93" s="11" t="e">
        <f>EpisodeEvent!#REF!</f>
        <v>#REF!</v>
      </c>
      <c r="C93" s="11" t="s">
        <v>1609</v>
      </c>
      <c r="E93" s="12" t="e">
        <f t="shared" si="1"/>
        <v>#REF!</v>
      </c>
    </row>
    <row r="94" spans="2:5">
      <c r="B94" s="11" t="e">
        <f>EpisodeEvent!#REF!</f>
        <v>#REF!</v>
      </c>
      <c r="C94" s="11" t="s">
        <v>1609</v>
      </c>
      <c r="E94" s="12" t="e">
        <f t="shared" si="1"/>
        <v>#REF!</v>
      </c>
    </row>
    <row r="95" spans="2:5">
      <c r="B95" s="11" t="e">
        <f>EpisodeEvent!#REF!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307"/>
  <sheetViews>
    <sheetView workbookViewId="0">
      <selection activeCell="C36" sqref="C36:C56"/>
    </sheetView>
  </sheetViews>
  <sheetFormatPr defaultRowHeight="14.75"/>
  <cols>
    <col min="3" max="3" width="108.2265625" style="12" customWidth="1"/>
    <col min="7" max="7" width="29.54296875" customWidth="1"/>
    <col min="8" max="8" width="54.90625" customWidth="1"/>
  </cols>
  <sheetData>
    <row r="1" spans="3:7" ht="15.5" thickBot="1">
      <c r="C1" s="23" t="str">
        <f>EpisodeEvent!J1</f>
        <v>//===================================================</v>
      </c>
    </row>
    <row r="2" spans="3:7" ht="16.75" thickBot="1">
      <c r="C2" s="24" t="str">
        <f>EpisodeEvent!J2</f>
        <v>//  Logical Model</v>
      </c>
      <c r="G2" s="29" t="s">
        <v>2086</v>
      </c>
    </row>
    <row r="3" spans="3:7">
      <c r="C3" s="24" t="str">
        <f>EpisodeEvent!J3</f>
        <v>//===================================================</v>
      </c>
    </row>
    <row r="4" spans="3:7">
      <c r="C4" s="16" t="str">
        <f>EpisodeEvent!J4</f>
        <v>Logical: EpisodeEvent</v>
      </c>
    </row>
    <row r="5" spans="3:7">
      <c r="C5" s="16" t="str">
        <f>EpisodeEvent!J5</f>
        <v>Id: EpisodeEvent</v>
      </c>
    </row>
    <row r="6" spans="3:7">
      <c r="C6" s="16" t="str">
        <f>EpisodeEvent!J6</f>
        <v>Title: ##34#Episode Event##34#</v>
      </c>
    </row>
    <row r="7" spans="3:7">
      <c r="C7" s="16" t="str">
        <f>EpisodeEvent!J7</f>
        <v>Description:  ##334#Episode Event##334#</v>
      </c>
    </row>
    <row r="8" spans="3:7" ht="29.5">
      <c r="C8" s="12" t="str">
        <f>IF(EpisodeEvent!J8="*  ..  ##34###34# ##334###334#","//--- END",EpisodeEvent!J8)</f>
        <v>* cancerEpisode 1..1 http://hl7.eu/fhir/ig/idea4rc/StructureDefinition/CancerEpisode ##34#Cancer Episode Reference##34# ##334#CancerEpisode element containing the data regarding the patient's cancer##334#</v>
      </c>
    </row>
    <row r="9" spans="3:7">
      <c r="C9" s="12" t="str">
        <f>IF(EpisodeEvent!J9="*  ..  ##34###34# ##334###334#","//--- END",EpisodeEvent!J9)</f>
        <v>* eventType 1..1 CodeableConcept ##34#Event type##34# ##334#Type of event registered##334#</v>
      </c>
    </row>
    <row r="10" spans="3:7" ht="29.5">
      <c r="C10" s="12" t="str">
        <f>IF(EpisodeEvent!J10="*  ..  ##34###34# ##334###334#","//--- END",EpisodeEvent!J10)</f>
        <v>* definedAt 0..1 CodeableConcept ##34#Defined At##34# ##334#Whether or not the progression/recurrnce or persistent disease  was performed at the registering hospital or another hospital.##334#</v>
      </c>
    </row>
    <row r="11" spans="3:7">
      <c r="C11" s="12" t="str">
        <f>IF(EpisodeEvent!J11="*  ..  ##34###34# ##334###334#","//--- END",EpisodeEvent!J11)</f>
        <v>* dateOfEpisode 0..1 date ##34#Date of episode##34# ##334#Start date of progression/recurrence or persistent disease##334#</v>
      </c>
    </row>
    <row r="12" spans="3:7" ht="29.5">
      <c r="C12" s="12" t="str">
        <f>IF(EpisodeEvent!J12="*  ..  ##34###34# ##334###334#","//--- END",EpisodeEvent!J12)</f>
        <v>* isLocal 0..1 CodeableConcept ##34#Is local##34# ##334#Describes if the progression /recurrence or persistent disease is local##334#</v>
      </c>
    </row>
    <row r="13" spans="3:7" ht="29.5">
      <c r="C13" s="12" t="str">
        <f>IF(EpisodeEvent!J13="*  ..  ##34###34# ##334###334#","//--- END",EpisodeEvent!J13)</f>
        <v>* isRegional 0..1 CodeableConcept ##34#Is regional##34# ##334#Describes if the progression /recurrence or persistent disease is regional##334#</v>
      </c>
    </row>
    <row r="14" spans="3:7" ht="29.5">
      <c r="C14" s="12" t="str">
        <f>IF(EpisodeEvent!J14="*  ..  ##34###34# ##334###334#","//--- END",EpisodeEvent!J14)</f>
        <v>* isMetastatic 0..1 CodeableConcept ##34#Is metastatic##34# ##334#Describes if the progression /recurrence or persistent disease is metastatic##334#</v>
      </c>
    </row>
    <row r="15" spans="3:7">
      <c r="C15" s="12" t="str">
        <f>IF(EpisodeEvent!J15="*  ..  ##34###34# ##334###334#","//--- END",EpisodeEvent!J15)</f>
        <v>* siteOfMetastasis 0..1 BackboneElement ##34#Site of metastasis##34# ##334#Site of metastasis##334#</v>
      </c>
    </row>
    <row r="16" spans="3:7" ht="29.5">
      <c r="C16" s="12" t="str">
        <f>IF(EpisodeEvent!J16="*  ..  ##34###34# ##334###334#","//--- END",EpisodeEvent!J16)</f>
        <v>* siteOfMetastasis.softTissue 0..1 boolean ##34#Site of metastasis_soft tissue##34# ##334#Describes if site of metastasic disease  is soft tissue##334#</v>
      </c>
    </row>
    <row r="17" spans="3:3" ht="29.5">
      <c r="C17" s="12" t="str">
        <f>IF(EpisodeEvent!J17="*  ..  ##34###34# ##334###334#","//--- END",EpisodeEvent!J17)</f>
        <v>* siteOfMetastasis.distantLymphNodes 0..1 boolean ##34#Site of metastasis_distant lymph nodes##34# ##334#Describes if site of metastasic disease  is dystan lymph node##334#</v>
      </c>
    </row>
    <row r="18" spans="3:3" ht="29.5">
      <c r="C18" s="12" t="str">
        <f>IF(EpisodeEvent!J18="*  ..  ##34###34# ##334###334#","//--- END",EpisodeEvent!J18)</f>
        <v>* siteOfMetastasis.lung 0..1 boolean ##34#Site of metastasis_lung##34# ##334#Describes if site of metastasic disease  is lung##334#</v>
      </c>
    </row>
    <row r="19" spans="3:3" ht="29.5">
      <c r="C19" s="12" t="str">
        <f>IF(EpisodeEvent!J19="*  ..  ##34###34# ##334###334#","//--- END",EpisodeEvent!J19)</f>
        <v>* siteOfMetastasis.bone 0..1 boolean ##34#Site of metastasis_bone##34# ##334#Describes if site of metastasic disease  is bone##334#</v>
      </c>
    </row>
    <row r="20" spans="3:3" ht="29.5">
      <c r="C20" s="12" t="str">
        <f>IF(EpisodeEvent!J20="*  ..  ##34###34# ##334###334#","//--- END",EpisodeEvent!J20)</f>
        <v>* siteOfMetastasis.liver 0..1 boolean ##34#Site of metastasis_liver##34# ##334#Describes if site of metastasic disease  is liver##334#</v>
      </c>
    </row>
    <row r="21" spans="3:3" ht="29.5">
      <c r="C21" s="12" t="str">
        <f>IF(EpisodeEvent!J21="*  ..  ##34###34# ##334###334#","//--- END",EpisodeEvent!J21)</f>
        <v>* siteOfMetastasis.pleura 0..1 boolean ##34#Site of metastasis_pleura##34# ##334#Describes if site of metastasic disease  is pleura##334#</v>
      </c>
    </row>
    <row r="22" spans="3:3" ht="29.5">
      <c r="C22" s="12" t="str">
        <f>IF(EpisodeEvent!J22="*  ..  ##34###34# ##334###334#","//--- END",EpisodeEvent!J22)</f>
        <v>* siteOfMetastasis.peritoneum 0..1 boolean ##34#Site of metastasis_peritoneum##34# ##334#Describes if site of metastasic disease  is peritoneum##334#</v>
      </c>
    </row>
    <row r="23" spans="3:3" ht="29.5">
      <c r="C23" s="12" t="str">
        <f>IF(EpisodeEvent!J23="*  ..  ##34###34# ##334###334#","//--- END",EpisodeEvent!J23)</f>
        <v>* siteOfMetastasis.brain 0..1 boolean ##34#Site of  metastasis_brain##34# ##334#Describes if site of metastasic disease  is brain##334#</v>
      </c>
    </row>
    <row r="24" spans="3:3" ht="29.5">
      <c r="C24" s="12" t="str">
        <f>IF(EpisodeEvent!J24="*  ..  ##34###34# ##334###334#","//--- END",EpisodeEvent!J24)</f>
        <v>* siteOfMetastasis.otherViscera 0..1 boolean ##34#Site of  metastasis_other viscera##34# ##334#Describes if site of metastasic disease  is other viscera##334#</v>
      </c>
    </row>
    <row r="25" spans="3:3" ht="29.5">
      <c r="C25" s="12" t="str">
        <f>IF(EpisodeEvent!J25="*  ..  ##34###34# ##334###334#","//--- END",EpisodeEvent!J25)</f>
        <v>* siteOfMetastasis.unknown 0..1 boolean ##34#Site of  metastasis_unknown##34# ##334#Describes if site of metastasic disease  is unknown##334#</v>
      </c>
    </row>
    <row r="26" spans="3:3">
      <c r="C26" s="12" t="str">
        <f>IF(EpisodeEvent!J26="*  ..  ##34###34# ##334###334#","//--- END",EpisodeEvent!J26)</f>
        <v>//--- END</v>
      </c>
    </row>
    <row r="27" spans="3:3">
      <c r="C27" s="12" t="str">
        <f>IF(EpisodeEvent!J27="*  ..  ##34###34# ##334###334#","//--- END",EpisodeEvent!J27)</f>
        <v>//--- END</v>
      </c>
    </row>
    <row r="28" spans="3:3">
      <c r="C28" s="12" t="str">
        <f>IF(EpisodeEvent!J28="*  ..  ##34###34# ##334###334#","//--- END",EpisodeEvent!J28)</f>
        <v>//--- END</v>
      </c>
    </row>
    <row r="33" spans="3:3">
      <c r="C33" s="23" t="s">
        <v>1613</v>
      </c>
    </row>
    <row r="34" spans="3:3">
      <c r="C34" s="24" t="s">
        <v>1706</v>
      </c>
    </row>
    <row r="35" spans="3:3">
      <c r="C35" s="24" t="s">
        <v>1613</v>
      </c>
    </row>
    <row r="36" spans="3:3">
      <c r="C36" s="12" t="str">
        <f>IF(EpisodeEvent!L8="*  ..  ##34###34# ##334###334#","//--- END",EpisodeEvent!L8)</f>
        <v>* cancerEpisode ^comment = ##334#CancerEpisode##334#</v>
      </c>
    </row>
    <row r="37" spans="3:3" ht="59">
      <c r="C37" s="12" t="str">
        <f>IF(EpisodeEvent!L9="*  ..  ##34###34# ##334###334#","//--- END",EpisodeEvent!L9)</f>
        <v>* eventType ^comment = ##334#Baseline; Progression; Recurrence; Persistent diseaseBaseline -  4190366
Progression - 4168352
Recurrence - 4097297
Persistent disease - ##334#</v>
      </c>
    </row>
    <row r="38" spans="3:3">
      <c r="C38" s="12" t="str">
        <f>IF(EpisodeEvent!L10="*  ..  ##34###34# ##334###334#","//--- END",EpisodeEvent!L10)</f>
        <v>* definedAt ^comment = ##334#the hospital; a different hospitalCustom##334#</v>
      </c>
    </row>
    <row r="39" spans="3:3">
      <c r="C39" s="12" t="str">
        <f>IF(EpisodeEvent!L11="*  ..  ##34###34# ##334###334#","//--- END",EpisodeEvent!L11)</f>
        <v>* dateOfEpisode ^comment = ##334#YYYY-MM-DD##334#</v>
      </c>
    </row>
    <row r="40" spans="3:3" ht="44.25">
      <c r="C40" s="12" t="str">
        <f>IF(EpisodeEvent!L12="*  ..  ##34###34# ##334###334#","//--- END",EpisodeEvent!L12)</f>
        <v>* isLocal ^comment = ##334#Yes; No; UnknownYes - 4188539
No -  4188540
Unknown - 4129922##334#</v>
      </c>
    </row>
    <row r="41" spans="3:3" ht="44.25">
      <c r="C41" s="12" t="str">
        <f>IF(EpisodeEvent!L13="*  ..  ##34###34# ##334###334#","//--- END",EpisodeEvent!L13)</f>
        <v>* isRegional ^comment = ##334#Yes; No; UnknownYes - 4188539
No -  4188540
Unknown - 4129922##334#</v>
      </c>
    </row>
    <row r="42" spans="3:3" ht="44.25">
      <c r="C42" s="12" t="str">
        <f>IF(EpisodeEvent!L14="*  ..  ##34###34# ##334###334#","//--- END",EpisodeEvent!L14)</f>
        <v>* isMetastatic ^comment = ##334#Yes; No; UnknownYes - 4188539
No -  4188540
Unknown - 4129922##334#</v>
      </c>
    </row>
    <row r="43" spans="3:3">
      <c r="C43" s="12" t="str">
        <f>IF(EpisodeEvent!L15="*  ..  ##34###34# ##334###334#","//--- END",EpisodeEvent!L15)</f>
        <v/>
      </c>
    </row>
    <row r="44" spans="3:3">
      <c r="C44" s="12" t="str">
        <f>IF(EpisodeEvent!L16="*  ..  ##34###34# ##334###334#","//--- END",EpisodeEvent!L16)</f>
        <v>* siteOfMetastasis.softTissue ^comment = ##334#True; False##334#</v>
      </c>
    </row>
    <row r="45" spans="3:3">
      <c r="C45" s="12" t="str">
        <f>IF(EpisodeEvent!L17="*  ..  ##34###34# ##334###334#","//--- END",EpisodeEvent!L17)</f>
        <v>* siteOfMetastasis.distantLymphNodes ^comment = ##334#True; False##334#</v>
      </c>
    </row>
    <row r="46" spans="3:3">
      <c r="C46" s="12" t="str">
        <f>IF(EpisodeEvent!L18="*  ..  ##34###34# ##334###334#","//--- END",EpisodeEvent!L18)</f>
        <v>* siteOfMetastasis.lung ^comment = ##334#True; False##334#</v>
      </c>
    </row>
    <row r="47" spans="3:3">
      <c r="C47" s="12" t="str">
        <f>IF(EpisodeEvent!L19="*  ..  ##34###34# ##334###334#","//--- END",EpisodeEvent!L19)</f>
        <v>* siteOfMetastasis.bone ^comment = ##334#True; False##334#</v>
      </c>
    </row>
    <row r="48" spans="3:3">
      <c r="C48" s="12" t="str">
        <f>IF(EpisodeEvent!L20="*  ..  ##34###34# ##334###334#","//--- END",EpisodeEvent!L20)</f>
        <v>* siteOfMetastasis.liver ^comment = ##334#True; False##334#</v>
      </c>
    </row>
    <row r="49" spans="3:3">
      <c r="C49" s="12" t="str">
        <f>IF(EpisodeEvent!L21="*  ..  ##34###34# ##334###334#","//--- END",EpisodeEvent!L21)</f>
        <v>* siteOfMetastasis.pleura ^comment = ##334#True; False##334#</v>
      </c>
    </row>
    <row r="50" spans="3:3">
      <c r="C50" s="12" t="str">
        <f>IF(EpisodeEvent!L22="*  ..  ##34###34# ##334###334#","//--- END",EpisodeEvent!L22)</f>
        <v>* siteOfMetastasis.peritoneum ^comment = ##334#True; False##334#</v>
      </c>
    </row>
    <row r="51" spans="3:3">
      <c r="C51" s="12" t="str">
        <f>IF(EpisodeEvent!L23="*  ..  ##34###34# ##334###334#","//--- END",EpisodeEvent!L23)</f>
        <v>* siteOfMetastasis.brain ^comment = ##334#True; False##334#</v>
      </c>
    </row>
    <row r="52" spans="3:3">
      <c r="C52" s="12" t="str">
        <f>IF(EpisodeEvent!L24="*  ..  ##34###34# ##334###334#","//--- END",EpisodeEvent!L24)</f>
        <v>* siteOfMetastasis.otherViscera ^comment = ##334#True; False##334#</v>
      </c>
    </row>
    <row r="53" spans="3:3">
      <c r="C53" s="12" t="str">
        <f>IF(EpisodeEvent!L25="*  ..  ##34###34# ##334###334#","//--- END",EpisodeEvent!L25)</f>
        <v>* siteOfMetastasis.unknown ^comment = ##334#True; False##334#</v>
      </c>
    </row>
    <row r="54" spans="3:3">
      <c r="C54" s="12" t="str">
        <f>IF(EpisodeEvent!L26="*  ..  ##34###34# ##334###334#","//--- END",EpisodeEvent!L26)</f>
        <v>//--- END</v>
      </c>
    </row>
    <row r="55" spans="3:3">
      <c r="C55" s="12" t="str">
        <f>IF(EpisodeEvent!L27="*  ..  ##34###34# ##334###334#","//--- END",EpisodeEvent!L27)</f>
        <v>//--- END</v>
      </c>
    </row>
    <row r="56" spans="3:3">
      <c r="C56" s="12" t="str">
        <f>IF(EpisodeEvent!L28="*  ..  ##34###34# ##334###334#","//--- END",EpisodeEvent!L28)</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2099</v>
      </c>
      <c r="D3" s="62" t="s">
        <v>1791</v>
      </c>
      <c r="E3" s="118" t="str">
        <f>$C$1&amp;EpisodeEvent!B4</f>
        <v>http://hl7.eu/fhir/ig/idea4rc/StructureDefinition/EpisodeEvent</v>
      </c>
    </row>
    <row r="4" spans="1:19">
      <c r="B4" s="62" t="s">
        <v>16</v>
      </c>
      <c r="C4" s="28" t="s">
        <v>2104</v>
      </c>
      <c r="D4" s="62" t="s">
        <v>1792</v>
      </c>
      <c r="E4" s="166" t="s">
        <v>1804</v>
      </c>
      <c r="F4" s="167"/>
      <c r="G4" s="167"/>
    </row>
    <row r="5" spans="1:19">
      <c r="B5" s="62" t="s">
        <v>10</v>
      </c>
      <c r="C5" s="7" t="s">
        <v>2100</v>
      </c>
      <c r="D5" s="62"/>
      <c r="E5" s="7"/>
    </row>
    <row r="6" spans="1:19">
      <c r="B6" s="62" t="s">
        <v>18</v>
      </c>
      <c r="C6" s="56"/>
      <c r="D6" s="62" t="s">
        <v>1793</v>
      </c>
      <c r="E6" s="166" t="str">
        <f>E3</f>
        <v>http://hl7.eu/fhir/ig/idea4rc/StructureDefinition/EpisodeEvent</v>
      </c>
      <c r="F6" s="167"/>
      <c r="G6" s="167"/>
    </row>
    <row r="7" spans="1:19">
      <c r="B7" s="62" t="s">
        <v>15</v>
      </c>
      <c r="C7" s="119"/>
      <c r="D7" s="62" t="s">
        <v>1794</v>
      </c>
      <c r="E7" s="166" t="s">
        <v>1804</v>
      </c>
      <c r="F7" s="167"/>
      <c r="G7" s="167"/>
    </row>
    <row r="8" spans="1:19" ht="45" thickBot="1">
      <c r="B8" s="62" t="s">
        <v>1795</v>
      </c>
      <c r="C8" s="120" t="s">
        <v>2100</v>
      </c>
      <c r="D8" s="62"/>
      <c r="E8" s="7"/>
      <c r="I8" s="12" t="s">
        <v>1402</v>
      </c>
      <c r="J8" s="12" t="s">
        <v>1403</v>
      </c>
      <c r="K8" s="12" t="s">
        <v>1404</v>
      </c>
      <c r="L8" s="12" t="s">
        <v>1405</v>
      </c>
      <c r="M8" s="11" t="s">
        <v>1406</v>
      </c>
      <c r="P8" s="49" t="s">
        <v>1441</v>
      </c>
      <c r="Q8" s="49">
        <v>6</v>
      </c>
    </row>
    <row r="9" spans="1:19" ht="30.25" thickBot="1">
      <c r="B9" s="62" t="s">
        <v>1796</v>
      </c>
      <c r="C9" s="12" t="s">
        <v>2101</v>
      </c>
      <c r="D9" s="151"/>
      <c r="E9" s="168" t="s">
        <v>2110</v>
      </c>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EpisodeEvent!B5</f>
        <v>EpisodeEvent</v>
      </c>
      <c r="C14" s="11"/>
      <c r="D14" s="4" t="s">
        <v>1827</v>
      </c>
      <c r="E14" s="6"/>
      <c r="F14" s="64"/>
      <c r="G14" s="64"/>
      <c r="I14" s="12"/>
      <c r="J14" s="11"/>
      <c r="K14" s="11"/>
      <c r="L14" s="11"/>
      <c r="M14" s="63"/>
      <c r="N14" s="66"/>
    </row>
    <row r="15" spans="1:19" ht="59">
      <c r="A15" s="59"/>
      <c r="B15" s="11" t="str">
        <f>EpisodeEvent!B8</f>
        <v>cancerEpisode</v>
      </c>
      <c r="C15" s="11" t="str">
        <f>EpisodeEvent!C8</f>
        <v>Cancer Episode Reference</v>
      </c>
      <c r="D15" s="12" t="s">
        <v>2090</v>
      </c>
      <c r="E15" s="12"/>
      <c r="F15" s="64" t="s">
        <v>1429</v>
      </c>
      <c r="G15" s="124" t="s">
        <v>2108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c r="A16" s="59"/>
      <c r="B16" s="11" t="str">
        <f>EpisodeEvent!B8</f>
        <v>cancerEpisode</v>
      </c>
      <c r="C16" s="11" t="str">
        <f>EpisodeEvent!C8</f>
        <v>Cancer Episode Reference</v>
      </c>
      <c r="D16" s="12"/>
      <c r="E16" s="12"/>
      <c r="F16" s="64" t="s">
        <v>1429</v>
      </c>
      <c r="G16" s="124" t="s">
        <v>2109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c r="A17" s="59"/>
      <c r="B17" s="11" t="str">
        <f>EpisodeEvent!B9</f>
        <v>eventType</v>
      </c>
      <c r="C17" s="11" t="str">
        <f>EpisodeEvent!C9</f>
        <v>Event type</v>
      </c>
      <c r="D17" s="12" t="s">
        <v>2091</v>
      </c>
      <c r="E17" s="12"/>
      <c r="F17" s="64" t="s">
        <v>1407</v>
      </c>
      <c r="G17" s="124" t="s">
        <v>2092</v>
      </c>
      <c r="H17" s="58"/>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c r="A18" s="59"/>
      <c r="B18" s="6" t="str">
        <f>EpisodeEvent!B10</f>
        <v>definedAt</v>
      </c>
      <c r="C18" s="11" t="str">
        <f>EpisodeEvent!C10</f>
        <v>Defined At</v>
      </c>
      <c r="D18" s="12"/>
      <c r="E18" s="12"/>
      <c r="F18" s="121" t="s">
        <v>1407</v>
      </c>
      <c r="G18" s="121" t="s">
        <v>2093</v>
      </c>
      <c r="H18" s="58"/>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c r="A19" s="59"/>
      <c r="B19" s="11" t="str">
        <f>EpisodeEvent!B11</f>
        <v>dateOfEpisode</v>
      </c>
      <c r="C19" s="11" t="str">
        <f>EpisodeEvent!C11</f>
        <v>Date of episode</v>
      </c>
      <c r="D19" s="12" t="s">
        <v>2094</v>
      </c>
      <c r="E19" s="12"/>
      <c r="F19" s="64" t="s">
        <v>1430</v>
      </c>
      <c r="G19" s="64"/>
      <c r="H19" s="58"/>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c r="A20" s="59"/>
      <c r="B20" s="11" t="str">
        <f>EpisodeEvent!B12</f>
        <v>isLocal</v>
      </c>
      <c r="C20" s="11" t="str">
        <f>EpisodeEvent!C12</f>
        <v>Is local</v>
      </c>
      <c r="D20" s="12" t="s">
        <v>2095</v>
      </c>
      <c r="E20" s="12"/>
      <c r="F20" s="64" t="s">
        <v>1407</v>
      </c>
      <c r="G20" s="150" t="s">
        <v>2096</v>
      </c>
      <c r="H20" s="58"/>
      <c r="I20" s="12" t="str">
        <f t="shared" si="15"/>
        <v>* group[=].element[+].code = #EpisodeEvent.isLocal</v>
      </c>
      <c r="J20" s="12" t="str">
        <f t="shared" si="16"/>
        <v>* group[=].element[=].display = ##34#Is local##34#</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c r="A21" s="59"/>
      <c r="B21" s="11" t="str">
        <f>EpisodeEvent!B13</f>
        <v>isRegional</v>
      </c>
      <c r="C21" s="11" t="str">
        <f>EpisodeEvent!C13</f>
        <v>Is regional</v>
      </c>
      <c r="D21" s="12" t="s">
        <v>2095</v>
      </c>
      <c r="E21" s="12"/>
      <c r="F21" s="64" t="s">
        <v>1407</v>
      </c>
      <c r="G21" s="150" t="s">
        <v>2096</v>
      </c>
      <c r="H21" s="58"/>
      <c r="I21" s="12" t="str">
        <f t="shared" si="15"/>
        <v>* group[=].element[+].code = #EpisodeEvent.isRegional</v>
      </c>
      <c r="J21" s="12" t="str">
        <f t="shared" si="16"/>
        <v>* group[=].element[=].display = ##34#Is regional##34#</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c r="A22" s="59"/>
      <c r="B22" s="11" t="str">
        <f>EpisodeEvent!B14</f>
        <v>isMetastatic</v>
      </c>
      <c r="C22" s="11" t="str">
        <f>EpisodeEvent!C14</f>
        <v>Is metastatic</v>
      </c>
      <c r="D22" s="12" t="s">
        <v>2095</v>
      </c>
      <c r="E22" s="12"/>
      <c r="F22" s="64" t="s">
        <v>1407</v>
      </c>
      <c r="G22" s="150" t="s">
        <v>2096</v>
      </c>
      <c r="H22" s="58"/>
      <c r="I22" s="12" t="str">
        <f t="shared" si="15"/>
        <v>* group[=].element[+].code = #EpisodeEvent.isMetastatic</v>
      </c>
      <c r="J22" s="12" t="str">
        <f t="shared" si="16"/>
        <v>* group[=].element[=].display = ##34#Is metastatic##34#</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c r="A23" s="59"/>
      <c r="B23" s="11" t="str">
        <f>EpisodeEvent!B15</f>
        <v>siteOfMetastasis</v>
      </c>
      <c r="C23" s="11" t="str">
        <f>EpisodeEvent!C15</f>
        <v>Site of metastasis</v>
      </c>
      <c r="D23" s="12" t="s">
        <v>2097</v>
      </c>
      <c r="E23" s="11"/>
      <c r="F23" s="64" t="s">
        <v>1407</v>
      </c>
      <c r="G23" s="124" t="s">
        <v>2098</v>
      </c>
      <c r="H23" s="58"/>
      <c r="I23" s="12" t="str">
        <f t="shared" si="15"/>
        <v>* group[=].element[+].code = #EpisodeEvent.siteOfMetastasis</v>
      </c>
      <c r="J23" s="12" t="str">
        <f t="shared" si="16"/>
        <v>* group[=].element[=].display = ##34#Site of metastasis##34#</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c r="A24" s="59"/>
      <c r="B24" s="11" t="str">
        <f>EpisodeEvent!B16</f>
        <v>siteOfMetastasis.softTissue</v>
      </c>
      <c r="C24" s="11" t="str">
        <f>EpisodeEvent!C16</f>
        <v>Site of metastasis_soft tissue</v>
      </c>
      <c r="D24" s="12" t="s">
        <v>2097</v>
      </c>
      <c r="E24" s="11"/>
      <c r="F24" s="64" t="s">
        <v>1407</v>
      </c>
      <c r="G24" s="64"/>
      <c r="H24" s="58"/>
      <c r="I24" s="12" t="str">
        <f t="shared" si="15"/>
        <v>* group[=].element[+].code = #EpisodeEvent.siteOfMetastasis.softTissue</v>
      </c>
      <c r="J24" s="12" t="str">
        <f t="shared" si="16"/>
        <v>* group[=].element[=].display = ##34#Site of metastasis_soft tissue##34#</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c r="A25" s="59"/>
      <c r="B25" s="11" t="str">
        <f>EpisodeEvent!B17</f>
        <v>siteOfMetastasis.distantLymphNodes</v>
      </c>
      <c r="C25" s="11" t="str">
        <f>EpisodeEvent!C17</f>
        <v>Site of metastasis_distant lymph nodes</v>
      </c>
      <c r="D25" s="12" t="s">
        <v>2097</v>
      </c>
      <c r="E25" s="11"/>
      <c r="F25" s="64" t="s">
        <v>1407</v>
      </c>
      <c r="G25" s="64"/>
      <c r="H25" s="58"/>
      <c r="I25" s="12" t="str">
        <f t="shared" si="15"/>
        <v>* group[=].element[+].code = #EpisodeEvent.siteOfMetastasis.distantLymphNodes</v>
      </c>
      <c r="J25" s="12" t="str">
        <f t="shared" si="16"/>
        <v>* group[=].element[=].display = ##34#Site of metastasis_distant lymph nodes##34#</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c r="A26" s="59"/>
      <c r="B26" s="11" t="str">
        <f>EpisodeEvent!B18</f>
        <v>siteOfMetastasis.lung</v>
      </c>
      <c r="C26" s="11" t="str">
        <f>EpisodeEvent!C18</f>
        <v>Site of metastasis_lung</v>
      </c>
      <c r="D26" s="12" t="s">
        <v>2097</v>
      </c>
      <c r="E26" s="12"/>
      <c r="F26" s="64" t="s">
        <v>1407</v>
      </c>
      <c r="G26" s="64"/>
      <c r="H26" s="58"/>
      <c r="I26" s="12" t="str">
        <f t="shared" si="15"/>
        <v>* group[=].element[+].code = #EpisodeEvent.siteOfMetastasis.lung</v>
      </c>
      <c r="J26" s="12" t="str">
        <f t="shared" si="16"/>
        <v>* group[=].element[=].display = ##34#Site of metastasis_lung##34#</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c r="A27" s="59"/>
      <c r="B27" s="11" t="str">
        <f>EpisodeEvent!B19</f>
        <v>siteOfMetastasis.bone</v>
      </c>
      <c r="C27" s="11" t="str">
        <f>EpisodeEvent!C19</f>
        <v>Site of metastasis_bone</v>
      </c>
      <c r="D27" s="12" t="s">
        <v>2097</v>
      </c>
      <c r="E27" s="12"/>
      <c r="F27" s="64" t="s">
        <v>1407</v>
      </c>
      <c r="G27" s="64"/>
      <c r="H27" s="58"/>
      <c r="I27" s="12" t="str">
        <f t="shared" si="15"/>
        <v>* group[=].element[+].code = #EpisodeEvent.siteOfMetastasis.bone</v>
      </c>
      <c r="J27" s="12" t="str">
        <f t="shared" si="16"/>
        <v>* group[=].element[=].display = ##34#Site of metastasis_bone##34#</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c r="B28" s="11" t="str">
        <f>EpisodeEvent!B20</f>
        <v>siteOfMetastasis.liver</v>
      </c>
      <c r="C28" s="11" t="str">
        <f>EpisodeEvent!C20</f>
        <v>Site of metastasis_liver</v>
      </c>
      <c r="D28" s="12" t="s">
        <v>2097</v>
      </c>
      <c r="E28" s="12"/>
      <c r="F28" s="64" t="s">
        <v>1407</v>
      </c>
      <c r="G28" s="64"/>
      <c r="H28" s="58"/>
      <c r="I28" s="12" t="str">
        <f t="shared" si="15"/>
        <v>* group[=].element[+].code = #EpisodeEvent.siteOfMetastasis.liver</v>
      </c>
      <c r="J28" s="12" t="str">
        <f t="shared" si="16"/>
        <v>* group[=].element[=].display = ##34#Site of metastasis_liver##34#</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c r="B29" s="11" t="str">
        <f>EpisodeEvent!B21</f>
        <v>siteOfMetastasis.pleura</v>
      </c>
      <c r="C29" s="11" t="str">
        <f>EpisodeEvent!C21</f>
        <v>Site of metastasis_pleura</v>
      </c>
      <c r="D29" s="12" t="s">
        <v>2097</v>
      </c>
      <c r="E29" s="12"/>
      <c r="F29" s="64" t="s">
        <v>1407</v>
      </c>
      <c r="G29" s="64"/>
      <c r="H29" s="58"/>
      <c r="I29" s="12" t="str">
        <f t="shared" si="15"/>
        <v>* group[=].element[+].code = #EpisodeEvent.siteOfMetastasis.pleura</v>
      </c>
      <c r="J29" s="12" t="str">
        <f t="shared" si="16"/>
        <v>* group[=].element[=].display = ##34#Site of metastasis_pleura##34#</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c r="B30" s="11" t="str">
        <f>EpisodeEvent!B22</f>
        <v>siteOfMetastasis.peritoneum</v>
      </c>
      <c r="C30" s="11" t="str">
        <f>EpisodeEvent!C22</f>
        <v>Site of metastasis_peritoneum</v>
      </c>
      <c r="D30" s="12" t="s">
        <v>2097</v>
      </c>
      <c r="E30" s="12"/>
      <c r="F30" s="64" t="s">
        <v>1407</v>
      </c>
      <c r="G30" s="64"/>
      <c r="H30" s="58"/>
      <c r="I30" s="12" t="str">
        <f t="shared" si="15"/>
        <v>* group[=].element[+].code = #EpisodeEvent.siteOfMetastasis.peritoneum</v>
      </c>
      <c r="J30" s="12" t="str">
        <f t="shared" si="16"/>
        <v>* group[=].element[=].display = ##34#Site of metastasis_peritoneum##34#</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c r="B31" s="11" t="str">
        <f>EpisodeEvent!B23</f>
        <v>siteOfMetastasis.brain</v>
      </c>
      <c r="C31" s="11" t="str">
        <f>EpisodeEvent!C23</f>
        <v>Site of  metastasis_brain</v>
      </c>
      <c r="D31" s="12" t="s">
        <v>2097</v>
      </c>
      <c r="E31" s="12"/>
      <c r="F31" s="64" t="s">
        <v>1407</v>
      </c>
      <c r="G31" s="64"/>
      <c r="H31" s="58"/>
      <c r="I31" s="12" t="str">
        <f t="shared" si="15"/>
        <v>* group[=].element[+].code = #EpisodeEvent.siteOfMetastasis.brain</v>
      </c>
      <c r="J31" s="12" t="str">
        <f t="shared" si="16"/>
        <v>* group[=].element[=].display = ##34#Site of  metastasis_brain##34#</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c r="B32" s="11" t="str">
        <f>EpisodeEvent!B24</f>
        <v>siteOfMetastasis.otherViscera</v>
      </c>
      <c r="C32" s="11" t="str">
        <f>EpisodeEvent!C24</f>
        <v>Site of  metastasis_other viscera</v>
      </c>
      <c r="D32" s="12" t="s">
        <v>2097</v>
      </c>
      <c r="E32" s="12"/>
      <c r="F32" s="64" t="s">
        <v>1407</v>
      </c>
      <c r="G32" s="64"/>
      <c r="H32" s="58"/>
      <c r="I32" s="12" t="str">
        <f t="shared" si="15"/>
        <v>* group[=].element[+].code = #EpisodeEvent.siteOfMetastasis.otherViscera</v>
      </c>
      <c r="J32" s="12" t="str">
        <f t="shared" si="16"/>
        <v>* group[=].element[=].display = ##34#Site of  metastasis_other viscera##34#</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c r="B33" s="11" t="str">
        <f>EpisodeEvent!B25</f>
        <v>siteOfMetastasis.unknown</v>
      </c>
      <c r="C33" s="11" t="str">
        <f>EpisodeEvent!C25</f>
        <v>Site of  metastasis_unknown</v>
      </c>
      <c r="D33" s="12" t="s">
        <v>2097</v>
      </c>
      <c r="E33" s="12"/>
      <c r="F33" s="64" t="s">
        <v>1407</v>
      </c>
      <c r="G33" s="64"/>
      <c r="H33" s="58"/>
      <c r="I33" s="12" t="str">
        <f t="shared" si="15"/>
        <v>* group[=].element[+].code = #EpisodeEvent.siteOfMetastasis.unknown</v>
      </c>
      <c r="J33" s="12" t="str">
        <f t="shared" si="16"/>
        <v>* group[=].element[=].display = ##34#Site of  metastasis_unknown##34#</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c r="B34" s="11"/>
      <c r="C34" s="11"/>
      <c r="D34" s="12"/>
      <c r="E34" s="12"/>
      <c r="F34" s="64"/>
      <c r="G34" s="64"/>
      <c r="H34" s="58"/>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c r="B35" s="11"/>
      <c r="C35" s="11"/>
      <c r="D35" s="12"/>
      <c r="E35" s="12"/>
      <c r="F35" s="64"/>
      <c r="G35" s="64"/>
      <c r="H35" s="58"/>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c r="B36" s="11"/>
      <c r="C36" s="11"/>
      <c r="D36" s="12"/>
      <c r="E36" s="12"/>
      <c r="F36" s="64"/>
      <c r="G36" s="64"/>
      <c r="H36" s="58"/>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c r="B37" s="11"/>
      <c r="C37" s="11"/>
      <c r="D37" s="12"/>
      <c r="E37" s="12"/>
      <c r="F37" s="64"/>
      <c r="G37" s="64"/>
      <c r="H37" s="58"/>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c r="B38" s="11"/>
      <c r="C38" s="11"/>
      <c r="D38" s="12"/>
      <c r="E38" s="12"/>
      <c r="F38" s="64"/>
      <c r="G38" s="64"/>
      <c r="H38" s="58"/>
      <c r="K38" s="58"/>
      <c r="L38" s="58"/>
      <c r="M38" s="66"/>
      <c r="N38" s="66"/>
      <c r="P38" s="11">
        <v>24</v>
      </c>
      <c r="Q38" s="11">
        <f t="shared" si="13"/>
        <v>3</v>
      </c>
      <c r="R38" s="11">
        <f t="shared" si="14"/>
        <v>6</v>
      </c>
      <c r="S38" s="12" t="str" cm="1">
        <f t="array" ref="S38">INDEX('EpisodeEvent-ConceptMap-1'!$I$15:$N$124,Q38+1,R38)</f>
        <v>* group[=].element[=].target.comment = ##34#CONCEPT TO BE CLARIFIED##34#</v>
      </c>
    </row>
    <row r="39" spans="1:19">
      <c r="B39" s="11"/>
      <c r="C39" s="11"/>
      <c r="D39" s="12"/>
      <c r="E39" s="12"/>
      <c r="F39" s="64"/>
      <c r="G39" s="64"/>
      <c r="H39" s="58"/>
      <c r="K39" s="58"/>
      <c r="L39" s="58"/>
      <c r="M39" s="66"/>
      <c r="N39" s="66"/>
      <c r="P39" s="11">
        <v>25</v>
      </c>
      <c r="Q39" s="11">
        <f t="shared" si="13"/>
        <v>4</v>
      </c>
      <c r="R39" s="11">
        <f t="shared" si="14"/>
        <v>1</v>
      </c>
      <c r="S39" s="12" t="str" cm="1">
        <f t="array" ref="S39">INDEX('EpisodeEvent-ConceptMap-1'!$I$15:$N$124,Q39+1,R39)</f>
        <v>* group[=].element[+].code = #EpisodeEvent.dateOfEpisode</v>
      </c>
    </row>
    <row r="40" spans="1:19" s="2" customFormat="1">
      <c r="A40"/>
      <c r="B40" s="11"/>
      <c r="C40" s="11"/>
      <c r="D40" s="12"/>
      <c r="E40" s="12"/>
      <c r="F40" s="64"/>
      <c r="G40" s="58"/>
      <c r="H40" s="58"/>
      <c r="J40"/>
      <c r="K40" s="58"/>
      <c r="L40" s="58"/>
      <c r="M40" s="66"/>
      <c r="N40" s="66"/>
      <c r="P40" s="11">
        <v>26</v>
      </c>
      <c r="Q40" s="11">
        <f t="shared" si="13"/>
        <v>4</v>
      </c>
      <c r="R40" s="11">
        <f t="shared" si="14"/>
        <v>2</v>
      </c>
      <c r="S40" s="12" t="str" cm="1">
        <f t="array" ref="S40">INDEX('EpisodeEvent-ConceptMap-1'!$I$15:$N$124,Q40+1,R40)</f>
        <v>* group[=].element[=].display = ##34#Date of episode##34#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INDEX('EpisodeEvent-ConceptMap-1'!$I$15:$N$124,Q41+1,R41)</f>
        <v>* group[=].element[=].target.code = #Condition.effectivePeriod.start</v>
      </c>
    </row>
    <row r="42" spans="1:19" s="2" customFormat="1">
      <c r="A42"/>
      <c r="B42" s="11"/>
      <c r="C42" s="11"/>
      <c r="D42" s="12"/>
      <c r="F42" s="58"/>
      <c r="G42" s="58"/>
      <c r="H42" s="58"/>
      <c r="J42"/>
      <c r="K42" s="58"/>
      <c r="L42" s="58"/>
      <c r="M42" s="66"/>
      <c r="N42" s="66"/>
      <c r="P42" s="11">
        <v>28</v>
      </c>
      <c r="Q42" s="11">
        <f t="shared" si="13"/>
        <v>4</v>
      </c>
      <c r="R42" s="11">
        <f t="shared" si="14"/>
        <v>4</v>
      </c>
      <c r="S42" s="12" t="str" cm="1">
        <f t="array" ref="S42">INDEX('EpisodeEvent-ConceptMap-1'!$I$15:$N$124,Q42+1,R42)</f>
        <v>* group[=].element[=].target.display = ##34###34#</v>
      </c>
    </row>
    <row r="43" spans="1:19" s="2" customFormat="1">
      <c r="A43"/>
      <c r="B43" s="11"/>
      <c r="C43" s="11"/>
      <c r="D43" s="12"/>
      <c r="F43" s="58"/>
      <c r="G43" s="58"/>
      <c r="H43" s="58"/>
      <c r="J43" s="58"/>
      <c r="K43" s="58"/>
      <c r="L43" s="58"/>
      <c r="M43" s="66"/>
      <c r="N43" s="66"/>
      <c r="P43" s="11">
        <v>29</v>
      </c>
      <c r="Q43" s="11">
        <f t="shared" si="13"/>
        <v>4</v>
      </c>
      <c r="R43" s="11">
        <f t="shared" si="14"/>
        <v>5</v>
      </c>
      <c r="S43" s="12" t="str" cm="1">
        <f t="array" ref="S43">INDEX('EpisodeEvent-ConceptMap-1'!$I$15:$N$124,Q43+1,R43)</f>
        <v>* group[=].element[=].target.equivalence = #equal</v>
      </c>
    </row>
    <row r="44" spans="1:19" s="2" customFormat="1">
      <c r="A44"/>
      <c r="B44" s="11"/>
      <c r="C44" s="11"/>
      <c r="F44" s="58"/>
      <c r="G44" s="58"/>
      <c r="H44" s="58"/>
      <c r="J44" s="58"/>
      <c r="K44" s="58"/>
      <c r="L44" s="58"/>
      <c r="M44" s="66"/>
      <c r="N44" s="66"/>
      <c r="P44" s="11">
        <v>30</v>
      </c>
      <c r="Q44" s="11">
        <f t="shared" si="13"/>
        <v>4</v>
      </c>
      <c r="R44" s="11">
        <f t="shared" si="14"/>
        <v>6</v>
      </c>
      <c r="S44" s="12" t="str" cm="1">
        <f t="array" ref="S44">INDEX('EpisodeEvent-ConceptMap-1'!$I$15:$N$124,Q44+1,R44)</f>
        <v/>
      </c>
    </row>
    <row r="45" spans="1:19">
      <c r="B45" s="11"/>
      <c r="C45" s="11"/>
      <c r="P45" s="11">
        <v>31</v>
      </c>
      <c r="Q45" s="11">
        <f t="shared" si="13"/>
        <v>5</v>
      </c>
      <c r="R45" s="11">
        <f t="shared" si="14"/>
        <v>1</v>
      </c>
      <c r="S45" s="12" t="str" cm="1">
        <f t="array" ref="S45">INDEX('EpisodeEvent-ConceptMap-1'!$I$15:$N$124,Q45+1,R45)</f>
        <v>* group[=].element[+].code = #EpisodeEvent.isLocal</v>
      </c>
    </row>
    <row r="46" spans="1:19">
      <c r="B46" s="11"/>
      <c r="C46" s="11"/>
      <c r="P46" s="11">
        <v>32</v>
      </c>
      <c r="Q46" s="11">
        <f t="shared" si="13"/>
        <v>5</v>
      </c>
      <c r="R46" s="11">
        <f t="shared" si="14"/>
        <v>2</v>
      </c>
      <c r="S46" s="12" t="str" cm="1">
        <f t="array" ref="S46">INDEX('EpisodeEvent-ConceptMap-1'!$I$15:$N$124,Q46+1,R46)</f>
        <v>* group[=].element[=].display = ##34#Is local##34#</v>
      </c>
    </row>
    <row r="47" spans="1:19">
      <c r="P47" s="11">
        <v>33</v>
      </c>
      <c r="Q47" s="11">
        <f t="shared" si="13"/>
        <v>5</v>
      </c>
      <c r="R47" s="11">
        <f t="shared" si="14"/>
        <v>3</v>
      </c>
      <c r="S47" s="12" t="str" cm="1">
        <f t="array" ref="S47">INDEX('EpisodeEvent-ConceptMap-1'!$I$15:$N$124,Q47+1,R47)</f>
        <v>* group[=].element[=].target.code = #Condition.extension:relapseType</v>
      </c>
    </row>
    <row r="48" spans="1:19">
      <c r="P48" s="11">
        <v>34</v>
      </c>
      <c r="Q48" s="11">
        <f t="shared" si="13"/>
        <v>5</v>
      </c>
      <c r="R48" s="11">
        <f t="shared" si="14"/>
        <v>4</v>
      </c>
      <c r="S48" s="12" t="str" cm="1">
        <f t="array" ref="S48">INDEX('EpisodeEvent-ConceptMap-1'!$I$15:$N$124,Q48+1,R48)</f>
        <v>* group[=].element[=].target.display = ##34###34#</v>
      </c>
    </row>
    <row r="49" spans="16:19">
      <c r="P49" s="11">
        <v>35</v>
      </c>
      <c r="Q49" s="11">
        <f t="shared" si="13"/>
        <v>5</v>
      </c>
      <c r="R49" s="11">
        <f t="shared" si="14"/>
        <v>5</v>
      </c>
      <c r="S49" s="12" t="str" cm="1">
        <f t="array" ref="S49">INDEX('EpisodeEvent-ConceptMap-1'!$I$15:$N$124,Q49+1,R49)</f>
        <v>* group[=].element[=].target.equivalence = #relatedto</v>
      </c>
    </row>
    <row r="50" spans="16:19">
      <c r="P50" s="11">
        <v>36</v>
      </c>
      <c r="Q50" s="11">
        <f t="shared" si="13"/>
        <v>5</v>
      </c>
      <c r="R50" s="11">
        <f t="shared" si="14"/>
        <v>6</v>
      </c>
      <c r="S50" s="12" t="str" cm="1">
        <f t="array" ref="S50">INDEX('EpisodeEvent-ConceptMap-1'!$I$15:$N$124,Q50+1,R50)</f>
        <v>* group[=].element[=].target.comment = ##34#to be further analized##34#</v>
      </c>
    </row>
    <row r="51" spans="16:19">
      <c r="P51" s="11">
        <v>37</v>
      </c>
      <c r="Q51" s="11">
        <f t="shared" si="13"/>
        <v>6</v>
      </c>
      <c r="R51" s="11">
        <f t="shared" si="14"/>
        <v>1</v>
      </c>
      <c r="S51" s="12" t="str" cm="1">
        <f t="array" ref="S51">INDEX('EpisodeEvent-ConceptMap-1'!$I$15:$N$124,Q51+1,R51)</f>
        <v>* group[=].element[+].code = #EpisodeEvent.isRegional</v>
      </c>
    </row>
    <row r="52" spans="16:19">
      <c r="P52" s="11">
        <v>38</v>
      </c>
      <c r="Q52" s="11">
        <f t="shared" si="13"/>
        <v>6</v>
      </c>
      <c r="R52" s="11">
        <f t="shared" si="14"/>
        <v>2</v>
      </c>
      <c r="S52" s="12" t="str" cm="1">
        <f t="array" ref="S52">INDEX('EpisodeEvent-ConceptMap-1'!$I$15:$N$124,Q52+1,R52)</f>
        <v>* group[=].element[=].display = ##34#Is regional##34#</v>
      </c>
    </row>
    <row r="53" spans="16:19">
      <c r="P53" s="11">
        <v>39</v>
      </c>
      <c r="Q53" s="11">
        <f t="shared" si="13"/>
        <v>6</v>
      </c>
      <c r="R53" s="11">
        <f t="shared" si="14"/>
        <v>3</v>
      </c>
      <c r="S53" s="12" t="str" cm="1">
        <f t="array" ref="S53">INDEX('EpisodeEvent-ConceptMap-1'!$I$15:$N$124,Q53+1,R53)</f>
        <v>* group[=].element[=].target.code = #Condition.extension:relapseType</v>
      </c>
    </row>
    <row r="54" spans="16:19">
      <c r="P54" s="11">
        <v>40</v>
      </c>
      <c r="Q54" s="11">
        <f t="shared" si="13"/>
        <v>6</v>
      </c>
      <c r="R54" s="11">
        <f t="shared" si="14"/>
        <v>4</v>
      </c>
      <c r="S54" s="12" t="str" cm="1">
        <f t="array" ref="S54">INDEX('EpisodeEvent-ConceptMap-1'!$I$15:$N$124,Q54+1,R54)</f>
        <v>* group[=].element[=].target.display = ##34###34#</v>
      </c>
    </row>
    <row r="55" spans="16:19">
      <c r="P55" s="11">
        <v>41</v>
      </c>
      <c r="Q55" s="11">
        <f t="shared" si="13"/>
        <v>6</v>
      </c>
      <c r="R55" s="11">
        <f t="shared" si="14"/>
        <v>5</v>
      </c>
      <c r="S55" s="12" t="str" cm="1">
        <f t="array" ref="S55">INDEX('EpisodeEvent-ConceptMap-1'!$I$15:$N$124,Q55+1,R55)</f>
        <v>* group[=].element[=].target.equivalence = #relatedto</v>
      </c>
    </row>
    <row r="56" spans="16:19">
      <c r="P56" s="11">
        <v>42</v>
      </c>
      <c r="Q56" s="11">
        <f t="shared" si="13"/>
        <v>6</v>
      </c>
      <c r="R56" s="11">
        <f t="shared" si="14"/>
        <v>6</v>
      </c>
      <c r="S56" s="12" t="str" cm="1">
        <f t="array" ref="S56">INDEX('EpisodeEvent-ConceptMap-1'!$I$15:$N$124,Q56+1,R56)</f>
        <v>* group[=].element[=].target.comment = ##34#to be further analized##34#</v>
      </c>
    </row>
    <row r="57" spans="16:19">
      <c r="P57" s="11">
        <v>43</v>
      </c>
      <c r="Q57" s="11">
        <f t="shared" si="13"/>
        <v>7</v>
      </c>
      <c r="R57" s="11">
        <f t="shared" si="14"/>
        <v>1</v>
      </c>
      <c r="S57" s="12" t="str" cm="1">
        <f t="array" ref="S57">INDEX('EpisodeEvent-ConceptMap-1'!$I$15:$N$124,Q57+1,R57)</f>
        <v>* group[=].element[+].code = #EpisodeEvent.isMetastatic</v>
      </c>
    </row>
    <row r="58" spans="16:19">
      <c r="P58" s="11">
        <v>44</v>
      </c>
      <c r="Q58" s="11">
        <f t="shared" si="13"/>
        <v>7</v>
      </c>
      <c r="R58" s="11">
        <f t="shared" si="14"/>
        <v>2</v>
      </c>
      <c r="S58" s="12" t="str" cm="1">
        <f t="array" ref="S58">INDEX('EpisodeEvent-ConceptMap-1'!$I$15:$N$124,Q58+1,R58)</f>
        <v>* group[=].element[=].display = ##34#Is metastatic##34#</v>
      </c>
    </row>
    <row r="59" spans="16:19">
      <c r="P59" s="11">
        <v>45</v>
      </c>
      <c r="Q59" s="11">
        <f t="shared" si="13"/>
        <v>7</v>
      </c>
      <c r="R59" s="11">
        <f t="shared" si="14"/>
        <v>3</v>
      </c>
      <c r="S59" s="12" t="str" cm="1">
        <f t="array" ref="S59">INDEX('EpisodeEvent-ConceptMap-1'!$I$15:$N$124,Q59+1,R59)</f>
        <v>* group[=].element[=].target.code = #Condition.extension:relapseType</v>
      </c>
    </row>
    <row r="60" spans="16:19">
      <c r="P60" s="11">
        <v>46</v>
      </c>
      <c r="Q60" s="11">
        <f t="shared" si="13"/>
        <v>7</v>
      </c>
      <c r="R60" s="11">
        <f t="shared" si="14"/>
        <v>4</v>
      </c>
      <c r="S60" s="12" t="str" cm="1">
        <f t="array" ref="S60">INDEX('EpisodeEvent-ConceptMap-1'!$I$15:$N$124,Q60+1,R60)</f>
        <v>* group[=].element[=].target.display = ##34###34#</v>
      </c>
    </row>
    <row r="61" spans="16:19">
      <c r="P61" s="11">
        <v>47</v>
      </c>
      <c r="Q61" s="11">
        <f t="shared" si="13"/>
        <v>7</v>
      </c>
      <c r="R61" s="11">
        <f t="shared" si="14"/>
        <v>5</v>
      </c>
      <c r="S61" s="12" t="str" cm="1">
        <f t="array" ref="S61">INDEX('EpisodeEvent-ConceptMap-1'!$I$15:$N$124,Q61+1,R61)</f>
        <v>* group[=].element[=].target.equivalence = #relatedto</v>
      </c>
    </row>
    <row r="62" spans="16:19">
      <c r="P62" s="11">
        <v>48</v>
      </c>
      <c r="Q62" s="11">
        <f t="shared" si="13"/>
        <v>7</v>
      </c>
      <c r="R62" s="11">
        <f t="shared" si="14"/>
        <v>6</v>
      </c>
      <c r="S62" s="12" t="str" cm="1">
        <f t="array" ref="S62">INDEX('EpisodeEvent-ConceptMap-1'!$I$15:$N$124,Q62+1,R62)</f>
        <v>* group[=].element[=].target.comment = ##34#to be further analized##34#</v>
      </c>
    </row>
    <row r="63" spans="16:19">
      <c r="P63" s="11">
        <v>49</v>
      </c>
      <c r="Q63" s="11">
        <f t="shared" si="13"/>
        <v>8</v>
      </c>
      <c r="R63" s="11">
        <f t="shared" si="14"/>
        <v>1</v>
      </c>
      <c r="S63" s="12" t="str" cm="1">
        <f t="array" ref="S63">INDEX('EpisodeEvent-ConceptMap-1'!$I$15:$N$124,Q63+1,R63)</f>
        <v>* group[=].element[+].code = #EpisodeEvent.siteOfMetastasis</v>
      </c>
    </row>
    <row r="64" spans="16:19">
      <c r="P64" s="11">
        <v>50</v>
      </c>
      <c r="Q64" s="11">
        <f t="shared" si="13"/>
        <v>8</v>
      </c>
      <c r="R64" s="11">
        <f t="shared" si="14"/>
        <v>2</v>
      </c>
      <c r="S64" s="12" t="str" cm="1">
        <f t="array" ref="S64">INDEX('EpisodeEvent-ConceptMap-1'!$I$15:$N$124,Q64+1,R64)</f>
        <v>* group[=].element[=].display = ##34#Site of metastasis##34#</v>
      </c>
    </row>
    <row r="65" spans="16:19">
      <c r="P65" s="11">
        <v>51</v>
      </c>
      <c r="Q65" s="11">
        <f t="shared" si="13"/>
        <v>8</v>
      </c>
      <c r="R65" s="11">
        <f t="shared" si="14"/>
        <v>3</v>
      </c>
      <c r="S65" s="12" t="str" cm="1">
        <f t="array" ref="S65">INDEX('EpisodeEvent-ConceptMap-1'!$I$15:$N$124,Q65+1,R65)</f>
        <v>* group[=].element[=].target.code = #Condition.bodySite</v>
      </c>
    </row>
    <row r="66" spans="16:19">
      <c r="P66" s="11">
        <v>52</v>
      </c>
      <c r="Q66" s="11">
        <f t="shared" si="13"/>
        <v>8</v>
      </c>
      <c r="R66" s="11">
        <f t="shared" si="14"/>
        <v>4</v>
      </c>
      <c r="S66" s="12" t="str" cm="1">
        <f t="array" ref="S66">INDEX('EpisodeEvent-ConceptMap-1'!$I$15:$N$124,Q66+1,R66)</f>
        <v>* group[=].element[=].target.display = ##34###34#</v>
      </c>
    </row>
    <row r="67" spans="16:19">
      <c r="P67" s="11">
        <v>53</v>
      </c>
      <c r="Q67" s="11">
        <f t="shared" si="13"/>
        <v>8</v>
      </c>
      <c r="R67" s="11">
        <f t="shared" si="14"/>
        <v>5</v>
      </c>
      <c r="S67" s="12" t="str" cm="1">
        <f t="array" ref="S67">INDEX('EpisodeEvent-ConceptMap-1'!$I$15:$N$124,Q67+1,R67)</f>
        <v>* group[=].element[=].target.equivalence = #relatedto</v>
      </c>
    </row>
    <row r="68" spans="16:19" ht="44.2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c r="P69" s="11">
        <v>55</v>
      </c>
      <c r="Q69" s="11">
        <f t="shared" si="13"/>
        <v>9</v>
      </c>
      <c r="R69" s="11">
        <f t="shared" si="14"/>
        <v>1</v>
      </c>
      <c r="S69" s="12" t="str" cm="1">
        <f t="array" ref="S69">INDEX('EpisodeEvent-ConceptMap-1'!$I$15:$N$124,Q69+1,R69)</f>
        <v>* group[=].element[+].code = #EpisodeEvent.siteOfMetastasis.softTissue</v>
      </c>
    </row>
    <row r="70" spans="16:19">
      <c r="P70" s="11">
        <v>56</v>
      </c>
      <c r="Q70" s="11">
        <f t="shared" si="13"/>
        <v>9</v>
      </c>
      <c r="R70" s="11">
        <f t="shared" si="14"/>
        <v>2</v>
      </c>
      <c r="S70" s="12" t="str" cm="1">
        <f t="array" ref="S70">INDEX('EpisodeEvent-ConceptMap-1'!$I$15:$N$124,Q70+1,R70)</f>
        <v>* group[=].element[=].display = ##34#Site of metastasis_soft tissue##34#</v>
      </c>
    </row>
    <row r="71" spans="16:19">
      <c r="P71" s="11">
        <v>57</v>
      </c>
      <c r="Q71" s="11">
        <f t="shared" si="13"/>
        <v>9</v>
      </c>
      <c r="R71" s="11">
        <f t="shared" si="14"/>
        <v>3</v>
      </c>
      <c r="S71" s="12" t="str" cm="1">
        <f t="array" ref="S71">INDEX('EpisodeEvent-ConceptMap-1'!$I$15:$N$124,Q71+1,R71)</f>
        <v>* group[=].element[=].target.code = #Condition.bodySite</v>
      </c>
    </row>
    <row r="72" spans="16:19">
      <c r="P72" s="11">
        <v>58</v>
      </c>
      <c r="Q72" s="11">
        <f t="shared" si="13"/>
        <v>9</v>
      </c>
      <c r="R72" s="11">
        <f t="shared" si="14"/>
        <v>4</v>
      </c>
      <c r="S72" s="12" t="str" cm="1">
        <f t="array" ref="S72">INDEX('EpisodeEvent-ConceptMap-1'!$I$15:$N$124,Q72+1,R72)</f>
        <v>* group[=].element[=].target.display = ##34###34#</v>
      </c>
    </row>
    <row r="73" spans="16:19">
      <c r="P73" s="11">
        <v>59</v>
      </c>
      <c r="Q73" s="11">
        <f t="shared" si="13"/>
        <v>9</v>
      </c>
      <c r="R73" s="11">
        <f t="shared" si="14"/>
        <v>5</v>
      </c>
      <c r="S73" s="12" t="str" cm="1">
        <f t="array" ref="S73">INDEX('EpisodeEvent-ConceptMap-1'!$I$15:$N$124,Q73+1,R73)</f>
        <v>* group[=].element[=].target.equivalence = #relatedto</v>
      </c>
    </row>
    <row r="74" spans="16:19">
      <c r="P74" s="11">
        <v>60</v>
      </c>
      <c r="Q74" s="11">
        <f t="shared" si="13"/>
        <v>9</v>
      </c>
      <c r="R74" s="11">
        <f t="shared" si="14"/>
        <v>6</v>
      </c>
      <c r="S74" s="12" t="str" cm="1">
        <f t="array" ref="S74">INDEX('EpisodeEvent-ConceptMap-1'!$I$15:$N$124,Q74+1,R74)</f>
        <v/>
      </c>
    </row>
    <row r="75" spans="16:19">
      <c r="P75" s="11">
        <v>61</v>
      </c>
      <c r="Q75" s="11">
        <f t="shared" si="13"/>
        <v>10</v>
      </c>
      <c r="R75" s="11">
        <f t="shared" si="14"/>
        <v>1</v>
      </c>
      <c r="S75" s="12" t="str" cm="1">
        <f t="array" ref="S75">INDEX('EpisodeEvent-ConceptMap-1'!$I$15:$N$124,Q75+1,R75)</f>
        <v>* group[=].element[+].code = #EpisodeEvent.siteOfMetastasis.distantLymphNodes</v>
      </c>
    </row>
    <row r="76" spans="16:19">
      <c r="P76" s="11">
        <v>62</v>
      </c>
      <c r="Q76" s="11">
        <f t="shared" si="13"/>
        <v>10</v>
      </c>
      <c r="R76" s="11">
        <f t="shared" si="14"/>
        <v>2</v>
      </c>
      <c r="S76" s="12" t="str" cm="1">
        <f t="array" ref="S76">INDEX('EpisodeEvent-ConceptMap-1'!$I$15:$N$124,Q76+1,R76)</f>
        <v>* group[=].element[=].display = ##34#Site of metastasis_distant lymph nodes##34#</v>
      </c>
    </row>
    <row r="77" spans="16:19">
      <c r="P77" s="11">
        <v>63</v>
      </c>
      <c r="Q77" s="11">
        <f t="shared" si="13"/>
        <v>10</v>
      </c>
      <c r="R77" s="11">
        <f t="shared" si="14"/>
        <v>3</v>
      </c>
      <c r="S77" s="12" t="str" cm="1">
        <f t="array" ref="S77">INDEX('EpisodeEvent-ConceptMap-1'!$I$15:$N$124,Q77+1,R77)</f>
        <v>* group[=].element[=].target.code = #Condition.bodySite</v>
      </c>
    </row>
    <row r="78" spans="16:19">
      <c r="P78" s="11">
        <v>64</v>
      </c>
      <c r="Q78" s="11">
        <f t="shared" si="13"/>
        <v>10</v>
      </c>
      <c r="R78" s="11">
        <f t="shared" si="14"/>
        <v>4</v>
      </c>
      <c r="S78" s="12" t="str" cm="1">
        <f t="array" ref="S78">INDEX('EpisodeEvent-ConceptMap-1'!$I$15:$N$124,Q78+1,R78)</f>
        <v>* group[=].element[=].target.display = ##34###34#</v>
      </c>
    </row>
    <row r="79" spans="16:19">
      <c r="P79" s="11">
        <v>65</v>
      </c>
      <c r="Q79" s="11">
        <f t="shared" si="13"/>
        <v>10</v>
      </c>
      <c r="R79" s="11">
        <f t="shared" si="14"/>
        <v>5</v>
      </c>
      <c r="S79" s="12" t="str" cm="1">
        <f t="array" ref="S79">INDEX('EpisodeEvent-ConceptMap-1'!$I$15:$N$124,Q79+1,R79)</f>
        <v>* group[=].element[=].target.equivalence = #relatedto</v>
      </c>
    </row>
    <row r="80" spans="16:19">
      <c r="P80" s="11">
        <v>66</v>
      </c>
      <c r="Q80" s="11">
        <f t="shared" ref="Q80:Q126" si="21">IF(MOD(P80,$Q$8)=0,P80/$Q$8-1,INT(P80/$Q$8))</f>
        <v>10</v>
      </c>
      <c r="R80" s="11">
        <f t="shared" ref="R80:R126" si="22">IF(MOD(P80,$Q$8)=0,$Q$8,MOD(P80,$Q$8))</f>
        <v>6</v>
      </c>
      <c r="S80" s="12" t="str" cm="1">
        <f t="array" ref="S80">INDEX('EpisodeEvent-ConceptMap-1'!$I$15:$N$124,Q80+1,R80)</f>
        <v/>
      </c>
    </row>
    <row r="81" spans="16:19">
      <c r="P81" s="11">
        <v>67</v>
      </c>
      <c r="Q81" s="11">
        <f t="shared" si="21"/>
        <v>11</v>
      </c>
      <c r="R81" s="11">
        <f t="shared" si="22"/>
        <v>1</v>
      </c>
      <c r="S81" s="12" t="str" cm="1">
        <f t="array" ref="S81">INDEX('EpisodeEvent-ConceptMap-1'!$I$15:$N$124,Q81+1,R81)</f>
        <v>* group[=].element[+].code = #EpisodeEvent.siteOfMetastasis.lung</v>
      </c>
    </row>
    <row r="82" spans="16:19">
      <c r="P82" s="11">
        <v>68</v>
      </c>
      <c r="Q82" s="11">
        <f t="shared" si="21"/>
        <v>11</v>
      </c>
      <c r="R82" s="11">
        <f t="shared" si="22"/>
        <v>2</v>
      </c>
      <c r="S82" s="12" t="str" cm="1">
        <f t="array" ref="S82">INDEX('EpisodeEvent-ConceptMap-1'!$I$15:$N$124,Q82+1,R82)</f>
        <v>* group[=].element[=].display = ##34#Site of metastasis_lung##34#</v>
      </c>
    </row>
    <row r="83" spans="16:19">
      <c r="P83" s="11">
        <v>69</v>
      </c>
      <c r="Q83" s="11">
        <f t="shared" si="21"/>
        <v>11</v>
      </c>
      <c r="R83" s="11">
        <f t="shared" si="22"/>
        <v>3</v>
      </c>
      <c r="S83" s="12" t="str" cm="1">
        <f t="array" ref="S83">INDEX('EpisodeEvent-ConceptMap-1'!$I$15:$N$124,Q83+1,R83)</f>
        <v>* group[=].element[=].target.code = #Condition.bodySite</v>
      </c>
    </row>
    <row r="84" spans="16:19">
      <c r="P84" s="11">
        <v>70</v>
      </c>
      <c r="Q84" s="11">
        <f t="shared" si="21"/>
        <v>11</v>
      </c>
      <c r="R84" s="11">
        <f t="shared" si="22"/>
        <v>4</v>
      </c>
      <c r="S84" s="12" t="str" cm="1">
        <f t="array" ref="S84">INDEX('EpisodeEvent-ConceptMap-1'!$I$15:$N$124,Q84+1,R84)</f>
        <v>* group[=].element[=].target.display = ##34###34#</v>
      </c>
    </row>
    <row r="85" spans="16:19">
      <c r="P85" s="11">
        <v>71</v>
      </c>
      <c r="Q85" s="11">
        <f t="shared" si="21"/>
        <v>11</v>
      </c>
      <c r="R85" s="11">
        <f t="shared" si="22"/>
        <v>5</v>
      </c>
      <c r="S85" s="12" t="str" cm="1">
        <f t="array" ref="S85">INDEX('EpisodeEvent-ConceptMap-1'!$I$15:$N$124,Q85+1,R85)</f>
        <v>* group[=].element[=].target.equivalence = #relatedto</v>
      </c>
    </row>
    <row r="86" spans="16:19">
      <c r="P86" s="11">
        <v>72</v>
      </c>
      <c r="Q86" s="11">
        <f t="shared" si="21"/>
        <v>11</v>
      </c>
      <c r="R86" s="11">
        <f t="shared" si="22"/>
        <v>6</v>
      </c>
      <c r="S86" s="12" t="str" cm="1">
        <f t="array" ref="S86">INDEX('EpisodeEvent-ConceptMap-1'!$I$15:$N$124,Q86+1,R86)</f>
        <v/>
      </c>
    </row>
    <row r="87" spans="16:19">
      <c r="P87" s="11">
        <v>73</v>
      </c>
      <c r="Q87" s="11">
        <f t="shared" si="21"/>
        <v>12</v>
      </c>
      <c r="R87" s="11">
        <f t="shared" si="22"/>
        <v>1</v>
      </c>
      <c r="S87" s="12" t="str" cm="1">
        <f t="array" ref="S87">INDEX('EpisodeEvent-ConceptMap-1'!$I$15:$N$124,Q87+1,R87)</f>
        <v>* group[=].element[+].code = #EpisodeEvent.siteOfMetastasis.bone</v>
      </c>
    </row>
    <row r="88" spans="16:19">
      <c r="P88" s="11">
        <v>74</v>
      </c>
      <c r="Q88" s="11">
        <f t="shared" si="21"/>
        <v>12</v>
      </c>
      <c r="R88" s="11">
        <f t="shared" si="22"/>
        <v>2</v>
      </c>
      <c r="S88" s="12" t="str" cm="1">
        <f t="array" ref="S88">INDEX('EpisodeEvent-ConceptMap-1'!$I$15:$N$124,Q88+1,R88)</f>
        <v>* group[=].element[=].display = ##34#Site of metastasis_bone##34#</v>
      </c>
    </row>
    <row r="89" spans="16:19">
      <c r="P89" s="11">
        <v>75</v>
      </c>
      <c r="Q89" s="11">
        <f t="shared" si="21"/>
        <v>12</v>
      </c>
      <c r="R89" s="11">
        <f t="shared" si="22"/>
        <v>3</v>
      </c>
      <c r="S89" s="12" t="str" cm="1">
        <f t="array" ref="S89">INDEX('EpisodeEvent-ConceptMap-1'!$I$15:$N$124,Q89+1,R89)</f>
        <v>* group[=].element[=].target.code = #Condition.bodySite</v>
      </c>
    </row>
    <row r="90" spans="16:19">
      <c r="P90" s="11">
        <v>76</v>
      </c>
      <c r="Q90" s="11">
        <f t="shared" si="21"/>
        <v>12</v>
      </c>
      <c r="R90" s="11">
        <f t="shared" si="22"/>
        <v>4</v>
      </c>
      <c r="S90" s="12" t="str" cm="1">
        <f t="array" ref="S90">INDEX('EpisodeEvent-ConceptMap-1'!$I$15:$N$124,Q90+1,R90)</f>
        <v>* group[=].element[=].target.display = ##34###34#</v>
      </c>
    </row>
    <row r="91" spans="16:19">
      <c r="P91" s="11">
        <v>77</v>
      </c>
      <c r="Q91" s="11">
        <f t="shared" si="21"/>
        <v>12</v>
      </c>
      <c r="R91" s="11">
        <f t="shared" si="22"/>
        <v>5</v>
      </c>
      <c r="S91" s="12" t="str" cm="1">
        <f t="array" ref="S91">INDEX('EpisodeEvent-ConceptMap-1'!$I$15:$N$124,Q91+1,R91)</f>
        <v>* group[=].element[=].target.equivalence = #relatedto</v>
      </c>
    </row>
    <row r="92" spans="16:19">
      <c r="P92" s="11">
        <v>78</v>
      </c>
      <c r="Q92" s="11">
        <f t="shared" si="21"/>
        <v>12</v>
      </c>
      <c r="R92" s="11">
        <f t="shared" si="22"/>
        <v>6</v>
      </c>
      <c r="S92" s="12" t="str" cm="1">
        <f t="array" ref="S92">INDEX('EpisodeEvent-ConceptMap-1'!$I$15:$N$124,Q92+1,R92)</f>
        <v/>
      </c>
    </row>
    <row r="93" spans="16:19">
      <c r="P93" s="11">
        <v>79</v>
      </c>
      <c r="Q93" s="11">
        <f t="shared" si="21"/>
        <v>13</v>
      </c>
      <c r="R93" s="11">
        <f t="shared" si="22"/>
        <v>1</v>
      </c>
      <c r="S93" s="12" t="str" cm="1">
        <f t="array" ref="S93">INDEX('EpisodeEvent-ConceptMap-1'!$I$15:$N$124,Q93+1,R93)</f>
        <v>* group[=].element[+].code = #EpisodeEvent.siteOfMetastasis.liver</v>
      </c>
    </row>
    <row r="94" spans="16:19">
      <c r="P94" s="11">
        <v>80</v>
      </c>
      <c r="Q94" s="11">
        <f t="shared" si="21"/>
        <v>13</v>
      </c>
      <c r="R94" s="11">
        <f t="shared" si="22"/>
        <v>2</v>
      </c>
      <c r="S94" s="12" t="str" cm="1">
        <f t="array" ref="S94">INDEX('EpisodeEvent-ConceptMap-1'!$I$15:$N$124,Q94+1,R94)</f>
        <v>* group[=].element[=].display = ##34#Site of metastasis_liver##34#</v>
      </c>
    </row>
    <row r="95" spans="16:19">
      <c r="P95" s="11">
        <v>81</v>
      </c>
      <c r="Q95" s="11">
        <f t="shared" si="21"/>
        <v>13</v>
      </c>
      <c r="R95" s="11">
        <f t="shared" si="22"/>
        <v>3</v>
      </c>
      <c r="S95" s="12" t="str" cm="1">
        <f t="array" ref="S95">INDEX('EpisodeEvent-ConceptMap-1'!$I$15:$N$124,Q95+1,R95)</f>
        <v>* group[=].element[=].target.code = #Condition.bodySite</v>
      </c>
    </row>
    <row r="96" spans="16:19">
      <c r="P96" s="11">
        <v>82</v>
      </c>
      <c r="Q96" s="11">
        <f t="shared" si="21"/>
        <v>13</v>
      </c>
      <c r="R96" s="11">
        <f t="shared" si="22"/>
        <v>4</v>
      </c>
      <c r="S96" s="12" t="str" cm="1">
        <f t="array" ref="S96">INDEX('EpisodeEvent-ConceptMap-1'!$I$15:$N$124,Q96+1,R96)</f>
        <v>* group[=].element[=].target.display = ##34###34#</v>
      </c>
    </row>
    <row r="97" spans="16:19">
      <c r="P97" s="11">
        <v>83</v>
      </c>
      <c r="Q97" s="11">
        <f t="shared" si="21"/>
        <v>13</v>
      </c>
      <c r="R97" s="11">
        <f t="shared" si="22"/>
        <v>5</v>
      </c>
      <c r="S97" s="12" t="str" cm="1">
        <f t="array" ref="S97">INDEX('EpisodeEvent-ConceptMap-1'!$I$15:$N$124,Q97+1,R97)</f>
        <v>* group[=].element[=].target.equivalence = #relatedto</v>
      </c>
    </row>
    <row r="98" spans="16:19">
      <c r="P98" s="11">
        <v>84</v>
      </c>
      <c r="Q98" s="11">
        <f t="shared" si="21"/>
        <v>13</v>
      </c>
      <c r="R98" s="11">
        <f t="shared" si="22"/>
        <v>6</v>
      </c>
      <c r="S98" s="12" t="str" cm="1">
        <f t="array" ref="S98">INDEX('EpisodeEvent-ConceptMap-1'!$I$15:$N$124,Q98+1,R98)</f>
        <v/>
      </c>
    </row>
    <row r="99" spans="16:19">
      <c r="P99" s="11">
        <v>85</v>
      </c>
      <c r="Q99" s="11">
        <f t="shared" si="21"/>
        <v>14</v>
      </c>
      <c r="R99" s="11">
        <f t="shared" si="22"/>
        <v>1</v>
      </c>
      <c r="S99" s="12" t="str" cm="1">
        <f t="array" ref="S99">INDEX('EpisodeEvent-ConceptMap-1'!$I$15:$N$124,Q99+1,R99)</f>
        <v>* group[=].element[+].code = #EpisodeEvent.siteOfMetastasis.pleura</v>
      </c>
    </row>
    <row r="100" spans="16:19">
      <c r="P100" s="11">
        <v>86</v>
      </c>
      <c r="Q100" s="11">
        <f t="shared" si="21"/>
        <v>14</v>
      </c>
      <c r="R100" s="11">
        <f t="shared" si="22"/>
        <v>2</v>
      </c>
      <c r="S100" s="12" t="str" cm="1">
        <f t="array" ref="S100">INDEX('EpisodeEvent-ConceptMap-1'!$I$15:$N$124,Q100+1,R100)</f>
        <v>* group[=].element[=].display = ##34#Site of metastasis_pleura##34#</v>
      </c>
    </row>
    <row r="101" spans="16:19">
      <c r="P101" s="11">
        <v>87</v>
      </c>
      <c r="Q101" s="11">
        <f t="shared" si="21"/>
        <v>14</v>
      </c>
      <c r="R101" s="11">
        <f t="shared" si="22"/>
        <v>3</v>
      </c>
      <c r="S101" s="12" t="str" cm="1">
        <f t="array" ref="S101">INDEX('EpisodeEvent-ConceptMap-1'!$I$15:$N$124,Q101+1,R101)</f>
        <v>* group[=].element[=].target.code = #Condition.bodySite</v>
      </c>
    </row>
    <row r="102" spans="16:19">
      <c r="P102" s="11">
        <v>88</v>
      </c>
      <c r="Q102" s="11">
        <f t="shared" si="21"/>
        <v>14</v>
      </c>
      <c r="R102" s="11">
        <f t="shared" si="22"/>
        <v>4</v>
      </c>
      <c r="S102" s="12" t="str" cm="1">
        <f t="array" ref="S102">INDEX('EpisodeEvent-ConceptMap-1'!$I$15:$N$124,Q102+1,R102)</f>
        <v>* group[=].element[=].target.display = ##34###34#</v>
      </c>
    </row>
    <row r="103" spans="16:19">
      <c r="P103" s="11">
        <v>89</v>
      </c>
      <c r="Q103" s="11">
        <f t="shared" si="21"/>
        <v>14</v>
      </c>
      <c r="R103" s="11">
        <f t="shared" si="22"/>
        <v>5</v>
      </c>
      <c r="S103" s="12" t="str" cm="1">
        <f t="array" ref="S103">INDEX('EpisodeEvent-ConceptMap-1'!$I$15:$N$124,Q103+1,R103)</f>
        <v>* group[=].element[=].target.equivalence = #relatedto</v>
      </c>
    </row>
    <row r="104" spans="16:19">
      <c r="P104" s="11">
        <v>90</v>
      </c>
      <c r="Q104" s="11">
        <f t="shared" si="21"/>
        <v>14</v>
      </c>
      <c r="R104" s="11">
        <f t="shared" si="22"/>
        <v>6</v>
      </c>
      <c r="S104" s="12" t="str" cm="1">
        <f t="array" ref="S104">INDEX('EpisodeEvent-ConceptMap-1'!$I$15:$N$124,Q104+1,R104)</f>
        <v/>
      </c>
    </row>
    <row r="105" spans="16:19">
      <c r="P105" s="11">
        <v>91</v>
      </c>
      <c r="Q105" s="11">
        <f t="shared" si="21"/>
        <v>15</v>
      </c>
      <c r="R105" s="11">
        <f t="shared" si="22"/>
        <v>1</v>
      </c>
      <c r="S105" s="12" t="str" cm="1">
        <f t="array" ref="S105">INDEX('EpisodeEvent-ConceptMap-1'!$I$15:$N$124,Q105+1,R105)</f>
        <v>* group[=].element[+].code = #EpisodeEvent.siteOfMetastasis.peritoneum</v>
      </c>
    </row>
    <row r="106" spans="16:19">
      <c r="P106" s="11">
        <v>92</v>
      </c>
      <c r="Q106" s="11">
        <f t="shared" si="21"/>
        <v>15</v>
      </c>
      <c r="R106" s="11">
        <f t="shared" si="22"/>
        <v>2</v>
      </c>
      <c r="S106" s="12" t="str" cm="1">
        <f t="array" ref="S106">INDEX('EpisodeEvent-ConceptMap-1'!$I$15:$N$124,Q106+1,R106)</f>
        <v>* group[=].element[=].display = ##34#Site of metastasis_peritoneum##34#</v>
      </c>
    </row>
    <row r="107" spans="16:19">
      <c r="P107" s="11">
        <v>93</v>
      </c>
      <c r="Q107" s="11">
        <f t="shared" si="21"/>
        <v>15</v>
      </c>
      <c r="R107" s="11">
        <f t="shared" si="22"/>
        <v>3</v>
      </c>
      <c r="S107" s="12" t="str" cm="1">
        <f t="array" ref="S107">INDEX('EpisodeEvent-ConceptMap-1'!$I$15:$N$124,Q107+1,R107)</f>
        <v>* group[=].element[=].target.code = #Condition.bodySite</v>
      </c>
    </row>
    <row r="108" spans="16:19">
      <c r="P108" s="11">
        <v>94</v>
      </c>
      <c r="Q108" s="11">
        <f t="shared" si="21"/>
        <v>15</v>
      </c>
      <c r="R108" s="11">
        <f t="shared" si="22"/>
        <v>4</v>
      </c>
      <c r="S108" s="12" t="str" cm="1">
        <f t="array" ref="S108">INDEX('EpisodeEvent-ConceptMap-1'!$I$15:$N$124,Q108+1,R108)</f>
        <v>* group[=].element[=].target.display = ##34###34#</v>
      </c>
    </row>
    <row r="109" spans="16:19">
      <c r="P109" s="11">
        <v>95</v>
      </c>
      <c r="Q109" s="11">
        <f t="shared" si="21"/>
        <v>15</v>
      </c>
      <c r="R109" s="11">
        <f t="shared" si="22"/>
        <v>5</v>
      </c>
      <c r="S109" s="12" t="str" cm="1">
        <f t="array" ref="S109">INDEX('EpisodeEvent-ConceptMap-1'!$I$15:$N$124,Q109+1,R109)</f>
        <v>* group[=].element[=].target.equivalence = #relatedto</v>
      </c>
    </row>
    <row r="110" spans="16:19">
      <c r="P110" s="11">
        <v>96</v>
      </c>
      <c r="Q110" s="11">
        <f t="shared" si="21"/>
        <v>15</v>
      </c>
      <c r="R110" s="11">
        <f t="shared" si="22"/>
        <v>6</v>
      </c>
      <c r="S110" s="12" t="str" cm="1">
        <f t="array" ref="S110">INDEX('EpisodeEvent-ConceptMap-1'!$I$15:$N$124,Q110+1,R110)</f>
        <v/>
      </c>
    </row>
    <row r="111" spans="16:19">
      <c r="P111" s="11">
        <v>97</v>
      </c>
      <c r="Q111" s="11">
        <f t="shared" si="21"/>
        <v>16</v>
      </c>
      <c r="R111" s="11">
        <f t="shared" si="22"/>
        <v>1</v>
      </c>
      <c r="S111" s="12" t="str" cm="1">
        <f t="array" ref="S111">INDEX('EpisodeEvent-ConceptMap-1'!$I$15:$N$124,Q111+1,R111)</f>
        <v>* group[=].element[+].code = #EpisodeEvent.siteOfMetastasis.brain</v>
      </c>
    </row>
    <row r="112" spans="16:19">
      <c r="P112" s="11">
        <v>98</v>
      </c>
      <c r="Q112" s="11">
        <f t="shared" si="21"/>
        <v>16</v>
      </c>
      <c r="R112" s="11">
        <f t="shared" si="22"/>
        <v>2</v>
      </c>
      <c r="S112" s="12" t="str" cm="1">
        <f t="array" ref="S112">INDEX('EpisodeEvent-ConceptMap-1'!$I$15:$N$124,Q112+1,R112)</f>
        <v>* group[=].element[=].display = ##34#Site of  metastasis_brain##34#</v>
      </c>
    </row>
    <row r="113" spans="16:19">
      <c r="P113" s="11">
        <v>99</v>
      </c>
      <c r="Q113" s="11">
        <f t="shared" si="21"/>
        <v>16</v>
      </c>
      <c r="R113" s="11">
        <f t="shared" si="22"/>
        <v>3</v>
      </c>
      <c r="S113" s="12" t="str" cm="1">
        <f t="array" ref="S113">INDEX('EpisodeEvent-ConceptMap-1'!$I$15:$N$124,Q113+1,R113)</f>
        <v>* group[=].element[=].target.code = #Condition.bodySite</v>
      </c>
    </row>
    <row r="114" spans="16:19">
      <c r="P114" s="11">
        <v>100</v>
      </c>
      <c r="Q114" s="11">
        <f t="shared" si="21"/>
        <v>16</v>
      </c>
      <c r="R114" s="11">
        <f t="shared" si="22"/>
        <v>4</v>
      </c>
      <c r="S114" s="12" t="str" cm="1">
        <f t="array" ref="S114">INDEX('EpisodeEvent-ConceptMap-1'!$I$15:$N$124,Q114+1,R114)</f>
        <v>* group[=].element[=].target.display = ##34###34#</v>
      </c>
    </row>
    <row r="115" spans="16:19">
      <c r="P115" s="11">
        <v>101</v>
      </c>
      <c r="Q115" s="11">
        <f t="shared" si="21"/>
        <v>16</v>
      </c>
      <c r="R115" s="11">
        <f t="shared" si="22"/>
        <v>5</v>
      </c>
      <c r="S115" s="12" t="str" cm="1">
        <f t="array" ref="S115">INDEX('EpisodeEvent-ConceptMap-1'!$I$15:$N$124,Q115+1,R115)</f>
        <v>* group[=].element[=].target.equivalence = #relatedto</v>
      </c>
    </row>
    <row r="116" spans="16:19">
      <c r="P116" s="11">
        <v>102</v>
      </c>
      <c r="Q116" s="11">
        <f t="shared" si="21"/>
        <v>16</v>
      </c>
      <c r="R116" s="11">
        <f t="shared" si="22"/>
        <v>6</v>
      </c>
      <c r="S116" s="12" t="str" cm="1">
        <f t="array" ref="S116">INDEX('EpisodeEvent-ConceptMap-1'!$I$15:$N$124,Q116+1,R116)</f>
        <v/>
      </c>
    </row>
    <row r="117" spans="16:19">
      <c r="P117" s="11">
        <v>103</v>
      </c>
      <c r="Q117" s="11">
        <f t="shared" si="21"/>
        <v>17</v>
      </c>
      <c r="R117" s="11">
        <f t="shared" si="22"/>
        <v>1</v>
      </c>
      <c r="S117" s="12" t="str" cm="1">
        <f t="array" ref="S117">INDEX('EpisodeEvent-ConceptMap-1'!$I$15:$N$124,Q117+1,R117)</f>
        <v>* group[=].element[+].code = #EpisodeEvent.siteOfMetastasis.otherViscera</v>
      </c>
    </row>
    <row r="118" spans="16:19">
      <c r="P118" s="11">
        <v>104</v>
      </c>
      <c r="Q118" s="11">
        <f t="shared" si="21"/>
        <v>17</v>
      </c>
      <c r="R118" s="11">
        <f t="shared" si="22"/>
        <v>2</v>
      </c>
      <c r="S118" s="12" t="str" cm="1">
        <f t="array" ref="S118">INDEX('EpisodeEvent-ConceptMap-1'!$I$15:$N$124,Q118+1,R118)</f>
        <v>* group[=].element[=].display = ##34#Site of  metastasis_other viscera##34#</v>
      </c>
    </row>
    <row r="119" spans="16:19">
      <c r="P119" s="11">
        <v>105</v>
      </c>
      <c r="Q119" s="11">
        <f t="shared" si="21"/>
        <v>17</v>
      </c>
      <c r="R119" s="11">
        <f t="shared" si="22"/>
        <v>3</v>
      </c>
      <c r="S119" s="12" t="str" cm="1">
        <f t="array" ref="S119">INDEX('EpisodeEvent-ConceptMap-1'!$I$15:$N$124,Q119+1,R119)</f>
        <v>* group[=].element[=].target.code = #Condition.bodySite</v>
      </c>
    </row>
    <row r="120" spans="16:19">
      <c r="P120" s="11">
        <v>106</v>
      </c>
      <c r="Q120" s="11">
        <f t="shared" si="21"/>
        <v>17</v>
      </c>
      <c r="R120" s="11">
        <f t="shared" si="22"/>
        <v>4</v>
      </c>
      <c r="S120" s="12" t="str" cm="1">
        <f t="array" ref="S120">INDEX('EpisodeEvent-ConceptMap-1'!$I$15:$N$124,Q120+1,R120)</f>
        <v>* group[=].element[=].target.display = ##34###34#</v>
      </c>
    </row>
    <row r="121" spans="16:19">
      <c r="P121" s="11">
        <v>107</v>
      </c>
      <c r="Q121" s="11">
        <f t="shared" si="21"/>
        <v>17</v>
      </c>
      <c r="R121" s="11">
        <f t="shared" si="22"/>
        <v>5</v>
      </c>
      <c r="S121" s="12" t="str" cm="1">
        <f t="array" ref="S121">INDEX('EpisodeEvent-ConceptMap-1'!$I$15:$N$124,Q121+1,R121)</f>
        <v>* group[=].element[=].target.equivalence = #relatedto</v>
      </c>
    </row>
    <row r="122" spans="16:19">
      <c r="P122" s="11">
        <v>108</v>
      </c>
      <c r="Q122" s="11">
        <f t="shared" si="21"/>
        <v>17</v>
      </c>
      <c r="R122" s="11">
        <f t="shared" si="22"/>
        <v>6</v>
      </c>
      <c r="S122" s="12" t="str" cm="1">
        <f t="array" ref="S122">INDEX('EpisodeEvent-ConceptMap-1'!$I$15:$N$124,Q122+1,R122)</f>
        <v/>
      </c>
    </row>
    <row r="123" spans="16:19">
      <c r="P123" s="11">
        <v>109</v>
      </c>
      <c r="Q123" s="11">
        <f t="shared" si="21"/>
        <v>18</v>
      </c>
      <c r="R123" s="11">
        <f t="shared" si="22"/>
        <v>1</v>
      </c>
      <c r="S123" s="12" t="str" cm="1">
        <f t="array" ref="S123">INDEX('EpisodeEvent-ConceptMap-1'!$I$15:$N$124,Q123+1,R123)</f>
        <v>* group[=].element[+].code = #EpisodeEvent.siteOfMetastasis.unknown</v>
      </c>
    </row>
    <row r="124" spans="16:19">
      <c r="P124" s="11">
        <v>110</v>
      </c>
      <c r="Q124" s="11">
        <f t="shared" si="21"/>
        <v>18</v>
      </c>
      <c r="R124" s="11">
        <f t="shared" si="22"/>
        <v>2</v>
      </c>
      <c r="S124" s="12" t="str" cm="1">
        <f t="array" ref="S124">INDEX('EpisodeEvent-ConceptMap-1'!$I$15:$N$124,Q124+1,R124)</f>
        <v>* group[=].element[=].display = ##34#Site of  metastasis_unknown##34#</v>
      </c>
    </row>
    <row r="125" spans="16:19">
      <c r="P125" s="11">
        <v>111</v>
      </c>
      <c r="Q125" s="11">
        <f t="shared" si="21"/>
        <v>18</v>
      </c>
      <c r="R125" s="11">
        <f t="shared" si="22"/>
        <v>3</v>
      </c>
      <c r="S125" s="12" t="str" cm="1">
        <f t="array" ref="S125">INDEX('EpisodeEvent-ConceptMap-1'!$I$15:$N$124,Q125+1,R125)</f>
        <v>* group[=].element[=].target.code = #Condition.bodySite</v>
      </c>
    </row>
    <row r="126" spans="16:19">
      <c r="P126" s="11">
        <v>112</v>
      </c>
      <c r="Q126" s="11">
        <f t="shared" si="21"/>
        <v>18</v>
      </c>
      <c r="R126" s="11">
        <f t="shared" si="22"/>
        <v>4</v>
      </c>
      <c r="S126" s="12" t="str" cm="1">
        <f t="array" ref="S126">INDEX('EpisodeEvent-ConceptMap-1'!$I$15:$N$124,Q126+1,R126)</f>
        <v>* group[=].element[=].target.display = ##34###34#</v>
      </c>
    </row>
    <row r="127" spans="16:19">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c r="P128" s="11">
        <v>114</v>
      </c>
      <c r="Q128" s="11">
        <f t="shared" si="23"/>
        <v>18</v>
      </c>
      <c r="R128" s="11">
        <f t="shared" si="24"/>
        <v>6</v>
      </c>
      <c r="S128" s="12" t="str" cm="1">
        <f t="array" ref="S128">INDEX('EpisodeEvent-ConceptMap-1'!$I$15:$N$124,Q128+1,R128)</f>
        <v/>
      </c>
    </row>
    <row r="129" spans="16:19">
      <c r="P129" s="11">
        <v>115</v>
      </c>
      <c r="Q129" s="11">
        <f t="shared" si="23"/>
        <v>19</v>
      </c>
      <c r="R129" s="11">
        <f t="shared" si="24"/>
        <v>1</v>
      </c>
      <c r="S129" s="12" cm="1">
        <f t="array" ref="S129">INDEX('EpisodeEvent-ConceptMap-1'!$I$15:$N$124,Q129+1,R129)</f>
        <v>0</v>
      </c>
    </row>
    <row r="130" spans="16:19">
      <c r="P130" s="11">
        <v>116</v>
      </c>
      <c r="Q130" s="11">
        <f t="shared" si="23"/>
        <v>19</v>
      </c>
      <c r="R130" s="11">
        <f t="shared" si="24"/>
        <v>2</v>
      </c>
      <c r="S130" s="12" cm="1">
        <f t="array" ref="S130">INDEX('EpisodeEvent-ConceptMap-1'!$I$15:$N$124,Q130+1,R130)</f>
        <v>0</v>
      </c>
    </row>
    <row r="131" spans="16:19">
      <c r="P131" s="11">
        <v>117</v>
      </c>
      <c r="Q131" s="11">
        <f t="shared" si="23"/>
        <v>19</v>
      </c>
      <c r="R131" s="11">
        <f t="shared" si="24"/>
        <v>3</v>
      </c>
      <c r="S131" s="12" cm="1">
        <f t="array" ref="S131">INDEX('EpisodeEvent-ConceptMap-1'!$I$15:$N$124,Q131+1,R131)</f>
        <v>0</v>
      </c>
    </row>
    <row r="132" spans="16:19">
      <c r="P132" s="11">
        <v>118</v>
      </c>
      <c r="Q132" s="11">
        <f t="shared" si="23"/>
        <v>19</v>
      </c>
      <c r="R132" s="11">
        <f t="shared" si="24"/>
        <v>4</v>
      </c>
      <c r="S132" s="12" cm="1">
        <f t="array" ref="S132">INDEX('EpisodeEvent-ConceptMap-1'!$I$15:$N$124,Q132+1,R132)</f>
        <v>0</v>
      </c>
    </row>
    <row r="133" spans="16:19">
      <c r="P133" s="11">
        <v>119</v>
      </c>
      <c r="Q133" s="11">
        <f t="shared" si="23"/>
        <v>19</v>
      </c>
      <c r="R133" s="11">
        <f t="shared" si="24"/>
        <v>5</v>
      </c>
      <c r="S133" s="12" cm="1">
        <f t="array" ref="S133">INDEX('EpisodeEvent-ConceptMap-1'!$I$15:$N$124,Q133+1,R133)</f>
        <v>0</v>
      </c>
    </row>
    <row r="134" spans="16:19">
      <c r="P134" s="11">
        <v>120</v>
      </c>
      <c r="Q134" s="11">
        <f t="shared" si="23"/>
        <v>19</v>
      </c>
      <c r="R134" s="11">
        <f t="shared" si="24"/>
        <v>6</v>
      </c>
      <c r="S134" s="12" cm="1">
        <f t="array" ref="S134">INDEX('EpisodeEvent-ConceptMap-1'!$I$15:$N$124,Q134+1,R134)</f>
        <v>0</v>
      </c>
    </row>
    <row r="135" spans="16:19">
      <c r="P135" s="11">
        <v>121</v>
      </c>
      <c r="Q135" s="11">
        <f t="shared" si="23"/>
        <v>20</v>
      </c>
      <c r="R135" s="11">
        <f t="shared" si="24"/>
        <v>1</v>
      </c>
      <c r="S135" s="12" cm="1">
        <f t="array" ref="S135">INDEX('EpisodeEvent-ConceptMap-1'!$I$15:$N$124,Q135+1,R135)</f>
        <v>0</v>
      </c>
    </row>
    <row r="136" spans="16:19">
      <c r="P136" s="11">
        <v>122</v>
      </c>
      <c r="Q136" s="11">
        <f t="shared" si="23"/>
        <v>20</v>
      </c>
      <c r="R136" s="11">
        <f t="shared" si="24"/>
        <v>2</v>
      </c>
      <c r="S136" s="12" cm="1">
        <f t="array" ref="S136">INDEX('EpisodeEvent-ConceptMap-1'!$I$15:$N$124,Q136+1,R136)</f>
        <v>0</v>
      </c>
    </row>
    <row r="137" spans="16:19">
      <c r="P137" s="11">
        <v>123</v>
      </c>
      <c r="Q137" s="11">
        <f t="shared" si="23"/>
        <v>20</v>
      </c>
      <c r="R137" s="11">
        <f t="shared" si="24"/>
        <v>3</v>
      </c>
      <c r="S137" s="12" cm="1">
        <f t="array" ref="S137">INDEX('EpisodeEvent-ConceptMap-1'!$I$15:$N$124,Q137+1,R137)</f>
        <v>0</v>
      </c>
    </row>
    <row r="138" spans="16:19">
      <c r="P138" s="11">
        <v>124</v>
      </c>
      <c r="Q138" s="11">
        <f t="shared" si="23"/>
        <v>20</v>
      </c>
      <c r="R138" s="11">
        <f t="shared" si="24"/>
        <v>4</v>
      </c>
      <c r="S138" s="12" cm="1">
        <f t="array" ref="S138">INDEX('EpisodeEvent-ConceptMap-1'!$I$15:$N$124,Q138+1,R138)</f>
        <v>0</v>
      </c>
    </row>
    <row r="139" spans="16:19">
      <c r="P139" s="11">
        <v>125</v>
      </c>
      <c r="Q139" s="11">
        <f t="shared" si="23"/>
        <v>20</v>
      </c>
      <c r="R139" s="11">
        <f t="shared" si="24"/>
        <v>5</v>
      </c>
      <c r="S139" s="12" cm="1">
        <f t="array" ref="S139">INDEX('EpisodeEvent-ConceptMap-1'!$I$15:$N$124,Q139+1,R139)</f>
        <v>0</v>
      </c>
    </row>
    <row r="140" spans="16:19">
      <c r="P140" s="11">
        <v>126</v>
      </c>
      <c r="Q140" s="11">
        <f t="shared" si="23"/>
        <v>20</v>
      </c>
      <c r="R140" s="11">
        <f t="shared" si="24"/>
        <v>6</v>
      </c>
      <c r="S140" s="12" cm="1">
        <f t="array" ref="S140">INDEX('EpisodeEvent-ConceptMap-1'!$I$15:$N$124,Q140+1,R140)</f>
        <v>0</v>
      </c>
    </row>
    <row r="141" spans="16:19">
      <c r="P141" s="11">
        <v>127</v>
      </c>
      <c r="Q141" s="11">
        <f t="shared" si="23"/>
        <v>21</v>
      </c>
      <c r="R141" s="11">
        <f t="shared" si="24"/>
        <v>1</v>
      </c>
      <c r="S141" s="12" cm="1">
        <f t="array" ref="S141">INDEX('EpisodeEvent-ConceptMap-1'!$I$15:$N$124,Q141+1,R141)</f>
        <v>0</v>
      </c>
    </row>
    <row r="142" spans="16:19">
      <c r="P142" s="11">
        <v>128</v>
      </c>
      <c r="Q142" s="11">
        <f t="shared" si="23"/>
        <v>21</v>
      </c>
      <c r="R142" s="11">
        <f t="shared" si="24"/>
        <v>2</v>
      </c>
      <c r="S142" s="12" cm="1">
        <f t="array" ref="S142">INDEX('EpisodeEvent-ConceptMap-1'!$I$15:$N$124,Q142+1,R142)</f>
        <v>0</v>
      </c>
    </row>
    <row r="143" spans="16:19">
      <c r="P143" s="11">
        <v>129</v>
      </c>
      <c r="Q143" s="11">
        <f t="shared" si="23"/>
        <v>21</v>
      </c>
      <c r="R143" s="11">
        <f t="shared" si="24"/>
        <v>3</v>
      </c>
      <c r="S143" s="12" cm="1">
        <f t="array" ref="S143">INDEX('EpisodeEvent-ConceptMap-1'!$I$15:$N$124,Q143+1,R143)</f>
        <v>0</v>
      </c>
    </row>
    <row r="144" spans="16:19">
      <c r="P144" s="11">
        <v>130</v>
      </c>
      <c r="Q144" s="11">
        <f t="shared" si="23"/>
        <v>21</v>
      </c>
      <c r="R144" s="11">
        <f t="shared" si="24"/>
        <v>4</v>
      </c>
      <c r="S144" s="12" cm="1">
        <f t="array" ref="S144">INDEX('EpisodeEvent-ConceptMap-1'!$I$15:$N$124,Q144+1,R144)</f>
        <v>0</v>
      </c>
    </row>
    <row r="145" spans="16:19">
      <c r="P145" s="11">
        <v>131</v>
      </c>
      <c r="Q145" s="11">
        <f t="shared" si="23"/>
        <v>21</v>
      </c>
      <c r="R145" s="11">
        <f t="shared" si="24"/>
        <v>5</v>
      </c>
      <c r="S145" s="12" cm="1">
        <f t="array" ref="S145">INDEX('EpisodeEvent-ConceptMap-1'!$I$15:$N$124,Q145+1,R145)</f>
        <v>0</v>
      </c>
    </row>
    <row r="146" spans="16:19">
      <c r="P146" s="11">
        <v>132</v>
      </c>
      <c r="Q146" s="11">
        <f t="shared" si="23"/>
        <v>21</v>
      </c>
      <c r="R146" s="11">
        <f t="shared" si="24"/>
        <v>6</v>
      </c>
      <c r="S146" s="12" cm="1">
        <f t="array" ref="S146">INDEX('EpisodeEvent-ConceptMap-1'!$I$15:$N$124,Q146+1,R146)</f>
        <v>0</v>
      </c>
    </row>
    <row r="147" spans="16:19">
      <c r="P147" s="11">
        <v>133</v>
      </c>
      <c r="Q147" s="11">
        <f t="shared" si="23"/>
        <v>22</v>
      </c>
      <c r="R147" s="11">
        <f t="shared" si="24"/>
        <v>1</v>
      </c>
      <c r="S147" s="12" cm="1">
        <f t="array" ref="S147">INDEX('EpisodeEvent-ConceptMap-1'!$I$15:$N$124,Q147+1,R147)</f>
        <v>0</v>
      </c>
    </row>
    <row r="148" spans="16:19">
      <c r="P148" s="11">
        <v>134</v>
      </c>
      <c r="Q148" s="11">
        <f t="shared" si="23"/>
        <v>22</v>
      </c>
      <c r="R148" s="11">
        <f t="shared" si="24"/>
        <v>2</v>
      </c>
      <c r="S148" s="12" cm="1">
        <f t="array" ref="S148">INDEX('EpisodeEvent-ConceptMap-1'!$I$15:$N$124,Q148+1,R148)</f>
        <v>0</v>
      </c>
    </row>
    <row r="149" spans="16:19">
      <c r="P149" s="11">
        <v>135</v>
      </c>
      <c r="Q149" s="11">
        <f t="shared" si="23"/>
        <v>22</v>
      </c>
      <c r="R149" s="11">
        <f t="shared" si="24"/>
        <v>3</v>
      </c>
      <c r="S149" s="12" cm="1">
        <f t="array" ref="S149">INDEX('EpisodeEvent-ConceptMap-1'!$I$15:$N$124,Q149+1,R149)</f>
        <v>0</v>
      </c>
    </row>
    <row r="150" spans="16:19">
      <c r="P150" s="11">
        <v>136</v>
      </c>
      <c r="Q150" s="11">
        <f t="shared" si="23"/>
        <v>22</v>
      </c>
      <c r="R150" s="11">
        <f t="shared" si="24"/>
        <v>4</v>
      </c>
      <c r="S150" s="12" cm="1">
        <f t="array" ref="S150">INDEX('EpisodeEvent-ConceptMap-1'!$I$15:$N$124,Q150+1,R150)</f>
        <v>0</v>
      </c>
    </row>
    <row r="151" spans="16:19">
      <c r="P151" s="11">
        <v>137</v>
      </c>
      <c r="Q151" s="11">
        <f t="shared" si="23"/>
        <v>22</v>
      </c>
      <c r="R151" s="11">
        <f t="shared" si="24"/>
        <v>5</v>
      </c>
      <c r="S151" s="12" cm="1">
        <f t="array" ref="S151">INDEX('EpisodeEvent-ConceptMap-1'!$I$15:$N$124,Q151+1,R151)</f>
        <v>0</v>
      </c>
    </row>
    <row r="152" spans="16:19">
      <c r="P152" s="11">
        <v>138</v>
      </c>
      <c r="Q152" s="11">
        <f t="shared" si="23"/>
        <v>22</v>
      </c>
      <c r="R152" s="11">
        <f t="shared" si="24"/>
        <v>6</v>
      </c>
      <c r="S152" s="12" cm="1">
        <f t="array" ref="S152">INDEX('EpisodeEvent-ConceptMap-1'!$I$15:$N$124,Q152+1,R152)</f>
        <v>0</v>
      </c>
    </row>
    <row r="153" spans="16:19">
      <c r="P153" s="11">
        <v>139</v>
      </c>
      <c r="Q153" s="11">
        <f t="shared" si="23"/>
        <v>23</v>
      </c>
      <c r="R153" s="11">
        <f t="shared" si="24"/>
        <v>1</v>
      </c>
      <c r="S153" s="12" cm="1">
        <f t="array" ref="S153">INDEX('EpisodeEvent-ConceptMap-1'!$I$15:$N$124,Q153+1,R153)</f>
        <v>0</v>
      </c>
    </row>
    <row r="154" spans="16:19">
      <c r="P154" s="11">
        <v>140</v>
      </c>
      <c r="Q154" s="11">
        <f t="shared" si="23"/>
        <v>23</v>
      </c>
      <c r="R154" s="11">
        <f t="shared" si="24"/>
        <v>2</v>
      </c>
      <c r="S154" s="12" cm="1">
        <f t="array" ref="S154">INDEX('EpisodeEvent-ConceptMap-1'!$I$15:$N$124,Q154+1,R154)</f>
        <v>0</v>
      </c>
    </row>
    <row r="155" spans="16:19">
      <c r="P155" s="11">
        <v>141</v>
      </c>
      <c r="Q155" s="11">
        <f t="shared" si="23"/>
        <v>23</v>
      </c>
      <c r="R155" s="11">
        <f t="shared" si="24"/>
        <v>3</v>
      </c>
      <c r="S155" s="12" cm="1">
        <f t="array" ref="S155">INDEX('EpisodeEvent-ConceptMap-1'!$I$15:$N$124,Q155+1,R155)</f>
        <v>0</v>
      </c>
    </row>
    <row r="156" spans="16:19">
      <c r="P156" s="11">
        <v>142</v>
      </c>
      <c r="Q156" s="11">
        <f t="shared" si="23"/>
        <v>23</v>
      </c>
      <c r="R156" s="11">
        <f t="shared" si="24"/>
        <v>4</v>
      </c>
      <c r="S156" s="12" cm="1">
        <f t="array" ref="S156">INDEX('EpisodeEvent-ConceptMap-1'!$I$15:$N$124,Q156+1,R156)</f>
        <v>0</v>
      </c>
    </row>
    <row r="157" spans="16:19">
      <c r="P157" s="11">
        <v>143</v>
      </c>
      <c r="Q157" s="11">
        <f t="shared" si="23"/>
        <v>23</v>
      </c>
      <c r="R157" s="11">
        <f t="shared" si="24"/>
        <v>5</v>
      </c>
      <c r="S157" s="12" cm="1">
        <f t="array" ref="S157">INDEX('EpisodeEvent-ConceptMap-1'!$I$15:$N$124,Q157+1,R157)</f>
        <v>0</v>
      </c>
    </row>
    <row r="158" spans="16:19">
      <c r="P158" s="11">
        <v>144</v>
      </c>
      <c r="Q158" s="11">
        <f t="shared" si="23"/>
        <v>23</v>
      </c>
      <c r="R158" s="11">
        <f t="shared" si="24"/>
        <v>6</v>
      </c>
      <c r="S158" s="12" cm="1">
        <f t="array" ref="S158">INDEX('EpisodeEvent-ConceptMap-1'!$I$15:$N$124,Q158+1,R158)</f>
        <v>0</v>
      </c>
    </row>
    <row r="159" spans="16:19">
      <c r="P159" s="11">
        <v>145</v>
      </c>
      <c r="Q159" s="11">
        <f t="shared" si="23"/>
        <v>24</v>
      </c>
      <c r="R159" s="11">
        <f t="shared" si="24"/>
        <v>1</v>
      </c>
      <c r="S159" s="12" cm="1">
        <f t="array" ref="S159">INDEX('EpisodeEvent-ConceptMap-1'!$I$15:$N$124,Q159+1,R159)</f>
        <v>0</v>
      </c>
    </row>
    <row r="160" spans="16:19">
      <c r="P160" s="11">
        <v>146</v>
      </c>
      <c r="Q160" s="11">
        <f t="shared" si="23"/>
        <v>24</v>
      </c>
      <c r="R160" s="11">
        <f t="shared" si="24"/>
        <v>2</v>
      </c>
      <c r="S160" s="12" cm="1">
        <f t="array" ref="S160">INDEX('EpisodeEvent-ConceptMap-1'!$I$15:$N$124,Q160+1,R160)</f>
        <v>0</v>
      </c>
    </row>
    <row r="161" spans="16:19">
      <c r="P161" s="11">
        <v>147</v>
      </c>
      <c r="Q161" s="11">
        <f t="shared" si="23"/>
        <v>24</v>
      </c>
      <c r="R161" s="11">
        <f t="shared" si="24"/>
        <v>3</v>
      </c>
      <c r="S161" s="12" cm="1">
        <f t="array" ref="S161">INDEX('EpisodeEvent-ConceptMap-1'!$I$15:$N$124,Q161+1,R161)</f>
        <v>0</v>
      </c>
    </row>
    <row r="162" spans="16:19">
      <c r="P162" s="11">
        <v>148</v>
      </c>
      <c r="Q162" s="11">
        <f t="shared" si="23"/>
        <v>24</v>
      </c>
      <c r="R162" s="11">
        <f t="shared" si="24"/>
        <v>4</v>
      </c>
      <c r="S162" s="12" cm="1">
        <f t="array" ref="S162">INDEX('EpisodeEvent-ConceptMap-1'!$I$15:$N$124,Q162+1,R162)</f>
        <v>0</v>
      </c>
    </row>
    <row r="163" spans="16:19">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2102</v>
      </c>
    </row>
    <row r="3" spans="2:7">
      <c r="B3" s="24" t="s">
        <v>20</v>
      </c>
    </row>
    <row r="4" spans="2:7">
      <c r="B4" s="65" t="str">
        <f>"Instance: "&amp;'EpisodeEvent-ConceptMap-1'!C4</f>
        <v>Instance: episodeEvent2FHIR</v>
      </c>
    </row>
    <row r="5" spans="2:7">
      <c r="B5" s="65" t="s">
        <v>1447</v>
      </c>
    </row>
    <row r="6" spans="2:7">
      <c r="B6" s="65" t="s">
        <v>1438</v>
      </c>
    </row>
    <row r="7" spans="2:7">
      <c r="B7" s="65" t="s">
        <v>1798</v>
      </c>
    </row>
    <row r="8" spans="2:7">
      <c r="B8" s="65" t="str">
        <f>"* name = ##34#"&amp;'EpisodeEvent-ConceptMap-1'!C3&amp;"##34#"</f>
        <v>* name = ##34#EpisodeEvent2FHIR##34#</v>
      </c>
    </row>
    <row r="9" spans="2:7">
      <c r="B9" s="65" t="str">
        <f>"* title = ##34#"&amp;'EpisodeEvent-ConceptMap-1'!C5&amp;"##34#"</f>
        <v>* title = ##34#Episode Event Model to this guide Map##34#</v>
      </c>
    </row>
    <row r="10" spans="2:7">
      <c r="B10" s="65" t="s">
        <v>1439</v>
      </c>
    </row>
    <row r="11" spans="2:7">
      <c r="B11" s="65" t="s">
        <v>1440</v>
      </c>
    </row>
    <row r="12" spans="2:7">
      <c r="B12" s="65" t="str">
        <f>"* description = ##34#"&amp;'EpisodeEvent-ConceptMap-1'!C8&amp;"##34#"</f>
        <v>* description = ##34#Episode Event Model to this guide Map##34#</v>
      </c>
    </row>
    <row r="13" spans="2:7">
      <c r="B13" s="65" t="str">
        <f>"* purpose = ##34#"&amp;'EpisodeEvent-ConceptMap-1'!C9&amp;"##34#"</f>
        <v>* purpose = ##34#It shows how the Episode Event model is mapped into this guide##34#</v>
      </c>
    </row>
    <row r="14" spans="2:7">
      <c r="B14" s="69" t="str">
        <f>"* sourceUri = ##34#"&amp;'EpisodeEvent-ConceptMap-1'!E3&amp;"##34#"</f>
        <v>* sourceUri = ##34#http://hl7.eu/fhir/ig/idea4rc/StructureDefinition/EpisodeEvent##34#</v>
      </c>
    </row>
    <row r="15" spans="2:7">
      <c r="B15" s="69" t="str">
        <f>"* targetUri = ##34#"&amp;'EpisodeEvent-ConceptMap-1'!E4&amp;"##34#"</f>
        <v>* targetUri = ##34#http://hl7.eu/fhir/ig/idea4rc/StructureDefinition/Condition-primaryCancer-eu-i4rc##34#</v>
      </c>
    </row>
    <row r="16" spans="2:7">
      <c r="B16" s="68" t="str">
        <f>"* group[+].source = ##34#"&amp;'EpisodeEvent-ConceptMap-1'!E6&amp;"##34#"</f>
        <v>* group[+].source = ##34#http://hl7.eu/fhir/ig/idea4rc/StructureDefinition/EpisodeEvent##34#</v>
      </c>
    </row>
    <row r="17" spans="2:7">
      <c r="B17" s="68" t="str">
        <f>"* group[=].target = ##34#"&amp;'EpisodeEvent-ConceptMap-1'!E7&amp;"##34#"</f>
        <v>* group[=].target = ##34#http://hl7.eu/fhir/ig/idea4rc/StructureDefinition/Condition-primaryCancer-eu-i4rc##34#</v>
      </c>
    </row>
    <row r="18" spans="2:7">
      <c r="B18" s="122"/>
    </row>
    <row r="19" spans="2:7">
      <c r="B19" s="12" t="str">
        <f>IF('EpisodeEvent-ConceptMap-1'!S15=0,"//---END",'EpisodeEvent-ConceptMap-1'!S15)</f>
        <v>* group[=].element[+].code = #EpisodeEvent.cancerEpisode</v>
      </c>
    </row>
    <row r="20" spans="2:7">
      <c r="B20" s="12" t="str">
        <f>IF('EpisodeEvent-ConceptMap-1'!S16=0,"//---END",'EpisodeEvent-ConceptMap-1'!S16)</f>
        <v>* group[=].element[=].display = ##34#Cancer Episode Reference##34#</v>
      </c>
    </row>
    <row r="21" spans="2:7">
      <c r="B21" s="12" t="str">
        <f>IF('EpisodeEvent-ConceptMap-1'!S17=0,"//---END",'EpisodeEvent-ConceptMap-1'!S17)</f>
        <v>* group[=].element[=].target.code = #Condition.extension:condition-occurredFollowing</v>
      </c>
    </row>
    <row r="22" spans="2:7">
      <c r="B22" s="12" t="str">
        <f>IF('EpisodeEvent-ConceptMap-1'!S18=0,"//---END",'EpisodeEvent-ConceptMap-1'!S18)</f>
        <v>* group[=].element[=].target.display = ##34###34#</v>
      </c>
    </row>
    <row r="23" spans="2:7">
      <c r="B23" s="12" t="str">
        <f>IF('EpisodeEvent-ConceptMap-1'!S19=0,"//---END",'EpisodeEvent-ConceptMap-1'!S19)</f>
        <v>* group[=].element[=].target.equivalence = #equivalent</v>
      </c>
    </row>
    <row r="24" spans="2:7">
      <c r="B24" s="12" t="str">
        <f>IF('EpisodeEvent-ConceptMap-1'!S20=0,"//---END",'EpisodeEvent-ConceptMap-1'!S20)</f>
        <v>* group[=].element[=].target.comment = ##34#if not 'Baseline'##34#</v>
      </c>
      <c r="G24" s="7"/>
    </row>
    <row r="25" spans="2:7">
      <c r="B25" s="12" t="str">
        <f>IF('EpisodeEvent-ConceptMap-1'!S21=0,"//---END",'EpisodeEvent-ConceptMap-1'!S21)</f>
        <v>* group[=].element[+].code = #EpisodeEvent.cancerEpisode</v>
      </c>
    </row>
    <row r="26" spans="2:7">
      <c r="B26" s="12" t="str">
        <f>IF('EpisodeEvent-ConceptMap-1'!S22=0,"//---END",'EpisodeEvent-ConceptMap-1'!S22)</f>
        <v>* group[=].element[=].display = ##34#Cancer Episode Reference##34#</v>
      </c>
    </row>
    <row r="27" spans="2:7">
      <c r="B27" s="12" t="str">
        <f>IF('EpisodeEvent-ConceptMap-1'!S23=0,"//---END",'EpisodeEvent-ConceptMap-1'!S23)</f>
        <v>* group[=].element[=].target.code = #Condition.</v>
      </c>
    </row>
    <row r="28" spans="2:7">
      <c r="B28" s="12" t="str">
        <f>IF('EpisodeEvent-ConceptMap-1'!S24=0,"//---END",'EpisodeEvent-ConceptMap-1'!S24)</f>
        <v>* group[=].element[=].target.display = ##34###34#</v>
      </c>
    </row>
    <row r="29" spans="2:7">
      <c r="B29" s="12" t="str">
        <f>IF('EpisodeEvent-ConceptMap-1'!S25=0,"//---END",'EpisodeEvent-ConceptMap-1'!S25)</f>
        <v>* group[=].element[=].target.equivalence = #equivalent</v>
      </c>
    </row>
    <row r="30" spans="2:7">
      <c r="B30" s="12" t="str">
        <f>IF('EpisodeEvent-ConceptMap-1'!S26=0,"//---END",'EpisodeEvent-ConceptMap-1'!S26)</f>
        <v>* group[=].element[=].target.comment = ##34#If 'Baseline': new Condition##34#</v>
      </c>
    </row>
    <row r="31" spans="2:7">
      <c r="B31" s="12" t="str">
        <f>IF('EpisodeEvent-ConceptMap-1'!S27=0,"//---END",'EpisodeEvent-ConceptMap-1'!S27)</f>
        <v>* group[=].element[+].code = #EpisodeEvent.eventType</v>
      </c>
    </row>
    <row r="32" spans="2:7">
      <c r="B32" s="12" t="str">
        <f>IF('EpisodeEvent-ConceptMap-1'!S28=0,"//---END",'EpisodeEvent-ConceptMap-1'!S28)</f>
        <v>* group[=].element[=].display = ##34#Event type##34#</v>
      </c>
    </row>
    <row r="33" spans="2:2">
      <c r="B33" s="12" t="str">
        <f>IF('EpisodeEvent-ConceptMap-1'!S29=0,"//---END",'EpisodeEvent-ConceptMap-1'!S29)</f>
        <v>* group[=].element[=].target.code = #Condition.clinicalStatus</v>
      </c>
    </row>
    <row r="34" spans="2:2">
      <c r="B34" s="12" t="str">
        <f>IF('EpisodeEvent-ConceptMap-1'!S30=0,"//---END",'EpisodeEvent-ConceptMap-1'!S30)</f>
        <v>* group[=].element[=].target.display = ##34###34#</v>
      </c>
    </row>
    <row r="35" spans="2:2">
      <c r="B35" s="12" t="str">
        <f>IF('EpisodeEvent-ConceptMap-1'!S31=0,"//---END",'EpisodeEvent-ConceptMap-1'!S31)</f>
        <v>* group[=].element[=].target.equivalence = #relatedto</v>
      </c>
    </row>
    <row r="36" spans="2:2" ht="73.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c r="B37" s="12" t="str">
        <f>IF('EpisodeEvent-ConceptMap-1'!S33=0,"//---END",'EpisodeEvent-ConceptMap-1'!S33)</f>
        <v>* group[=].element[+].code = #EpisodeEvent.definedAt</v>
      </c>
    </row>
    <row r="38" spans="2:2">
      <c r="B38" s="12" t="str">
        <f>IF('EpisodeEvent-ConceptMap-1'!S34=0,"//---END",'EpisodeEvent-ConceptMap-1'!S34)</f>
        <v>* group[=].element[=].display = ##34#Defined At##34#</v>
      </c>
    </row>
    <row r="39" spans="2:2">
      <c r="B39" s="12" t="str">
        <f>IF('EpisodeEvent-ConceptMap-1'!S35=0,"//---END",'EpisodeEvent-ConceptMap-1'!S35)</f>
        <v>* group[=].element[=].target.code = #Condition.</v>
      </c>
    </row>
    <row r="40" spans="2:2">
      <c r="B40" s="12" t="str">
        <f>IF('EpisodeEvent-ConceptMap-1'!S36=0,"//---END",'EpisodeEvent-ConceptMap-1'!S36)</f>
        <v>* group[=].element[=].target.display = ##34###34#</v>
      </c>
    </row>
    <row r="41" spans="2:2">
      <c r="B41" s="12" t="str">
        <f>IF('EpisodeEvent-ConceptMap-1'!S37=0,"//---END",'EpisodeEvent-ConceptMap-1'!S37)</f>
        <v>* group[=].element[=].target.equivalence = #relatedto</v>
      </c>
    </row>
    <row r="42" spans="2:2">
      <c r="B42" s="12" t="str">
        <f>IF('EpisodeEvent-ConceptMap-1'!S38=0,"//---END",'EpisodeEvent-ConceptMap-1'!S38)</f>
        <v>* group[=].element[=].target.comment = ##34#CONCEPT TO BE CLARIFIED##34#</v>
      </c>
    </row>
    <row r="43" spans="2:2">
      <c r="B43" s="12" t="str">
        <f>IF('EpisodeEvent-ConceptMap-1'!S39=0,"//---END",'EpisodeEvent-ConceptMap-1'!S39)</f>
        <v>* group[=].element[+].code = #EpisodeEvent.dateOfEpisode</v>
      </c>
    </row>
    <row r="44" spans="2:2">
      <c r="B44" s="12" t="str">
        <f>IF('EpisodeEvent-ConceptMap-1'!S40=0,"//---END",'EpisodeEvent-ConceptMap-1'!S40)</f>
        <v>* group[=].element[=].display = ##34#Date of episode##34#</v>
      </c>
    </row>
    <row r="45" spans="2:2">
      <c r="B45" s="12" t="str">
        <f>IF('EpisodeEvent-ConceptMap-1'!S41=0,"//---END",'EpisodeEvent-ConceptMap-1'!S41)</f>
        <v>* group[=].element[=].target.code = #Condition.effectivePeriod.start</v>
      </c>
    </row>
    <row r="46" spans="2:2">
      <c r="B46" s="12" t="str">
        <f>IF('EpisodeEvent-ConceptMap-1'!S42=0,"//---END",'EpisodeEvent-ConceptMap-1'!S42)</f>
        <v>* group[=].element[=].target.display = ##34###34#</v>
      </c>
    </row>
    <row r="47" spans="2:2">
      <c r="B47" s="12" t="str">
        <f>IF('EpisodeEvent-ConceptMap-1'!S43=0,"//---END",'EpisodeEvent-ConceptMap-1'!S43)</f>
        <v>* group[=].element[=].target.equivalence = #equal</v>
      </c>
    </row>
    <row r="48" spans="2:2">
      <c r="B48" s="12" t="str">
        <f>IF('EpisodeEvent-ConceptMap-1'!S44=0,"//---END",'EpisodeEvent-ConceptMap-1'!S44)</f>
        <v/>
      </c>
    </row>
    <row r="49" spans="2:2">
      <c r="B49" s="12" t="str">
        <f>IF('EpisodeEvent-ConceptMap-1'!S45=0,"//---END",'EpisodeEvent-ConceptMap-1'!S45)</f>
        <v>* group[=].element[+].code = #EpisodeEvent.isLocal</v>
      </c>
    </row>
    <row r="50" spans="2:2">
      <c r="B50" s="12" t="str">
        <f>IF('EpisodeEvent-ConceptMap-1'!S46=0,"//---END",'EpisodeEvent-ConceptMap-1'!S46)</f>
        <v>* group[=].element[=].display = ##34#Is local##34#</v>
      </c>
    </row>
    <row r="51" spans="2:2">
      <c r="B51" s="12" t="str">
        <f>IF('EpisodeEvent-ConceptMap-1'!S47=0,"//---END",'EpisodeEvent-ConceptMap-1'!S47)</f>
        <v>* group[=].element[=].target.code = #Condition.extension:relapseType</v>
      </c>
    </row>
    <row r="52" spans="2:2">
      <c r="B52" s="12" t="str">
        <f>IF('EpisodeEvent-ConceptMap-1'!S48=0,"//---END",'EpisodeEvent-ConceptMap-1'!S48)</f>
        <v>* group[=].element[=].target.display = ##34###34#</v>
      </c>
    </row>
    <row r="53" spans="2:2">
      <c r="B53" s="12" t="str">
        <f>IF('EpisodeEvent-ConceptMap-1'!S49=0,"//---END",'EpisodeEvent-ConceptMap-1'!S49)</f>
        <v>* group[=].element[=].target.equivalence = #relatedto</v>
      </c>
    </row>
    <row r="54" spans="2:2">
      <c r="B54" s="12" t="str">
        <f>IF('EpisodeEvent-ConceptMap-1'!S50=0,"//---END",'EpisodeEvent-ConceptMap-1'!S50)</f>
        <v>* group[=].element[=].target.comment = ##34#to be further analized##34#</v>
      </c>
    </row>
    <row r="55" spans="2:2">
      <c r="B55" s="12" t="str">
        <f>IF('EpisodeEvent-ConceptMap-1'!S51=0,"//---END",'EpisodeEvent-ConceptMap-1'!S51)</f>
        <v>* group[=].element[+].code = #EpisodeEvent.isRegional</v>
      </c>
    </row>
    <row r="56" spans="2:2">
      <c r="B56" s="12" t="str">
        <f>IF('EpisodeEvent-ConceptMap-1'!S52=0,"//---END",'EpisodeEvent-ConceptMap-1'!S52)</f>
        <v>* group[=].element[=].display = ##34#Is regional##34#</v>
      </c>
    </row>
    <row r="57" spans="2:2">
      <c r="B57" s="12" t="str">
        <f>IF('EpisodeEvent-ConceptMap-1'!S53=0,"//---END",'EpisodeEvent-ConceptMap-1'!S53)</f>
        <v>* group[=].element[=].target.code = #Condition.extension:relapseType</v>
      </c>
    </row>
    <row r="58" spans="2:2">
      <c r="B58" s="12" t="str">
        <f>IF('EpisodeEvent-ConceptMap-1'!S54=0,"//---END",'EpisodeEvent-ConceptMap-1'!S54)</f>
        <v>* group[=].element[=].target.display = ##34###34#</v>
      </c>
    </row>
    <row r="59" spans="2:2">
      <c r="B59" s="12" t="str">
        <f>IF('EpisodeEvent-ConceptMap-1'!S55=0,"//---END",'EpisodeEvent-ConceptMap-1'!S55)</f>
        <v>* group[=].element[=].target.equivalence = #relatedto</v>
      </c>
    </row>
    <row r="60" spans="2:2">
      <c r="B60" s="12" t="str">
        <f>IF('EpisodeEvent-ConceptMap-1'!S56=0,"//---END",'EpisodeEvent-ConceptMap-1'!S56)</f>
        <v>* group[=].element[=].target.comment = ##34#to be further analized##34#</v>
      </c>
    </row>
    <row r="61" spans="2:2">
      <c r="B61" s="12" t="str">
        <f>IF('EpisodeEvent-ConceptMap-1'!S57=0,"//---END",'EpisodeEvent-ConceptMap-1'!S57)</f>
        <v>* group[=].element[+].code = #EpisodeEvent.isMetastatic</v>
      </c>
    </row>
    <row r="62" spans="2:2">
      <c r="B62" s="12" t="str">
        <f>IF('EpisodeEvent-ConceptMap-1'!S58=0,"//---END",'EpisodeEvent-ConceptMap-1'!S58)</f>
        <v>* group[=].element[=].display = ##34#Is metastatic##34#</v>
      </c>
    </row>
    <row r="63" spans="2:2">
      <c r="B63" s="12" t="str">
        <f>IF('EpisodeEvent-ConceptMap-1'!S59=0,"//---END",'EpisodeEvent-ConceptMap-1'!S59)</f>
        <v>* group[=].element[=].target.code = #Condition.extension:relapseType</v>
      </c>
    </row>
    <row r="64" spans="2:2">
      <c r="B64" s="12" t="str">
        <f>IF('EpisodeEvent-ConceptMap-1'!S60=0,"//---END",'EpisodeEvent-ConceptMap-1'!S60)</f>
        <v>* group[=].element[=].target.display = ##34###34#</v>
      </c>
    </row>
    <row r="65" spans="2:2">
      <c r="B65" s="12" t="str">
        <f>IF('EpisodeEvent-ConceptMap-1'!S61=0,"//---END",'EpisodeEvent-ConceptMap-1'!S61)</f>
        <v>* group[=].element[=].target.equivalence = #relatedto</v>
      </c>
    </row>
    <row r="66" spans="2:2">
      <c r="B66" s="12" t="str">
        <f>IF('EpisodeEvent-ConceptMap-1'!S62=0,"//---END",'EpisodeEvent-ConceptMap-1'!S62)</f>
        <v>* group[=].element[=].target.comment = ##34#to be further analized##34#</v>
      </c>
    </row>
    <row r="67" spans="2:2">
      <c r="B67" s="12" t="str">
        <f>IF('EpisodeEvent-ConceptMap-1'!S63=0,"//---END",'EpisodeEvent-ConceptMap-1'!S63)</f>
        <v>* group[=].element[+].code = #EpisodeEvent.siteOfMetastasis</v>
      </c>
    </row>
    <row r="68" spans="2:2">
      <c r="B68" s="12" t="str">
        <f>IF('EpisodeEvent-ConceptMap-1'!S64=0,"//---END",'EpisodeEvent-ConceptMap-1'!S64)</f>
        <v>* group[=].element[=].display = ##34#Site of metastasis##34#</v>
      </c>
    </row>
    <row r="69" spans="2:2">
      <c r="B69" s="12" t="str">
        <f>IF('EpisodeEvent-ConceptMap-1'!S65=0,"//---END",'EpisodeEvent-ConceptMap-1'!S65)</f>
        <v>* group[=].element[=].target.code = #Condition.bodySite</v>
      </c>
    </row>
    <row r="70" spans="2:2">
      <c r="B70" s="12" t="str">
        <f>IF('EpisodeEvent-ConceptMap-1'!S66=0,"//---END",'EpisodeEvent-ConceptMap-1'!S66)</f>
        <v>* group[=].element[=].target.display = ##34###34#</v>
      </c>
    </row>
    <row r="71" spans="2:2">
      <c r="B71" s="12" t="str">
        <f>IF('EpisodeEvent-ConceptMap-1'!S67=0,"//---END",'EpisodeEvent-ConceptMap-1'!S67)</f>
        <v>* group[=].element[=].target.equivalence = #relatedto</v>
      </c>
    </row>
    <row r="72" spans="2:2" ht="29.5">
      <c r="B72" s="12" t="str">
        <f>IF('EpisodeEvent-ConceptMap-1'!S68=0,"//---END",'EpisodeEvent-ConceptMap-1'!S68)</f>
        <v>* group[=].element[=].target.comment = ##34#Condition conforming to http://hl7.eu/fhir/ig/idea4rc/StructureDefinition/Condition-secondaryCancer-eu-i4rc##34#</v>
      </c>
    </row>
    <row r="73" spans="2:2">
      <c r="B73" s="12" t="str">
        <f>IF('EpisodeEvent-ConceptMap-1'!S69=0,"//---END",'EpisodeEvent-ConceptMap-1'!S69)</f>
        <v>* group[=].element[+].code = #EpisodeEvent.siteOfMetastasis.softTissue</v>
      </c>
    </row>
    <row r="74" spans="2:2">
      <c r="B74" s="12" t="str">
        <f>IF('EpisodeEvent-ConceptMap-1'!S70=0,"//---END",'EpisodeEvent-ConceptMap-1'!S70)</f>
        <v>* group[=].element[=].display = ##34#Site of metastasis_soft tissue##34#</v>
      </c>
    </row>
    <row r="75" spans="2:2">
      <c r="B75" s="12" t="str">
        <f>IF('EpisodeEvent-ConceptMap-1'!S71=0,"//---END",'EpisodeEvent-ConceptMap-1'!S71)</f>
        <v>* group[=].element[=].target.code = #Condition.bodySite</v>
      </c>
    </row>
    <row r="76" spans="2:2">
      <c r="B76" s="12" t="str">
        <f>IF('EpisodeEvent-ConceptMap-1'!S72=0,"//---END",'EpisodeEvent-ConceptMap-1'!S72)</f>
        <v>* group[=].element[=].target.display = ##34###34#</v>
      </c>
    </row>
    <row r="77" spans="2:2">
      <c r="B77" s="12" t="str">
        <f>IF('EpisodeEvent-ConceptMap-1'!S73=0,"//---END",'EpisodeEvent-ConceptMap-1'!S73)</f>
        <v>* group[=].element[=].target.equivalence = #relatedto</v>
      </c>
    </row>
    <row r="78" spans="2:2">
      <c r="B78" s="12" t="str">
        <f>IF('EpisodeEvent-ConceptMap-1'!S74=0,"//---END",'EpisodeEvent-ConceptMap-1'!S74)</f>
        <v/>
      </c>
    </row>
    <row r="79" spans="2:2">
      <c r="B79" s="12" t="str">
        <f>IF('EpisodeEvent-ConceptMap-1'!S75=0,"//---END",'EpisodeEvent-ConceptMap-1'!S75)</f>
        <v>* group[=].element[+].code = #EpisodeEvent.siteOfMetastasis.distantLymphNodes</v>
      </c>
    </row>
    <row r="80" spans="2:2">
      <c r="B80" s="12" t="str">
        <f>IF('EpisodeEvent-ConceptMap-1'!S76=0,"//---END",'EpisodeEvent-ConceptMap-1'!S76)</f>
        <v>* group[=].element[=].display = ##34#Site of metastasis_distant lymph nodes##34#</v>
      </c>
    </row>
    <row r="81" spans="2:2">
      <c r="B81" s="12" t="str">
        <f>IF('EpisodeEvent-ConceptMap-1'!S77=0,"//---END",'EpisodeEvent-ConceptMap-1'!S77)</f>
        <v>* group[=].element[=].target.code = #Condition.bodySite</v>
      </c>
    </row>
    <row r="82" spans="2:2">
      <c r="B82" s="12" t="str">
        <f>IF('EpisodeEvent-ConceptMap-1'!S78=0,"//---END",'EpisodeEvent-ConceptMap-1'!S78)</f>
        <v>* group[=].element[=].target.display = ##34###34#</v>
      </c>
    </row>
    <row r="83" spans="2:2">
      <c r="B83" s="12" t="str">
        <f>IF('EpisodeEvent-ConceptMap-1'!S79=0,"//---END",'EpisodeEvent-ConceptMap-1'!S79)</f>
        <v>* group[=].element[=].target.equivalence = #relatedto</v>
      </c>
    </row>
    <row r="84" spans="2:2">
      <c r="B84" s="12" t="str">
        <f>IF('EpisodeEvent-ConceptMap-1'!S80=0,"//---END",'EpisodeEvent-ConceptMap-1'!S80)</f>
        <v/>
      </c>
    </row>
    <row r="85" spans="2:2">
      <c r="B85" s="12" t="str">
        <f>IF('EpisodeEvent-ConceptMap-1'!S81=0,"//---END",'EpisodeEvent-ConceptMap-1'!S81)</f>
        <v>* group[=].element[+].code = #EpisodeEvent.siteOfMetastasis.lung</v>
      </c>
    </row>
    <row r="86" spans="2:2">
      <c r="B86" s="12" t="str">
        <f>IF('EpisodeEvent-ConceptMap-1'!S82=0,"//---END",'EpisodeEvent-ConceptMap-1'!S82)</f>
        <v>* group[=].element[=].display = ##34#Site of metastasis_lung##34#</v>
      </c>
    </row>
    <row r="87" spans="2:2">
      <c r="B87" s="12" t="str">
        <f>IF('EpisodeEvent-ConceptMap-1'!S83=0,"//---END",'EpisodeEvent-ConceptMap-1'!S83)</f>
        <v>* group[=].element[=].target.code = #Condition.bodySite</v>
      </c>
    </row>
    <row r="88" spans="2:2">
      <c r="B88" s="12" t="str">
        <f>IF('EpisodeEvent-ConceptMap-1'!S84=0,"//---END",'EpisodeEvent-ConceptMap-1'!S84)</f>
        <v>* group[=].element[=].target.display = ##34###34#</v>
      </c>
    </row>
    <row r="89" spans="2:2">
      <c r="B89" s="12" t="str">
        <f>IF('EpisodeEvent-ConceptMap-1'!S85=0,"//---END",'EpisodeEvent-ConceptMap-1'!S85)</f>
        <v>* group[=].element[=].target.equivalence = #relatedto</v>
      </c>
    </row>
    <row r="90" spans="2:2">
      <c r="B90" s="12" t="str">
        <f>IF('EpisodeEvent-ConceptMap-1'!S86=0,"//---END",'EpisodeEvent-ConceptMap-1'!S86)</f>
        <v/>
      </c>
    </row>
    <row r="91" spans="2:2">
      <c r="B91" s="12" t="str">
        <f>IF('EpisodeEvent-ConceptMap-1'!S87=0,"//---END",'EpisodeEvent-ConceptMap-1'!S87)</f>
        <v>* group[=].element[+].code = #EpisodeEvent.siteOfMetastasis.bone</v>
      </c>
    </row>
    <row r="92" spans="2:2">
      <c r="B92" s="12" t="str">
        <f>IF('EpisodeEvent-ConceptMap-1'!S88=0,"//---END",'EpisodeEvent-ConceptMap-1'!S88)</f>
        <v>* group[=].element[=].display = ##34#Site of metastasis_bone##34#</v>
      </c>
    </row>
    <row r="93" spans="2:2">
      <c r="B93" s="12" t="str">
        <f>IF('EpisodeEvent-ConceptMap-1'!S89=0,"//---END",'EpisodeEvent-ConceptMap-1'!S89)</f>
        <v>* group[=].element[=].target.code = #Condition.bodySite</v>
      </c>
    </row>
    <row r="94" spans="2:2">
      <c r="B94" s="12" t="str">
        <f>IF('EpisodeEvent-ConceptMap-1'!S90=0,"//---END",'EpisodeEvent-ConceptMap-1'!S90)</f>
        <v>* group[=].element[=].target.display = ##34###34#</v>
      </c>
    </row>
    <row r="95" spans="2:2">
      <c r="B95" s="12" t="str">
        <f>IF('EpisodeEvent-ConceptMap-1'!S91=0,"//---END",'EpisodeEvent-ConceptMap-1'!S91)</f>
        <v>* group[=].element[=].target.equivalence = #relatedto</v>
      </c>
    </row>
    <row r="96" spans="2:2">
      <c r="B96" s="12" t="str">
        <f>IF('EpisodeEvent-ConceptMap-1'!S92=0,"//---END",'EpisodeEvent-ConceptMap-1'!S92)</f>
        <v/>
      </c>
    </row>
    <row r="97" spans="2:2">
      <c r="B97" s="12" t="str">
        <f>IF('EpisodeEvent-ConceptMap-1'!S93=0,"//---END",'EpisodeEvent-ConceptMap-1'!S93)</f>
        <v>* group[=].element[+].code = #EpisodeEvent.siteOfMetastasis.liver</v>
      </c>
    </row>
    <row r="98" spans="2:2">
      <c r="B98" s="12" t="str">
        <f>IF('EpisodeEvent-ConceptMap-1'!S94=0,"//---END",'EpisodeEvent-ConceptMap-1'!S94)</f>
        <v>* group[=].element[=].display = ##34#Site of metastasis_liver##34#</v>
      </c>
    </row>
    <row r="99" spans="2:2">
      <c r="B99" s="12" t="str">
        <f>IF('EpisodeEvent-ConceptMap-1'!S95=0,"//---END",'EpisodeEvent-ConceptMap-1'!S95)</f>
        <v>* group[=].element[=].target.code = #Condition.bodySite</v>
      </c>
    </row>
    <row r="100" spans="2:2">
      <c r="B100" s="12" t="str">
        <f>IF('EpisodeEvent-ConceptMap-1'!S96=0,"//---END",'EpisodeEvent-ConceptMap-1'!S96)</f>
        <v>* group[=].element[=].target.display = ##34###34#</v>
      </c>
    </row>
    <row r="101" spans="2:2">
      <c r="B101" s="12" t="str">
        <f>IF('EpisodeEvent-ConceptMap-1'!S97=0,"//---END",'EpisodeEvent-ConceptMap-1'!S97)</f>
        <v>* group[=].element[=].target.equivalence = #relatedto</v>
      </c>
    </row>
    <row r="102" spans="2:2">
      <c r="B102" s="12" t="str">
        <f>IF('EpisodeEvent-ConceptMap-1'!S98=0,"//---END",'EpisodeEvent-ConceptMap-1'!S98)</f>
        <v/>
      </c>
    </row>
    <row r="103" spans="2:2">
      <c r="B103" s="12" t="str">
        <f>IF('EpisodeEvent-ConceptMap-1'!S99=0,"//---END",'EpisodeEvent-ConceptMap-1'!S99)</f>
        <v>* group[=].element[+].code = #EpisodeEvent.siteOfMetastasis.pleura</v>
      </c>
    </row>
    <row r="104" spans="2:2">
      <c r="B104" s="12" t="str">
        <f>IF('EpisodeEvent-ConceptMap-1'!S100=0,"//---END",'EpisodeEvent-ConceptMap-1'!S100)</f>
        <v>* group[=].element[=].display = ##34#Site of metastasis_pleura##34#</v>
      </c>
    </row>
    <row r="105" spans="2:2">
      <c r="B105" s="12" t="str">
        <f>IF('EpisodeEvent-ConceptMap-1'!S101=0,"//---END",'EpisodeEvent-ConceptMap-1'!S101)</f>
        <v>* group[=].element[=].target.code = #Condition.bodySite</v>
      </c>
    </row>
    <row r="106" spans="2:2">
      <c r="B106" s="12" t="str">
        <f>IF('EpisodeEvent-ConceptMap-1'!S102=0,"//---END",'EpisodeEvent-ConceptMap-1'!S102)</f>
        <v>* group[=].element[=].target.display = ##34###34#</v>
      </c>
    </row>
    <row r="107" spans="2:2">
      <c r="B107" s="12" t="str">
        <f>IF('EpisodeEvent-ConceptMap-1'!S103=0,"//---END",'EpisodeEvent-ConceptMap-1'!S103)</f>
        <v>* group[=].element[=].target.equivalence = #relatedto</v>
      </c>
    </row>
    <row r="108" spans="2:2">
      <c r="B108" s="12" t="str">
        <f>IF('EpisodeEvent-ConceptMap-1'!S104=0,"//---END",'EpisodeEvent-ConceptMap-1'!S104)</f>
        <v/>
      </c>
    </row>
    <row r="109" spans="2:2">
      <c r="B109" s="12" t="str">
        <f>IF('EpisodeEvent-ConceptMap-1'!S105=0,"//---END",'EpisodeEvent-ConceptMap-1'!S105)</f>
        <v>* group[=].element[+].code = #EpisodeEvent.siteOfMetastasis.peritoneum</v>
      </c>
    </row>
    <row r="110" spans="2:2">
      <c r="B110" s="12" t="str">
        <f>IF('EpisodeEvent-ConceptMap-1'!S106=0,"//---END",'EpisodeEvent-ConceptMap-1'!S106)</f>
        <v>* group[=].element[=].display = ##34#Site of metastasis_peritoneum##34#</v>
      </c>
    </row>
    <row r="111" spans="2:2">
      <c r="B111" s="12" t="str">
        <f>IF('EpisodeEvent-ConceptMap-1'!S107=0,"//---END",'EpisodeEvent-ConceptMap-1'!S107)</f>
        <v>* group[=].element[=].target.code = #Condition.bodySite</v>
      </c>
    </row>
    <row r="112" spans="2:2">
      <c r="B112" s="12" t="str">
        <f>IF('EpisodeEvent-ConceptMap-1'!S108=0,"//---END",'EpisodeEvent-ConceptMap-1'!S108)</f>
        <v>* group[=].element[=].target.display = ##34###34#</v>
      </c>
    </row>
    <row r="113" spans="2:2">
      <c r="B113" s="12" t="str">
        <f>IF('EpisodeEvent-ConceptMap-1'!S109=0,"//---END",'EpisodeEvent-ConceptMap-1'!S109)</f>
        <v>* group[=].element[=].target.equivalence = #relatedto</v>
      </c>
    </row>
    <row r="114" spans="2:2">
      <c r="B114" s="12" t="str">
        <f>IF('EpisodeEvent-ConceptMap-1'!S110=0,"//---END",'EpisodeEvent-ConceptMap-1'!S110)</f>
        <v/>
      </c>
    </row>
    <row r="115" spans="2:2">
      <c r="B115" s="12" t="str">
        <f>IF('EpisodeEvent-ConceptMap-1'!S111=0,"//---END",'EpisodeEvent-ConceptMap-1'!S111)</f>
        <v>* group[=].element[+].code = #EpisodeEvent.siteOfMetastasis.brain</v>
      </c>
    </row>
    <row r="116" spans="2:2">
      <c r="B116" s="12" t="str">
        <f>IF('EpisodeEvent-ConceptMap-1'!S112=0,"//---END",'EpisodeEvent-ConceptMap-1'!S112)</f>
        <v>* group[=].element[=].display = ##34#Site of  metastasis_brain##34#</v>
      </c>
    </row>
    <row r="117" spans="2:2">
      <c r="B117" s="12" t="str">
        <f>IF('EpisodeEvent-ConceptMap-1'!S113=0,"//---END",'EpisodeEvent-ConceptMap-1'!S113)</f>
        <v>* group[=].element[=].target.code = #Condition.bodySite</v>
      </c>
    </row>
    <row r="118" spans="2:2">
      <c r="B118" s="12" t="str">
        <f>IF('EpisodeEvent-ConceptMap-1'!S114=0,"//---END",'EpisodeEvent-ConceptMap-1'!S114)</f>
        <v>* group[=].element[=].target.display = ##34###34#</v>
      </c>
    </row>
    <row r="119" spans="2:2">
      <c r="B119" s="12" t="str">
        <f>IF('EpisodeEvent-ConceptMap-1'!S115=0,"//---END",'EpisodeEvent-ConceptMap-1'!S115)</f>
        <v>* group[=].element[=].target.equivalence = #relatedto</v>
      </c>
    </row>
    <row r="120" spans="2:2">
      <c r="B120" s="12" t="str">
        <f>IF('EpisodeEvent-ConceptMap-1'!S116=0,"//---END",'EpisodeEvent-ConceptMap-1'!S116)</f>
        <v/>
      </c>
    </row>
    <row r="121" spans="2:2">
      <c r="B121" s="12" t="str">
        <f>IF('EpisodeEvent-ConceptMap-1'!S117=0,"//---END",'EpisodeEvent-ConceptMap-1'!S117)</f>
        <v>* group[=].element[+].code = #EpisodeEvent.siteOfMetastasis.otherViscera</v>
      </c>
    </row>
    <row r="122" spans="2:2">
      <c r="B122" s="12" t="str">
        <f>IF('EpisodeEvent-ConceptMap-1'!S118=0,"//---END",'EpisodeEvent-ConceptMap-1'!S118)</f>
        <v>* group[=].element[=].display = ##34#Site of  metastasis_other viscera##34#</v>
      </c>
    </row>
    <row r="123" spans="2:2">
      <c r="B123" s="12" t="str">
        <f>IF('EpisodeEvent-ConceptMap-1'!S119=0,"//---END",'EpisodeEvent-ConceptMap-1'!S119)</f>
        <v>* group[=].element[=].target.code = #Condition.bodySite</v>
      </c>
    </row>
    <row r="124" spans="2:2">
      <c r="B124" s="12" t="str">
        <f>IF('EpisodeEvent-ConceptMap-1'!S120=0,"//---END",'EpisodeEvent-ConceptMap-1'!S120)</f>
        <v>* group[=].element[=].target.display = ##34###34#</v>
      </c>
    </row>
    <row r="125" spans="2:2">
      <c r="B125" s="12" t="str">
        <f>IF('EpisodeEvent-ConceptMap-1'!S121=0,"//---END",'EpisodeEvent-ConceptMap-1'!S121)</f>
        <v>* group[=].element[=].target.equivalence = #relatedto</v>
      </c>
    </row>
    <row r="126" spans="2:2">
      <c r="B126" s="12" t="str">
        <f>IF('EpisodeEvent-ConceptMap-1'!S122=0,"//---END",'EpisodeEvent-ConceptMap-1'!S122)</f>
        <v/>
      </c>
    </row>
    <row r="127" spans="2:2">
      <c r="B127" s="12" t="str">
        <f>IF('EpisodeEvent-ConceptMap-1'!S123=0,"//---END",'EpisodeEvent-ConceptMap-1'!S123)</f>
        <v>* group[=].element[+].code = #EpisodeEvent.siteOfMetastasis.unknown</v>
      </c>
    </row>
    <row r="128" spans="2:2">
      <c r="B128" s="12" t="str">
        <f>IF('EpisodeEvent-ConceptMap-1'!S124=0,"//---END",'EpisodeEvent-ConceptMap-1'!S124)</f>
        <v>* group[=].element[=].display = ##34#Site of  metastasis_unknown##34#</v>
      </c>
    </row>
    <row r="129" spans="2:2">
      <c r="B129" s="12" t="str">
        <f>IF('EpisodeEvent-ConceptMap-1'!S125=0,"//---END",'EpisodeEvent-ConceptMap-1'!S125)</f>
        <v>* group[=].element[=].target.code = #Condition.bodySite</v>
      </c>
    </row>
    <row r="130" spans="2:2">
      <c r="B130" s="12" t="str">
        <f>IF('EpisodeEvent-ConceptMap-1'!S126=0,"//---END",'EpisodeEvent-ConceptMap-1'!S126)</f>
        <v>* group[=].element[=].target.display = ##34###34#</v>
      </c>
    </row>
    <row r="131" spans="2:2">
      <c r="B131" s="12" t="str">
        <f>IF('EpisodeEvent-ConceptMap-1'!S127=0,"//---END",'EpisodeEvent-ConceptMap-1'!S127)</f>
        <v>* group[=].element[=].target.equivalence = #relatedto</v>
      </c>
    </row>
    <row r="132" spans="2:2">
      <c r="B132" s="12" t="str">
        <f>IF('EpisodeEvent-ConceptMap-1'!S128=0,"//---END",'EpisodeEvent-ConceptMap-1'!S128)</f>
        <v/>
      </c>
    </row>
    <row r="133" spans="2:2">
      <c r="B133" s="12" t="str">
        <f>IF('EpisodeEvent-ConceptMap-1'!S129=0,"//---END",'EpisodeEvent-ConceptMap-1'!S129)</f>
        <v>//---END</v>
      </c>
    </row>
    <row r="134" spans="2:2">
      <c r="B134" s="12" t="str">
        <f>IF('EpisodeEvent-ConceptMap-1'!S130=0,"//---END",'EpisodeEvent-ConceptMap-1'!S130)</f>
        <v>//---END</v>
      </c>
    </row>
    <row r="135" spans="2:2">
      <c r="B135" s="12" t="str">
        <f>IF('EpisodeEvent-ConceptMap-1'!S131=0,"//---END",'EpisodeEvent-ConceptMap-1'!S131)</f>
        <v>//---END</v>
      </c>
    </row>
    <row r="136" spans="2:2">
      <c r="B136" s="12" t="str">
        <f>IF('EpisodeEvent-ConceptMap-1'!S132=0,"//---END",'EpisodeEvent-ConceptMap-1'!S132)</f>
        <v>//---END</v>
      </c>
    </row>
    <row r="137" spans="2:2">
      <c r="B137" s="12" t="str">
        <f>IF('EpisodeEvent-ConceptMap-1'!S133=0,"//---END",'EpisodeEvent-ConceptMap-1'!S133)</f>
        <v>//---END</v>
      </c>
    </row>
    <row r="138" spans="2:2">
      <c r="B138" s="12" t="str">
        <f>IF('EpisodeEvent-ConceptMap-1'!S134=0,"//---END",'EpisodeEvent-ConceptMap-1'!S134)</f>
        <v>//---END</v>
      </c>
    </row>
    <row r="139" spans="2:2">
      <c r="B139" s="12"/>
    </row>
    <row r="140" spans="2:2">
      <c r="B140" s="12"/>
    </row>
    <row r="141" spans="2:2">
      <c r="B141" s="12"/>
    </row>
    <row r="142" spans="2:2">
      <c r="B142" s="12"/>
    </row>
    <row r="143" spans="2:2">
      <c r="B143" s="12"/>
    </row>
    <row r="144" spans="2:2">
      <c r="B144" s="12"/>
    </row>
    <row r="145" spans="2:2">
      <c r="B145" s="12"/>
    </row>
    <row r="146" spans="2:2">
      <c r="B146" s="12"/>
    </row>
    <row r="147" spans="2:2">
      <c r="B147" s="12"/>
    </row>
    <row r="148" spans="2:2">
      <c r="B148" s="12"/>
    </row>
    <row r="149" spans="2:2">
      <c r="B149" s="12"/>
    </row>
    <row r="150" spans="2:2">
      <c r="B150" s="12"/>
    </row>
    <row r="151" spans="2:2">
      <c r="B151" s="12"/>
    </row>
    <row r="152" spans="2:2">
      <c r="B152" s="12"/>
    </row>
    <row r="153" spans="2:2">
      <c r="B153" s="12"/>
    </row>
    <row r="154" spans="2:2">
      <c r="B154" s="12"/>
    </row>
    <row r="155" spans="2:2">
      <c r="B155" s="12"/>
    </row>
    <row r="156" spans="2:2">
      <c r="B156" s="12"/>
    </row>
    <row r="157" spans="2:2">
      <c r="B157" s="12"/>
    </row>
    <row r="158" spans="2:2">
      <c r="B158" s="12"/>
    </row>
    <row r="159" spans="2:2">
      <c r="B159" s="12"/>
    </row>
    <row r="160" spans="2:2">
      <c r="B160" s="12"/>
    </row>
    <row r="161" spans="2:2">
      <c r="B161" s="12"/>
    </row>
    <row r="162" spans="2:2">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FF61-08D7-4FE9-A98C-407FDFDBC8D9}">
  <dimension ref="A1:I46"/>
  <sheetViews>
    <sheetView topLeftCell="A13" workbookViewId="0">
      <selection activeCell="B27" sqref="B27:H30"/>
    </sheetView>
  </sheetViews>
  <sheetFormatPr defaultRowHeight="14.75"/>
  <cols>
    <col min="2" max="2" width="44.2265625" bestFit="1" customWidth="1"/>
    <col min="3" max="3" width="34.31640625" bestFit="1" customWidth="1"/>
    <col min="4" max="4" width="92.40625" bestFit="1" customWidth="1"/>
    <col min="6" max="6" width="18.31640625" customWidth="1"/>
    <col min="7" max="7" width="40.1328125" customWidth="1"/>
    <col min="8" max="8" width="41.90625" customWidth="1"/>
  </cols>
  <sheetData>
    <row r="1" spans="1:9">
      <c r="A1" s="100" t="s">
        <v>1765</v>
      </c>
      <c r="B1" s="100" t="s">
        <v>1764</v>
      </c>
      <c r="C1" s="100" t="s">
        <v>1763</v>
      </c>
      <c r="D1" s="100" t="s">
        <v>4</v>
      </c>
      <c r="E1" s="100" t="s">
        <v>7</v>
      </c>
      <c r="F1" s="100" t="s">
        <v>1469</v>
      </c>
      <c r="G1" s="100" t="s">
        <v>1762</v>
      </c>
      <c r="H1" s="100" t="s">
        <v>5</v>
      </c>
      <c r="I1" s="100" t="s">
        <v>6</v>
      </c>
    </row>
    <row r="2" spans="1:9">
      <c r="A2">
        <v>0</v>
      </c>
      <c r="B2" t="s">
        <v>1908</v>
      </c>
      <c r="C2" t="s">
        <v>1909</v>
      </c>
      <c r="D2" t="s">
        <v>1910</v>
      </c>
      <c r="E2" t="s">
        <v>1759</v>
      </c>
      <c r="H2">
        <v>1</v>
      </c>
      <c r="I2">
        <v>1</v>
      </c>
    </row>
    <row r="3" spans="1:9">
      <c r="A3">
        <v>1</v>
      </c>
      <c r="B3" t="s">
        <v>1911</v>
      </c>
      <c r="C3" t="s">
        <v>1614</v>
      </c>
      <c r="D3" t="s">
        <v>1615</v>
      </c>
      <c r="E3" t="s">
        <v>275</v>
      </c>
      <c r="F3" t="s">
        <v>1912</v>
      </c>
      <c r="G3" t="s">
        <v>1913</v>
      </c>
      <c r="H3">
        <v>1</v>
      </c>
      <c r="I3">
        <v>1</v>
      </c>
    </row>
    <row r="4" spans="1:9">
      <c r="A4">
        <v>2</v>
      </c>
      <c r="B4" t="s">
        <v>1914</v>
      </c>
      <c r="C4" t="s">
        <v>1616</v>
      </c>
      <c r="D4" t="s">
        <v>1617</v>
      </c>
      <c r="E4" t="s">
        <v>275</v>
      </c>
      <c r="F4" t="s">
        <v>1915</v>
      </c>
      <c r="G4" t="s">
        <v>1916</v>
      </c>
      <c r="H4">
        <v>1</v>
      </c>
      <c r="I4">
        <v>1</v>
      </c>
    </row>
    <row r="5" spans="1:9">
      <c r="A5">
        <v>3</v>
      </c>
      <c r="B5" t="s">
        <v>1917</v>
      </c>
      <c r="C5" t="s">
        <v>1918</v>
      </c>
      <c r="D5" t="s">
        <v>1919</v>
      </c>
      <c r="E5" t="s">
        <v>1754</v>
      </c>
      <c r="F5" t="s">
        <v>1920</v>
      </c>
      <c r="G5" t="s">
        <v>1921</v>
      </c>
      <c r="H5">
        <v>1</v>
      </c>
      <c r="I5">
        <v>1</v>
      </c>
    </row>
    <row r="6" spans="1:9">
      <c r="A6">
        <v>4</v>
      </c>
      <c r="B6" t="s">
        <v>1922</v>
      </c>
      <c r="C6" t="s">
        <v>1618</v>
      </c>
      <c r="D6" t="s">
        <v>1619</v>
      </c>
      <c r="E6" t="s">
        <v>275</v>
      </c>
      <c r="F6" t="s">
        <v>1923</v>
      </c>
      <c r="G6" t="s">
        <v>1924</v>
      </c>
      <c r="H6">
        <v>1</v>
      </c>
      <c r="I6">
        <v>1</v>
      </c>
    </row>
    <row r="7" spans="1:9">
      <c r="A7">
        <v>5</v>
      </c>
      <c r="B7" t="s">
        <v>1925</v>
      </c>
      <c r="C7" t="s">
        <v>1620</v>
      </c>
      <c r="D7" t="s">
        <v>1621</v>
      </c>
      <c r="E7" t="s">
        <v>275</v>
      </c>
      <c r="F7" t="s">
        <v>1926</v>
      </c>
      <c r="G7" t="s">
        <v>1927</v>
      </c>
      <c r="H7">
        <v>1</v>
      </c>
      <c r="I7">
        <v>1</v>
      </c>
    </row>
    <row r="8" spans="1:9">
      <c r="A8">
        <v>6</v>
      </c>
      <c r="B8" t="s">
        <v>1928</v>
      </c>
      <c r="C8" t="s">
        <v>1622</v>
      </c>
      <c r="D8" t="s">
        <v>1623</v>
      </c>
      <c r="E8" t="s">
        <v>275</v>
      </c>
      <c r="F8" t="s">
        <v>1929</v>
      </c>
      <c r="G8" t="s">
        <v>1930</v>
      </c>
      <c r="H8">
        <v>1</v>
      </c>
      <c r="I8">
        <v>1</v>
      </c>
    </row>
    <row r="9" spans="1:9">
      <c r="A9">
        <v>7</v>
      </c>
      <c r="B9" t="s">
        <v>1931</v>
      </c>
      <c r="C9" t="s">
        <v>1624</v>
      </c>
      <c r="D9" t="s">
        <v>1625</v>
      </c>
      <c r="E9" t="s">
        <v>1606</v>
      </c>
      <c r="F9" t="s">
        <v>1932</v>
      </c>
      <c r="H9">
        <v>0</v>
      </c>
      <c r="I9">
        <v>1</v>
      </c>
    </row>
    <row r="10" spans="1:9">
      <c r="A10">
        <v>8</v>
      </c>
      <c r="B10" t="s">
        <v>1933</v>
      </c>
      <c r="C10" t="s">
        <v>1626</v>
      </c>
      <c r="D10" t="s">
        <v>1627</v>
      </c>
      <c r="E10" t="s">
        <v>1606</v>
      </c>
      <c r="F10" t="s">
        <v>1932</v>
      </c>
      <c r="H10">
        <v>0</v>
      </c>
      <c r="I10">
        <v>1</v>
      </c>
    </row>
    <row r="11" spans="1:9">
      <c r="A11">
        <v>9</v>
      </c>
      <c r="B11" t="s">
        <v>1934</v>
      </c>
      <c r="C11" t="s">
        <v>1628</v>
      </c>
      <c r="D11" t="s">
        <v>1629</v>
      </c>
      <c r="E11" t="s">
        <v>1606</v>
      </c>
      <c r="F11" t="s">
        <v>1932</v>
      </c>
      <c r="H11">
        <v>0</v>
      </c>
      <c r="I11">
        <v>1</v>
      </c>
    </row>
    <row r="12" spans="1:9">
      <c r="A12">
        <v>10</v>
      </c>
      <c r="B12" t="s">
        <v>1935</v>
      </c>
      <c r="C12" t="s">
        <v>1630</v>
      </c>
      <c r="D12" t="s">
        <v>1631</v>
      </c>
      <c r="E12" t="s">
        <v>1606</v>
      </c>
      <c r="F12" t="s">
        <v>1932</v>
      </c>
      <c r="H12">
        <v>0</v>
      </c>
      <c r="I12">
        <v>1</v>
      </c>
    </row>
    <row r="13" spans="1:9">
      <c r="A13">
        <v>11</v>
      </c>
      <c r="B13" t="s">
        <v>1936</v>
      </c>
      <c r="C13" t="s">
        <v>1632</v>
      </c>
      <c r="D13" t="s">
        <v>1633</v>
      </c>
      <c r="E13" t="s">
        <v>1606</v>
      </c>
      <c r="F13" t="s">
        <v>1932</v>
      </c>
      <c r="H13">
        <v>0</v>
      </c>
      <c r="I13">
        <v>1</v>
      </c>
    </row>
    <row r="14" spans="1:9">
      <c r="A14">
        <v>12</v>
      </c>
      <c r="B14" t="s">
        <v>1937</v>
      </c>
      <c r="C14" t="s">
        <v>1634</v>
      </c>
      <c r="D14" t="s">
        <v>1635</v>
      </c>
      <c r="E14" t="s">
        <v>1606</v>
      </c>
      <c r="F14" t="s">
        <v>1932</v>
      </c>
      <c r="H14">
        <v>0</v>
      </c>
      <c r="I14">
        <v>1</v>
      </c>
    </row>
    <row r="15" spans="1:9">
      <c r="A15">
        <v>13</v>
      </c>
      <c r="B15" t="s">
        <v>1938</v>
      </c>
      <c r="C15" t="s">
        <v>1636</v>
      </c>
      <c r="D15" t="s">
        <v>1637</v>
      </c>
      <c r="E15" t="s">
        <v>1606</v>
      </c>
      <c r="F15" t="s">
        <v>1932</v>
      </c>
      <c r="H15">
        <v>0</v>
      </c>
      <c r="I15">
        <v>1</v>
      </c>
    </row>
    <row r="16" spans="1:9">
      <c r="A16">
        <v>14</v>
      </c>
      <c r="B16" t="s">
        <v>1939</v>
      </c>
      <c r="C16" t="s">
        <v>1638</v>
      </c>
      <c r="D16" t="s">
        <v>1639</v>
      </c>
      <c r="E16" t="s">
        <v>1606</v>
      </c>
      <c r="F16" t="s">
        <v>1932</v>
      </c>
      <c r="H16">
        <v>0</v>
      </c>
      <c r="I16">
        <v>1</v>
      </c>
    </row>
    <row r="17" spans="1:9">
      <c r="A17">
        <v>15</v>
      </c>
      <c r="B17" t="s">
        <v>1940</v>
      </c>
      <c r="C17" t="s">
        <v>1640</v>
      </c>
      <c r="D17" t="s">
        <v>1641</v>
      </c>
      <c r="E17" t="s">
        <v>1606</v>
      </c>
      <c r="F17" t="s">
        <v>1932</v>
      </c>
      <c r="H17">
        <v>0</v>
      </c>
      <c r="I17">
        <v>1</v>
      </c>
    </row>
    <row r="18" spans="1:9">
      <c r="A18">
        <v>16</v>
      </c>
      <c r="B18" t="s">
        <v>1941</v>
      </c>
      <c r="C18" t="s">
        <v>1642</v>
      </c>
      <c r="D18" t="s">
        <v>1643</v>
      </c>
      <c r="E18" t="s">
        <v>1606</v>
      </c>
      <c r="F18" t="s">
        <v>1932</v>
      </c>
      <c r="H18">
        <v>0</v>
      </c>
      <c r="I18">
        <v>1</v>
      </c>
    </row>
    <row r="27" spans="1:9">
      <c r="C27" s="9" t="s">
        <v>3</v>
      </c>
      <c r="D27" s="1" t="s">
        <v>4</v>
      </c>
      <c r="E27" s="3" t="s">
        <v>5</v>
      </c>
      <c r="F27" s="3" t="s">
        <v>6</v>
      </c>
      <c r="G27" s="3" t="s">
        <v>7</v>
      </c>
      <c r="H27" s="105" t="s">
        <v>1610</v>
      </c>
    </row>
    <row r="28" spans="1:9">
      <c r="B28" t="str">
        <f>B2</f>
        <v>ClinicalStage.EpisodeEventReference</v>
      </c>
      <c r="C28" t="str">
        <f t="shared" ref="C28:D28" si="0">C2</f>
        <v>Episode Event Reference</v>
      </c>
      <c r="D28" t="str">
        <f t="shared" si="0"/>
        <v>EpisodeEvent element containing the data regarding the patient's cancer</v>
      </c>
      <c r="E28">
        <f>H2</f>
        <v>1</v>
      </c>
      <c r="F28">
        <f>I2</f>
        <v>1</v>
      </c>
      <c r="G28" t="str">
        <f>E2</f>
        <v>ElementReference</v>
      </c>
      <c r="H28" s="2" t="str">
        <f>CONCATENATE(F2,$K$2,G2)</f>
        <v/>
      </c>
    </row>
    <row r="29" spans="1:9" ht="132.75">
      <c r="B29" t="str">
        <f t="shared" ref="B29:D29" si="1">B3</f>
        <v>ClinicalStage.Ct</v>
      </c>
      <c r="C29" t="str">
        <f t="shared" si="1"/>
        <v>cT</v>
      </c>
      <c r="D29" t="str">
        <f t="shared" si="1"/>
        <v>Specifies the clinical T</v>
      </c>
      <c r="E29">
        <f t="shared" ref="E29:F29" si="2">H3</f>
        <v>1</v>
      </c>
      <c r="F29">
        <f t="shared" si="2"/>
        <v>1</v>
      </c>
      <c r="G29" t="str">
        <f t="shared" ref="G29:G40" si="3">E3</f>
        <v>Code</v>
      </c>
      <c r="H29" s="2" t="str">
        <f t="shared" ref="H29:H40" si="4">CONCATENATE(F3,$K$2,G3)</f>
        <v>Tx; Tis; T0;T1;T2; T3; T4; T4a; T4b;Tx - 4282467
 Tis - 4195922
T0 - 4243213
T1 -  4052407
T2 - 4194614
 T3 - 4032012
 T4 - 4278513
 T4a - 4127612
 T4b - 4129920</v>
      </c>
    </row>
    <row r="30" spans="1:9" ht="162.25">
      <c r="B30" t="str">
        <f t="shared" ref="B30:D30" si="5">B4</f>
        <v>ClinicalStage.Cn</v>
      </c>
      <c r="C30" t="str">
        <f t="shared" si="5"/>
        <v>cN</v>
      </c>
      <c r="D30" t="str">
        <f t="shared" si="5"/>
        <v>Specifies the clinical N</v>
      </c>
      <c r="E30">
        <f t="shared" ref="E30:F30" si="6">H4</f>
        <v>1</v>
      </c>
      <c r="F30">
        <f t="shared" si="6"/>
        <v>1</v>
      </c>
      <c r="G30" t="str">
        <f t="shared" si="3"/>
        <v>Code</v>
      </c>
      <c r="H30" s="2" t="str">
        <f t="shared" si="4"/>
        <v>Nx; N0;N1;N2;N2a;N2b;N2c;N3; N3a;N3b;Nx - 4195718
N0 - 4266674
N1 - 4203608
N2 - 4263599
N2a - 4135247
N2b - 4119012
N2c - 4118508
N3 - 4239307
N3a - 4240556
N3b - 4240557</v>
      </c>
    </row>
    <row r="31" spans="1:9" ht="29.5">
      <c r="B31" t="str">
        <f t="shared" ref="B31:D31" si="7">B5</f>
        <v>ClinicalStage.RadiologicalExtra-NodalExtension(Rene)</v>
      </c>
      <c r="C31" t="str">
        <f t="shared" si="7"/>
        <v>Radiological Extra-nodal extension (rENE)</v>
      </c>
      <c r="D31" t="str">
        <f t="shared" si="7"/>
        <v>Describes the presence or absence of radiological signs of extracapsular extension, as defined in the AJCC 8th Ed</v>
      </c>
      <c r="E31">
        <f t="shared" ref="E31:F31" si="8">H5</f>
        <v>1</v>
      </c>
      <c r="F31">
        <f t="shared" si="8"/>
        <v>1</v>
      </c>
      <c r="G31" t="str">
        <f t="shared" si="3"/>
        <v>CustomCode</v>
      </c>
      <c r="H31" s="2" t="str">
        <f t="shared" si="4"/>
        <v>ENE-; ENE+;ENE- - 36769946
ENE+ - 36770618</v>
      </c>
    </row>
    <row r="32" spans="1:9" ht="29.5">
      <c r="B32" t="str">
        <f t="shared" ref="B32:D32" si="9">B6</f>
        <v>ClinicalStage.Cm</v>
      </c>
      <c r="C32" t="str">
        <f t="shared" si="9"/>
        <v>cM</v>
      </c>
      <c r="D32" t="str">
        <f t="shared" si="9"/>
        <v>Specifies the clinical M</v>
      </c>
      <c r="E32">
        <f t="shared" ref="E32:F32" si="10">H6</f>
        <v>1</v>
      </c>
      <c r="F32">
        <f t="shared" si="10"/>
        <v>1</v>
      </c>
      <c r="G32" t="str">
        <f t="shared" si="3"/>
        <v>Code</v>
      </c>
      <c r="H32" s="2" t="str">
        <f t="shared" si="4"/>
        <v>M0; M1;M0 -  4149726
M1 - 4205430</v>
      </c>
    </row>
    <row r="33" spans="2:8" ht="118">
      <c r="B33" t="str">
        <f t="shared" ref="B33:D33" si="11">B7</f>
        <v>ClinicalStage.ClinicalStaging</v>
      </c>
      <c r="C33" t="str">
        <f t="shared" si="11"/>
        <v>Clinical staging</v>
      </c>
      <c r="D33" t="str">
        <f t="shared" si="11"/>
        <v>Specifies the clinical TNM</v>
      </c>
      <c r="E33">
        <f t="shared" ref="E33:F33" si="12">H7</f>
        <v>1</v>
      </c>
      <c r="F33">
        <f t="shared" si="12"/>
        <v>1</v>
      </c>
      <c r="G33" t="str">
        <f t="shared" si="3"/>
        <v>Code</v>
      </c>
      <c r="H33" s="2" t="str">
        <f t="shared" si="4"/>
        <v>0;I;II;III;IV;IVA;IVB;IVC;0 - 4127500
I - 4121054
II - 4106768
III - 4121176
IV - 4123017
IVA - 4129915
IVB - 4130412
IVC - 4196439</v>
      </c>
    </row>
    <row r="34" spans="2:8" ht="59">
      <c r="B34" t="str">
        <f t="shared" ref="B34:D34" si="13">B8</f>
        <v>ClinicalStage.AjccEdition</v>
      </c>
      <c r="C34" t="str">
        <f t="shared" si="13"/>
        <v>Ajcc edition</v>
      </c>
      <c r="D34" t="str">
        <f t="shared" si="13"/>
        <v>Describe the edition of the AJCC used for staging</v>
      </c>
      <c r="E34">
        <f t="shared" ref="E34:F34" si="14">H8</f>
        <v>1</v>
      </c>
      <c r="F34">
        <f t="shared" si="14"/>
        <v>1</v>
      </c>
      <c r="G34" t="str">
        <f t="shared" si="3"/>
        <v>Code</v>
      </c>
      <c r="H34" s="2" t="str">
        <f t="shared" si="4"/>
        <v xml:space="preserve">8th,9th,10th,11th8th - 1634449
9th - 
10th - 
11th - </v>
      </c>
    </row>
    <row r="35" spans="2:8">
      <c r="B35" t="str">
        <f t="shared" ref="B35:D35" si="15">B9</f>
        <v>ClinicalStage.SoftTissue</v>
      </c>
      <c r="C35" t="str">
        <f t="shared" si="15"/>
        <v>Soft tissue</v>
      </c>
      <c r="D35" t="str">
        <f t="shared" si="15"/>
        <v>Describes if site of metastasic disease  is soft tissue</v>
      </c>
      <c r="E35">
        <f t="shared" ref="E35:F35" si="16">H9</f>
        <v>0</v>
      </c>
      <c r="F35">
        <f t="shared" si="16"/>
        <v>1</v>
      </c>
      <c r="G35" t="str">
        <f t="shared" si="3"/>
        <v>Boolean</v>
      </c>
      <c r="H35" s="2" t="str">
        <f t="shared" si="4"/>
        <v>True; False</v>
      </c>
    </row>
    <row r="36" spans="2:8">
      <c r="B36" t="str">
        <f t="shared" ref="B36:D36" si="17">B10</f>
        <v>ClinicalStage.DistantLymphNode</v>
      </c>
      <c r="C36" t="str">
        <f t="shared" si="17"/>
        <v>distant lymph node</v>
      </c>
      <c r="D36" t="str">
        <f t="shared" si="17"/>
        <v>Describes if site of metastasic disease  is dystan lymph node</v>
      </c>
      <c r="E36">
        <f t="shared" ref="E36:F36" si="18">H10</f>
        <v>0</v>
      </c>
      <c r="F36">
        <f t="shared" si="18"/>
        <v>1</v>
      </c>
      <c r="G36" t="str">
        <f t="shared" si="3"/>
        <v>Boolean</v>
      </c>
      <c r="H36" s="2" t="str">
        <f t="shared" si="4"/>
        <v>True; False</v>
      </c>
    </row>
    <row r="37" spans="2:8">
      <c r="B37" t="str">
        <f t="shared" ref="B37:D37" si="19">B11</f>
        <v>ClinicalStage.Lung</v>
      </c>
      <c r="C37" t="str">
        <f t="shared" si="19"/>
        <v>lung</v>
      </c>
      <c r="D37" t="str">
        <f t="shared" si="19"/>
        <v>Describes if site of metastasic disease  is lung</v>
      </c>
      <c r="E37">
        <f t="shared" ref="E37:F37" si="20">H11</f>
        <v>0</v>
      </c>
      <c r="F37">
        <f t="shared" si="20"/>
        <v>1</v>
      </c>
      <c r="G37" t="str">
        <f t="shared" si="3"/>
        <v>Boolean</v>
      </c>
      <c r="H37" s="2" t="str">
        <f t="shared" si="4"/>
        <v>True; False</v>
      </c>
    </row>
    <row r="38" spans="2:8">
      <c r="B38" t="str">
        <f t="shared" ref="B38:D38" si="21">B12</f>
        <v>ClinicalStage.Bone</v>
      </c>
      <c r="C38" t="str">
        <f t="shared" si="21"/>
        <v>bone</v>
      </c>
      <c r="D38" t="str">
        <f t="shared" si="21"/>
        <v>Describes if site of metastasic disease  is bone</v>
      </c>
      <c r="E38">
        <f t="shared" ref="E38:F38" si="22">H12</f>
        <v>0</v>
      </c>
      <c r="F38">
        <f t="shared" si="22"/>
        <v>1</v>
      </c>
      <c r="G38" t="str">
        <f t="shared" si="3"/>
        <v>Boolean</v>
      </c>
      <c r="H38" s="2" t="str">
        <f t="shared" si="4"/>
        <v>True; False</v>
      </c>
    </row>
    <row r="39" spans="2:8">
      <c r="B39" t="str">
        <f t="shared" ref="B39:D39" si="23">B13</f>
        <v>ClinicalStage.Liver</v>
      </c>
      <c r="C39" t="str">
        <f t="shared" si="23"/>
        <v>liver</v>
      </c>
      <c r="D39" t="str">
        <f t="shared" si="23"/>
        <v>Describes if site of metastasic disease  is liver</v>
      </c>
      <c r="E39">
        <f t="shared" ref="E39:F39" si="24">H13</f>
        <v>0</v>
      </c>
      <c r="F39">
        <f t="shared" si="24"/>
        <v>1</v>
      </c>
      <c r="G39" t="str">
        <f t="shared" si="3"/>
        <v>Boolean</v>
      </c>
      <c r="H39" s="2" t="str">
        <f t="shared" si="4"/>
        <v>True; False</v>
      </c>
    </row>
    <row r="40" spans="2:8">
      <c r="B40" t="str">
        <f t="shared" ref="B40:D40" si="25">B14</f>
        <v>ClinicalStage.Pleura</v>
      </c>
      <c r="C40" t="str">
        <f t="shared" si="25"/>
        <v>pleura</v>
      </c>
      <c r="D40" t="str">
        <f t="shared" si="25"/>
        <v>Describes if site of metastasic disease  is pleura</v>
      </c>
      <c r="E40">
        <f t="shared" ref="E40:F40" si="26">H14</f>
        <v>0</v>
      </c>
      <c r="F40">
        <f t="shared" si="26"/>
        <v>1</v>
      </c>
      <c r="G40" t="str">
        <f t="shared" si="3"/>
        <v>Boolean</v>
      </c>
      <c r="H40" s="2" t="str">
        <f t="shared" si="4"/>
        <v>True; False</v>
      </c>
    </row>
    <row r="41" spans="2:8">
      <c r="B41" t="str">
        <f>B15</f>
        <v>ClinicalStage.Peritoneum</v>
      </c>
      <c r="C41" t="str">
        <f t="shared" ref="C41:D41" si="27">C15</f>
        <v>peritoneum</v>
      </c>
      <c r="D41" t="str">
        <f t="shared" si="27"/>
        <v>Describes if site of metastasic disease  is peritoneum</v>
      </c>
      <c r="E41">
        <f>H15</f>
        <v>0</v>
      </c>
      <c r="F41">
        <f>I15</f>
        <v>1</v>
      </c>
      <c r="G41" t="str">
        <f>E15</f>
        <v>Boolean</v>
      </c>
      <c r="H41" s="2" t="str">
        <f>CONCATENATE(F15,$K$2,G15)</f>
        <v>True; False</v>
      </c>
    </row>
    <row r="42" spans="2:8">
      <c r="B42" t="str">
        <f t="shared" ref="B42:D42" si="28">B16</f>
        <v>ClinicalStage.Brain</v>
      </c>
      <c r="C42" t="str">
        <f t="shared" si="28"/>
        <v>brain</v>
      </c>
      <c r="D42" t="str">
        <f t="shared" si="28"/>
        <v>Describes if site of metastasic disease  is brain</v>
      </c>
      <c r="E42">
        <f t="shared" ref="E42:E46" si="29">H16</f>
        <v>0</v>
      </c>
      <c r="F42">
        <f t="shared" ref="F42:F46" si="30">I16</f>
        <v>1</v>
      </c>
      <c r="G42" t="str">
        <f t="shared" ref="G42:G46" si="31">E16</f>
        <v>Boolean</v>
      </c>
      <c r="H42" s="2" t="str">
        <f t="shared" ref="H42:H46" si="32">CONCATENATE(F16,$K$2,G16)</f>
        <v>True; False</v>
      </c>
    </row>
    <row r="43" spans="2:8">
      <c r="B43" t="str">
        <f t="shared" ref="B43:D43" si="33">B17</f>
        <v>ClinicalStage.OtherViscera</v>
      </c>
      <c r="C43" t="str">
        <f t="shared" si="33"/>
        <v>other viscera</v>
      </c>
      <c r="D43" t="str">
        <f t="shared" si="33"/>
        <v>Describes if site of metastasic disease  is other viscera</v>
      </c>
      <c r="E43">
        <f t="shared" si="29"/>
        <v>0</v>
      </c>
      <c r="F43">
        <f t="shared" si="30"/>
        <v>1</v>
      </c>
      <c r="G43" t="str">
        <f t="shared" si="31"/>
        <v>Boolean</v>
      </c>
      <c r="H43" s="2" t="str">
        <f t="shared" si="32"/>
        <v>True; False</v>
      </c>
    </row>
    <row r="44" spans="2:8">
      <c r="B44" t="str">
        <f t="shared" ref="B44:D44" si="34">B18</f>
        <v>ClinicalStage.Unknown</v>
      </c>
      <c r="C44" t="str">
        <f t="shared" si="34"/>
        <v>unknown</v>
      </c>
      <c r="D44" t="str">
        <f t="shared" si="34"/>
        <v>Describes if site of metastasic disease  is unknown</v>
      </c>
      <c r="E44">
        <f t="shared" si="29"/>
        <v>0</v>
      </c>
      <c r="F44">
        <f t="shared" si="30"/>
        <v>1</v>
      </c>
      <c r="G44" t="str">
        <f t="shared" si="31"/>
        <v>Boolean</v>
      </c>
      <c r="H44" s="2" t="str">
        <f t="shared" si="32"/>
        <v>True; False</v>
      </c>
    </row>
    <row r="45" spans="2:8">
      <c r="B45">
        <f t="shared" ref="B45:D45" si="35">B19</f>
        <v>0</v>
      </c>
      <c r="C45">
        <f t="shared" si="35"/>
        <v>0</v>
      </c>
      <c r="D45">
        <f t="shared" si="35"/>
        <v>0</v>
      </c>
      <c r="E45">
        <f t="shared" si="29"/>
        <v>0</v>
      </c>
      <c r="F45">
        <f t="shared" si="30"/>
        <v>0</v>
      </c>
      <c r="G45">
        <f t="shared" si="31"/>
        <v>0</v>
      </c>
      <c r="H45" s="2" t="str">
        <f t="shared" si="32"/>
        <v/>
      </c>
    </row>
    <row r="46" spans="2:8">
      <c r="B46">
        <f t="shared" ref="B46:D46" si="36">B20</f>
        <v>0</v>
      </c>
      <c r="C46">
        <f t="shared" si="36"/>
        <v>0</v>
      </c>
      <c r="D46">
        <f t="shared" si="36"/>
        <v>0</v>
      </c>
      <c r="E46">
        <f t="shared" si="29"/>
        <v>0</v>
      </c>
      <c r="F46">
        <f t="shared" si="30"/>
        <v>0</v>
      </c>
      <c r="G46">
        <f t="shared" si="31"/>
        <v>0</v>
      </c>
      <c r="H46" s="2" t="str">
        <f t="shared" si="32"/>
        <v/>
      </c>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29"/>
  <sheetViews>
    <sheetView topLeftCell="A10" zoomScale="130" zoomScaleNormal="130" workbookViewId="0">
      <selection activeCell="D11" sqref="D11"/>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1948</v>
      </c>
      <c r="J4" s="16" t="str">
        <f>CONCATENATE("Logical: ",B4)</f>
        <v>Logical: ClinicalStage</v>
      </c>
    </row>
    <row r="5" spans="1:12" ht="19.899999999999999" customHeight="1">
      <c r="A5" s="14" t="s">
        <v>16</v>
      </c>
      <c r="B5" s="46" t="s">
        <v>1948</v>
      </c>
      <c r="J5" s="16" t="str">
        <f>CONCATENATE("Id: ",B5)</f>
        <v>Id: ClinicalStage</v>
      </c>
    </row>
    <row r="6" spans="1:12" ht="19.899999999999999" customHeight="1">
      <c r="A6" s="14" t="s">
        <v>10</v>
      </c>
      <c r="B6" s="47" t="s">
        <v>1949</v>
      </c>
      <c r="J6" s="17" t="str">
        <f>CONCATENATE("Title: ##34#",B6,"##34#")</f>
        <v>Title: ##34#Clinical Stage##34#</v>
      </c>
    </row>
    <row r="7" spans="1:12" ht="19.899999999999999" customHeight="1">
      <c r="A7" s="26" t="s">
        <v>2</v>
      </c>
      <c r="B7" s="104" t="s">
        <v>1949</v>
      </c>
      <c r="C7" s="9" t="s">
        <v>3</v>
      </c>
      <c r="D7" s="1" t="s">
        <v>4</v>
      </c>
      <c r="E7" s="3" t="s">
        <v>5</v>
      </c>
      <c r="F7" s="3" t="s">
        <v>6</v>
      </c>
      <c r="G7" s="3" t="s">
        <v>7</v>
      </c>
      <c r="H7" s="105" t="s">
        <v>1610</v>
      </c>
      <c r="J7" s="17" t="str">
        <f>CONCATENATE("Description: "," ##334#",B7,"##334#",)</f>
        <v>Description:  ##334#Clinical Stage##334#</v>
      </c>
    </row>
    <row r="8" spans="1:12" ht="20.25" customHeight="1">
      <c r="A8" s="100">
        <v>0</v>
      </c>
      <c r="B8" s="57" t="s">
        <v>1951</v>
      </c>
      <c r="C8" s="11" t="s">
        <v>1952</v>
      </c>
      <c r="D8" s="11" t="s">
        <v>1910</v>
      </c>
      <c r="E8" s="11">
        <v>1</v>
      </c>
      <c r="F8" s="11">
        <v>1</v>
      </c>
      <c r="G8" t="s">
        <v>2089</v>
      </c>
      <c r="H8" s="12" t="s">
        <v>184</v>
      </c>
      <c r="I8" s="25"/>
      <c r="J8" s="12" t="str">
        <f t="shared" ref="J8:J28" si="0">CONCATENATE("* ",B8, " ",E8,"..",F8," ",G8," ##34#",C8,"##34# ##334#",D8,"##334#")</f>
        <v>* episodeEvent 1..1 http://hl7.eu/fhir/ig/idea4rc/StructureDefinition/EpisodeEvent ##34#Episode Event##34# ##334#EpisodeEvent element containing the data regarding the patient's cancer##334#</v>
      </c>
      <c r="L8" s="12" t="str">
        <f>IF(H8="",IF(J8="*  ..  ##34###34# ##334###334#",J8,""),IF(J8="*  ..  ##34###34# ##334###334#",J8,CONCATENATE("* ",B8," ^comment = ##334#",H8,"##334#")))</f>
        <v/>
      </c>
    </row>
    <row r="9" spans="1:12" ht="147.5">
      <c r="A9" s="100">
        <v>1</v>
      </c>
      <c r="B9" s="57" t="s">
        <v>1614</v>
      </c>
      <c r="C9" s="11" t="s">
        <v>1614</v>
      </c>
      <c r="D9" s="11" t="s">
        <v>1615</v>
      </c>
      <c r="E9" s="11">
        <v>1</v>
      </c>
      <c r="F9" s="11">
        <v>1</v>
      </c>
      <c r="G9" s="57" t="s">
        <v>1786</v>
      </c>
      <c r="H9" s="12" t="s">
        <v>1942</v>
      </c>
      <c r="I9" s="25"/>
      <c r="J9" s="12" t="str">
        <f t="shared" si="0"/>
        <v>* cT 1..1 CodeableConcept ##34#cT##34# ##334#Specifies the clinical T##334#</v>
      </c>
      <c r="L9" s="12" t="str">
        <f t="shared" ref="L9:L28" si="1">IF(H9="",IF(J9="*  ..  ##34###34# ##334###334#",J9,""),IF(J9="*  ..  ##34###34# ##334###334#",J9,CONCATENATE("* ",B9," ^comment = ##334#",H9,"##334#")))</f>
        <v>* cT ^comment = ##334#Tx; Tis; T0;T1;T2; T3; T4; T4a; T4b;Tx - 4282467
 Tis - 4195922
T0 - 4243213
T1 -  4052407
T2 - 4194614
 T3 - 4032012
 T4 - 4278513
 T4a - 4127612
 T4b - 4129920##334#</v>
      </c>
    </row>
    <row r="10" spans="1:12" ht="162.25">
      <c r="A10" s="100">
        <v>2</v>
      </c>
      <c r="B10" s="57" t="s">
        <v>1616</v>
      </c>
      <c r="C10" s="11" t="s">
        <v>1616</v>
      </c>
      <c r="D10" s="11" t="s">
        <v>1617</v>
      </c>
      <c r="E10" s="11">
        <v>1</v>
      </c>
      <c r="F10" s="11">
        <v>1</v>
      </c>
      <c r="G10" s="57" t="s">
        <v>1786</v>
      </c>
      <c r="H10" s="12" t="s">
        <v>1943</v>
      </c>
      <c r="I10" s="25"/>
      <c r="J10" s="12" t="str">
        <f t="shared" si="0"/>
        <v>* cN 1..1 CodeableConcept ##34#cN##34# ##334#Specifies the clinical N##334#</v>
      </c>
      <c r="L10" s="12" t="str">
        <f t="shared" si="1"/>
        <v>* cN ^comment = ##334#Nx; N0;N1;N2;N2a;N2b;N2c;N3; N3a;N3b;Nx - 4195718
N0 - 4266674
N1 - 4203608
N2 - 4263599
N2a - 4135247
N2b - 4119012
N2c - 4118508
N3 - 4239307
N3a - 4240556
N3b - 4240557##334#</v>
      </c>
    </row>
    <row r="11" spans="1:12" ht="32.25" customHeight="1">
      <c r="A11" s="101">
        <v>3</v>
      </c>
      <c r="B11" s="145" t="s">
        <v>2017</v>
      </c>
      <c r="C11" s="11" t="s">
        <v>1918</v>
      </c>
      <c r="D11" s="11" t="s">
        <v>1919</v>
      </c>
      <c r="E11" s="11">
        <v>1</v>
      </c>
      <c r="F11" s="11">
        <v>1</v>
      </c>
      <c r="G11" s="57" t="s">
        <v>1786</v>
      </c>
      <c r="H11" s="12" t="s">
        <v>1944</v>
      </c>
      <c r="I11" s="25"/>
      <c r="J11" s="12" t="str">
        <f t="shared" si="0"/>
        <v>* radiologicalExtraNodalExtension 1..1 CodeableConcept ##34#Radiological Extra-nodal extension (rENE)##34# ##334#Describes the presence or absence of radiological signs of extracapsular extension, as defined in the AJCC 8th Ed##334#</v>
      </c>
      <c r="L11" s="12" t="str">
        <f t="shared" si="1"/>
        <v>* radiologicalExtraNodalExtension ^comment = ##334#ENE-; ENE+;ENE- - 36769946
ENE+ - 36770618##334#</v>
      </c>
    </row>
    <row r="12" spans="1:12" ht="29.5">
      <c r="A12" s="100">
        <v>4</v>
      </c>
      <c r="B12" s="57" t="s">
        <v>1618</v>
      </c>
      <c r="C12" s="11" t="s">
        <v>1618</v>
      </c>
      <c r="D12" s="11" t="s">
        <v>1619</v>
      </c>
      <c r="E12" s="11">
        <v>1</v>
      </c>
      <c r="F12" s="11">
        <v>1</v>
      </c>
      <c r="G12" s="57" t="s">
        <v>1786</v>
      </c>
      <c r="H12" s="12" t="s">
        <v>1945</v>
      </c>
      <c r="I12" s="25"/>
      <c r="J12" s="12" t="str">
        <f t="shared" si="0"/>
        <v>* cM 1..1 CodeableConcept ##34#cM##34# ##334#Specifies the clinical M##334#</v>
      </c>
      <c r="L12" s="12" t="str">
        <f t="shared" si="1"/>
        <v>* cM ^comment = ##334#M0; M1;M0 -  4149726
M1 - 4205430##334#</v>
      </c>
    </row>
    <row r="13" spans="1:12" ht="45.25" customHeight="1">
      <c r="A13" s="100">
        <v>5</v>
      </c>
      <c r="B13" s="57" t="s">
        <v>1950</v>
      </c>
      <c r="C13" s="11" t="s">
        <v>1620</v>
      </c>
      <c r="D13" s="12" t="s">
        <v>1621</v>
      </c>
      <c r="E13" s="11">
        <v>1</v>
      </c>
      <c r="F13" s="11">
        <v>1</v>
      </c>
      <c r="G13" s="57" t="s">
        <v>1786</v>
      </c>
      <c r="H13" s="12" t="s">
        <v>1946</v>
      </c>
      <c r="I13" s="25"/>
      <c r="J13" s="12" t="str">
        <f t="shared" si="0"/>
        <v>* clinicalStaging 1..1 CodeableConcept ##34#Clinical staging##34# ##334#Specifies the clinical TNM##334#</v>
      </c>
      <c r="L13" s="12" t="str">
        <f t="shared" si="1"/>
        <v>* clinicalStaging ^comment = ##334#0;I;II;III;IV;IVA;IVB;IVC;0 - 4127500
I - 4121054
II - 4106768
III - 4121176
IV - 4123017
IVA - 4129915
IVB - 4130412
IVC - 4196439##334#</v>
      </c>
    </row>
    <row r="14" spans="1:12" ht="32.75" customHeight="1">
      <c r="A14" s="100">
        <v>6</v>
      </c>
      <c r="B14" s="57" t="s">
        <v>1647</v>
      </c>
      <c r="C14" s="11" t="s">
        <v>1622</v>
      </c>
      <c r="D14" s="12" t="s">
        <v>1623</v>
      </c>
      <c r="E14" s="11">
        <v>1</v>
      </c>
      <c r="F14" s="11">
        <v>1</v>
      </c>
      <c r="G14" s="57" t="s">
        <v>1786</v>
      </c>
      <c r="H14" s="12" t="s">
        <v>1947</v>
      </c>
      <c r="I14" s="25"/>
      <c r="J14" s="12" t="str">
        <f t="shared" si="0"/>
        <v>* ajccEdition 1..1 CodeableConcept ##34#Ajcc edition##34# ##334#Describe the edition of the AJCC used for staging##334#</v>
      </c>
      <c r="L14" s="12" t="str">
        <f t="shared" si="1"/>
        <v>* ajccEdition ^comment = ##334#8th,9th,10th,11th8th - 1634449
9th - 
10th - 
11th - ##334#</v>
      </c>
    </row>
    <row r="15" spans="1:12" ht="19.899999999999999" customHeight="1">
      <c r="A15" s="158">
        <v>7</v>
      </c>
      <c r="B15" s="57" t="s">
        <v>1648</v>
      </c>
      <c r="C15" s="11" t="s">
        <v>1624</v>
      </c>
      <c r="D15" s="12" t="s">
        <v>1625</v>
      </c>
      <c r="E15" s="11">
        <v>0</v>
      </c>
      <c r="F15" s="11">
        <v>1</v>
      </c>
      <c r="G15" s="57" t="s">
        <v>157</v>
      </c>
      <c r="H15" s="12" t="s">
        <v>1932</v>
      </c>
      <c r="I15" s="25"/>
      <c r="J15" s="12" t="str">
        <f t="shared" si="0"/>
        <v>* softTissue 0..1 boolean ##34#Soft tissue##34# ##334#Describes if site of metastasic disease  is soft tissue##334#</v>
      </c>
      <c r="L15" s="12" t="str">
        <f t="shared" si="1"/>
        <v>* softTissue ^comment = ##334#True; False##334#</v>
      </c>
    </row>
    <row r="16" spans="1:12" ht="19.899999999999999" customHeight="1">
      <c r="A16" s="158">
        <v>8</v>
      </c>
      <c r="B16" s="57" t="s">
        <v>1649</v>
      </c>
      <c r="C16" s="11" t="s">
        <v>1626</v>
      </c>
      <c r="D16" s="12" t="s">
        <v>1627</v>
      </c>
      <c r="E16" s="11">
        <v>0</v>
      </c>
      <c r="F16" s="11">
        <v>1</v>
      </c>
      <c r="G16" s="57" t="s">
        <v>157</v>
      </c>
      <c r="H16" s="12" t="s">
        <v>1932</v>
      </c>
      <c r="I16" s="25"/>
      <c r="J16" s="12" t="str">
        <f t="shared" si="0"/>
        <v>* distantLymphNode 0..1 boolean ##34#distant lymph node##34# ##334#Describes if site of metastasic disease  is dystan lymph node##334#</v>
      </c>
      <c r="L16" s="12" t="str">
        <f t="shared" si="1"/>
        <v>* distantLymphNode ^comment = ##334#True; False##334#</v>
      </c>
    </row>
    <row r="17" spans="1:13" ht="19.899999999999999" customHeight="1">
      <c r="A17" s="158">
        <v>9</v>
      </c>
      <c r="B17" s="57" t="s">
        <v>1628</v>
      </c>
      <c r="C17" s="11" t="s">
        <v>1628</v>
      </c>
      <c r="D17" s="12" t="s">
        <v>1629</v>
      </c>
      <c r="E17" s="11">
        <v>0</v>
      </c>
      <c r="F17" s="11">
        <v>1</v>
      </c>
      <c r="G17" s="57" t="s">
        <v>157</v>
      </c>
      <c r="H17" s="12" t="s">
        <v>1932</v>
      </c>
      <c r="I17" s="25"/>
      <c r="J17" s="12" t="str">
        <f t="shared" si="0"/>
        <v>* lung 0..1 boolean ##34#lung##34# ##334#Describes if site of metastasic disease  is lung##334#</v>
      </c>
      <c r="L17" s="12" t="str">
        <f t="shared" si="1"/>
        <v>* lung ^comment = ##334#True; False##334#</v>
      </c>
    </row>
    <row r="18" spans="1:13" ht="19.899999999999999" customHeight="1">
      <c r="A18" s="158">
        <v>10</v>
      </c>
      <c r="B18" s="57" t="s">
        <v>1630</v>
      </c>
      <c r="C18" s="11" t="s">
        <v>1630</v>
      </c>
      <c r="D18" s="11" t="s">
        <v>1631</v>
      </c>
      <c r="E18" s="11">
        <v>0</v>
      </c>
      <c r="F18" s="11">
        <v>1</v>
      </c>
      <c r="G18" s="57" t="s">
        <v>157</v>
      </c>
      <c r="H18" s="12" t="s">
        <v>1932</v>
      </c>
      <c r="J18" s="12" t="str">
        <f t="shared" si="0"/>
        <v>* bone 0..1 boolean ##34#bone##34# ##334#Describes if site of metastasic disease  is bone##334#</v>
      </c>
      <c r="L18" s="12" t="str">
        <f t="shared" si="1"/>
        <v>* bone ^comment = ##334#True; False##334#</v>
      </c>
    </row>
    <row r="19" spans="1:13" ht="19.899999999999999" customHeight="1">
      <c r="A19" s="158">
        <v>11</v>
      </c>
      <c r="B19" s="57" t="s">
        <v>1632</v>
      </c>
      <c r="C19" s="11" t="s">
        <v>1632</v>
      </c>
      <c r="D19" s="11" t="s">
        <v>1633</v>
      </c>
      <c r="E19" s="11">
        <v>0</v>
      </c>
      <c r="F19" s="11">
        <v>1</v>
      </c>
      <c r="G19" s="57" t="s">
        <v>157</v>
      </c>
      <c r="H19" s="12" t="s">
        <v>1932</v>
      </c>
      <c r="J19" s="12" t="str">
        <f t="shared" si="0"/>
        <v>* liver 0..1 boolean ##34#liver##34# ##334#Describes if site of metastasic disease  is liver##334#</v>
      </c>
      <c r="L19" s="12" t="str">
        <f t="shared" si="1"/>
        <v>* liver ^comment = ##334#True; False##334#</v>
      </c>
    </row>
    <row r="20" spans="1:13" ht="19.899999999999999" customHeight="1">
      <c r="A20" s="158">
        <v>12</v>
      </c>
      <c r="B20" s="57" t="s">
        <v>1634</v>
      </c>
      <c r="C20" s="11" t="s">
        <v>1634</v>
      </c>
      <c r="D20" s="11" t="s">
        <v>1635</v>
      </c>
      <c r="E20" s="11">
        <v>0</v>
      </c>
      <c r="F20" s="11">
        <v>1</v>
      </c>
      <c r="G20" s="57" t="s">
        <v>157</v>
      </c>
      <c r="H20" s="12" t="s">
        <v>1932</v>
      </c>
      <c r="J20" s="12" t="str">
        <f t="shared" si="0"/>
        <v>* pleura 0..1 boolean ##34#pleura##34# ##334#Describes if site of metastasic disease  is pleura##334#</v>
      </c>
      <c r="L20" s="12" t="str">
        <f t="shared" si="1"/>
        <v>* pleura ^comment = ##334#True; False##334#</v>
      </c>
    </row>
    <row r="21" spans="1:13" ht="19.899999999999999" customHeight="1">
      <c r="A21" s="158">
        <v>13</v>
      </c>
      <c r="B21" s="57" t="s">
        <v>1636</v>
      </c>
      <c r="C21" s="11" t="s">
        <v>1636</v>
      </c>
      <c r="D21" s="11" t="s">
        <v>1637</v>
      </c>
      <c r="E21" s="11">
        <v>0</v>
      </c>
      <c r="F21" s="11">
        <v>1</v>
      </c>
      <c r="G21" s="57" t="s">
        <v>157</v>
      </c>
      <c r="H21" s="12" t="s">
        <v>1932</v>
      </c>
      <c r="J21" s="12" t="str">
        <f t="shared" si="0"/>
        <v>* peritoneum 0..1 boolean ##34#peritoneum##34# ##334#Describes if site of metastasic disease  is peritoneum##334#</v>
      </c>
      <c r="L21" s="12" t="str">
        <f t="shared" si="1"/>
        <v>* peritoneum ^comment = ##334#True; False##334#</v>
      </c>
      <c r="M21"/>
    </row>
    <row r="22" spans="1:13" ht="19.899999999999999" customHeight="1">
      <c r="A22" s="158">
        <v>14</v>
      </c>
      <c r="B22" s="57" t="s">
        <v>1638</v>
      </c>
      <c r="C22" s="11" t="s">
        <v>1638</v>
      </c>
      <c r="D22" s="11" t="s">
        <v>1639</v>
      </c>
      <c r="E22" s="11">
        <v>0</v>
      </c>
      <c r="F22" s="11">
        <v>1</v>
      </c>
      <c r="G22" s="57" t="s">
        <v>157</v>
      </c>
      <c r="H22" s="12" t="s">
        <v>1932</v>
      </c>
      <c r="J22" s="12" t="str">
        <f t="shared" si="0"/>
        <v>* brain 0..1 boolean ##34#brain##34# ##334#Describes if site of metastasic disease  is brain##334#</v>
      </c>
      <c r="L22" s="12" t="str">
        <f t="shared" si="1"/>
        <v>* brain ^comment = ##334#True; False##334#</v>
      </c>
      <c r="M22"/>
    </row>
    <row r="23" spans="1:13" ht="19.899999999999999" customHeight="1">
      <c r="A23" s="158">
        <v>15</v>
      </c>
      <c r="B23" s="57" t="s">
        <v>1650</v>
      </c>
      <c r="C23" s="11" t="s">
        <v>1640</v>
      </c>
      <c r="D23" s="12" t="s">
        <v>1641</v>
      </c>
      <c r="E23" s="11">
        <v>0</v>
      </c>
      <c r="F23" s="11">
        <v>1</v>
      </c>
      <c r="G23" s="57" t="s">
        <v>157</v>
      </c>
      <c r="H23" s="12" t="s">
        <v>1932</v>
      </c>
      <c r="J23" s="12" t="str">
        <f t="shared" si="0"/>
        <v>* otherViscera 0..1 boolean ##34#other viscera##34# ##334#Describes if site of metastasic disease  is other viscera##334#</v>
      </c>
      <c r="L23" s="12" t="str">
        <f t="shared" si="1"/>
        <v>* otherViscera ^comment = ##334#True; False##334#</v>
      </c>
      <c r="M23"/>
    </row>
    <row r="24" spans="1:13" ht="19.899999999999999" customHeight="1">
      <c r="A24" s="158">
        <v>16</v>
      </c>
      <c r="B24" s="57" t="s">
        <v>1642</v>
      </c>
      <c r="C24" s="11" t="s">
        <v>1642</v>
      </c>
      <c r="D24" s="12" t="s">
        <v>1643</v>
      </c>
      <c r="E24" s="11">
        <v>0</v>
      </c>
      <c r="F24" s="11">
        <v>1</v>
      </c>
      <c r="G24" s="57" t="s">
        <v>157</v>
      </c>
      <c r="H24" s="12" t="s">
        <v>1932</v>
      </c>
      <c r="J24" s="12" t="str">
        <f t="shared" si="0"/>
        <v>* unknown 0..1 boolean ##34#unknown##34# ##334#Describes if site of metastasic disease  is unknown##334#</v>
      </c>
      <c r="L24" s="12" t="str">
        <f t="shared" si="1"/>
        <v>* unknown ^comment = ##334#True; False##334#</v>
      </c>
      <c r="M24"/>
    </row>
    <row r="25" spans="1:13" ht="19.899999999999999" customHeight="1">
      <c r="A25" s="143">
        <v>17</v>
      </c>
      <c r="C25"/>
      <c r="D25" s="2"/>
      <c r="J25" s="12" t="str">
        <f t="shared" si="0"/>
        <v>*  ..  ##34###34# ##334###334#</v>
      </c>
      <c r="L25" s="12" t="str">
        <f t="shared" si="1"/>
        <v>*  ..  ##34###34# ##334###334#</v>
      </c>
      <c r="M25"/>
    </row>
    <row r="26" spans="1:13" ht="19.899999999999999" customHeight="1">
      <c r="A26" s="100">
        <v>18</v>
      </c>
      <c r="C26"/>
      <c r="D26" s="2"/>
      <c r="J26" s="12" t="str">
        <f t="shared" si="0"/>
        <v>*  ..  ##34###34# ##334###334#</v>
      </c>
      <c r="L26" s="12" t="str">
        <f t="shared" si="1"/>
        <v>*  ..  ##34###34# ##334###334#</v>
      </c>
      <c r="M26"/>
    </row>
    <row r="27" spans="1:13" ht="19.899999999999999" customHeight="1">
      <c r="J27" s="12" t="str">
        <f t="shared" si="0"/>
        <v>*  ..  ##34###34# ##334###334#</v>
      </c>
      <c r="L27" s="12" t="str">
        <f t="shared" si="1"/>
        <v>*  ..  ##34###34# ##334###334#</v>
      </c>
    </row>
    <row r="28" spans="1:13" ht="19.899999999999999" customHeight="1" thickBot="1">
      <c r="J28" s="12" t="str">
        <f t="shared" si="0"/>
        <v>*  ..  ##34###34# ##334###334#</v>
      </c>
      <c r="L28" s="12" t="str">
        <f t="shared" si="1"/>
        <v>*  ..  ##34###34# ##334###334#</v>
      </c>
    </row>
    <row r="29" spans="1:13" ht="19.899999999999999" customHeight="1" thickBot="1">
      <c r="B29" s="152" t="s">
        <v>2120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1652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1653</v>
      </c>
      <c r="E6" s="20" t="str">
        <f>CONCATENATE("Title: ##34#",C6,"##34#")</f>
        <v>Title: ##34#Idea4RC Staging model to FHIR R4 Map##34#</v>
      </c>
      <c r="H6" s="7"/>
      <c r="I6" s="7"/>
      <c r="J6" s="7"/>
      <c r="K6" s="7"/>
      <c r="L6" s="7"/>
      <c r="M6" s="7"/>
      <c r="N6" s="7"/>
      <c r="O6" s="7"/>
    </row>
    <row r="7" spans="1:15" ht="15.5" thickBot="1">
      <c r="B7" s="10" t="s">
        <v>18</v>
      </c>
      <c r="C7" s="8" t="str">
        <f>B9</f>
        <v>ClinicalStage</v>
      </c>
      <c r="E7" s="20" t="str">
        <f>CONCATENATE("Source: ",C7)</f>
        <v>Source: ClinicalStage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ClinicalStage!B5</f>
        <v>ClinicalStage</v>
      </c>
      <c r="C9" s="6" t="s">
        <v>1609</v>
      </c>
      <c r="E9" s="27" t="str">
        <f>CONCATENATE("* -&gt; ##34#",C9,"##34#")</f>
        <v>* -&gt; ##34#TBD##34#</v>
      </c>
      <c r="H9" s="7"/>
      <c r="I9" s="7"/>
      <c r="J9" s="7"/>
      <c r="K9" s="7"/>
      <c r="L9" s="7"/>
      <c r="M9" s="7"/>
      <c r="N9" s="7"/>
      <c r="O9" s="7"/>
    </row>
    <row r="10" spans="1:15">
      <c r="A10" s="11"/>
      <c r="B10" s="11" t="str">
        <f>ClinicalStage!B8</f>
        <v>episodeEvent</v>
      </c>
      <c r="C10" s="11" t="s">
        <v>1609</v>
      </c>
      <c r="E10" s="12" t="str">
        <f t="shared" ref="E10:E73" si="0">IF(B10=0,"*  -&gt; ##34###34#",CONCATENATE("* ",B10," -&gt; ##34#",C10,"##34#"))</f>
        <v>* episodeEvent -&gt; ##34#TBD##34#</v>
      </c>
      <c r="H10" s="7"/>
      <c r="I10" s="7"/>
      <c r="J10" s="7"/>
      <c r="K10" s="7"/>
      <c r="L10" s="7"/>
      <c r="M10" s="7"/>
      <c r="N10" s="7"/>
      <c r="O10" s="7"/>
    </row>
    <row r="11" spans="1:15">
      <c r="A11" s="11"/>
      <c r="B11" s="11" t="str">
        <f>ClinicalStage!B9</f>
        <v>cT</v>
      </c>
      <c r="C11" s="11" t="s">
        <v>1609</v>
      </c>
      <c r="E11" s="12" t="str">
        <f t="shared" si="0"/>
        <v>* cT -&gt; ##34#TBD##34#</v>
      </c>
      <c r="H11" s="7"/>
      <c r="I11" s="7"/>
      <c r="J11" s="7"/>
      <c r="K11" s="7"/>
      <c r="L11" s="7"/>
      <c r="M11" s="7"/>
      <c r="N11" s="7"/>
      <c r="O11" s="7"/>
    </row>
    <row r="12" spans="1:15">
      <c r="A12" s="11"/>
      <c r="B12" s="11" t="str">
        <f>ClinicalStage!B10</f>
        <v>cN</v>
      </c>
      <c r="C12" s="11" t="s">
        <v>1609</v>
      </c>
      <c r="E12" s="12" t="str">
        <f t="shared" si="0"/>
        <v>* cN -&gt; ##34#TBD##34#</v>
      </c>
      <c r="H12" s="7"/>
      <c r="I12" s="7"/>
      <c r="J12" s="7"/>
      <c r="K12" s="7"/>
      <c r="L12" s="7"/>
      <c r="M12" s="7"/>
      <c r="N12" s="7"/>
      <c r="O12" s="7"/>
    </row>
    <row r="13" spans="1:15">
      <c r="A13" s="11"/>
      <c r="B13" s="11" t="str">
        <f>ClinicalStage!B11</f>
        <v>radiologicalExtraNodalExtension</v>
      </c>
      <c r="C13" s="11" t="s">
        <v>1609</v>
      </c>
      <c r="E13" s="12" t="str">
        <f t="shared" si="0"/>
        <v>* radiologicalExtraNodalExtension -&gt; ##34#TBD##34#</v>
      </c>
      <c r="H13" s="7"/>
      <c r="I13" s="7"/>
      <c r="J13" s="7"/>
      <c r="K13" s="7"/>
      <c r="L13" s="7"/>
      <c r="M13" s="7"/>
      <c r="N13" s="7"/>
      <c r="O13" s="7"/>
    </row>
    <row r="14" spans="1:15">
      <c r="A14" s="11"/>
      <c r="B14" s="11" t="str">
        <f>ClinicalStage!B12</f>
        <v>cM</v>
      </c>
      <c r="C14" s="11" t="s">
        <v>1609</v>
      </c>
      <c r="E14" s="12" t="str">
        <f t="shared" si="0"/>
        <v>* cM -&gt; ##34#TBD##34#</v>
      </c>
      <c r="H14" s="7"/>
      <c r="I14" s="7"/>
      <c r="J14" s="7"/>
      <c r="K14" s="7"/>
      <c r="L14" s="7"/>
      <c r="M14" s="7"/>
      <c r="N14" s="7"/>
      <c r="O14" s="7"/>
    </row>
    <row r="15" spans="1:15">
      <c r="A15" s="11"/>
      <c r="B15" s="11" t="str">
        <f>ClinicalStage!B13</f>
        <v>clinicalStaging</v>
      </c>
      <c r="C15" s="11" t="s">
        <v>1609</v>
      </c>
      <c r="E15" s="12" t="str">
        <f t="shared" si="0"/>
        <v>* clinicalStaging -&gt; ##34#TBD##34#</v>
      </c>
      <c r="H15" s="7"/>
      <c r="I15" s="7"/>
      <c r="J15" s="7"/>
      <c r="K15" s="7"/>
      <c r="L15" s="7"/>
      <c r="M15" s="7"/>
      <c r="N15" s="7"/>
      <c r="O15" s="7"/>
    </row>
    <row r="16" spans="1:15">
      <c r="A16" s="11"/>
      <c r="B16" s="11" t="str">
        <f>ClinicalStage!B14</f>
        <v>ajccEdition</v>
      </c>
      <c r="C16" s="11" t="s">
        <v>1609</v>
      </c>
      <c r="E16" s="12" t="str">
        <f t="shared" si="0"/>
        <v>* ajccEdition -&gt; ##34#TBD##34#</v>
      </c>
      <c r="H16" s="7"/>
      <c r="I16" s="7"/>
      <c r="J16" s="7"/>
      <c r="K16" s="7"/>
      <c r="L16" s="7"/>
      <c r="M16" s="7"/>
      <c r="N16" s="7"/>
      <c r="O16" s="7"/>
    </row>
    <row r="17" spans="1:5">
      <c r="A17" s="11"/>
      <c r="B17" s="11" t="str">
        <f>ClinicalStage!B15</f>
        <v>softTissue</v>
      </c>
      <c r="C17" s="11" t="s">
        <v>1609</v>
      </c>
      <c r="E17" s="12" t="str">
        <f t="shared" si="0"/>
        <v>* softTissue -&gt; ##34#TBD##34#</v>
      </c>
    </row>
    <row r="18" spans="1:5">
      <c r="A18" s="11"/>
      <c r="B18" s="11" t="str">
        <f>ClinicalStage!B16</f>
        <v>distantLymphNode</v>
      </c>
      <c r="C18" s="11" t="s">
        <v>1609</v>
      </c>
      <c r="E18" s="12" t="str">
        <f t="shared" si="0"/>
        <v>* distantLymphNode -&gt; ##34#TBD##34#</v>
      </c>
    </row>
    <row r="19" spans="1:5">
      <c r="A19" s="11"/>
      <c r="B19" s="11" t="str">
        <f>ClinicalStage!B17</f>
        <v>lung</v>
      </c>
      <c r="C19" s="11" t="s">
        <v>1609</v>
      </c>
      <c r="E19" s="12" t="str">
        <f t="shared" si="0"/>
        <v>* lung -&gt; ##34#TBD##34#</v>
      </c>
    </row>
    <row r="20" spans="1:5">
      <c r="A20" s="11"/>
      <c r="B20" s="11" t="str">
        <f>ClinicalStage!B18</f>
        <v>bone</v>
      </c>
      <c r="C20" s="11" t="s">
        <v>1609</v>
      </c>
      <c r="E20" s="12" t="str">
        <f t="shared" si="0"/>
        <v>* bone -&gt; ##34#TBD##34#</v>
      </c>
    </row>
    <row r="21" spans="1:5">
      <c r="B21" s="11" t="str">
        <f>ClinicalStage!B19</f>
        <v>liver</v>
      </c>
      <c r="C21" s="11" t="s">
        <v>1609</v>
      </c>
      <c r="E21" s="12" t="str">
        <f t="shared" si="0"/>
        <v>* liver -&gt; ##34#TBD##34#</v>
      </c>
    </row>
    <row r="22" spans="1:5">
      <c r="B22" s="11" t="str">
        <f>ClinicalStage!B20</f>
        <v>pleura</v>
      </c>
      <c r="C22" s="11" t="s">
        <v>1609</v>
      </c>
      <c r="E22" s="12" t="str">
        <f t="shared" si="0"/>
        <v>* pleura -&gt; ##34#TBD##34#</v>
      </c>
    </row>
    <row r="23" spans="1:5">
      <c r="B23" s="11" t="str">
        <f>ClinicalStage!B21</f>
        <v>peritoneum</v>
      </c>
      <c r="C23" s="11" t="s">
        <v>1609</v>
      </c>
      <c r="E23" s="12" t="str">
        <f t="shared" si="0"/>
        <v>* peritoneum -&gt; ##34#TBD##34#</v>
      </c>
    </row>
    <row r="24" spans="1:5">
      <c r="B24" s="11" t="str">
        <f>ClinicalStage!B22</f>
        <v>brain</v>
      </c>
      <c r="C24" s="11" t="s">
        <v>1609</v>
      </c>
      <c r="E24" s="12" t="str">
        <f t="shared" si="0"/>
        <v>* brain -&gt; ##34#TBD##34#</v>
      </c>
    </row>
    <row r="25" spans="1:5">
      <c r="B25" s="11" t="str">
        <f>ClinicalStage!B23</f>
        <v>otherViscera</v>
      </c>
      <c r="C25" s="11" t="s">
        <v>1609</v>
      </c>
      <c r="E25" s="12" t="str">
        <f t="shared" si="0"/>
        <v>* otherViscera -&gt; ##34#TBD##34#</v>
      </c>
    </row>
    <row r="26" spans="1:5">
      <c r="B26" s="11" t="str">
        <f>ClinicalStage!B24</f>
        <v>unknown</v>
      </c>
      <c r="C26" s="11" t="s">
        <v>1609</v>
      </c>
      <c r="E26" s="12" t="str">
        <f t="shared" si="0"/>
        <v>* unknown -&gt; ##34#TBD##34#</v>
      </c>
    </row>
    <row r="27" spans="1:5">
      <c r="B27" s="11">
        <f>ClinicalStage!B25</f>
        <v>0</v>
      </c>
      <c r="C27" s="11" t="s">
        <v>1609</v>
      </c>
      <c r="E27" s="12" t="str">
        <f t="shared" si="0"/>
        <v>*  -&gt; ##34###34#</v>
      </c>
    </row>
    <row r="28" spans="1:5">
      <c r="B28" s="11">
        <f>ClinicalStage!B26</f>
        <v>0</v>
      </c>
      <c r="C28" s="11" t="s">
        <v>1609</v>
      </c>
      <c r="E28" s="12" t="str">
        <f t="shared" si="0"/>
        <v>*  -&gt; ##34###34#</v>
      </c>
    </row>
    <row r="29" spans="1:5">
      <c r="B29" s="11" t="e">
        <f>ClinicalStage!#REF!</f>
        <v>#REF!</v>
      </c>
      <c r="C29" s="11" t="s">
        <v>1609</v>
      </c>
      <c r="E29" s="12" t="e">
        <f t="shared" si="0"/>
        <v>#REF!</v>
      </c>
    </row>
    <row r="30" spans="1:5">
      <c r="B30" s="11" t="e">
        <f>ClinicalStage!#REF!</f>
        <v>#REF!</v>
      </c>
      <c r="C30" s="11" t="s">
        <v>1609</v>
      </c>
      <c r="E30" s="12" t="e">
        <f t="shared" si="0"/>
        <v>#REF!</v>
      </c>
    </row>
    <row r="31" spans="1:5">
      <c r="B31" s="11" t="e">
        <f>ClinicalStage!#REF!</f>
        <v>#REF!</v>
      </c>
      <c r="C31" s="11" t="s">
        <v>1609</v>
      </c>
      <c r="E31" s="12" t="e">
        <f t="shared" si="0"/>
        <v>#REF!</v>
      </c>
    </row>
    <row r="32" spans="1:5">
      <c r="B32" s="11" t="e">
        <f>ClinicalStage!#REF!</f>
        <v>#REF!</v>
      </c>
      <c r="C32" s="11" t="s">
        <v>1609</v>
      </c>
      <c r="E32" s="12" t="e">
        <f t="shared" si="0"/>
        <v>#REF!</v>
      </c>
    </row>
    <row r="33" spans="2:5">
      <c r="B33" s="11" t="e">
        <f>ClinicalStage!#REF!</f>
        <v>#REF!</v>
      </c>
      <c r="C33" s="11" t="s">
        <v>1609</v>
      </c>
      <c r="E33" s="12" t="e">
        <f t="shared" si="0"/>
        <v>#REF!</v>
      </c>
    </row>
    <row r="34" spans="2:5">
      <c r="B34" s="11" t="e">
        <f>ClinicalStage!#REF!</f>
        <v>#REF!</v>
      </c>
      <c r="C34" s="11" t="s">
        <v>1609</v>
      </c>
      <c r="E34" s="12" t="e">
        <f t="shared" si="0"/>
        <v>#REF!</v>
      </c>
    </row>
    <row r="35" spans="2:5">
      <c r="B35" s="11" t="e">
        <f>ClinicalStage!#REF!</f>
        <v>#REF!</v>
      </c>
      <c r="C35" s="11" t="s">
        <v>1609</v>
      </c>
      <c r="E35" s="12" t="e">
        <f t="shared" si="0"/>
        <v>#REF!</v>
      </c>
    </row>
    <row r="36" spans="2:5">
      <c r="B36" s="11" t="e">
        <f>ClinicalStage!#REF!</f>
        <v>#REF!</v>
      </c>
      <c r="C36" s="11" t="s">
        <v>1609</v>
      </c>
      <c r="E36" s="12" t="e">
        <f t="shared" si="0"/>
        <v>#REF!</v>
      </c>
    </row>
    <row r="37" spans="2:5">
      <c r="B37" s="11" t="e">
        <f>ClinicalStage!#REF!</f>
        <v>#REF!</v>
      </c>
      <c r="C37" s="11" t="s">
        <v>1609</v>
      </c>
      <c r="E37" s="12" t="e">
        <f t="shared" si="0"/>
        <v>#REF!</v>
      </c>
    </row>
    <row r="38" spans="2:5">
      <c r="B38" s="11" t="e">
        <f>ClinicalStage!#REF!</f>
        <v>#REF!</v>
      </c>
      <c r="C38" s="11" t="s">
        <v>1609</v>
      </c>
      <c r="E38" s="12" t="e">
        <f t="shared" si="0"/>
        <v>#REF!</v>
      </c>
    </row>
    <row r="39" spans="2:5">
      <c r="B39" s="11" t="e">
        <f>ClinicalStage!#REF!</f>
        <v>#REF!</v>
      </c>
      <c r="C39" s="11" t="s">
        <v>1609</v>
      </c>
      <c r="E39" s="12" t="e">
        <f t="shared" si="0"/>
        <v>#REF!</v>
      </c>
    </row>
    <row r="40" spans="2:5">
      <c r="B40" s="11" t="e">
        <f>ClinicalStage!#REF!</f>
        <v>#REF!</v>
      </c>
      <c r="C40" s="11" t="s">
        <v>1609</v>
      </c>
      <c r="E40" s="12" t="e">
        <f t="shared" si="0"/>
        <v>#REF!</v>
      </c>
    </row>
    <row r="41" spans="2:5">
      <c r="B41" s="11" t="e">
        <f>ClinicalStage!#REF!</f>
        <v>#REF!</v>
      </c>
      <c r="C41" s="11" t="s">
        <v>1609</v>
      </c>
      <c r="E41" s="12" t="e">
        <f t="shared" si="0"/>
        <v>#REF!</v>
      </c>
    </row>
    <row r="42" spans="2:5">
      <c r="B42" s="11" t="e">
        <f>ClinicalStage!#REF!</f>
        <v>#REF!</v>
      </c>
      <c r="C42" s="11" t="s">
        <v>1609</v>
      </c>
      <c r="E42" s="12" t="e">
        <f t="shared" si="0"/>
        <v>#REF!</v>
      </c>
    </row>
    <row r="43" spans="2:5">
      <c r="B43" s="11" t="e">
        <f>ClinicalStage!#REF!</f>
        <v>#REF!</v>
      </c>
      <c r="C43" s="11" t="s">
        <v>1609</v>
      </c>
      <c r="E43" s="12" t="e">
        <f t="shared" si="0"/>
        <v>#REF!</v>
      </c>
    </row>
    <row r="44" spans="2:5">
      <c r="B44" s="11" t="e">
        <f>ClinicalStage!#REF!</f>
        <v>#REF!</v>
      </c>
      <c r="C44" s="11" t="s">
        <v>1609</v>
      </c>
      <c r="E44" s="12" t="e">
        <f t="shared" si="0"/>
        <v>#REF!</v>
      </c>
    </row>
    <row r="45" spans="2:5">
      <c r="B45" s="11" t="e">
        <f>ClinicalStage!#REF!</f>
        <v>#REF!</v>
      </c>
      <c r="C45" s="11" t="s">
        <v>1609</v>
      </c>
      <c r="E45" s="12" t="e">
        <f t="shared" si="0"/>
        <v>#REF!</v>
      </c>
    </row>
    <row r="46" spans="2:5">
      <c r="B46" s="11" t="e">
        <f>ClinicalStage!#REF!</f>
        <v>#REF!</v>
      </c>
      <c r="C46" s="11" t="s">
        <v>1609</v>
      </c>
      <c r="E46" s="12" t="e">
        <f t="shared" si="0"/>
        <v>#REF!</v>
      </c>
    </row>
    <row r="47" spans="2:5">
      <c r="B47" s="11" t="e">
        <f>ClinicalStage!#REF!</f>
        <v>#REF!</v>
      </c>
      <c r="C47" s="11" t="s">
        <v>1609</v>
      </c>
      <c r="E47" s="12" t="e">
        <f t="shared" si="0"/>
        <v>#REF!</v>
      </c>
    </row>
    <row r="48" spans="2:5">
      <c r="B48" s="11" t="e">
        <f>ClinicalStage!#REF!</f>
        <v>#REF!</v>
      </c>
      <c r="C48" s="11" t="s">
        <v>1609</v>
      </c>
      <c r="E48" s="12" t="e">
        <f t="shared" si="0"/>
        <v>#REF!</v>
      </c>
    </row>
    <row r="49" spans="2:5">
      <c r="B49" s="11" t="e">
        <f>ClinicalStage!#REF!</f>
        <v>#REF!</v>
      </c>
      <c r="C49" s="11" t="s">
        <v>1609</v>
      </c>
      <c r="E49" s="12" t="e">
        <f t="shared" si="0"/>
        <v>#REF!</v>
      </c>
    </row>
    <row r="50" spans="2:5">
      <c r="B50" s="11" t="e">
        <f>ClinicalStage!#REF!</f>
        <v>#REF!</v>
      </c>
      <c r="C50" s="11" t="s">
        <v>1609</v>
      </c>
      <c r="E50" s="12" t="e">
        <f t="shared" si="0"/>
        <v>#REF!</v>
      </c>
    </row>
    <row r="51" spans="2:5">
      <c r="B51" s="11" t="e">
        <f>ClinicalStage!#REF!</f>
        <v>#REF!</v>
      </c>
      <c r="C51" s="11" t="s">
        <v>1609</v>
      </c>
      <c r="E51" s="12" t="e">
        <f t="shared" si="0"/>
        <v>#REF!</v>
      </c>
    </row>
    <row r="52" spans="2:5">
      <c r="B52" s="11" t="e">
        <f>ClinicalStage!#REF!</f>
        <v>#REF!</v>
      </c>
      <c r="C52" s="11" t="s">
        <v>1609</v>
      </c>
      <c r="E52" s="12" t="e">
        <f t="shared" si="0"/>
        <v>#REF!</v>
      </c>
    </row>
    <row r="53" spans="2:5">
      <c r="B53" s="11" t="e">
        <f>ClinicalStage!#REF!</f>
        <v>#REF!</v>
      </c>
      <c r="C53" s="11" t="s">
        <v>1609</v>
      </c>
      <c r="E53" s="12" t="e">
        <f t="shared" si="0"/>
        <v>#REF!</v>
      </c>
    </row>
    <row r="54" spans="2:5">
      <c r="B54" s="11" t="e">
        <f>ClinicalStage!#REF!</f>
        <v>#REF!</v>
      </c>
      <c r="C54" s="11" t="s">
        <v>1609</v>
      </c>
      <c r="E54" s="12" t="e">
        <f t="shared" si="0"/>
        <v>#REF!</v>
      </c>
    </row>
    <row r="55" spans="2:5">
      <c r="B55" s="11" t="e">
        <f>ClinicalStage!#REF!</f>
        <v>#REF!</v>
      </c>
      <c r="C55" s="11" t="s">
        <v>1609</v>
      </c>
      <c r="E55" s="12" t="e">
        <f t="shared" si="0"/>
        <v>#REF!</v>
      </c>
    </row>
    <row r="56" spans="2:5">
      <c r="B56" s="11" t="e">
        <f>ClinicalStage!#REF!</f>
        <v>#REF!</v>
      </c>
      <c r="C56" s="11" t="s">
        <v>1609</v>
      </c>
      <c r="E56" s="12" t="e">
        <f t="shared" si="0"/>
        <v>#REF!</v>
      </c>
    </row>
    <row r="57" spans="2:5">
      <c r="B57" s="11" t="e">
        <f>ClinicalStage!#REF!</f>
        <v>#REF!</v>
      </c>
      <c r="C57" s="11" t="s">
        <v>1609</v>
      </c>
      <c r="E57" s="12" t="e">
        <f t="shared" si="0"/>
        <v>#REF!</v>
      </c>
    </row>
    <row r="58" spans="2:5">
      <c r="B58" s="11" t="e">
        <f>ClinicalStage!#REF!</f>
        <v>#REF!</v>
      </c>
      <c r="C58" s="11" t="s">
        <v>1609</v>
      </c>
      <c r="E58" s="12" t="e">
        <f t="shared" si="0"/>
        <v>#REF!</v>
      </c>
    </row>
    <row r="59" spans="2:5">
      <c r="B59" s="11" t="e">
        <f>ClinicalStage!#REF!</f>
        <v>#REF!</v>
      </c>
      <c r="C59" s="11" t="s">
        <v>1609</v>
      </c>
      <c r="E59" s="12" t="e">
        <f t="shared" si="0"/>
        <v>#REF!</v>
      </c>
    </row>
    <row r="60" spans="2:5">
      <c r="B60" s="11" t="e">
        <f>ClinicalStage!#REF!</f>
        <v>#REF!</v>
      </c>
      <c r="C60" s="11" t="s">
        <v>1609</v>
      </c>
      <c r="E60" s="12" t="e">
        <f t="shared" si="0"/>
        <v>#REF!</v>
      </c>
    </row>
    <row r="61" spans="2:5">
      <c r="B61" s="11" t="e">
        <f>ClinicalStage!#REF!</f>
        <v>#REF!</v>
      </c>
      <c r="C61" s="11" t="s">
        <v>1609</v>
      </c>
      <c r="E61" s="12" t="e">
        <f t="shared" si="0"/>
        <v>#REF!</v>
      </c>
    </row>
    <row r="62" spans="2:5">
      <c r="B62" s="11" t="e">
        <f>ClinicalStage!#REF!</f>
        <v>#REF!</v>
      </c>
      <c r="C62" s="11" t="s">
        <v>1609</v>
      </c>
      <c r="E62" s="12" t="e">
        <f t="shared" si="0"/>
        <v>#REF!</v>
      </c>
    </row>
    <row r="63" spans="2:5">
      <c r="B63" s="11" t="e">
        <f>ClinicalStage!#REF!</f>
        <v>#REF!</v>
      </c>
      <c r="C63" s="11" t="s">
        <v>1609</v>
      </c>
      <c r="E63" s="12" t="e">
        <f t="shared" si="0"/>
        <v>#REF!</v>
      </c>
    </row>
    <row r="64" spans="2:5">
      <c r="B64" s="11" t="e">
        <f>ClinicalStage!#REF!</f>
        <v>#REF!</v>
      </c>
      <c r="C64" s="11" t="s">
        <v>1609</v>
      </c>
      <c r="E64" s="12" t="e">
        <f t="shared" si="0"/>
        <v>#REF!</v>
      </c>
    </row>
    <row r="65" spans="2:5">
      <c r="B65" s="11" t="e">
        <f>ClinicalStage!#REF!</f>
        <v>#REF!</v>
      </c>
      <c r="C65" s="11" t="s">
        <v>1609</v>
      </c>
      <c r="E65" s="12" t="e">
        <f t="shared" si="0"/>
        <v>#REF!</v>
      </c>
    </row>
    <row r="66" spans="2:5">
      <c r="B66" s="11" t="e">
        <f>ClinicalStage!#REF!</f>
        <v>#REF!</v>
      </c>
      <c r="C66" s="11" t="s">
        <v>1609</v>
      </c>
      <c r="E66" s="12" t="e">
        <f t="shared" si="0"/>
        <v>#REF!</v>
      </c>
    </row>
    <row r="67" spans="2:5">
      <c r="B67" s="11" t="e">
        <f>ClinicalStage!#REF!</f>
        <v>#REF!</v>
      </c>
      <c r="C67" s="11" t="s">
        <v>1609</v>
      </c>
      <c r="E67" s="12" t="e">
        <f t="shared" si="0"/>
        <v>#REF!</v>
      </c>
    </row>
    <row r="68" spans="2:5">
      <c r="B68" s="11" t="e">
        <f>ClinicalStage!#REF!</f>
        <v>#REF!</v>
      </c>
      <c r="C68" s="11" t="s">
        <v>1609</v>
      </c>
      <c r="E68" s="12" t="e">
        <f t="shared" si="0"/>
        <v>#REF!</v>
      </c>
    </row>
    <row r="69" spans="2:5">
      <c r="B69" s="11" t="e">
        <f>ClinicalStage!#REF!</f>
        <v>#REF!</v>
      </c>
      <c r="C69" s="11" t="s">
        <v>1609</v>
      </c>
      <c r="E69" s="12" t="e">
        <f t="shared" si="0"/>
        <v>#REF!</v>
      </c>
    </row>
    <row r="70" spans="2:5">
      <c r="B70" s="11" t="e">
        <f>ClinicalStage!#REF!</f>
        <v>#REF!</v>
      </c>
      <c r="C70" s="11" t="s">
        <v>1609</v>
      </c>
      <c r="E70" s="12" t="e">
        <f t="shared" si="0"/>
        <v>#REF!</v>
      </c>
    </row>
    <row r="71" spans="2:5">
      <c r="B71" s="11" t="e">
        <f>ClinicalStage!#REF!</f>
        <v>#REF!</v>
      </c>
      <c r="C71" s="11" t="s">
        <v>1609</v>
      </c>
      <c r="E71" s="12" t="e">
        <f t="shared" si="0"/>
        <v>#REF!</v>
      </c>
    </row>
    <row r="72" spans="2:5">
      <c r="B72" s="11" t="e">
        <f>ClinicalStage!#REF!</f>
        <v>#REF!</v>
      </c>
      <c r="C72" s="11" t="s">
        <v>1609</v>
      </c>
      <c r="E72" s="12" t="e">
        <f t="shared" si="0"/>
        <v>#REF!</v>
      </c>
    </row>
    <row r="73" spans="2:5">
      <c r="B73" s="11" t="e">
        <f>ClinicalStage!#REF!</f>
        <v>#REF!</v>
      </c>
      <c r="C73" s="11" t="s">
        <v>1609</v>
      </c>
      <c r="E73" s="12" t="e">
        <f t="shared" si="0"/>
        <v>#REF!</v>
      </c>
    </row>
    <row r="74" spans="2:5">
      <c r="B74" s="11" t="e">
        <f>ClinicalStage!#REF!</f>
        <v>#REF!</v>
      </c>
      <c r="C74" s="11" t="s">
        <v>1609</v>
      </c>
      <c r="E74" s="12" t="e">
        <f t="shared" ref="E74:E98" si="1">IF(B74=0,"*  -&gt; ##34###34#",CONCATENATE("* ",B74," -&gt; ##34#",C74,"##34#"))</f>
        <v>#REF!</v>
      </c>
    </row>
    <row r="75" spans="2:5">
      <c r="B75" s="11" t="e">
        <f>ClinicalStage!#REF!</f>
        <v>#REF!</v>
      </c>
      <c r="C75" s="11" t="s">
        <v>1609</v>
      </c>
      <c r="E75" s="12" t="e">
        <f t="shared" si="1"/>
        <v>#REF!</v>
      </c>
    </row>
    <row r="76" spans="2:5">
      <c r="B76" s="11" t="e">
        <f>ClinicalStage!#REF!</f>
        <v>#REF!</v>
      </c>
      <c r="C76" s="11" t="s">
        <v>1609</v>
      </c>
      <c r="E76" s="12" t="e">
        <f t="shared" si="1"/>
        <v>#REF!</v>
      </c>
    </row>
    <row r="77" spans="2:5">
      <c r="B77" s="11" t="e">
        <f>ClinicalStage!#REF!</f>
        <v>#REF!</v>
      </c>
      <c r="C77" s="11" t="s">
        <v>1609</v>
      </c>
      <c r="E77" s="12" t="e">
        <f t="shared" si="1"/>
        <v>#REF!</v>
      </c>
    </row>
    <row r="78" spans="2:5">
      <c r="B78" s="11" t="e">
        <f>ClinicalStage!#REF!</f>
        <v>#REF!</v>
      </c>
      <c r="C78" s="11" t="s">
        <v>1609</v>
      </c>
      <c r="E78" s="12" t="e">
        <f t="shared" si="1"/>
        <v>#REF!</v>
      </c>
    </row>
    <row r="79" spans="2:5">
      <c r="B79" s="11" t="e">
        <f>ClinicalStage!#REF!</f>
        <v>#REF!</v>
      </c>
      <c r="C79" s="11" t="s">
        <v>1609</v>
      </c>
      <c r="E79" s="12" t="e">
        <f t="shared" si="1"/>
        <v>#REF!</v>
      </c>
    </row>
    <row r="80" spans="2:5">
      <c r="B80" s="11" t="e">
        <f>ClinicalStage!#REF!</f>
        <v>#REF!</v>
      </c>
      <c r="C80" s="11" t="s">
        <v>1609</v>
      </c>
      <c r="E80" s="12" t="e">
        <f t="shared" si="1"/>
        <v>#REF!</v>
      </c>
    </row>
    <row r="81" spans="2:5">
      <c r="B81" s="11" t="e">
        <f>ClinicalStage!#REF!</f>
        <v>#REF!</v>
      </c>
      <c r="C81" s="11" t="s">
        <v>1609</v>
      </c>
      <c r="E81" s="12" t="e">
        <f t="shared" si="1"/>
        <v>#REF!</v>
      </c>
    </row>
    <row r="82" spans="2:5">
      <c r="B82" s="11" t="e">
        <f>ClinicalStage!#REF!</f>
        <v>#REF!</v>
      </c>
      <c r="C82" s="11" t="s">
        <v>1609</v>
      </c>
      <c r="E82" s="12" t="e">
        <f t="shared" si="1"/>
        <v>#REF!</v>
      </c>
    </row>
    <row r="83" spans="2:5">
      <c r="B83" s="11" t="e">
        <f>ClinicalStage!#REF!</f>
        <v>#REF!</v>
      </c>
      <c r="C83" s="11" t="s">
        <v>1609</v>
      </c>
      <c r="E83" s="12" t="e">
        <f t="shared" si="1"/>
        <v>#REF!</v>
      </c>
    </row>
    <row r="84" spans="2:5">
      <c r="B84" s="11" t="e">
        <f>ClinicalStage!#REF!</f>
        <v>#REF!</v>
      </c>
      <c r="C84" s="11" t="s">
        <v>1609</v>
      </c>
      <c r="E84" s="12" t="e">
        <f t="shared" si="1"/>
        <v>#REF!</v>
      </c>
    </row>
    <row r="85" spans="2:5">
      <c r="B85" s="11" t="e">
        <f>ClinicalStage!#REF!</f>
        <v>#REF!</v>
      </c>
      <c r="C85" s="11" t="s">
        <v>1609</v>
      </c>
      <c r="E85" s="12" t="e">
        <f t="shared" si="1"/>
        <v>#REF!</v>
      </c>
    </row>
    <row r="86" spans="2:5">
      <c r="B86" s="11" t="e">
        <f>ClinicalStage!#REF!</f>
        <v>#REF!</v>
      </c>
      <c r="C86" s="11" t="s">
        <v>1609</v>
      </c>
      <c r="E86" s="12" t="e">
        <f t="shared" si="1"/>
        <v>#REF!</v>
      </c>
    </row>
    <row r="87" spans="2:5">
      <c r="B87" s="11" t="e">
        <f>ClinicalStage!#REF!</f>
        <v>#REF!</v>
      </c>
      <c r="C87" s="11" t="s">
        <v>1609</v>
      </c>
      <c r="E87" s="12" t="e">
        <f t="shared" si="1"/>
        <v>#REF!</v>
      </c>
    </row>
    <row r="88" spans="2:5">
      <c r="B88" s="11" t="e">
        <f>ClinicalStage!#REF!</f>
        <v>#REF!</v>
      </c>
      <c r="C88" s="11" t="s">
        <v>1609</v>
      </c>
      <c r="E88" s="12" t="e">
        <f t="shared" si="1"/>
        <v>#REF!</v>
      </c>
    </row>
    <row r="89" spans="2:5">
      <c r="B89" s="11" t="e">
        <f>ClinicalStage!#REF!</f>
        <v>#REF!</v>
      </c>
      <c r="C89" s="11" t="s">
        <v>1609</v>
      </c>
      <c r="E89" s="12" t="e">
        <f t="shared" si="1"/>
        <v>#REF!</v>
      </c>
    </row>
    <row r="90" spans="2:5">
      <c r="B90" s="11" t="e">
        <f>ClinicalStage!#REF!</f>
        <v>#REF!</v>
      </c>
      <c r="C90" s="11" t="s">
        <v>1609</v>
      </c>
      <c r="E90" s="12" t="e">
        <f t="shared" si="1"/>
        <v>#REF!</v>
      </c>
    </row>
    <row r="91" spans="2:5">
      <c r="B91" s="11" t="e">
        <f>ClinicalStage!#REF!</f>
        <v>#REF!</v>
      </c>
      <c r="C91" s="11" t="s">
        <v>1609</v>
      </c>
      <c r="E91" s="12" t="e">
        <f t="shared" si="1"/>
        <v>#REF!</v>
      </c>
    </row>
    <row r="92" spans="2:5">
      <c r="B92" s="11" t="e">
        <f>ClinicalStage!#REF!</f>
        <v>#REF!</v>
      </c>
      <c r="C92" s="11" t="s">
        <v>1609</v>
      </c>
      <c r="E92" s="12" t="e">
        <f t="shared" si="1"/>
        <v>#REF!</v>
      </c>
    </row>
    <row r="93" spans="2:5">
      <c r="B93" s="11" t="e">
        <f>ClinicalStage!#REF!</f>
        <v>#REF!</v>
      </c>
      <c r="C93" s="11" t="s">
        <v>1609</v>
      </c>
      <c r="E93" s="12" t="e">
        <f t="shared" si="1"/>
        <v>#REF!</v>
      </c>
    </row>
    <row r="94" spans="2:5">
      <c r="B94" s="11" t="e">
        <f>ClinicalStage!#REF!</f>
        <v>#REF!</v>
      </c>
      <c r="C94" s="11" t="s">
        <v>1609</v>
      </c>
      <c r="E94" s="12" t="e">
        <f t="shared" si="1"/>
        <v>#REF!</v>
      </c>
    </row>
    <row r="95" spans="2:5">
      <c r="B95" s="11" t="e">
        <f>ClinicalStage!#REF!</f>
        <v>#REF!</v>
      </c>
      <c r="C95" s="11" t="s">
        <v>1609</v>
      </c>
      <c r="E95" s="12" t="e">
        <f t="shared" si="1"/>
        <v>#REF!</v>
      </c>
    </row>
    <row r="96" spans="2:5">
      <c r="B96" s="11"/>
      <c r="C96" s="11" t="s">
        <v>1609</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C56" sqref="C56:G307"/>
    </sheetView>
  </sheetViews>
  <sheetFormatPr defaultRowHeight="14.75"/>
  <cols>
    <col min="3" max="3" width="108.2265625" style="12" customWidth="1"/>
    <col min="7" max="7" width="29.54296875" customWidth="1"/>
    <col min="8" max="8" width="54.90625" customWidth="1"/>
  </cols>
  <sheetData>
    <row r="1" spans="3:7" ht="15.5" thickBot="1">
      <c r="C1" s="23" t="str">
        <f>ClinicalStage!J1</f>
        <v>//===================================================</v>
      </c>
    </row>
    <row r="2" spans="3:7" ht="16.75" thickBot="1">
      <c r="C2" s="24" t="str">
        <f>ClinicalStage!J2</f>
        <v>//  Logical Model</v>
      </c>
      <c r="G2" s="29" t="s">
        <v>1953</v>
      </c>
    </row>
    <row r="3" spans="3:7">
      <c r="C3" s="24" t="str">
        <f>ClinicalStage!J3</f>
        <v>//===================================================</v>
      </c>
    </row>
    <row r="4" spans="3:7">
      <c r="C4" s="16" t="str">
        <f>ClinicalStage!J4</f>
        <v>Logical: ClinicalStage</v>
      </c>
    </row>
    <row r="5" spans="3:7">
      <c r="C5" s="16" t="str">
        <f>ClinicalStage!J5</f>
        <v>Id: ClinicalStage</v>
      </c>
    </row>
    <row r="6" spans="3:7">
      <c r="C6" s="16" t="str">
        <f>ClinicalStage!J6</f>
        <v>Title: ##34#Clinical Stage##34#</v>
      </c>
    </row>
    <row r="7" spans="3:7">
      <c r="C7" s="16" t="str">
        <f>ClinicalStage!J7</f>
        <v>Description:  ##334#Clinical Stage##334#</v>
      </c>
    </row>
    <row r="8" spans="3:7" ht="29.5">
      <c r="C8" s="12" t="str">
        <f>IF(ClinicalStage!J8="*  ..  ##34###34# ##334###334#","//--- END",ClinicalStage!J8)</f>
        <v>* episodeEvent 1..1 http://hl7.eu/fhir/ig/idea4rc/StructureDefinition/EpisodeEvent ##34#Episode Event##34# ##334#EpisodeEvent element containing the data regarding the patient's cancer##334#</v>
      </c>
    </row>
    <row r="9" spans="3:7">
      <c r="C9" s="12" t="str">
        <f>IF(ClinicalStage!J9="*  ..  ##34###34# ##334###334#","//--- END",ClinicalStage!J9)</f>
        <v>* cT 1..1 CodeableConcept ##34#cT##34# ##334#Specifies the clinical T##334#</v>
      </c>
    </row>
    <row r="10" spans="3:7">
      <c r="C10" s="12" t="str">
        <f>IF(ClinicalStage!J10="*  ..  ##34###34# ##334###334#","//--- END",ClinicalStage!J10)</f>
        <v>* cN 1..1 CodeableConcept ##34#cN##34# ##334#Specifies the clinical N##334#</v>
      </c>
    </row>
    <row r="11" spans="3:7" ht="29.5">
      <c r="C11" s="12" t="str">
        <f>IF(ClinicalStage!J11="*  ..  ##34###34# ##334###334#","//--- END",ClinicalStage!J11)</f>
        <v>* radiologicalExtraNodalExtension 1..1 CodeableConcept ##34#Radiological Extra-nodal extension (rENE)##34# ##334#Describes the presence or absence of radiological signs of extracapsular extension, as defined in the AJCC 8th Ed##334#</v>
      </c>
    </row>
    <row r="12" spans="3:7">
      <c r="C12" s="12" t="str">
        <f>IF(ClinicalStage!J12="*  ..  ##34###34# ##334###334#","//--- END",ClinicalStage!J12)</f>
        <v>* cM 1..1 CodeableConcept ##34#cM##34# ##334#Specifies the clinical M##334#</v>
      </c>
    </row>
    <row r="13" spans="3:7">
      <c r="C13" s="12" t="str">
        <f>IF(ClinicalStage!J13="*  ..  ##34###34# ##334###334#","//--- END",ClinicalStage!J13)</f>
        <v>* clinicalStaging 1..1 CodeableConcept ##34#Clinical staging##34# ##334#Specifies the clinical TNM##334#</v>
      </c>
    </row>
    <row r="14" spans="3:7">
      <c r="C14" s="12" t="str">
        <f>IF(ClinicalStage!J14="*  ..  ##34###34# ##334###334#","//--- END",ClinicalStage!J14)</f>
        <v>* ajccEdition 1..1 CodeableConcept ##34#Ajcc edition##34# ##334#Describe the edition of the AJCC used for staging##334#</v>
      </c>
    </row>
    <row r="15" spans="3:7">
      <c r="C15" s="12" t="str">
        <f>IF(ClinicalStage!J15="*  ..  ##34###34# ##334###334#","//--- END",ClinicalStage!J15)</f>
        <v>* softTissue 0..1 boolean ##34#Soft tissue##34# ##334#Describes if site of metastasic disease  is soft tissue##334#</v>
      </c>
    </row>
    <row r="16" spans="3:7" ht="29.5">
      <c r="C16" s="12" t="str">
        <f>IF(ClinicalStage!J16="*  ..  ##34###34# ##334###334#","//--- END",ClinicalStage!J16)</f>
        <v>* distantLymphNode 0..1 boolean ##34#distant lymph node##34# ##334#Describes if site of metastasic disease  is dystan lymph node##334#</v>
      </c>
    </row>
    <row r="17" spans="3:3">
      <c r="C17" s="12" t="str">
        <f>IF(ClinicalStage!J17="*  ..  ##34###34# ##334###334#","//--- END",ClinicalStage!J17)</f>
        <v>* lung 0..1 boolean ##34#lung##34# ##334#Describes if site of metastasic disease  is lung##334#</v>
      </c>
    </row>
    <row r="18" spans="3:3">
      <c r="C18" s="12" t="str">
        <f>IF(ClinicalStage!J18="*  ..  ##34###34# ##334###334#","//--- END",ClinicalStage!J18)</f>
        <v>* bone 0..1 boolean ##34#bone##34# ##334#Describes if site of metastasic disease  is bone##334#</v>
      </c>
    </row>
    <row r="19" spans="3:3">
      <c r="C19" s="12" t="str">
        <f>IF(ClinicalStage!J19="*  ..  ##34###34# ##334###334#","//--- END",ClinicalStage!J19)</f>
        <v>* liver 0..1 boolean ##34#liver##34# ##334#Describes if site of metastasic disease  is liver##334#</v>
      </c>
    </row>
    <row r="20" spans="3:3">
      <c r="C20" s="12" t="str">
        <f>IF(ClinicalStage!J20="*  ..  ##34###34# ##334###334#","//--- END",ClinicalStage!J20)</f>
        <v>* pleura 0..1 boolean ##34#pleura##34# ##334#Describes if site of metastasic disease  is pleura##334#</v>
      </c>
    </row>
    <row r="21" spans="3:3">
      <c r="C21" s="12" t="str">
        <f>IF(ClinicalStage!J21="*  ..  ##34###34# ##334###334#","//--- END",ClinicalStage!J21)</f>
        <v>* peritoneum 0..1 boolean ##34#peritoneum##34# ##334#Describes if site of metastasic disease  is peritoneum##334#</v>
      </c>
    </row>
    <row r="22" spans="3:3">
      <c r="C22" s="12" t="str">
        <f>IF(ClinicalStage!J22="*  ..  ##34###34# ##334###334#","//--- END",ClinicalStage!J22)</f>
        <v>* brain 0..1 boolean ##34#brain##34# ##334#Describes if site of metastasic disease  is brain##334#</v>
      </c>
    </row>
    <row r="23" spans="3:3">
      <c r="C23" s="12" t="str">
        <f>IF(ClinicalStage!J23="*  ..  ##34###34# ##334###334#","//--- END",ClinicalStage!J23)</f>
        <v>* otherViscera 0..1 boolean ##34#other viscera##34# ##334#Describes if site of metastasic disease  is other viscera##334#</v>
      </c>
    </row>
    <row r="24" spans="3:3">
      <c r="C24" s="12" t="str">
        <f>IF(ClinicalStage!J24="*  ..  ##34###34# ##334###334#","//--- END",ClinicalStage!J24)</f>
        <v>* unknown 0..1 boolean ##34#unknown##34# ##334#Describes if site of metastasic disease  is unknown##334#</v>
      </c>
    </row>
    <row r="25" spans="3:3">
      <c r="C25" s="12" t="str">
        <f>IF(ClinicalStage!J25="*  ..  ##34###34# ##334###334#","//--- END",ClinicalStage!J25)</f>
        <v>//--- END</v>
      </c>
    </row>
    <row r="26" spans="3:3">
      <c r="C26" s="12" t="str">
        <f>IF(ClinicalStage!J26="*  ..  ##34###34# ##334###334#","//--- END",ClinicalStage!J26)</f>
        <v>//--- END</v>
      </c>
    </row>
    <row r="27" spans="3:3">
      <c r="C27" s="12" t="str">
        <f>IF(ClinicalStage!J27="*  ..  ##34###34# ##334###334#","//--- END",ClinicalStage!J27)</f>
        <v>//--- END</v>
      </c>
    </row>
    <row r="28" spans="3:3">
      <c r="C28" s="12" t="str">
        <f>IF(ClinicalStage!J28="*  ..  ##34###34# ##334###334#","//--- END",ClinicalStage!J28)</f>
        <v>//--- END</v>
      </c>
    </row>
    <row r="33" spans="3:3">
      <c r="C33" s="23" t="s">
        <v>1613</v>
      </c>
    </row>
    <row r="34" spans="3:3">
      <c r="C34" s="24" t="s">
        <v>1706</v>
      </c>
    </row>
    <row r="35" spans="3:3">
      <c r="C35" s="24" t="s">
        <v>1613</v>
      </c>
    </row>
    <row r="36" spans="3:3">
      <c r="C36" s="12" t="str">
        <f>IF(ClinicalStage!L8="*  ..  ##34###34# ##334###334#","//--- END",ClinicalStage!L8)</f>
        <v/>
      </c>
    </row>
    <row r="37" spans="3:3" ht="132.75">
      <c r="C37" s="12" t="str">
        <f>IF(ClinicalStage!L9="*  ..  ##34###34# ##334###334#","//--- END",ClinicalStage!L9)</f>
        <v>* cT ^comment = ##334#Tx; Tis; T0;T1;T2; T3; T4; T4a; T4b;Tx - 4282467
 Tis - 4195922
T0 - 4243213
T1 -  4052407
T2 - 4194614
 T3 - 4032012
 T4 - 4278513
 T4a - 4127612
 T4b - 4129920##334#</v>
      </c>
    </row>
    <row r="38" spans="3:3" ht="147.5">
      <c r="C38" s="12" t="str">
        <f>IF(ClinicalStage!L10="*  ..  ##34###34# ##334###334#","//--- END",ClinicalStage!L10)</f>
        <v>* cN ^comment = ##334#Nx; N0;N1;N2;N2a;N2b;N2c;N3; N3a;N3b;Nx - 4195718
N0 - 4266674
N1 - 4203608
N2 - 4263599
N2a - 4135247
N2b - 4119012
N2c - 4118508
N3 - 4239307
N3a - 4240556
N3b - 4240557##334#</v>
      </c>
    </row>
    <row r="39" spans="3:3" ht="29.5">
      <c r="C39" s="12" t="str">
        <f>IF(ClinicalStage!L11="*  ..  ##34###34# ##334###334#","//--- END",ClinicalStage!L11)</f>
        <v>* radiologicalExtraNodalExtension ^comment = ##334#ENE-; ENE+;ENE- - 36769946
ENE+ - 36770618##334#</v>
      </c>
    </row>
    <row r="40" spans="3:3" ht="29.5">
      <c r="C40" s="12" t="str">
        <f>IF(ClinicalStage!L12="*  ..  ##34###34# ##334###334#","//--- END",ClinicalStage!L12)</f>
        <v>* cM ^comment = ##334#M0; M1;M0 -  4149726
M1 - 4205430##334#</v>
      </c>
    </row>
    <row r="41" spans="3:3" ht="118">
      <c r="C41" s="12" t="str">
        <f>IF(ClinicalStage!L13="*  ..  ##34###34# ##334###334#","//--- END",ClinicalStage!L13)</f>
        <v>* clinicalStaging ^comment = ##334#0;I;II;III;IV;IVA;IVB;IVC;0 - 4127500
I - 4121054
II - 4106768
III - 4121176
IV - 4123017
IVA - 4129915
IVB - 4130412
IVC - 4196439##334#</v>
      </c>
    </row>
    <row r="42" spans="3:3" ht="59">
      <c r="C42" s="12" t="str">
        <f>IF(ClinicalStage!L14="*  ..  ##34###34# ##334###334#","//--- END",ClinicalStage!L14)</f>
        <v>* ajccEdition ^comment = ##334#8th,9th,10th,11th8th - 1634449
9th - 
10th - 
11th - ##334#</v>
      </c>
    </row>
    <row r="43" spans="3:3">
      <c r="C43" s="12" t="str">
        <f>IF(ClinicalStage!L15="*  ..  ##34###34# ##334###334#","//--- END",ClinicalStage!L15)</f>
        <v>* softTissue ^comment = ##334#True; False##334#</v>
      </c>
    </row>
    <row r="44" spans="3:3">
      <c r="C44" s="12" t="str">
        <f>IF(ClinicalStage!L16="*  ..  ##34###34# ##334###334#","//--- END",ClinicalStage!L16)</f>
        <v>* distantLymphNode ^comment = ##334#True; False##334#</v>
      </c>
    </row>
    <row r="45" spans="3:3">
      <c r="C45" s="12" t="str">
        <f>IF(ClinicalStage!L17="*  ..  ##34###34# ##334###334#","//--- END",ClinicalStage!L17)</f>
        <v>* lung ^comment = ##334#True; False##334#</v>
      </c>
    </row>
    <row r="46" spans="3:3">
      <c r="C46" s="12" t="str">
        <f>IF(ClinicalStage!L18="*  ..  ##34###34# ##334###334#","//--- END",ClinicalStage!L18)</f>
        <v>* bone ^comment = ##334#True; False##334#</v>
      </c>
    </row>
    <row r="47" spans="3:3">
      <c r="C47" s="12" t="str">
        <f>IF(ClinicalStage!L19="*  ..  ##34###34# ##334###334#","//--- END",ClinicalStage!L19)</f>
        <v>* liver ^comment = ##334#True; False##334#</v>
      </c>
    </row>
    <row r="48" spans="3:3">
      <c r="C48" s="12" t="str">
        <f>IF(ClinicalStage!L20="*  ..  ##34###34# ##334###334#","//--- END",ClinicalStage!L20)</f>
        <v>* pleura ^comment = ##334#True; False##334#</v>
      </c>
    </row>
    <row r="49" spans="3:3">
      <c r="C49" s="12" t="str">
        <f>IF(ClinicalStage!L21="*  ..  ##34###34# ##334###334#","//--- END",ClinicalStage!L21)</f>
        <v>* peritoneum ^comment = ##334#True; False##334#</v>
      </c>
    </row>
    <row r="50" spans="3:3">
      <c r="C50" s="12" t="str">
        <f>IF(ClinicalStage!L22="*  ..  ##34###34# ##334###334#","//--- END",ClinicalStage!L22)</f>
        <v>* brain ^comment = ##334#True; False##334#</v>
      </c>
    </row>
    <row r="51" spans="3:3">
      <c r="C51" s="12" t="str">
        <f>IF(ClinicalStage!L23="*  ..  ##34###34# ##334###334#","//--- END",ClinicalStage!L23)</f>
        <v>* otherViscera ^comment = ##334#True; False##334#</v>
      </c>
    </row>
    <row r="52" spans="3:3">
      <c r="C52" s="12" t="str">
        <f>IF(ClinicalStage!L24="*  ..  ##34###34# ##334###334#","//--- END",ClinicalStage!L24)</f>
        <v>* unknown ^comment = ##334#True; False##334#</v>
      </c>
    </row>
    <row r="53" spans="3:3">
      <c r="C53" s="12" t="str">
        <f>IF(ClinicalStage!L25="*  ..  ##34###34# ##334###334#","//--- END",ClinicalStage!L25)</f>
        <v>//--- END</v>
      </c>
    </row>
    <row r="54" spans="3:3">
      <c r="C54" s="12" t="str">
        <f>IF(ClinicalStage!L26="*  ..  ##34###34# ##334###334#","//--- END",ClinicalStage!L26)</f>
        <v>//--- END</v>
      </c>
    </row>
    <row r="55" spans="3:3">
      <c r="C55" s="12" t="str">
        <f>IF(ClinicalStage!L27="*  ..  ##34###34# ##334###334#","//--- END",ClinicalStage!L27)</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2111</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2111</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ClinicalStage!B8</f>
        <v>episodeEvent</v>
      </c>
      <c r="C15" s="11" t="str">
        <f>ClinicalStage!C8</f>
        <v>Episode Event</v>
      </c>
      <c r="D15" s="12"/>
      <c r="E15" s="12"/>
      <c r="F15" s="64" t="s">
        <v>1407</v>
      </c>
      <c r="G15" s="124" t="s">
        <v>2112</v>
      </c>
      <c r="I15" s="12" t="str">
        <f>"* group[=].element[+].code = #"&amp;$B$14&amp;"."&amp;B15</f>
        <v>* group[=].element[+].code = #ClinicalStage.episodeEvent</v>
      </c>
      <c r="J15" s="12" t="str">
        <f t="shared" ref="J15:J31" si="0">"* group[=].element[=].display = ##34#"&amp;C15&amp;"##34#"</f>
        <v>* group[=].element[=].display = ##34#Episode Event##34#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c r="A16" s="59"/>
      <c r="B16" s="11" t="str">
        <f>ClinicalStage!B9</f>
        <v>cT</v>
      </c>
      <c r="C16" s="11" t="str">
        <f>ClinicalStage!C9</f>
        <v>cT</v>
      </c>
      <c r="D16" s="12" t="s">
        <v>2113</v>
      </c>
      <c r="E16" s="12"/>
      <c r="F16" s="64" t="s">
        <v>1407</v>
      </c>
      <c r="G16" s="124" t="s">
        <v>2127</v>
      </c>
      <c r="I16" s="12" t="str">
        <f t="shared" ref="I16:I31" si="7">"* group[=].element[+].code = #"&amp;$B$14&amp;"."&amp;B16</f>
        <v>* group[=].element[+].code = #ClinicalStage.cT</v>
      </c>
      <c r="J16" s="12" t="str">
        <f t="shared" si="0"/>
        <v>* group[=].element[=].display = ##34#cT##34#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Event##34#</v>
      </c>
    </row>
    <row r="17" spans="1:19" ht="73.75">
      <c r="A17" s="59"/>
      <c r="B17" s="11" t="str">
        <f>ClinicalStage!B10</f>
        <v>cN</v>
      </c>
      <c r="C17" s="11" t="str">
        <f>ClinicalStage!C10</f>
        <v>cN</v>
      </c>
      <c r="D17" s="12" t="s">
        <v>2114</v>
      </c>
      <c r="E17" s="12"/>
      <c r="F17" s="153" t="s">
        <v>1407</v>
      </c>
      <c r="G17" s="124" t="s">
        <v>2127</v>
      </c>
      <c r="H17" s="58"/>
      <c r="I17" s="12" t="str">
        <f t="shared" si="7"/>
        <v>* group[=].element[+].code = #ClinicalStage.cN</v>
      </c>
      <c r="J17" s="12" t="str">
        <f t="shared" si="0"/>
        <v>* group[=].element[=].display = ##34#cN##34#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c r="A18" s="59"/>
      <c r="B18" s="11" t="str">
        <f>ClinicalStage!B11</f>
        <v>radiologicalExtraNodalExtension</v>
      </c>
      <c r="C18" s="11" t="str">
        <f>ClinicalStage!C11</f>
        <v>Radiological Extra-nodal extension (rENE)</v>
      </c>
      <c r="D18" s="12"/>
      <c r="E18" s="12"/>
      <c r="F18" s="121" t="s">
        <v>1407</v>
      </c>
      <c r="G18" s="123" t="s">
        <v>2122</v>
      </c>
      <c r="H18" s="58"/>
      <c r="I18" s="12" t="str">
        <f t="shared" si="7"/>
        <v>* group[=].element[+].code = #ClinicalStage.radiologicalExtraNodalExtension</v>
      </c>
      <c r="J18" s="12" t="str">
        <f t="shared" si="0"/>
        <v>* group[=].element[=].display = ##34#Radiological Extra-nodal extension (rENE)##34#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c r="A19" s="59"/>
      <c r="B19" s="11" t="str">
        <f>ClinicalStage!B12</f>
        <v>cM</v>
      </c>
      <c r="C19" s="11" t="str">
        <f>ClinicalStage!C12</f>
        <v>cM</v>
      </c>
      <c r="D19" s="12" t="s">
        <v>2115</v>
      </c>
      <c r="E19" s="12"/>
      <c r="F19" s="64" t="s">
        <v>1430</v>
      </c>
      <c r="G19" s="124" t="s">
        <v>2127</v>
      </c>
      <c r="H19" s="58"/>
      <c r="I19" s="12" t="str">
        <f t="shared" si="7"/>
        <v>* group[=].element[+].code = #ClinicalStage.cM</v>
      </c>
      <c r="J19" s="12" t="str">
        <f t="shared" si="0"/>
        <v>* group[=].element[=].display = ##34#cM##34#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c r="A20" s="59"/>
      <c r="B20" s="11" t="str">
        <f>ClinicalStage!B13</f>
        <v>clinicalStaging</v>
      </c>
      <c r="C20" s="11" t="str">
        <f>ClinicalStage!C13</f>
        <v>Clinical staging</v>
      </c>
      <c r="D20" s="12" t="s">
        <v>2116</v>
      </c>
      <c r="E20" s="12"/>
      <c r="F20" s="64" t="s">
        <v>1429</v>
      </c>
      <c r="G20" s="124" t="s">
        <v>2127</v>
      </c>
      <c r="H20" s="58"/>
      <c r="I20" s="12" t="str">
        <f t="shared" si="7"/>
        <v>* group[=].element[+].code = #ClinicalStage.clinicalStaging</v>
      </c>
      <c r="J20" s="12" t="str">
        <f t="shared" si="0"/>
        <v>* group[=].element[=].display = ##34#Clinical staging##34#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c r="A21" s="59"/>
      <c r="B21" s="11" t="str">
        <f>ClinicalStage!B14</f>
        <v>ajccEdition</v>
      </c>
      <c r="C21" s="11" t="str">
        <f>ClinicalStage!C14</f>
        <v>Ajcc edition</v>
      </c>
      <c r="D21" s="12" t="s">
        <v>2117</v>
      </c>
      <c r="E21" s="12"/>
      <c r="F21" s="64" t="s">
        <v>1407</v>
      </c>
      <c r="G21" s="124" t="s">
        <v>2128</v>
      </c>
      <c r="H21" s="58"/>
      <c r="I21" s="12" t="str">
        <f t="shared" si="7"/>
        <v>* group[=].element[+].code = #ClinicalStage.ajccEdition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#ClinicalStage.cT</v>
      </c>
    </row>
    <row r="22" spans="1:19" ht="73.75">
      <c r="A22" s="59"/>
      <c r="B22" s="11" t="str">
        <f>ClinicalStage!B15</f>
        <v>softTissue</v>
      </c>
      <c r="C22" s="11" t="str">
        <f>ClinicalStage!C15</f>
        <v>Soft tissue</v>
      </c>
      <c r="D22" s="27"/>
      <c r="E22" s="12"/>
      <c r="F22" s="64" t="s">
        <v>1407</v>
      </c>
      <c r="G22" s="154" t="s">
        <v>2121</v>
      </c>
      <c r="H22" s="58"/>
      <c r="I22" s="12" t="str">
        <f t="shared" si="7"/>
        <v>* group[=].element[+].code = #ClinicalStage.softTissue</v>
      </c>
      <c r="J22" s="12" t="str">
        <f t="shared" si="0"/>
        <v>* group[=].element[=].display = ##34#Soft tissue##34#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##34#cT##34#</v>
      </c>
    </row>
    <row r="23" spans="1:19" ht="73.75">
      <c r="A23" s="59"/>
      <c r="B23" s="11" t="str">
        <f>ClinicalStage!B16</f>
        <v>distantLymphNode</v>
      </c>
      <c r="C23" s="11" t="str">
        <f>ClinicalStage!C16</f>
        <v>distant lymph node</v>
      </c>
      <c r="D23" s="4"/>
      <c r="E23" s="11"/>
      <c r="F23" s="64" t="s">
        <v>1407</v>
      </c>
      <c r="G23" s="123" t="s">
        <v>2121</v>
      </c>
      <c r="H23" s="58"/>
      <c r="I23" s="12" t="str">
        <f t="shared" si="7"/>
        <v>* group[=].element[+].code = #ClinicalStage.distantLymphNode</v>
      </c>
      <c r="J23" s="12" t="str">
        <f t="shared" si="0"/>
        <v>* group[=].element[=].display = ##34#distant lymph node##34#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c r="A24" s="59"/>
      <c r="B24" s="11" t="str">
        <f>ClinicalStage!B17</f>
        <v>lung</v>
      </c>
      <c r="C24" s="11" t="str">
        <f>ClinicalStage!C17</f>
        <v>lung</v>
      </c>
      <c r="D24" s="4"/>
      <c r="E24" s="11"/>
      <c r="F24" s="64" t="s">
        <v>1407</v>
      </c>
      <c r="G24" s="123" t="s">
        <v>2121</v>
      </c>
      <c r="H24" s="58"/>
      <c r="I24" s="12" t="str">
        <f t="shared" si="7"/>
        <v>* group[=].element[+].code = #ClinicalStage.lung</v>
      </c>
      <c r="J24" s="12" t="str">
        <f t="shared" si="0"/>
        <v>* group[=].element[=].display = ##34#lung##34#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c r="A25" s="59"/>
      <c r="B25" s="11" t="str">
        <f>ClinicalStage!B18</f>
        <v>bone</v>
      </c>
      <c r="C25" s="11" t="str">
        <f>ClinicalStage!C18</f>
        <v>bone</v>
      </c>
      <c r="D25" s="4"/>
      <c r="E25" s="11"/>
      <c r="F25" s="64" t="s">
        <v>1407</v>
      </c>
      <c r="G25" s="123" t="s">
        <v>2121</v>
      </c>
      <c r="H25" s="58"/>
      <c r="I25" s="12" t="str">
        <f t="shared" si="7"/>
        <v>* group[=].element[+].code = #ClinicalStage.bone</v>
      </c>
      <c r="J25" s="12" t="str">
        <f t="shared" si="0"/>
        <v>* group[=].element[=].display = ##34#bone##34#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c r="A26" s="59"/>
      <c r="B26" s="11" t="str">
        <f>ClinicalStage!B19</f>
        <v>liver</v>
      </c>
      <c r="C26" s="11" t="str">
        <f>ClinicalStage!C19</f>
        <v>liver</v>
      </c>
      <c r="D26" s="4"/>
      <c r="E26" s="12"/>
      <c r="F26" s="64" t="s">
        <v>1407</v>
      </c>
      <c r="G26" s="123" t="s">
        <v>2121</v>
      </c>
      <c r="H26" s="58"/>
      <c r="I26" s="12" t="str">
        <f t="shared" si="7"/>
        <v>* group[=].element[+].code = #ClinicalStage.liver</v>
      </c>
      <c r="J26" s="12" t="str">
        <f t="shared" si="0"/>
        <v>* group[=].element[=].display = ##34#liver##34#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c r="A27" s="59"/>
      <c r="B27" s="11" t="str">
        <f>ClinicalStage!B20</f>
        <v>pleura</v>
      </c>
      <c r="C27" s="11" t="str">
        <f>ClinicalStage!C20</f>
        <v>pleura</v>
      </c>
      <c r="D27" s="4"/>
      <c r="E27" s="12"/>
      <c r="F27" s="64" t="s">
        <v>1407</v>
      </c>
      <c r="G27" s="123" t="s">
        <v>2121</v>
      </c>
      <c r="H27" s="58"/>
      <c r="I27" s="12" t="str">
        <f t="shared" si="7"/>
        <v>* group[=].element[+].code = #ClinicalStage.pleura</v>
      </c>
      <c r="J27" s="12" t="str">
        <f t="shared" si="0"/>
        <v>* group[=].element[=].display = ##34#pleura##34#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#ClinicalStage.cN</v>
      </c>
    </row>
    <row r="28" spans="1:19" ht="73.75">
      <c r="B28" s="11" t="str">
        <f>ClinicalStage!B21</f>
        <v>peritoneum</v>
      </c>
      <c r="C28" s="11" t="str">
        <f>ClinicalStage!C21</f>
        <v>peritoneum</v>
      </c>
      <c r="D28" s="4"/>
      <c r="E28" s="12"/>
      <c r="F28" s="64" t="s">
        <v>1407</v>
      </c>
      <c r="G28" s="123" t="s">
        <v>2121</v>
      </c>
      <c r="H28" s="58"/>
      <c r="I28" s="12" t="str">
        <f t="shared" si="7"/>
        <v>* group[=].element[+].code = #ClinicalStage.peritoneum</v>
      </c>
      <c r="J28" s="12" t="str">
        <f t="shared" si="0"/>
        <v>* group[=].element[=].display = ##34#peritoneum##34#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##34#cN##34#</v>
      </c>
    </row>
    <row r="29" spans="1:19" ht="73.75">
      <c r="B29" s="11" t="str">
        <f>ClinicalStage!B22</f>
        <v>brain</v>
      </c>
      <c r="C29" s="11" t="str">
        <f>ClinicalStage!C22</f>
        <v>brain</v>
      </c>
      <c r="D29" s="4"/>
      <c r="E29" s="12"/>
      <c r="F29" s="64" t="s">
        <v>1407</v>
      </c>
      <c r="G29" s="123" t="s">
        <v>2121</v>
      </c>
      <c r="H29" s="58"/>
      <c r="I29" s="12" t="str">
        <f t="shared" si="7"/>
        <v>* group[=].element[+].code = #ClinicalStage.brain</v>
      </c>
      <c r="J29" s="12" t="str">
        <f t="shared" si="0"/>
        <v>* group[=].element[=].display = ##34#brain##34#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c r="B30" s="11" t="str">
        <f>ClinicalStage!B23</f>
        <v>otherViscera</v>
      </c>
      <c r="C30" s="11" t="str">
        <f>ClinicalStage!C23</f>
        <v>other viscera</v>
      </c>
      <c r="D30" s="4"/>
      <c r="E30" s="12"/>
      <c r="F30" s="64" t="s">
        <v>1407</v>
      </c>
      <c r="G30" s="123" t="s">
        <v>2121</v>
      </c>
      <c r="H30" s="58"/>
      <c r="I30" s="12" t="str">
        <f t="shared" si="7"/>
        <v>* group[=].element[+].code = #ClinicalStage.otherViscera</v>
      </c>
      <c r="J30" s="12" t="str">
        <f t="shared" si="0"/>
        <v>* group[=].element[=].display = ##34#other viscera##34#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c r="B31" s="11" t="str">
        <f>ClinicalStage!B24</f>
        <v>unknown</v>
      </c>
      <c r="C31" s="11" t="str">
        <f>ClinicalStage!C24</f>
        <v>unknown</v>
      </c>
      <c r="D31" s="4"/>
      <c r="E31" s="12"/>
      <c r="F31" s="64" t="s">
        <v>1407</v>
      </c>
      <c r="G31" s="123" t="s">
        <v>2121</v>
      </c>
      <c r="H31" s="58"/>
      <c r="I31" s="12" t="str">
        <f t="shared" si="7"/>
        <v>* group[=].element[+].code = #ClinicalStage.unknown</v>
      </c>
      <c r="J31" s="12" t="str">
        <f t="shared" si="0"/>
        <v>* group[=].element[=].display = ##34#unknown##34#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c r="B32" s="11"/>
      <c r="C32" s="11"/>
      <c r="D32" s="12"/>
      <c r="E32" s="12"/>
      <c r="F32" s="64"/>
      <c r="G32" s="124"/>
      <c r="H32" s="58"/>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c r="B33" s="11"/>
      <c r="C33" s="11"/>
      <c r="D33" s="12"/>
      <c r="E33" s="12"/>
      <c r="F33" s="64"/>
      <c r="G33" s="124"/>
      <c r="H33" s="58"/>
      <c r="I33" s="12"/>
      <c r="J33" s="12"/>
      <c r="K33" s="12"/>
      <c r="L33" s="12"/>
      <c r="M33" s="12"/>
      <c r="N33" s="12"/>
      <c r="P33" s="11">
        <v>19</v>
      </c>
      <c r="Q33" s="11">
        <f t="shared" si="5"/>
        <v>3</v>
      </c>
      <c r="R33" s="11">
        <f t="shared" si="6"/>
        <v>1</v>
      </c>
      <c r="S33" s="12" t="str" cm="1">
        <f t="array" ref="S33">INDEX('ClinicalStage-ConceptMap-1'!$I$15:$N$124,Q33+1,R33)</f>
        <v>* group[=].element[+].code = #ClinicalStage.radiologicalExtraNodalExtension</v>
      </c>
    </row>
    <row r="34" spans="1:19">
      <c r="B34" s="11"/>
      <c r="C34" s="11"/>
      <c r="D34" s="12"/>
      <c r="E34" s="12"/>
      <c r="F34" s="64"/>
      <c r="G34" s="124"/>
      <c r="H34" s="58"/>
      <c r="I34" s="12"/>
      <c r="J34" s="12"/>
      <c r="K34" s="12"/>
      <c r="L34" s="12"/>
      <c r="M34" s="12"/>
      <c r="N34" s="12"/>
      <c r="P34" s="11">
        <v>20</v>
      </c>
      <c r="Q34" s="11">
        <f t="shared" si="5"/>
        <v>3</v>
      </c>
      <c r="R34" s="11">
        <f t="shared" si="6"/>
        <v>2</v>
      </c>
      <c r="S34" s="12" t="str" cm="1">
        <f t="array" ref="S34">INDEX('ClinicalStage-ConceptMap-1'!$I$15:$N$124,Q34+1,R34)</f>
        <v>* group[=].element[=].display = ##34#Radiological Extra-nodal extension (rENE)##34#</v>
      </c>
    </row>
    <row r="35" spans="1:19">
      <c r="B35" s="11"/>
      <c r="C35" s="11"/>
      <c r="D35" s="12"/>
      <c r="E35" s="12"/>
      <c r="F35" s="64"/>
      <c r="G35" s="124"/>
      <c r="H35" s="58"/>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c r="B36" s="11"/>
      <c r="C36" s="11"/>
      <c r="D36" s="12"/>
      <c r="E36" s="12"/>
      <c r="F36" s="64"/>
      <c r="G36" s="124"/>
      <c r="H36" s="58"/>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c r="B37" s="11"/>
      <c r="C37" s="11"/>
      <c r="D37" s="12"/>
      <c r="E37" s="12"/>
      <c r="F37" s="64"/>
      <c r="G37" s="124"/>
      <c r="H37" s="58"/>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c r="B38" s="11"/>
      <c r="C38" s="11"/>
      <c r="D38" s="12"/>
      <c r="E38" s="12"/>
      <c r="F38" s="64"/>
      <c r="G38" s="124"/>
      <c r="H38" s="58"/>
      <c r="K38" s="58"/>
      <c r="L38" s="58"/>
      <c r="M38" s="66"/>
      <c r="N38" s="66"/>
      <c r="P38" s="11">
        <v>24</v>
      </c>
      <c r="Q38" s="11">
        <f t="shared" si="5"/>
        <v>3</v>
      </c>
      <c r="R38" s="11">
        <f t="shared" si="6"/>
        <v>6</v>
      </c>
      <c r="S38" s="12" t="str" cm="1">
        <f t="array" ref="S38">INDEX('ClinicalStage-ConceptMap-1'!$I$15:$N$124,Q38+1,R38)</f>
        <v>* group[=].element[=].target.comment = ##34#TO BE DEFINED##34#</v>
      </c>
    </row>
    <row r="39" spans="1:19">
      <c r="B39" s="11"/>
      <c r="C39" s="11"/>
      <c r="D39" s="12"/>
      <c r="E39" s="12"/>
      <c r="F39" s="64"/>
      <c r="G39" s="124"/>
      <c r="H39" s="58"/>
      <c r="K39" s="58"/>
      <c r="L39" s="58"/>
      <c r="M39" s="66"/>
      <c r="N39" s="66"/>
      <c r="P39" s="11">
        <v>25</v>
      </c>
      <c r="Q39" s="11">
        <f t="shared" si="5"/>
        <v>4</v>
      </c>
      <c r="R39" s="11">
        <f t="shared" si="6"/>
        <v>1</v>
      </c>
      <c r="S39" s="12" t="str" cm="1">
        <f t="array" ref="S39">INDEX('ClinicalStage-ConceptMap-1'!$I$15:$N$124,Q39+1,R39)</f>
        <v>* group[=].element[+].code = #ClinicalStage.cM</v>
      </c>
    </row>
    <row r="40" spans="1:19" s="2" customFormat="1">
      <c r="A40"/>
      <c r="B40" s="11"/>
      <c r="C40" s="11"/>
      <c r="D40" s="12"/>
      <c r="E40" s="12"/>
      <c r="F40" s="64"/>
      <c r="G40" s="124"/>
      <c r="H40" s="58"/>
      <c r="J40"/>
      <c r="K40" s="58"/>
      <c r="L40" s="58"/>
      <c r="M40" s="66"/>
      <c r="N40" s="66"/>
      <c r="P40" s="11">
        <v>26</v>
      </c>
      <c r="Q40" s="11">
        <f t="shared" si="5"/>
        <v>4</v>
      </c>
      <c r="R40" s="11">
        <f t="shared" si="6"/>
        <v>2</v>
      </c>
      <c r="S40" s="12" t="str" cm="1">
        <f t="array" ref="S40">INDEX('ClinicalStage-ConceptMap-1'!$I$15:$N$124,Q40+1,R40)</f>
        <v>* group[=].element[=].display = ##34#cM##34#</v>
      </c>
    </row>
    <row r="41" spans="1:19" s="2" customFormat="1" ht="29.5">
      <c r="A41"/>
      <c r="B41" s="11"/>
      <c r="C41" s="11"/>
      <c r="D41" s="12"/>
      <c r="F41" s="58"/>
      <c r="G41" s="124"/>
      <c r="H41" s="58"/>
      <c r="J41"/>
      <c r="K41" s="58"/>
      <c r="L41" s="58"/>
      <c r="M41" s="66"/>
      <c r="N41" s="66"/>
      <c r="P41" s="11">
        <v>27</v>
      </c>
      <c r="Q41" s="11">
        <f t="shared" si="5"/>
        <v>4</v>
      </c>
      <c r="R41" s="11">
        <f t="shared" si="6"/>
        <v>3</v>
      </c>
      <c r="S41" s="12" t="str" cm="1">
        <f t="array" ref="S41">INDEX('ClinicalStage-ConceptMap-1'!$I$15:$N$124,Q41+1,R41)</f>
        <v>* group[=].element[=].target.code = #Observation.hasMember:tnmDistantMetastasesCategory</v>
      </c>
    </row>
    <row r="42" spans="1:19" s="2" customFormat="1">
      <c r="A42"/>
      <c r="B42" s="11"/>
      <c r="C42" s="11"/>
      <c r="D42" s="12"/>
      <c r="F42" s="58"/>
      <c r="G42" s="124"/>
      <c r="H42" s="58"/>
      <c r="J42"/>
      <c r="K42" s="58"/>
      <c r="L42" s="58"/>
      <c r="M42" s="66"/>
      <c r="N42" s="66"/>
      <c r="P42" s="11">
        <v>28</v>
      </c>
      <c r="Q42" s="11">
        <f t="shared" si="5"/>
        <v>4</v>
      </c>
      <c r="R42" s="11">
        <f t="shared" si="6"/>
        <v>4</v>
      </c>
      <c r="S42" s="12" t="str" cm="1">
        <f t="array" ref="S42">INDEX('ClinicalStage-ConceptMap-1'!$I$15:$N$124,Q42+1,R42)</f>
        <v>* group[=].element[=].target.display = ##34###34#</v>
      </c>
    </row>
    <row r="43" spans="1:19" s="2" customFormat="1">
      <c r="A43"/>
      <c r="B43" s="11"/>
      <c r="C43" s="11"/>
      <c r="D43" s="12"/>
      <c r="F43" s="58"/>
      <c r="G43" s="124"/>
      <c r="H43" s="58"/>
      <c r="J43" s="58"/>
      <c r="K43" s="58"/>
      <c r="L43" s="58"/>
      <c r="M43" s="66"/>
      <c r="N43" s="66"/>
      <c r="P43" s="11">
        <v>29</v>
      </c>
      <c r="Q43" s="11">
        <f t="shared" si="5"/>
        <v>4</v>
      </c>
      <c r="R43" s="11">
        <f t="shared" si="6"/>
        <v>5</v>
      </c>
      <c r="S43" s="12" t="str" cm="1">
        <f t="array" ref="S43">INDEX('ClinicalStage-ConceptMap-1'!$I$15:$N$124,Q43+1,R43)</f>
        <v>* group[=].element[=].target.equivalence = #equal</v>
      </c>
    </row>
    <row r="44" spans="1:19" s="2" customFormat="1" ht="29.5">
      <c r="A44"/>
      <c r="B44" s="11"/>
      <c r="C44" s="11"/>
      <c r="F44" s="58"/>
      <c r="G44" s="124"/>
      <c r="H44" s="58"/>
      <c r="J44" s="58"/>
      <c r="K44" s="58"/>
      <c r="L44" s="58"/>
      <c r="M44" s="66"/>
      <c r="N44" s="66"/>
      <c r="P44" s="11">
        <v>30</v>
      </c>
      <c r="Q44" s="11">
        <f t="shared" si="5"/>
        <v>4</v>
      </c>
      <c r="R44" s="11">
        <f t="shared" si="6"/>
        <v>6</v>
      </c>
      <c r="S44" s="12" t="str" cm="1">
        <f t="array" ref="S44">INDEX('ClinicalStage-ConceptMap-1'!$I$15:$N$124,Q44+1,R44)</f>
        <v>* group[=].element[=].target.comment = ##34#where code = 21908-9 'Stage group.clinical'##34#</v>
      </c>
    </row>
    <row r="45" spans="1:19">
      <c r="B45" s="11"/>
      <c r="C45" s="11"/>
      <c r="G45" s="124"/>
      <c r="P45" s="11">
        <v>31</v>
      </c>
      <c r="Q45" s="11">
        <f t="shared" si="5"/>
        <v>5</v>
      </c>
      <c r="R45" s="11">
        <f t="shared" si="6"/>
        <v>1</v>
      </c>
      <c r="S45" s="12" t="str" cm="1">
        <f t="array" ref="S45">INDEX('ClinicalStage-ConceptMap-1'!$I$15:$N$124,Q45+1,R45)</f>
        <v>* group[=].element[+].code = #ClinicalStage.clinicalStaging</v>
      </c>
    </row>
    <row r="46" spans="1:19">
      <c r="B46" s="11"/>
      <c r="C46" s="11"/>
      <c r="G46" s="124"/>
      <c r="P46" s="11">
        <v>32</v>
      </c>
      <c r="Q46" s="11">
        <f t="shared" si="5"/>
        <v>5</v>
      </c>
      <c r="R46" s="11">
        <f t="shared" si="6"/>
        <v>2</v>
      </c>
      <c r="S46" s="12" t="str" cm="1">
        <f t="array" ref="S46">INDEX('ClinicalStage-ConceptMap-1'!$I$15:$N$124,Q46+1,R46)</f>
        <v>* group[=].element[=].display = ##34#Clinical staging##34#</v>
      </c>
    </row>
    <row r="47" spans="1:19">
      <c r="G47" s="124"/>
      <c r="P47" s="11">
        <v>33</v>
      </c>
      <c r="Q47" s="11">
        <f t="shared" si="5"/>
        <v>5</v>
      </c>
      <c r="R47" s="11">
        <f t="shared" si="6"/>
        <v>3</v>
      </c>
      <c r="S47" s="12" t="str" cm="1">
        <f t="array" ref="S47">INDEX('ClinicalStage-ConceptMap-1'!$I$15:$N$124,Q47+1,R47)</f>
        <v>* group[=].element[=].target.code = #Observation.valueCodeableConcept</v>
      </c>
    </row>
    <row r="48" spans="1:19">
      <c r="G48" s="124"/>
      <c r="P48" s="11">
        <v>34</v>
      </c>
      <c r="Q48" s="11">
        <f t="shared" si="5"/>
        <v>5</v>
      </c>
      <c r="R48" s="11">
        <f t="shared" si="6"/>
        <v>4</v>
      </c>
      <c r="S48" s="12" t="str" cm="1">
        <f t="array" ref="S48">INDEX('ClinicalStage-ConceptMap-1'!$I$15:$N$124,Q48+1,R48)</f>
        <v>* group[=].element[=].target.display = ##34###34#</v>
      </c>
    </row>
    <row r="49" spans="7:19">
      <c r="G49" s="124"/>
      <c r="P49" s="11">
        <v>35</v>
      </c>
      <c r="Q49" s="11">
        <f t="shared" si="5"/>
        <v>5</v>
      </c>
      <c r="R49" s="11">
        <f t="shared" si="6"/>
        <v>5</v>
      </c>
      <c r="S49" s="12" t="str" cm="1">
        <f t="array" ref="S49">INDEX('ClinicalStage-ConceptMap-1'!$I$15:$N$124,Q49+1,R49)</f>
        <v>* group[=].element[=].target.equivalence = #equivalent</v>
      </c>
    </row>
    <row r="50" spans="7:19" ht="29.5">
      <c r="G50" s="124"/>
      <c r="P50" s="11">
        <v>36</v>
      </c>
      <c r="Q50" s="11">
        <f t="shared" si="5"/>
        <v>5</v>
      </c>
      <c r="R50" s="11">
        <f t="shared" si="6"/>
        <v>6</v>
      </c>
      <c r="S50" s="12" t="str" cm="1">
        <f t="array" ref="S50">INDEX('ClinicalStage-ConceptMap-1'!$I$15:$N$124,Q50+1,R50)</f>
        <v>* group[=].element[=].target.comment = ##34#where code = 21908-9 'Stage group.clinical'##34#</v>
      </c>
    </row>
    <row r="51" spans="7:19">
      <c r="G51" s="124"/>
      <c r="P51" s="11">
        <v>37</v>
      </c>
      <c r="Q51" s="11">
        <f t="shared" si="5"/>
        <v>6</v>
      </c>
      <c r="R51" s="11">
        <f t="shared" si="6"/>
        <v>1</v>
      </c>
      <c r="S51" s="12" t="str" cm="1">
        <f t="array" ref="S51">INDEX('ClinicalStage-ConceptMap-1'!$I$15:$N$124,Q51+1,R51)</f>
        <v>* group[=].element[+].code = #ClinicalStage.ajccEdition</v>
      </c>
    </row>
    <row r="52" spans="7:19">
      <c r="G52" s="124"/>
      <c r="P52" s="11">
        <v>38</v>
      </c>
      <c r="Q52" s="11">
        <f t="shared" si="5"/>
        <v>6</v>
      </c>
      <c r="R52" s="11">
        <f t="shared" si="6"/>
        <v>2</v>
      </c>
      <c r="S52" s="12" t="str" cm="1">
        <f t="array" ref="S52">INDEX('ClinicalStage-ConceptMap-1'!$I$15:$N$124,Q52+1,R52)</f>
        <v>* group[=].element[=].display = ##34#Ajcc edition##34#</v>
      </c>
    </row>
    <row r="53" spans="7:19" ht="29.5">
      <c r="G53" s="124"/>
      <c r="P53" s="11">
        <v>39</v>
      </c>
      <c r="Q53" s="11">
        <f t="shared" si="5"/>
        <v>6</v>
      </c>
      <c r="R53" s="11">
        <f t="shared" si="6"/>
        <v>3</v>
      </c>
      <c r="S53" s="12" t="str" cm="1">
        <f t="array" ref="S53">INDEX('ClinicalStage-ConceptMap-1'!$I$15:$N$124,Q53+1,R53)</f>
        <v>* group[=].element[=].target.code = #Observation.valueCodeableConcept.coding.system</v>
      </c>
    </row>
    <row r="54" spans="7:19">
      <c r="G54" s="124"/>
      <c r="P54" s="11">
        <v>40</v>
      </c>
      <c r="Q54" s="11">
        <f t="shared" si="5"/>
        <v>6</v>
      </c>
      <c r="R54" s="11">
        <f t="shared" si="6"/>
        <v>4</v>
      </c>
      <c r="S54" s="12" t="str" cm="1">
        <f t="array" ref="S54">INDEX('ClinicalStage-ConceptMap-1'!$I$15:$N$124,Q54+1,R54)</f>
        <v>* group[=].element[=].target.display = ##34###34#</v>
      </c>
    </row>
    <row r="55" spans="7:19">
      <c r="G55" s="124"/>
      <c r="P55" s="11">
        <v>41</v>
      </c>
      <c r="Q55" s="11">
        <f t="shared" si="5"/>
        <v>6</v>
      </c>
      <c r="R55" s="11">
        <f t="shared" si="6"/>
        <v>5</v>
      </c>
      <c r="S55" s="12" t="str" cm="1">
        <f t="array" ref="S55">INDEX('ClinicalStage-ConceptMap-1'!$I$15:$N$124,Q55+1,R55)</f>
        <v>* group[=].element[=].target.equivalence = #relatedto</v>
      </c>
    </row>
    <row r="56" spans="7:19" ht="44.25">
      <c r="G56" s="124"/>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c r="G57" s="124"/>
      <c r="P57" s="11">
        <v>43</v>
      </c>
      <c r="Q57" s="11">
        <f t="shared" si="5"/>
        <v>7</v>
      </c>
      <c r="R57" s="11">
        <f t="shared" si="6"/>
        <v>1</v>
      </c>
      <c r="S57" s="12" t="str" cm="1">
        <f t="array" ref="S57">INDEX('ClinicalStage-ConceptMap-1'!$I$15:$N$124,Q57+1,R57)</f>
        <v>* group[=].element[+].code = #ClinicalStage.softTissue</v>
      </c>
    </row>
    <row r="58" spans="7:19">
      <c r="G58" s="124"/>
      <c r="P58" s="11">
        <v>44</v>
      </c>
      <c r="Q58" s="11">
        <f t="shared" si="5"/>
        <v>7</v>
      </c>
      <c r="R58" s="11">
        <f t="shared" si="6"/>
        <v>2</v>
      </c>
      <c r="S58" s="12" t="str" cm="1">
        <f t="array" ref="S58">INDEX('ClinicalStage-ConceptMap-1'!$I$15:$N$124,Q58+1,R58)</f>
        <v>* group[=].element[=].display = ##34#Soft tissue##34#</v>
      </c>
    </row>
    <row r="59" spans="7:19">
      <c r="G59" s="124"/>
      <c r="P59" s="11">
        <v>45</v>
      </c>
      <c r="Q59" s="11">
        <f t="shared" si="5"/>
        <v>7</v>
      </c>
      <c r="R59" s="11">
        <f t="shared" si="6"/>
        <v>3</v>
      </c>
      <c r="S59" s="12" t="str" cm="1">
        <f t="array" ref="S59">INDEX('ClinicalStage-ConceptMap-1'!$I$15:$N$124,Q59+1,R59)</f>
        <v>* group[=].element[=].target.code = #Observation.</v>
      </c>
    </row>
    <row r="60" spans="7:19">
      <c r="G60" s="124"/>
      <c r="P60" s="11">
        <v>46</v>
      </c>
      <c r="Q60" s="11">
        <f t="shared" si="5"/>
        <v>7</v>
      </c>
      <c r="R60" s="11">
        <f t="shared" si="6"/>
        <v>4</v>
      </c>
      <c r="S60" s="12" t="str" cm="1">
        <f t="array" ref="S60">INDEX('ClinicalStage-ConceptMap-1'!$I$15:$N$124,Q60+1,R60)</f>
        <v>* group[=].element[=].target.display = ##34###34#</v>
      </c>
    </row>
    <row r="61" spans="7:19">
      <c r="G61" s="124"/>
      <c r="P61" s="11">
        <v>47</v>
      </c>
      <c r="Q61" s="11">
        <f t="shared" si="5"/>
        <v>7</v>
      </c>
      <c r="R61" s="11">
        <f t="shared" si="6"/>
        <v>5</v>
      </c>
      <c r="S61" s="12" t="str" cm="1">
        <f t="array" ref="S61">INDEX('ClinicalStage-ConceptMap-1'!$I$15:$N$124,Q61+1,R61)</f>
        <v>* group[=].element[=].target.equivalence = #relatedto</v>
      </c>
    </row>
    <row r="62" spans="7:19" ht="29.5">
      <c r="G62" s="124"/>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c r="G63" s="124"/>
      <c r="P63" s="11">
        <v>49</v>
      </c>
      <c r="Q63" s="11">
        <f t="shared" si="5"/>
        <v>8</v>
      </c>
      <c r="R63" s="11">
        <f t="shared" si="6"/>
        <v>1</v>
      </c>
      <c r="S63" s="12" t="str" cm="1">
        <f t="array" ref="S63">INDEX('ClinicalStage-ConceptMap-1'!$I$15:$N$124,Q63+1,R63)</f>
        <v>* group[=].element[+].code = #ClinicalStage.distantLymphNode</v>
      </c>
    </row>
    <row r="64" spans="7:19">
      <c r="G64" s="124"/>
      <c r="P64" s="11">
        <v>50</v>
      </c>
      <c r="Q64" s="11">
        <f t="shared" si="5"/>
        <v>8</v>
      </c>
      <c r="R64" s="11">
        <f t="shared" si="6"/>
        <v>2</v>
      </c>
      <c r="S64" s="12" t="str" cm="1">
        <f t="array" ref="S64">INDEX('ClinicalStage-ConceptMap-1'!$I$15:$N$124,Q64+1,R64)</f>
        <v>* group[=].element[=].display = ##34#distant lymph node##34#</v>
      </c>
    </row>
    <row r="65" spans="7:19">
      <c r="G65" s="124"/>
      <c r="P65" s="11">
        <v>51</v>
      </c>
      <c r="Q65" s="11">
        <f t="shared" si="5"/>
        <v>8</v>
      </c>
      <c r="R65" s="11">
        <f t="shared" si="6"/>
        <v>3</v>
      </c>
      <c r="S65" s="12" t="str" cm="1">
        <f t="array" ref="S65">INDEX('ClinicalStage-ConceptMap-1'!$I$15:$N$124,Q65+1,R65)</f>
        <v>* group[=].element[=].target.code = #Observation.</v>
      </c>
    </row>
    <row r="66" spans="7:19">
      <c r="G66" s="124"/>
      <c r="P66" s="11">
        <v>52</v>
      </c>
      <c r="Q66" s="11">
        <f t="shared" si="5"/>
        <v>8</v>
      </c>
      <c r="R66" s="11">
        <f t="shared" si="6"/>
        <v>4</v>
      </c>
      <c r="S66" s="12" t="str" cm="1">
        <f t="array" ref="S66">INDEX('ClinicalStage-ConceptMap-1'!$I$15:$N$124,Q66+1,R66)</f>
        <v>* group[=].element[=].target.display = ##34###34#</v>
      </c>
    </row>
    <row r="67" spans="7:19">
      <c r="G67" s="124"/>
      <c r="P67" s="11">
        <v>53</v>
      </c>
      <c r="Q67" s="11">
        <f t="shared" si="5"/>
        <v>8</v>
      </c>
      <c r="R67" s="11">
        <f t="shared" si="6"/>
        <v>5</v>
      </c>
      <c r="S67" s="12" t="str" cm="1">
        <f t="array" ref="S67">INDEX('ClinicalStage-ConceptMap-1'!$I$15:$N$124,Q67+1,R67)</f>
        <v>* group[=].element[=].target.equivalence = #relatedto</v>
      </c>
    </row>
    <row r="68" spans="7:19" ht="29.5">
      <c r="G68" s="124"/>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c r="G69" s="124"/>
      <c r="P69" s="11">
        <v>55</v>
      </c>
      <c r="Q69" s="11">
        <f t="shared" si="5"/>
        <v>9</v>
      </c>
      <c r="R69" s="11">
        <f t="shared" si="6"/>
        <v>1</v>
      </c>
      <c r="S69" s="12" t="str" cm="1">
        <f t="array" ref="S69">INDEX('ClinicalStage-ConceptMap-1'!$I$15:$N$124,Q69+1,R69)</f>
        <v>* group[=].element[+].code = #ClinicalStage.lung</v>
      </c>
    </row>
    <row r="70" spans="7:19">
      <c r="G70" s="124"/>
      <c r="P70" s="11">
        <v>56</v>
      </c>
      <c r="Q70" s="11">
        <f t="shared" si="5"/>
        <v>9</v>
      </c>
      <c r="R70" s="11">
        <f t="shared" si="6"/>
        <v>2</v>
      </c>
      <c r="S70" s="12" t="str" cm="1">
        <f t="array" ref="S70">INDEX('ClinicalStage-ConceptMap-1'!$I$15:$N$124,Q70+1,R70)</f>
        <v>* group[=].element[=].display = ##34#lung##34#</v>
      </c>
    </row>
    <row r="71" spans="7:19">
      <c r="G71" s="124"/>
      <c r="P71" s="11">
        <v>57</v>
      </c>
      <c r="Q71" s="11">
        <f t="shared" si="5"/>
        <v>9</v>
      </c>
      <c r="R71" s="11">
        <f t="shared" si="6"/>
        <v>3</v>
      </c>
      <c r="S71" s="12" t="str" cm="1">
        <f t="array" ref="S71">INDEX('ClinicalStage-ConceptMap-1'!$I$15:$N$124,Q71+1,R71)</f>
        <v>* group[=].element[=].target.code = #Observation.</v>
      </c>
    </row>
    <row r="72" spans="7:19">
      <c r="G72" s="124"/>
      <c r="P72" s="11">
        <v>58</v>
      </c>
      <c r="Q72" s="11">
        <f t="shared" si="5"/>
        <v>9</v>
      </c>
      <c r="R72" s="11">
        <f t="shared" si="6"/>
        <v>4</v>
      </c>
      <c r="S72" s="12" t="str" cm="1">
        <f t="array" ref="S72">INDEX('ClinicalStage-ConceptMap-1'!$I$15:$N$124,Q72+1,R72)</f>
        <v>* group[=].element[=].target.display = ##34###34#</v>
      </c>
    </row>
    <row r="73" spans="7:19">
      <c r="G73" s="124"/>
      <c r="P73" s="11">
        <v>59</v>
      </c>
      <c r="Q73" s="11">
        <f t="shared" si="5"/>
        <v>9</v>
      </c>
      <c r="R73" s="11">
        <f t="shared" si="6"/>
        <v>5</v>
      </c>
      <c r="S73" s="12" t="str" cm="1">
        <f t="array" ref="S73">INDEX('ClinicalStage-ConceptMap-1'!$I$15:$N$124,Q73+1,R73)</f>
        <v>* group[=].element[=].target.equivalence = #relatedto</v>
      </c>
    </row>
    <row r="74" spans="7:19" ht="29.5">
      <c r="G74" s="124"/>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c r="G75" s="124"/>
      <c r="P75" s="11">
        <v>61</v>
      </c>
      <c r="Q75" s="11">
        <f t="shared" si="5"/>
        <v>10</v>
      </c>
      <c r="R75" s="11">
        <f t="shared" si="6"/>
        <v>1</v>
      </c>
      <c r="S75" s="12" t="str" cm="1">
        <f t="array" ref="S75">INDEX('ClinicalStage-ConceptMap-1'!$I$15:$N$124,Q75+1,R75)</f>
        <v>* group[=].element[+].code = #ClinicalStage.bone</v>
      </c>
    </row>
    <row r="76" spans="7:19">
      <c r="G76" s="124"/>
      <c r="P76" s="11">
        <v>62</v>
      </c>
      <c r="Q76" s="11">
        <f t="shared" si="5"/>
        <v>10</v>
      </c>
      <c r="R76" s="11">
        <f t="shared" si="6"/>
        <v>2</v>
      </c>
      <c r="S76" s="12" t="str" cm="1">
        <f t="array" ref="S76">INDEX('ClinicalStage-ConceptMap-1'!$I$15:$N$124,Q76+1,R76)</f>
        <v>* group[=].element[=].display = ##34#bone##34#</v>
      </c>
    </row>
    <row r="77" spans="7:19">
      <c r="G77" s="124"/>
      <c r="P77" s="11">
        <v>63</v>
      </c>
      <c r="Q77" s="11">
        <f t="shared" si="5"/>
        <v>10</v>
      </c>
      <c r="R77" s="11">
        <f t="shared" si="6"/>
        <v>3</v>
      </c>
      <c r="S77" s="12" t="str" cm="1">
        <f t="array" ref="S77">INDEX('ClinicalStage-ConceptMap-1'!$I$15:$N$124,Q77+1,R77)</f>
        <v>* group[=].element[=].target.code = #Observation.</v>
      </c>
    </row>
    <row r="78" spans="7:19">
      <c r="G78" s="124"/>
      <c r="P78" s="11">
        <v>64</v>
      </c>
      <c r="Q78" s="11">
        <f t="shared" si="5"/>
        <v>10</v>
      </c>
      <c r="R78" s="11">
        <f t="shared" si="6"/>
        <v>4</v>
      </c>
      <c r="S78" s="12" t="str" cm="1">
        <f t="array" ref="S78">INDEX('ClinicalStage-ConceptMap-1'!$I$15:$N$124,Q78+1,R78)</f>
        <v>* group[=].element[=].target.display = ##34###34#</v>
      </c>
    </row>
    <row r="79" spans="7:19">
      <c r="G79" s="124"/>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c r="G80" s="124"/>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c r="G81" s="124"/>
      <c r="P81" s="11">
        <v>67</v>
      </c>
      <c r="Q81" s="11">
        <f t="shared" si="8"/>
        <v>11</v>
      </c>
      <c r="R81" s="11">
        <f t="shared" si="9"/>
        <v>1</v>
      </c>
      <c r="S81" s="12" t="str" cm="1">
        <f t="array" ref="S81">INDEX('ClinicalStage-ConceptMap-1'!$I$15:$N$124,Q81+1,R81)</f>
        <v>* group[=].element[+].code = #ClinicalStage.liver</v>
      </c>
    </row>
    <row r="82" spans="7:19">
      <c r="G82" s="124"/>
      <c r="P82" s="11">
        <v>68</v>
      </c>
      <c r="Q82" s="11">
        <f t="shared" si="8"/>
        <v>11</v>
      </c>
      <c r="R82" s="11">
        <f t="shared" si="9"/>
        <v>2</v>
      </c>
      <c r="S82" s="12" t="str" cm="1">
        <f t="array" ref="S82">INDEX('ClinicalStage-ConceptMap-1'!$I$15:$N$124,Q82+1,R82)</f>
        <v>* group[=].element[=].display = ##34#liver##34#</v>
      </c>
    </row>
    <row r="83" spans="7:19">
      <c r="G83" s="124"/>
      <c r="P83" s="11">
        <v>69</v>
      </c>
      <c r="Q83" s="11">
        <f t="shared" si="8"/>
        <v>11</v>
      </c>
      <c r="R83" s="11">
        <f t="shared" si="9"/>
        <v>3</v>
      </c>
      <c r="S83" s="12" t="str" cm="1">
        <f t="array" ref="S83">INDEX('ClinicalStage-ConceptMap-1'!$I$15:$N$124,Q83+1,R83)</f>
        <v>* group[=].element[=].target.code = #Observation.</v>
      </c>
    </row>
    <row r="84" spans="7:19">
      <c r="G84" s="124"/>
      <c r="P84" s="11">
        <v>70</v>
      </c>
      <c r="Q84" s="11">
        <f t="shared" si="8"/>
        <v>11</v>
      </c>
      <c r="R84" s="11">
        <f t="shared" si="9"/>
        <v>4</v>
      </c>
      <c r="S84" s="12" t="str" cm="1">
        <f t="array" ref="S84">INDEX('ClinicalStage-ConceptMap-1'!$I$15:$N$124,Q84+1,R84)</f>
        <v>* group[=].element[=].target.display = ##34###34#</v>
      </c>
    </row>
    <row r="85" spans="7:19">
      <c r="G85" s="124"/>
      <c r="P85" s="11">
        <v>71</v>
      </c>
      <c r="Q85" s="11">
        <f t="shared" si="8"/>
        <v>11</v>
      </c>
      <c r="R85" s="11">
        <f t="shared" si="9"/>
        <v>5</v>
      </c>
      <c r="S85" s="12" t="str" cm="1">
        <f t="array" ref="S85">INDEX('ClinicalStage-ConceptMap-1'!$I$15:$N$124,Q85+1,R85)</f>
        <v>* group[=].element[=].target.equivalence = #relatedto</v>
      </c>
    </row>
    <row r="86" spans="7:19" ht="29.5">
      <c r="G86" s="124"/>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c r="G87" s="124"/>
      <c r="P87" s="11">
        <v>73</v>
      </c>
      <c r="Q87" s="11">
        <f t="shared" si="8"/>
        <v>12</v>
      </c>
      <c r="R87" s="11">
        <f t="shared" si="9"/>
        <v>1</v>
      </c>
      <c r="S87" s="12" t="str" cm="1">
        <f t="array" ref="S87">INDEX('ClinicalStage-ConceptMap-1'!$I$15:$N$124,Q87+1,R87)</f>
        <v>* group[=].element[+].code = #ClinicalStage.pleura</v>
      </c>
    </row>
    <row r="88" spans="7:19">
      <c r="G88" s="124"/>
      <c r="P88" s="11">
        <v>74</v>
      </c>
      <c r="Q88" s="11">
        <f t="shared" si="8"/>
        <v>12</v>
      </c>
      <c r="R88" s="11">
        <f t="shared" si="9"/>
        <v>2</v>
      </c>
      <c r="S88" s="12" t="str" cm="1">
        <f t="array" ref="S88">INDEX('ClinicalStage-ConceptMap-1'!$I$15:$N$124,Q88+1,R88)</f>
        <v>* group[=].element[=].display = ##34#pleura##34#</v>
      </c>
    </row>
    <row r="89" spans="7:19">
      <c r="G89" s="124"/>
      <c r="P89" s="11">
        <v>75</v>
      </c>
      <c r="Q89" s="11">
        <f t="shared" si="8"/>
        <v>12</v>
      </c>
      <c r="R89" s="11">
        <f t="shared" si="9"/>
        <v>3</v>
      </c>
      <c r="S89" s="12" t="str" cm="1">
        <f t="array" ref="S89">INDEX('ClinicalStage-ConceptMap-1'!$I$15:$N$124,Q89+1,R89)</f>
        <v>* group[=].element[=].target.code = #Observation.</v>
      </c>
    </row>
    <row r="90" spans="7:19">
      <c r="G90" s="124"/>
      <c r="P90" s="11">
        <v>76</v>
      </c>
      <c r="Q90" s="11">
        <f t="shared" si="8"/>
        <v>12</v>
      </c>
      <c r="R90" s="11">
        <f t="shared" si="9"/>
        <v>4</v>
      </c>
      <c r="S90" s="12" t="str" cm="1">
        <f t="array" ref="S90">INDEX('ClinicalStage-ConceptMap-1'!$I$15:$N$124,Q90+1,R90)</f>
        <v>* group[=].element[=].target.display = ##34###34#</v>
      </c>
    </row>
    <row r="91" spans="7:19">
      <c r="G91" s="124"/>
      <c r="P91" s="11">
        <v>77</v>
      </c>
      <c r="Q91" s="11">
        <f t="shared" si="8"/>
        <v>12</v>
      </c>
      <c r="R91" s="11">
        <f t="shared" si="9"/>
        <v>5</v>
      </c>
      <c r="S91" s="12" t="str" cm="1">
        <f t="array" ref="S91">INDEX('ClinicalStage-ConceptMap-1'!$I$15:$N$124,Q91+1,R91)</f>
        <v>* group[=].element[=].target.equivalence = #relatedto</v>
      </c>
    </row>
    <row r="92" spans="7:19" ht="29.5">
      <c r="G92" s="124"/>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c r="G93" s="124"/>
      <c r="P93" s="11">
        <v>79</v>
      </c>
      <c r="Q93" s="11">
        <f t="shared" si="8"/>
        <v>13</v>
      </c>
      <c r="R93" s="11">
        <f t="shared" si="9"/>
        <v>1</v>
      </c>
      <c r="S93" s="12" t="str" cm="1">
        <f t="array" ref="S93">INDEX('ClinicalStage-ConceptMap-1'!$I$15:$N$124,Q93+1,R93)</f>
        <v>* group[=].element[+].code = #ClinicalStage.peritoneum</v>
      </c>
    </row>
    <row r="94" spans="7:19">
      <c r="G94" s="124"/>
      <c r="P94" s="11">
        <v>80</v>
      </c>
      <c r="Q94" s="11">
        <f t="shared" si="8"/>
        <v>13</v>
      </c>
      <c r="R94" s="11">
        <f t="shared" si="9"/>
        <v>2</v>
      </c>
      <c r="S94" s="12" t="str" cm="1">
        <f t="array" ref="S94">INDEX('ClinicalStage-ConceptMap-1'!$I$15:$N$124,Q94+1,R94)</f>
        <v>* group[=].element[=].display = ##34#peritoneum##34#</v>
      </c>
    </row>
    <row r="95" spans="7:19">
      <c r="G95" s="124"/>
      <c r="P95" s="11">
        <v>81</v>
      </c>
      <c r="Q95" s="11">
        <f t="shared" si="8"/>
        <v>13</v>
      </c>
      <c r="R95" s="11">
        <f t="shared" si="9"/>
        <v>3</v>
      </c>
      <c r="S95" s="12" t="str" cm="1">
        <f t="array" ref="S95">INDEX('ClinicalStage-ConceptMap-1'!$I$15:$N$124,Q95+1,R95)</f>
        <v>* group[=].element[=].target.code = #Observation.</v>
      </c>
    </row>
    <row r="96" spans="7:19">
      <c r="G96" s="124"/>
      <c r="P96" s="11">
        <v>82</v>
      </c>
      <c r="Q96" s="11">
        <f t="shared" si="8"/>
        <v>13</v>
      </c>
      <c r="R96" s="11">
        <f t="shared" si="9"/>
        <v>4</v>
      </c>
      <c r="S96" s="12" t="str" cm="1">
        <f t="array" ref="S96">INDEX('ClinicalStage-ConceptMap-1'!$I$15:$N$124,Q96+1,R96)</f>
        <v>* group[=].element[=].target.display = ##34###34#</v>
      </c>
    </row>
    <row r="97" spans="7:19">
      <c r="G97" s="124"/>
      <c r="P97" s="11">
        <v>83</v>
      </c>
      <c r="Q97" s="11">
        <f t="shared" si="8"/>
        <v>13</v>
      </c>
      <c r="R97" s="11">
        <f t="shared" si="9"/>
        <v>5</v>
      </c>
      <c r="S97" s="12" t="str" cm="1">
        <f t="array" ref="S97">INDEX('ClinicalStage-ConceptMap-1'!$I$15:$N$124,Q97+1,R97)</f>
        <v>* group[=].element[=].target.equivalence = #relatedto</v>
      </c>
    </row>
    <row r="98" spans="7:19" ht="29.5">
      <c r="G98" s="124"/>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c r="G99" s="124"/>
      <c r="P99" s="11">
        <v>85</v>
      </c>
      <c r="Q99" s="11">
        <f t="shared" si="8"/>
        <v>14</v>
      </c>
      <c r="R99" s="11">
        <f t="shared" si="9"/>
        <v>1</v>
      </c>
      <c r="S99" s="12" t="str" cm="1">
        <f t="array" ref="S99">INDEX('ClinicalStage-ConceptMap-1'!$I$15:$N$124,Q99+1,R99)</f>
        <v>* group[=].element[+].code = #ClinicalStage.brain</v>
      </c>
    </row>
    <row r="100" spans="7:19">
      <c r="G100" s="124"/>
      <c r="P100" s="11">
        <v>86</v>
      </c>
      <c r="Q100" s="11">
        <f t="shared" si="8"/>
        <v>14</v>
      </c>
      <c r="R100" s="11">
        <f t="shared" si="9"/>
        <v>2</v>
      </c>
      <c r="S100" s="12" t="str" cm="1">
        <f t="array" ref="S100">INDEX('ClinicalStage-ConceptMap-1'!$I$15:$N$124,Q100+1,R100)</f>
        <v>* group[=].element[=].display = ##34#brain##34#</v>
      </c>
    </row>
    <row r="101" spans="7:19">
      <c r="G101" s="124"/>
      <c r="P101" s="11">
        <v>87</v>
      </c>
      <c r="Q101" s="11">
        <f t="shared" si="8"/>
        <v>14</v>
      </c>
      <c r="R101" s="11">
        <f t="shared" si="9"/>
        <v>3</v>
      </c>
      <c r="S101" s="12" t="str" cm="1">
        <f t="array" ref="S101">INDEX('ClinicalStage-ConceptMap-1'!$I$15:$N$124,Q101+1,R101)</f>
        <v>* group[=].element[=].target.code = #Observation.</v>
      </c>
    </row>
    <row r="102" spans="7:19">
      <c r="G102" s="124"/>
      <c r="P102" s="11">
        <v>88</v>
      </c>
      <c r="Q102" s="11">
        <f t="shared" si="8"/>
        <v>14</v>
      </c>
      <c r="R102" s="11">
        <f t="shared" si="9"/>
        <v>4</v>
      </c>
      <c r="S102" s="12" t="str" cm="1">
        <f t="array" ref="S102">INDEX('ClinicalStage-ConceptMap-1'!$I$15:$N$124,Q102+1,R102)</f>
        <v>* group[=].element[=].target.display = ##34###34#</v>
      </c>
    </row>
    <row r="103" spans="7:19">
      <c r="G103" s="124"/>
      <c r="P103" s="11">
        <v>89</v>
      </c>
      <c r="Q103" s="11">
        <f t="shared" si="8"/>
        <v>14</v>
      </c>
      <c r="R103" s="11">
        <f t="shared" si="9"/>
        <v>5</v>
      </c>
      <c r="S103" s="12" t="str" cm="1">
        <f t="array" ref="S103">INDEX('ClinicalStage-ConceptMap-1'!$I$15:$N$124,Q103+1,R103)</f>
        <v>* group[=].element[=].target.equivalence = #relatedto</v>
      </c>
    </row>
    <row r="104" spans="7:19" ht="29.5">
      <c r="G104" s="124"/>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c r="G105" s="124"/>
      <c r="P105" s="11">
        <v>91</v>
      </c>
      <c r="Q105" s="11">
        <f t="shared" si="8"/>
        <v>15</v>
      </c>
      <c r="R105" s="11">
        <f t="shared" si="9"/>
        <v>1</v>
      </c>
      <c r="S105" s="12" t="str" cm="1">
        <f t="array" ref="S105">INDEX('ClinicalStage-ConceptMap-1'!$I$15:$N$124,Q105+1,R105)</f>
        <v>* group[=].element[+].code = #ClinicalStage.otherViscera</v>
      </c>
    </row>
    <row r="106" spans="7:19">
      <c r="G106" s="124"/>
      <c r="P106" s="11">
        <v>92</v>
      </c>
      <c r="Q106" s="11">
        <f t="shared" si="8"/>
        <v>15</v>
      </c>
      <c r="R106" s="11">
        <f t="shared" si="9"/>
        <v>2</v>
      </c>
      <c r="S106" s="12" t="str" cm="1">
        <f t="array" ref="S106">INDEX('ClinicalStage-ConceptMap-1'!$I$15:$N$124,Q106+1,R106)</f>
        <v>* group[=].element[=].display = ##34#other viscera##34#</v>
      </c>
    </row>
    <row r="107" spans="7:19">
      <c r="G107" s="124"/>
      <c r="P107" s="11">
        <v>93</v>
      </c>
      <c r="Q107" s="11">
        <f t="shared" si="8"/>
        <v>15</v>
      </c>
      <c r="R107" s="11">
        <f t="shared" si="9"/>
        <v>3</v>
      </c>
      <c r="S107" s="12" t="str" cm="1">
        <f t="array" ref="S107">INDEX('ClinicalStage-ConceptMap-1'!$I$15:$N$124,Q107+1,R107)</f>
        <v>* group[=].element[=].target.code = #Observation.</v>
      </c>
    </row>
    <row r="108" spans="7:19">
      <c r="G108" s="124"/>
      <c r="P108" s="11">
        <v>94</v>
      </c>
      <c r="Q108" s="11">
        <f t="shared" si="8"/>
        <v>15</v>
      </c>
      <c r="R108" s="11">
        <f t="shared" si="9"/>
        <v>4</v>
      </c>
      <c r="S108" s="12" t="str" cm="1">
        <f t="array" ref="S108">INDEX('ClinicalStage-ConceptMap-1'!$I$15:$N$124,Q108+1,R108)</f>
        <v>* group[=].element[=].target.display = ##34###34#</v>
      </c>
    </row>
    <row r="109" spans="7:19">
      <c r="G109" s="124"/>
      <c r="P109" s="11">
        <v>95</v>
      </c>
      <c r="Q109" s="11">
        <f t="shared" si="8"/>
        <v>15</v>
      </c>
      <c r="R109" s="11">
        <f t="shared" si="9"/>
        <v>5</v>
      </c>
      <c r="S109" s="12" t="str" cm="1">
        <f t="array" ref="S109">INDEX('ClinicalStage-ConceptMap-1'!$I$15:$N$124,Q109+1,R109)</f>
        <v>* group[=].element[=].target.equivalence = #relatedto</v>
      </c>
    </row>
    <row r="110" spans="7:19" ht="29.5">
      <c r="G110" s="124"/>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c r="G111" s="124"/>
      <c r="P111" s="11">
        <v>97</v>
      </c>
      <c r="Q111" s="11">
        <f t="shared" si="8"/>
        <v>16</v>
      </c>
      <c r="R111" s="11">
        <f t="shared" si="9"/>
        <v>1</v>
      </c>
      <c r="S111" s="12" t="str" cm="1">
        <f t="array" ref="S111">INDEX('ClinicalStage-ConceptMap-1'!$I$15:$N$124,Q111+1,R111)</f>
        <v>* group[=].element[+].code = #ClinicalStage.unknown</v>
      </c>
    </row>
    <row r="112" spans="7:19">
      <c r="G112" s="124"/>
      <c r="P112" s="11">
        <v>98</v>
      </c>
      <c r="Q112" s="11">
        <f t="shared" si="8"/>
        <v>16</v>
      </c>
      <c r="R112" s="11">
        <f t="shared" si="9"/>
        <v>2</v>
      </c>
      <c r="S112" s="12" t="str" cm="1">
        <f t="array" ref="S112">INDEX('ClinicalStage-ConceptMap-1'!$I$15:$N$124,Q112+1,R112)</f>
        <v>* group[=].element[=].display = ##34#unknown##34#</v>
      </c>
    </row>
    <row r="113" spans="7:19">
      <c r="G113" s="124"/>
      <c r="P113" s="11">
        <v>99</v>
      </c>
      <c r="Q113" s="11">
        <f t="shared" si="8"/>
        <v>16</v>
      </c>
      <c r="R113" s="11">
        <f t="shared" si="9"/>
        <v>3</v>
      </c>
      <c r="S113" s="12" t="str" cm="1">
        <f t="array" ref="S113">INDEX('ClinicalStage-ConceptMap-1'!$I$15:$N$124,Q113+1,R113)</f>
        <v>* group[=].element[=].target.code = #Observation.</v>
      </c>
    </row>
    <row r="114" spans="7:19">
      <c r="G114" s="124"/>
      <c r="P114" s="11">
        <v>100</v>
      </c>
      <c r="Q114" s="11">
        <f t="shared" si="8"/>
        <v>16</v>
      </c>
      <c r="R114" s="11">
        <f t="shared" si="9"/>
        <v>4</v>
      </c>
      <c r="S114" s="12" t="str" cm="1">
        <f t="array" ref="S114">INDEX('ClinicalStage-ConceptMap-1'!$I$15:$N$124,Q114+1,R114)</f>
        <v>* group[=].element[=].target.display = ##34###34#</v>
      </c>
    </row>
    <row r="115" spans="7:19">
      <c r="G115" s="124"/>
      <c r="P115" s="11">
        <v>101</v>
      </c>
      <c r="Q115" s="11">
        <f t="shared" si="8"/>
        <v>16</v>
      </c>
      <c r="R115" s="11">
        <f t="shared" si="9"/>
        <v>5</v>
      </c>
      <c r="S115" s="12" t="str" cm="1">
        <f t="array" ref="S115">INDEX('ClinicalStage-ConceptMap-1'!$I$15:$N$124,Q115+1,R115)</f>
        <v>* group[=].element[=].target.equivalence = #relatedto</v>
      </c>
    </row>
    <row r="116" spans="7:19" ht="29.5">
      <c r="G116" s="124"/>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c r="G117" s="124"/>
      <c r="P117" s="11">
        <v>103</v>
      </c>
      <c r="Q117" s="11">
        <f t="shared" si="8"/>
        <v>17</v>
      </c>
      <c r="R117" s="11">
        <f t="shared" si="9"/>
        <v>1</v>
      </c>
      <c r="S117" s="12" cm="1">
        <f t="array" ref="S117">INDEX('ClinicalStage-ConceptMap-1'!$I$15:$N$124,Q117+1,R117)</f>
        <v>0</v>
      </c>
    </row>
    <row r="118" spans="7:19">
      <c r="P118" s="11">
        <v>104</v>
      </c>
      <c r="Q118" s="11">
        <f t="shared" si="8"/>
        <v>17</v>
      </c>
      <c r="R118" s="11">
        <f t="shared" si="9"/>
        <v>2</v>
      </c>
      <c r="S118" s="12" cm="1">
        <f t="array" ref="S118">INDEX('ClinicalStage-ConceptMap-1'!$I$15:$N$124,Q118+1,R118)</f>
        <v>0</v>
      </c>
    </row>
    <row r="119" spans="7:19">
      <c r="P119" s="11">
        <v>105</v>
      </c>
      <c r="Q119" s="11">
        <f t="shared" si="8"/>
        <v>17</v>
      </c>
      <c r="R119" s="11">
        <f t="shared" si="9"/>
        <v>3</v>
      </c>
      <c r="S119" s="12" cm="1">
        <f t="array" ref="S119">INDEX('ClinicalStage-ConceptMap-1'!$I$15:$N$124,Q119+1,R119)</f>
        <v>0</v>
      </c>
    </row>
    <row r="120" spans="7:19">
      <c r="P120" s="11">
        <v>106</v>
      </c>
      <c r="Q120" s="11">
        <f t="shared" si="8"/>
        <v>17</v>
      </c>
      <c r="R120" s="11">
        <f t="shared" si="9"/>
        <v>4</v>
      </c>
      <c r="S120" s="12" cm="1">
        <f t="array" ref="S120">INDEX('ClinicalStage-ConceptMap-1'!$I$15:$N$124,Q120+1,R120)</f>
        <v>0</v>
      </c>
    </row>
    <row r="121" spans="7:19">
      <c r="P121" s="11">
        <v>107</v>
      </c>
      <c r="Q121" s="11">
        <f t="shared" si="8"/>
        <v>17</v>
      </c>
      <c r="R121" s="11">
        <f t="shared" si="9"/>
        <v>5</v>
      </c>
      <c r="S121" s="12" cm="1">
        <f t="array" ref="S121">INDEX('ClinicalStage-ConceptMap-1'!$I$15:$N$124,Q121+1,R121)</f>
        <v>0</v>
      </c>
    </row>
    <row r="122" spans="7:19">
      <c r="P122" s="11">
        <v>108</v>
      </c>
      <c r="Q122" s="11">
        <f t="shared" si="8"/>
        <v>17</v>
      </c>
      <c r="R122" s="11">
        <f t="shared" si="9"/>
        <v>6</v>
      </c>
      <c r="S122" s="12" cm="1">
        <f t="array" ref="S122">INDEX('ClinicalStage-ConceptMap-1'!$I$15:$N$124,Q122+1,R122)</f>
        <v>0</v>
      </c>
    </row>
    <row r="123" spans="7:19">
      <c r="P123" s="11">
        <v>109</v>
      </c>
      <c r="Q123" s="11">
        <f t="shared" si="8"/>
        <v>18</v>
      </c>
      <c r="R123" s="11">
        <f t="shared" si="9"/>
        <v>1</v>
      </c>
      <c r="S123" s="12" cm="1">
        <f t="array" ref="S123">INDEX('ClinicalStage-ConceptMap-1'!$I$15:$N$124,Q123+1,R123)</f>
        <v>0</v>
      </c>
    </row>
    <row r="124" spans="7:19">
      <c r="P124" s="11">
        <v>110</v>
      </c>
      <c r="Q124" s="11">
        <f t="shared" si="8"/>
        <v>18</v>
      </c>
      <c r="R124" s="11">
        <f t="shared" si="9"/>
        <v>2</v>
      </c>
      <c r="S124" s="12" cm="1">
        <f t="array" ref="S124">INDEX('ClinicalStage-ConceptMap-1'!$I$15:$N$124,Q124+1,R124)</f>
        <v>0</v>
      </c>
    </row>
    <row r="125" spans="7:19">
      <c r="P125" s="11">
        <v>111</v>
      </c>
      <c r="Q125" s="11">
        <f t="shared" si="8"/>
        <v>18</v>
      </c>
      <c r="R125" s="11">
        <f t="shared" si="9"/>
        <v>3</v>
      </c>
      <c r="S125" s="12" cm="1">
        <f t="array" ref="S125">INDEX('ClinicalStage-ConceptMap-1'!$I$15:$N$124,Q125+1,R125)</f>
        <v>0</v>
      </c>
    </row>
    <row r="126" spans="7:19">
      <c r="P126" s="11">
        <v>112</v>
      </c>
      <c r="Q126" s="11">
        <f t="shared" si="8"/>
        <v>18</v>
      </c>
      <c r="R126" s="11">
        <f t="shared" si="9"/>
        <v>4</v>
      </c>
      <c r="S126" s="12" cm="1">
        <f t="array" ref="S126">INDEX('ClinicalStage-ConceptMap-1'!$I$15:$N$124,Q126+1,R126)</f>
        <v>0</v>
      </c>
    </row>
    <row r="127" spans="7:19">
      <c r="P127" s="11">
        <v>113</v>
      </c>
      <c r="Q127" s="11">
        <f t="shared" si="8"/>
        <v>18</v>
      </c>
      <c r="R127" s="11">
        <f t="shared" si="9"/>
        <v>5</v>
      </c>
      <c r="S127" s="12" cm="1">
        <f t="array" ref="S127">INDEX('ClinicalStage-ConceptMap-1'!$I$15:$N$124,Q127+1,R127)</f>
        <v>0</v>
      </c>
    </row>
    <row r="128" spans="7:19">
      <c r="P128" s="11">
        <v>114</v>
      </c>
      <c r="Q128" s="11">
        <f t="shared" si="8"/>
        <v>18</v>
      </c>
      <c r="R128" s="11">
        <f t="shared" si="9"/>
        <v>6</v>
      </c>
      <c r="S128" s="12" cm="1">
        <f t="array" ref="S128">INDEX('ClinicalStage-ConceptMap-1'!$I$15:$N$124,Q128+1,R128)</f>
        <v>0</v>
      </c>
    </row>
    <row r="129" spans="16:19">
      <c r="P129" s="11">
        <v>115</v>
      </c>
      <c r="Q129" s="11">
        <f t="shared" si="8"/>
        <v>19</v>
      </c>
      <c r="R129" s="11">
        <f t="shared" si="9"/>
        <v>1</v>
      </c>
      <c r="S129" s="12" cm="1">
        <f t="array" ref="S129">INDEX('ClinicalStage-ConceptMap-1'!$I$15:$N$124,Q129+1,R129)</f>
        <v>0</v>
      </c>
    </row>
    <row r="130" spans="16:19">
      <c r="P130" s="11">
        <v>116</v>
      </c>
      <c r="Q130" s="11">
        <f t="shared" si="8"/>
        <v>19</v>
      </c>
      <c r="R130" s="11">
        <f t="shared" si="9"/>
        <v>2</v>
      </c>
      <c r="S130" s="12" cm="1">
        <f t="array" ref="S130">INDEX('ClinicalStage-ConceptMap-1'!$I$15:$N$124,Q130+1,R130)</f>
        <v>0</v>
      </c>
    </row>
    <row r="131" spans="16:19">
      <c r="P131" s="11">
        <v>117</v>
      </c>
      <c r="Q131" s="11">
        <f t="shared" si="8"/>
        <v>19</v>
      </c>
      <c r="R131" s="11">
        <f t="shared" si="9"/>
        <v>3</v>
      </c>
      <c r="S131" s="12" cm="1">
        <f t="array" ref="S131">INDEX('ClinicalStage-ConceptMap-1'!$I$15:$N$124,Q131+1,R131)</f>
        <v>0</v>
      </c>
    </row>
    <row r="132" spans="16:19">
      <c r="P132" s="11">
        <v>118</v>
      </c>
      <c r="Q132" s="11">
        <f t="shared" si="8"/>
        <v>19</v>
      </c>
      <c r="R132" s="11">
        <f t="shared" si="9"/>
        <v>4</v>
      </c>
      <c r="S132" s="12" cm="1">
        <f t="array" ref="S132">INDEX('ClinicalStage-ConceptMap-1'!$I$15:$N$124,Q132+1,R132)</f>
        <v>0</v>
      </c>
    </row>
    <row r="133" spans="16:19">
      <c r="P133" s="11">
        <v>119</v>
      </c>
      <c r="Q133" s="11">
        <f t="shared" si="8"/>
        <v>19</v>
      </c>
      <c r="R133" s="11">
        <f t="shared" si="9"/>
        <v>5</v>
      </c>
      <c r="S133" s="12" cm="1">
        <f t="array" ref="S133">INDEX('ClinicalStage-ConceptMap-1'!$I$15:$N$124,Q133+1,R133)</f>
        <v>0</v>
      </c>
    </row>
    <row r="134" spans="16:19">
      <c r="P134" s="11">
        <v>120</v>
      </c>
      <c r="Q134" s="11">
        <f t="shared" si="8"/>
        <v>19</v>
      </c>
      <c r="R134" s="11">
        <f t="shared" si="9"/>
        <v>6</v>
      </c>
      <c r="S134" s="12" cm="1">
        <f t="array" ref="S134">INDEX('ClinicalStage-ConceptMap-1'!$I$15:$N$124,Q134+1,R134)</f>
        <v>0</v>
      </c>
    </row>
    <row r="135" spans="16:19">
      <c r="P135" s="11">
        <v>121</v>
      </c>
      <c r="Q135" s="11">
        <f t="shared" si="8"/>
        <v>20</v>
      </c>
      <c r="R135" s="11">
        <f t="shared" si="9"/>
        <v>1</v>
      </c>
      <c r="S135" s="12" cm="1">
        <f t="array" ref="S135">INDEX('ClinicalStage-ConceptMap-1'!$I$15:$N$124,Q135+1,R135)</f>
        <v>0</v>
      </c>
    </row>
    <row r="136" spans="16:19">
      <c r="P136" s="11">
        <v>122</v>
      </c>
      <c r="Q136" s="11">
        <f t="shared" si="8"/>
        <v>20</v>
      </c>
      <c r="R136" s="11">
        <f t="shared" si="9"/>
        <v>2</v>
      </c>
      <c r="S136" s="12" cm="1">
        <f t="array" ref="S136">INDEX('ClinicalStage-ConceptMap-1'!$I$15:$N$124,Q136+1,R136)</f>
        <v>0</v>
      </c>
    </row>
    <row r="137" spans="16:19">
      <c r="P137" s="11">
        <v>123</v>
      </c>
      <c r="Q137" s="11">
        <f t="shared" si="8"/>
        <v>20</v>
      </c>
      <c r="R137" s="11">
        <f t="shared" si="9"/>
        <v>3</v>
      </c>
      <c r="S137" s="12" cm="1">
        <f t="array" ref="S137">INDEX('ClinicalStage-ConceptMap-1'!$I$15:$N$124,Q137+1,R137)</f>
        <v>0</v>
      </c>
    </row>
    <row r="138" spans="16:19">
      <c r="P138" s="11">
        <v>124</v>
      </c>
      <c r="Q138" s="11">
        <f t="shared" si="8"/>
        <v>20</v>
      </c>
      <c r="R138" s="11">
        <f t="shared" si="9"/>
        <v>4</v>
      </c>
      <c r="S138" s="12" cm="1">
        <f t="array" ref="S138">INDEX('ClinicalStage-ConceptMap-1'!$I$15:$N$124,Q138+1,R138)</f>
        <v>0</v>
      </c>
    </row>
    <row r="139" spans="16:19">
      <c r="P139" s="11">
        <v>125</v>
      </c>
      <c r="Q139" s="11">
        <f t="shared" si="8"/>
        <v>20</v>
      </c>
      <c r="R139" s="11">
        <f t="shared" si="9"/>
        <v>5</v>
      </c>
      <c r="S139" s="12" cm="1">
        <f t="array" ref="S139">INDEX('ClinicalStage-ConceptMap-1'!$I$15:$N$124,Q139+1,R139)</f>
        <v>0</v>
      </c>
    </row>
    <row r="140" spans="16:19">
      <c r="P140" s="11">
        <v>126</v>
      </c>
      <c r="Q140" s="11">
        <f t="shared" si="8"/>
        <v>20</v>
      </c>
      <c r="R140" s="11">
        <f t="shared" si="9"/>
        <v>6</v>
      </c>
      <c r="S140" s="12" cm="1">
        <f t="array" ref="S140">INDEX('ClinicalStage-ConceptMap-1'!$I$15:$N$124,Q140+1,R140)</f>
        <v>0</v>
      </c>
    </row>
    <row r="141" spans="16:19">
      <c r="P141" s="11">
        <v>127</v>
      </c>
      <c r="Q141" s="11">
        <f t="shared" si="8"/>
        <v>21</v>
      </c>
      <c r="R141" s="11">
        <f t="shared" si="9"/>
        <v>1</v>
      </c>
      <c r="S141" s="12" cm="1">
        <f t="array" ref="S141">INDEX('ClinicalStage-ConceptMap-1'!$I$15:$N$124,Q141+1,R141)</f>
        <v>0</v>
      </c>
    </row>
    <row r="142" spans="16:19">
      <c r="P142" s="11">
        <v>128</v>
      </c>
      <c r="Q142" s="11">
        <f t="shared" si="8"/>
        <v>21</v>
      </c>
      <c r="R142" s="11">
        <f t="shared" si="9"/>
        <v>2</v>
      </c>
      <c r="S142" s="12" cm="1">
        <f t="array" ref="S142">INDEX('ClinicalStage-ConceptMap-1'!$I$15:$N$124,Q142+1,R142)</f>
        <v>0</v>
      </c>
    </row>
    <row r="143" spans="16:19">
      <c r="P143" s="11">
        <v>129</v>
      </c>
      <c r="Q143" s="11">
        <f t="shared" ref="Q143:Q163" si="10">IF(MOD(P143,$Q$8)=0,P143/$Q$8-1,INT(P143/$Q$8))</f>
        <v>21</v>
      </c>
      <c r="R143" s="11">
        <f t="shared" ref="R143:R163" si="11">IF(MOD(P143,$Q$8)=0,$Q$8,MOD(P143,$Q$8))</f>
        <v>3</v>
      </c>
      <c r="S143" s="12" cm="1">
        <f t="array" ref="S143">INDEX('ClinicalStage-ConceptMap-1'!$I$15:$N$124,Q143+1,R143)</f>
        <v>0</v>
      </c>
    </row>
    <row r="144" spans="16:19">
      <c r="P144" s="11">
        <v>130</v>
      </c>
      <c r="Q144" s="11">
        <f t="shared" si="10"/>
        <v>21</v>
      </c>
      <c r="R144" s="11">
        <f t="shared" si="11"/>
        <v>4</v>
      </c>
      <c r="S144" s="12" cm="1">
        <f t="array" ref="S144">INDEX('ClinicalStage-ConceptMap-1'!$I$15:$N$124,Q144+1,R144)</f>
        <v>0</v>
      </c>
    </row>
    <row r="145" spans="16:19">
      <c r="P145" s="11">
        <v>131</v>
      </c>
      <c r="Q145" s="11">
        <f t="shared" si="10"/>
        <v>21</v>
      </c>
      <c r="R145" s="11">
        <f t="shared" si="11"/>
        <v>5</v>
      </c>
      <c r="S145" s="12" cm="1">
        <f t="array" ref="S145">INDEX('ClinicalStage-ConceptMap-1'!$I$15:$N$124,Q145+1,R145)</f>
        <v>0</v>
      </c>
    </row>
    <row r="146" spans="16:19">
      <c r="P146" s="11">
        <v>132</v>
      </c>
      <c r="Q146" s="11">
        <f t="shared" si="10"/>
        <v>21</v>
      </c>
      <c r="R146" s="11">
        <f t="shared" si="11"/>
        <v>6</v>
      </c>
      <c r="S146" s="12" cm="1">
        <f t="array" ref="S146">INDEX('ClinicalStage-ConceptMap-1'!$I$15:$N$124,Q146+1,R146)</f>
        <v>0</v>
      </c>
    </row>
    <row r="147" spans="16:19">
      <c r="P147" s="11">
        <v>133</v>
      </c>
      <c r="Q147" s="11">
        <f t="shared" si="10"/>
        <v>22</v>
      </c>
      <c r="R147" s="11">
        <f t="shared" si="11"/>
        <v>1</v>
      </c>
      <c r="S147" s="12" cm="1">
        <f t="array" ref="S147">INDEX('ClinicalStage-ConceptMap-1'!$I$15:$N$124,Q147+1,R147)</f>
        <v>0</v>
      </c>
    </row>
    <row r="148" spans="16:19">
      <c r="P148" s="11">
        <v>134</v>
      </c>
      <c r="Q148" s="11">
        <f t="shared" si="10"/>
        <v>22</v>
      </c>
      <c r="R148" s="11">
        <f t="shared" si="11"/>
        <v>2</v>
      </c>
      <c r="S148" s="12" cm="1">
        <f t="array" ref="S148">INDEX('ClinicalStage-ConceptMap-1'!$I$15:$N$124,Q148+1,R148)</f>
        <v>0</v>
      </c>
    </row>
    <row r="149" spans="16:19">
      <c r="P149" s="11">
        <v>135</v>
      </c>
      <c r="Q149" s="11">
        <f t="shared" si="10"/>
        <v>22</v>
      </c>
      <c r="R149" s="11">
        <f t="shared" si="11"/>
        <v>3</v>
      </c>
      <c r="S149" s="12" cm="1">
        <f t="array" ref="S149">INDEX('ClinicalStage-ConceptMap-1'!$I$15:$N$124,Q149+1,R149)</f>
        <v>0</v>
      </c>
    </row>
    <row r="150" spans="16:19">
      <c r="P150" s="11">
        <v>136</v>
      </c>
      <c r="Q150" s="11">
        <f t="shared" si="10"/>
        <v>22</v>
      </c>
      <c r="R150" s="11">
        <f t="shared" si="11"/>
        <v>4</v>
      </c>
      <c r="S150" s="12" cm="1">
        <f t="array" ref="S150">INDEX('ClinicalStage-ConceptMap-1'!$I$15:$N$124,Q150+1,R150)</f>
        <v>0</v>
      </c>
    </row>
    <row r="151" spans="16:19">
      <c r="P151" s="11">
        <v>137</v>
      </c>
      <c r="Q151" s="11">
        <f t="shared" si="10"/>
        <v>22</v>
      </c>
      <c r="R151" s="11">
        <f t="shared" si="11"/>
        <v>5</v>
      </c>
      <c r="S151" s="12" cm="1">
        <f t="array" ref="S151">INDEX('ClinicalStage-ConceptMap-1'!$I$15:$N$124,Q151+1,R151)</f>
        <v>0</v>
      </c>
    </row>
    <row r="152" spans="16:19">
      <c r="P152" s="11">
        <v>138</v>
      </c>
      <c r="Q152" s="11">
        <f t="shared" si="10"/>
        <v>22</v>
      </c>
      <c r="R152" s="11">
        <f t="shared" si="11"/>
        <v>6</v>
      </c>
      <c r="S152" s="12" cm="1">
        <f t="array" ref="S152">INDEX('ClinicalStage-ConceptMap-1'!$I$15:$N$124,Q152+1,R152)</f>
        <v>0</v>
      </c>
    </row>
    <row r="153" spans="16:19">
      <c r="P153" s="11">
        <v>139</v>
      </c>
      <c r="Q153" s="11">
        <f t="shared" si="10"/>
        <v>23</v>
      </c>
      <c r="R153" s="11">
        <f t="shared" si="11"/>
        <v>1</v>
      </c>
      <c r="S153" s="12" cm="1">
        <f t="array" ref="S153">INDEX('ClinicalStage-ConceptMap-1'!$I$15:$N$124,Q153+1,R153)</f>
        <v>0</v>
      </c>
    </row>
    <row r="154" spans="16:19">
      <c r="P154" s="11">
        <v>140</v>
      </c>
      <c r="Q154" s="11">
        <f t="shared" si="10"/>
        <v>23</v>
      </c>
      <c r="R154" s="11">
        <f t="shared" si="11"/>
        <v>2</v>
      </c>
      <c r="S154" s="12" cm="1">
        <f t="array" ref="S154">INDEX('ClinicalStage-ConceptMap-1'!$I$15:$N$124,Q154+1,R154)</f>
        <v>0</v>
      </c>
    </row>
    <row r="155" spans="16:19">
      <c r="P155" s="11">
        <v>141</v>
      </c>
      <c r="Q155" s="11">
        <f t="shared" si="10"/>
        <v>23</v>
      </c>
      <c r="R155" s="11">
        <f t="shared" si="11"/>
        <v>3</v>
      </c>
      <c r="S155" s="12" cm="1">
        <f t="array" ref="S155">INDEX('ClinicalStage-ConceptMap-1'!$I$15:$N$124,Q155+1,R155)</f>
        <v>0</v>
      </c>
    </row>
    <row r="156" spans="16:19">
      <c r="P156" s="11">
        <v>142</v>
      </c>
      <c r="Q156" s="11">
        <f t="shared" si="10"/>
        <v>23</v>
      </c>
      <c r="R156" s="11">
        <f t="shared" si="11"/>
        <v>4</v>
      </c>
      <c r="S156" s="12" cm="1">
        <f t="array" ref="S156">INDEX('ClinicalStage-ConceptMap-1'!$I$15:$N$124,Q156+1,R156)</f>
        <v>0</v>
      </c>
    </row>
    <row r="157" spans="16:19">
      <c r="P157" s="11">
        <v>143</v>
      </c>
      <c r="Q157" s="11">
        <f t="shared" si="10"/>
        <v>23</v>
      </c>
      <c r="R157" s="11">
        <f t="shared" si="11"/>
        <v>5</v>
      </c>
      <c r="S157" s="12" cm="1">
        <f t="array" ref="S157">INDEX('ClinicalStage-ConceptMap-1'!$I$15:$N$124,Q157+1,R157)</f>
        <v>0</v>
      </c>
    </row>
    <row r="158" spans="16:19">
      <c r="P158" s="11">
        <v>144</v>
      </c>
      <c r="Q158" s="11">
        <f t="shared" si="10"/>
        <v>23</v>
      </c>
      <c r="R158" s="11">
        <f t="shared" si="11"/>
        <v>6</v>
      </c>
      <c r="S158" s="12" cm="1">
        <f t="array" ref="S158">INDEX('ClinicalStage-ConceptMap-1'!$I$15:$N$124,Q158+1,R158)</f>
        <v>0</v>
      </c>
    </row>
    <row r="159" spans="16:19">
      <c r="P159" s="11">
        <v>145</v>
      </c>
      <c r="Q159" s="11">
        <f t="shared" si="10"/>
        <v>24</v>
      </c>
      <c r="R159" s="11">
        <f t="shared" si="11"/>
        <v>1</v>
      </c>
      <c r="S159" s="12" cm="1">
        <f t="array" ref="S159">INDEX('ClinicalStage-ConceptMap-1'!$I$15:$N$124,Q159+1,R159)</f>
        <v>0</v>
      </c>
    </row>
    <row r="160" spans="16:19">
      <c r="P160" s="11">
        <v>146</v>
      </c>
      <c r="Q160" s="11">
        <f t="shared" si="10"/>
        <v>24</v>
      </c>
      <c r="R160" s="11">
        <f t="shared" si="11"/>
        <v>2</v>
      </c>
      <c r="S160" s="12" cm="1">
        <f t="array" ref="S160">INDEX('ClinicalStage-ConceptMap-1'!$I$15:$N$124,Q160+1,R160)</f>
        <v>0</v>
      </c>
    </row>
    <row r="161" spans="16:19">
      <c r="P161" s="11">
        <v>147</v>
      </c>
      <c r="Q161" s="11">
        <f t="shared" si="10"/>
        <v>24</v>
      </c>
      <c r="R161" s="11">
        <f t="shared" si="11"/>
        <v>3</v>
      </c>
      <c r="S161" s="12" cm="1">
        <f t="array" ref="S161">INDEX('ClinicalStage-ConceptMap-1'!$I$15:$N$124,Q161+1,R161)</f>
        <v>0</v>
      </c>
    </row>
    <row r="162" spans="16:19">
      <c r="P162" s="11">
        <v>148</v>
      </c>
      <c r="Q162" s="11">
        <f t="shared" si="10"/>
        <v>24</v>
      </c>
      <c r="R162" s="11">
        <f t="shared" si="11"/>
        <v>4</v>
      </c>
      <c r="S162" s="12" cm="1">
        <f t="array" ref="S162">INDEX('ClinicalStage-ConceptMap-1'!$I$15:$N$124,Q162+1,R162)</f>
        <v>0</v>
      </c>
    </row>
    <row r="163" spans="16:19">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2123</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2123</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7" si="0">"* group[=].element[+].code = #"&amp;$B$14&amp;"."&amp;B15</f>
        <v>* group[=].element[+].code = #ClinicalStage.cT</v>
      </c>
      <c r="J15" s="12" t="str">
        <f t="shared" ref="J15:J17" si="1">"* group[=].element[=].display = ##34#"&amp;C15&amp;"##34#"</f>
        <v>* group[=].element[=].display = ##34#cT##34#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c r="A18" s="59"/>
      <c r="B18" s="11" t="str">
        <f>ClinicalStage!B12</f>
        <v>cM</v>
      </c>
      <c r="C18" s="11" t="str">
        <f>ClinicalStage!C12</f>
        <v>cM</v>
      </c>
      <c r="D18" s="12"/>
      <c r="E18" s="12"/>
      <c r="F18" s="153" t="s">
        <v>1424</v>
      </c>
      <c r="G18" s="124"/>
      <c r="H18" s="58"/>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INDEX('ClinicalStage-ConceptMap-2'!$I$15:$N$39,Q20+1,R20)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INDEX('ClinicalStage-ConceptMap-2'!$I$15:$N$39,Q21+1,R21)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INDEX('ClinicalStage-ConceptMap-2'!$I$15:$N$39,Q22+1,R22)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INDEX('ClinicalStage-ConceptMap-2'!$I$15:$N$39,Q23+1,R23)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INDEX('ClinicalStage-ConceptMap-2'!$I$15:$N$39,Q24+1,R24)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INDEX('ClinicalStage-ConceptMap-2'!$I$15:$N$39,Q27+1,R27)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INDEX('ClinicalStage-ConceptMap-2'!$I$15:$N$39,Q28+1,R28)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INDEX('ClinicalStage-ConceptMap-2'!$I$15:$N$39,Q29+1,R29)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INDEX('ClinicalStage-ConceptMap-2'!$I$15:$N$39,Q30+1,R30)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INDEX('ClinicalStage-ConceptMap-2'!$I$15:$N$39,Q33+1,R33)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INDEX('ClinicalStage-ConceptMap-2'!$I$15:$N$39,Q34+1,R34)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INDEX('ClinicalStage-ConceptMap-2'!$I$15:$N$39,Q35+1,R35)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INDEX('ClinicalStage-ConceptMap-2'!$I$15:$N$39,Q36+1,R36)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INDEX('ClinicalStage-ConceptMap-2'!$I$15:$N$39,Q37+1,R37)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2124</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2124</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INDEX('ClinicalStage-ConceptMap-3'!$I$15:$N$123,Q20+1,R20)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INDEX('ClinicalStage-ConceptMap-3'!$I$15:$N$123,Q21+1,R21)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INDEX('ClinicalStage-ConceptMap-3'!$I$15:$N$123,Q22+1,R22)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INDEX('ClinicalStage-ConceptMap-3'!$I$15:$N$123,Q23+1,R23)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INDEX('ClinicalStage-ConceptMap-3'!$I$15:$N$123,Q24+1,R24)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INDEX('ClinicalStage-ConceptMap-3'!$I$15:$N$123,Q26+1,R26)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INDEX('ClinicalStage-ConceptMap-3'!$I$15:$N$123,Q27+1,R27)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INDEX('ClinicalStage-ConceptMap-3'!$I$15:$N$123,Q28+1,R28)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INDEX('ClinicalStage-ConceptMap-3'!$I$15:$N$123,Q29+1,R29)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INDEX('ClinicalStage-ConceptMap-3'!$I$15:$N$123,Q30+1,R30)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INDEX('ClinicalStage-ConceptMap-3'!$I$15:$N$123,Q32+1,R32)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INDEX('ClinicalStage-ConceptMap-3'!$I$15:$N$123,Q33+1,R33)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INDEX('ClinicalStage-ConceptMap-3'!$I$15:$N$123,Q34+1,R34)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INDEX('ClinicalStage-ConceptMap-3'!$I$15:$N$123,Q35+1,R35)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INDEX('ClinicalStage-ConceptMap-3'!$I$15:$N$123,Q36+1,R36)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INDEX('ClinicalStage-ConceptMap-3'!$I$15:$N$123,Q37+1,R37)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INDEX('ClinicalStage-ConceptMap-3'!$I$15:$N$123,Q38+1,R38)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INDEX('ClinicalStage-ConceptMap-3'!$I$15:$N$123,Q43+1,R43)</f>
        <v>0</v>
      </c>
    </row>
    <row r="44" spans="1:19">
      <c r="B44" s="11"/>
      <c r="C44" s="11"/>
      <c r="G44" s="124"/>
      <c r="P44" s="11">
        <v>30</v>
      </c>
      <c r="Q44" s="11">
        <f t="shared" si="6"/>
        <v>4</v>
      </c>
      <c r="R44" s="11">
        <f t="shared" si="7"/>
        <v>6</v>
      </c>
      <c r="S44" s="12" cm="1">
        <f t="array" ref="S44">INDEX('ClinicalStage-ConceptMap-3'!$I$15:$N$123,Q44+1,R44)</f>
        <v>0</v>
      </c>
    </row>
    <row r="45" spans="1:19">
      <c r="B45" s="11"/>
      <c r="C45" s="11"/>
      <c r="G45" s="124"/>
      <c r="P45" s="11">
        <v>31</v>
      </c>
      <c r="Q45" s="11">
        <f t="shared" si="6"/>
        <v>5</v>
      </c>
      <c r="R45" s="11">
        <f t="shared" si="7"/>
        <v>1</v>
      </c>
      <c r="S45" s="12" cm="1">
        <f t="array" ref="S45">INDEX('ClinicalStage-ConceptMap-3'!$I$15:$N$123,Q45+1,R45)</f>
        <v>0</v>
      </c>
    </row>
    <row r="46" spans="1:19">
      <c r="G46" s="124"/>
      <c r="P46" s="11">
        <v>32</v>
      </c>
      <c r="Q46" s="11">
        <f t="shared" si="6"/>
        <v>5</v>
      </c>
      <c r="R46" s="11">
        <f t="shared" si="7"/>
        <v>2</v>
      </c>
      <c r="S46" s="12" cm="1">
        <f t="array" ref="S46">INDEX('ClinicalStage-ConceptMap-3'!$I$15:$N$123,Q46+1,R46)</f>
        <v>0</v>
      </c>
    </row>
    <row r="47" spans="1:19">
      <c r="G47" s="124"/>
      <c r="P47" s="11">
        <v>33</v>
      </c>
      <c r="Q47" s="11">
        <f t="shared" si="6"/>
        <v>5</v>
      </c>
      <c r="R47" s="11">
        <f t="shared" si="7"/>
        <v>3</v>
      </c>
      <c r="S47" s="12" cm="1">
        <f t="array" ref="S47">INDEX('ClinicalStage-ConceptMap-3'!$I$15:$N$123,Q47+1,R47)</f>
        <v>0</v>
      </c>
    </row>
    <row r="48" spans="1:19">
      <c r="G48" s="124"/>
      <c r="P48" s="11">
        <v>34</v>
      </c>
      <c r="Q48" s="11">
        <f t="shared" si="6"/>
        <v>5</v>
      </c>
      <c r="R48" s="11">
        <f t="shared" si="7"/>
        <v>4</v>
      </c>
      <c r="S48" s="12" cm="1">
        <f t="array" ref="S48">INDEX('ClinicalStage-ConceptMap-3'!$I$15:$N$123,Q48+1,R48)</f>
        <v>0</v>
      </c>
    </row>
    <row r="49" spans="7:19">
      <c r="G49" s="124"/>
      <c r="P49" s="11">
        <v>35</v>
      </c>
      <c r="Q49" s="11">
        <f t="shared" si="6"/>
        <v>5</v>
      </c>
      <c r="R49" s="11">
        <f t="shared" si="7"/>
        <v>5</v>
      </c>
      <c r="S49" s="12" cm="1">
        <f t="array" ref="S49">INDEX('ClinicalStage-ConceptMap-3'!$I$15:$N$123,Q49+1,R49)</f>
        <v>0</v>
      </c>
    </row>
    <row r="50" spans="7:19">
      <c r="G50" s="124"/>
      <c r="P50" s="11">
        <v>36</v>
      </c>
      <c r="Q50" s="11">
        <f t="shared" si="6"/>
        <v>5</v>
      </c>
      <c r="R50" s="11">
        <f t="shared" si="7"/>
        <v>6</v>
      </c>
      <c r="S50" s="12" cm="1">
        <f t="array" ref="S50">INDEX('ClinicalStage-ConceptMap-3'!$I$15:$N$123,Q50+1,R50)</f>
        <v>0</v>
      </c>
    </row>
    <row r="51" spans="7:19">
      <c r="G51" s="124"/>
      <c r="P51" s="11">
        <v>37</v>
      </c>
      <c r="Q51" s="11">
        <f t="shared" si="6"/>
        <v>6</v>
      </c>
      <c r="R51" s="11">
        <f t="shared" si="7"/>
        <v>1</v>
      </c>
      <c r="S51" s="12" cm="1">
        <f t="array" ref="S51">INDEX('ClinicalStage-ConceptMap-3'!$I$15:$N$123,Q51+1,R51)</f>
        <v>0</v>
      </c>
    </row>
    <row r="52" spans="7:19">
      <c r="G52" s="124"/>
      <c r="P52" s="11">
        <v>38</v>
      </c>
      <c r="Q52" s="11">
        <f t="shared" si="6"/>
        <v>6</v>
      </c>
      <c r="R52" s="11">
        <f t="shared" si="7"/>
        <v>2</v>
      </c>
      <c r="S52" s="12" cm="1">
        <f t="array" ref="S52">INDEX('ClinicalStage-ConceptMap-3'!$I$15:$N$123,Q52+1,R52)</f>
        <v>0</v>
      </c>
    </row>
    <row r="53" spans="7:19">
      <c r="G53" s="124"/>
      <c r="P53" s="11">
        <v>39</v>
      </c>
      <c r="Q53" s="11">
        <f t="shared" si="6"/>
        <v>6</v>
      </c>
      <c r="R53" s="11">
        <f t="shared" si="7"/>
        <v>3</v>
      </c>
      <c r="S53" s="12" cm="1">
        <f t="array" ref="S53">INDEX('ClinicalStage-ConceptMap-3'!$I$15:$N$123,Q53+1,R53)</f>
        <v>0</v>
      </c>
    </row>
    <row r="54" spans="7:19">
      <c r="G54" s="124"/>
      <c r="P54" s="11">
        <v>40</v>
      </c>
      <c r="Q54" s="11">
        <f t="shared" si="6"/>
        <v>6</v>
      </c>
      <c r="R54" s="11">
        <f t="shared" si="7"/>
        <v>4</v>
      </c>
      <c r="S54" s="12" cm="1">
        <f t="array" ref="S54">INDEX('ClinicalStage-ConceptMap-3'!$I$15:$N$123,Q54+1,R54)</f>
        <v>0</v>
      </c>
    </row>
    <row r="55" spans="7:19">
      <c r="G55" s="124"/>
      <c r="P55" s="11">
        <v>41</v>
      </c>
      <c r="Q55" s="11">
        <f t="shared" si="6"/>
        <v>6</v>
      </c>
      <c r="R55" s="11">
        <f t="shared" si="7"/>
        <v>5</v>
      </c>
      <c r="S55" s="12" cm="1">
        <f t="array" ref="S55">INDEX('ClinicalStage-ConceptMap-3'!$I$15:$N$123,Q55+1,R55)</f>
        <v>0</v>
      </c>
    </row>
    <row r="56" spans="7:19">
      <c r="G56" s="124"/>
      <c r="P56" s="11">
        <v>42</v>
      </c>
      <c r="Q56" s="11">
        <f t="shared" si="6"/>
        <v>6</v>
      </c>
      <c r="R56" s="11">
        <f t="shared" si="7"/>
        <v>6</v>
      </c>
      <c r="S56" s="12" cm="1">
        <f t="array" ref="S56">INDEX('ClinicalStage-ConceptMap-3'!$I$15:$N$123,Q56+1,R56)</f>
        <v>0</v>
      </c>
    </row>
    <row r="57" spans="7:19">
      <c r="G57" s="124"/>
      <c r="P57" s="11">
        <v>43</v>
      </c>
      <c r="Q57" s="11">
        <f t="shared" si="6"/>
        <v>7</v>
      </c>
      <c r="R57" s="11">
        <f t="shared" si="7"/>
        <v>1</v>
      </c>
      <c r="S57" s="12" cm="1">
        <f t="array" ref="S57">INDEX('ClinicalStage-ConceptMap-3'!$I$15:$N$123,Q57+1,R57)</f>
        <v>0</v>
      </c>
    </row>
    <row r="58" spans="7:19">
      <c r="G58" s="124"/>
      <c r="P58" s="11">
        <v>44</v>
      </c>
      <c r="Q58" s="11">
        <f t="shared" si="6"/>
        <v>7</v>
      </c>
      <c r="R58" s="11">
        <f t="shared" si="7"/>
        <v>2</v>
      </c>
      <c r="S58" s="12" cm="1">
        <f t="array" ref="S58">INDEX('ClinicalStage-ConceptMap-3'!$I$15:$N$123,Q58+1,R58)</f>
        <v>0</v>
      </c>
    </row>
    <row r="59" spans="7:19">
      <c r="G59" s="124"/>
      <c r="P59" s="11">
        <v>45</v>
      </c>
      <c r="Q59" s="11">
        <f t="shared" si="6"/>
        <v>7</v>
      </c>
      <c r="R59" s="11">
        <f t="shared" si="7"/>
        <v>3</v>
      </c>
      <c r="S59" s="12" cm="1">
        <f t="array" ref="S59">INDEX('ClinicalStage-ConceptMap-3'!$I$15:$N$123,Q59+1,R59)</f>
        <v>0</v>
      </c>
    </row>
    <row r="60" spans="7:19">
      <c r="G60" s="124"/>
      <c r="P60" s="11">
        <v>46</v>
      </c>
      <c r="Q60" s="11">
        <f t="shared" si="6"/>
        <v>7</v>
      </c>
      <c r="R60" s="11">
        <f t="shared" si="7"/>
        <v>4</v>
      </c>
      <c r="S60" s="12" cm="1">
        <f t="array" ref="S60">INDEX('ClinicalStage-ConceptMap-3'!$I$15:$N$123,Q60+1,R60)</f>
        <v>0</v>
      </c>
    </row>
    <row r="61" spans="7:19">
      <c r="G61" s="124"/>
      <c r="P61" s="11">
        <v>47</v>
      </c>
      <c r="Q61" s="11">
        <f t="shared" si="6"/>
        <v>7</v>
      </c>
      <c r="R61" s="11">
        <f t="shared" si="7"/>
        <v>5</v>
      </c>
      <c r="S61" s="12" cm="1">
        <f t="array" ref="S61">INDEX('ClinicalStage-ConceptMap-3'!$I$15:$N$123,Q61+1,R61)</f>
        <v>0</v>
      </c>
    </row>
    <row r="62" spans="7:19">
      <c r="G62" s="124"/>
      <c r="P62" s="11">
        <v>48</v>
      </c>
      <c r="Q62" s="11">
        <f t="shared" si="6"/>
        <v>7</v>
      </c>
      <c r="R62" s="11">
        <f t="shared" si="7"/>
        <v>6</v>
      </c>
      <c r="S62" s="12" cm="1">
        <f t="array" ref="S62">INDEX('ClinicalStage-ConceptMap-3'!$I$15:$N$123,Q62+1,R62)</f>
        <v>0</v>
      </c>
    </row>
    <row r="63" spans="7:19">
      <c r="G63" s="124"/>
      <c r="P63" s="11">
        <v>49</v>
      </c>
      <c r="Q63" s="11">
        <f t="shared" si="6"/>
        <v>8</v>
      </c>
      <c r="R63" s="11">
        <f t="shared" si="7"/>
        <v>1</v>
      </c>
      <c r="S63" s="12" cm="1">
        <f t="array" ref="S63">INDEX('ClinicalStage-ConceptMap-3'!$I$15:$N$123,Q63+1,R63)</f>
        <v>0</v>
      </c>
    </row>
    <row r="64" spans="7:19">
      <c r="G64" s="124"/>
      <c r="P64" s="11">
        <v>50</v>
      </c>
      <c r="Q64" s="11">
        <f t="shared" si="6"/>
        <v>8</v>
      </c>
      <c r="R64" s="11">
        <f t="shared" si="7"/>
        <v>2</v>
      </c>
      <c r="S64" s="12" cm="1">
        <f t="array" ref="S64">INDEX('ClinicalStage-ConceptMap-3'!$I$15:$N$123,Q64+1,R64)</f>
        <v>0</v>
      </c>
    </row>
    <row r="65" spans="7:19">
      <c r="G65" s="124"/>
      <c r="P65" s="11">
        <v>51</v>
      </c>
      <c r="Q65" s="11">
        <f t="shared" si="6"/>
        <v>8</v>
      </c>
      <c r="R65" s="11">
        <f t="shared" si="7"/>
        <v>3</v>
      </c>
      <c r="S65" s="12" cm="1">
        <f t="array" ref="S65">INDEX('ClinicalStage-ConceptMap-3'!$I$15:$N$123,Q65+1,R65)</f>
        <v>0</v>
      </c>
    </row>
    <row r="66" spans="7:19">
      <c r="G66" s="124"/>
      <c r="P66" s="11">
        <v>52</v>
      </c>
      <c r="Q66" s="11">
        <f t="shared" si="6"/>
        <v>8</v>
      </c>
      <c r="R66" s="11">
        <f t="shared" si="7"/>
        <v>4</v>
      </c>
      <c r="S66" s="12" cm="1">
        <f t="array" ref="S66">INDEX('ClinicalStage-ConceptMap-3'!$I$15:$N$123,Q66+1,R66)</f>
        <v>0</v>
      </c>
    </row>
    <row r="67" spans="7:19">
      <c r="G67" s="124"/>
      <c r="P67" s="11">
        <v>53</v>
      </c>
      <c r="Q67" s="11">
        <f t="shared" si="6"/>
        <v>8</v>
      </c>
      <c r="R67" s="11">
        <f t="shared" si="7"/>
        <v>5</v>
      </c>
      <c r="S67" s="12" cm="1">
        <f t="array" ref="S67">INDEX('ClinicalStage-ConceptMap-3'!$I$15:$N$123,Q67+1,R67)</f>
        <v>0</v>
      </c>
    </row>
    <row r="68" spans="7:19">
      <c r="G68" s="124"/>
      <c r="P68" s="11">
        <v>54</v>
      </c>
      <c r="Q68" s="11">
        <f t="shared" si="6"/>
        <v>8</v>
      </c>
      <c r="R68" s="11">
        <f t="shared" si="7"/>
        <v>6</v>
      </c>
      <c r="S68" s="12" cm="1">
        <f t="array" ref="S68">INDEX('ClinicalStage-ConceptMap-3'!$I$15:$N$123,Q68+1,R68)</f>
        <v>0</v>
      </c>
    </row>
    <row r="69" spans="7:19">
      <c r="G69" s="124"/>
      <c r="P69" s="11">
        <v>55</v>
      </c>
      <c r="Q69" s="11">
        <f t="shared" si="6"/>
        <v>9</v>
      </c>
      <c r="R69" s="11">
        <f t="shared" si="7"/>
        <v>1</v>
      </c>
      <c r="S69" s="12" cm="1">
        <f t="array" ref="S69">INDEX('ClinicalStage-ConceptMap-3'!$I$15:$N$123,Q69+1,R69)</f>
        <v>0</v>
      </c>
    </row>
    <row r="70" spans="7:19">
      <c r="G70" s="124"/>
      <c r="P70" s="11">
        <v>56</v>
      </c>
      <c r="Q70" s="11">
        <f t="shared" si="6"/>
        <v>9</v>
      </c>
      <c r="R70" s="11">
        <f t="shared" si="7"/>
        <v>2</v>
      </c>
      <c r="S70" s="12" cm="1">
        <f t="array" ref="S70">INDEX('ClinicalStage-ConceptMap-3'!$I$15:$N$123,Q70+1,R70)</f>
        <v>0</v>
      </c>
    </row>
    <row r="71" spans="7:19">
      <c r="G71" s="124"/>
      <c r="P71" s="11">
        <v>57</v>
      </c>
      <c r="Q71" s="11">
        <f t="shared" si="6"/>
        <v>9</v>
      </c>
      <c r="R71" s="11">
        <f t="shared" si="7"/>
        <v>3</v>
      </c>
      <c r="S71" s="12" cm="1">
        <f t="array" ref="S71">INDEX('ClinicalStage-ConceptMap-3'!$I$15:$N$123,Q71+1,R71)</f>
        <v>0</v>
      </c>
    </row>
    <row r="72" spans="7:19">
      <c r="G72" s="124"/>
      <c r="P72" s="11">
        <v>58</v>
      </c>
      <c r="Q72" s="11">
        <f t="shared" si="6"/>
        <v>9</v>
      </c>
      <c r="R72" s="11">
        <f t="shared" si="7"/>
        <v>4</v>
      </c>
      <c r="S72" s="12" cm="1">
        <f t="array" ref="S72">INDEX('ClinicalStage-ConceptMap-3'!$I$15:$N$123,Q72+1,R72)</f>
        <v>0</v>
      </c>
    </row>
    <row r="73" spans="7:19">
      <c r="G73" s="124"/>
      <c r="P73" s="11">
        <v>59</v>
      </c>
      <c r="Q73" s="11">
        <f t="shared" si="6"/>
        <v>9</v>
      </c>
      <c r="R73" s="11">
        <f t="shared" si="7"/>
        <v>5</v>
      </c>
      <c r="S73" s="12" cm="1">
        <f t="array" ref="S73">INDEX('ClinicalStage-ConceptMap-3'!$I$15:$N$123,Q73+1,R73)</f>
        <v>0</v>
      </c>
    </row>
    <row r="74" spans="7:19">
      <c r="G74" s="124"/>
      <c r="P74" s="11">
        <v>60</v>
      </c>
      <c r="Q74" s="11">
        <f t="shared" si="6"/>
        <v>9</v>
      </c>
      <c r="R74" s="11">
        <f t="shared" si="7"/>
        <v>6</v>
      </c>
      <c r="S74" s="12" cm="1">
        <f t="array" ref="S74">INDEX('ClinicalStage-ConceptMap-3'!$I$15:$N$123,Q74+1,R74)</f>
        <v>0</v>
      </c>
    </row>
    <row r="75" spans="7:19">
      <c r="G75" s="124"/>
      <c r="P75" s="11">
        <v>61</v>
      </c>
      <c r="Q75" s="11">
        <f t="shared" si="6"/>
        <v>10</v>
      </c>
      <c r="R75" s="11">
        <f t="shared" si="7"/>
        <v>1</v>
      </c>
      <c r="S75" s="12" cm="1">
        <f t="array" ref="S75">INDEX('ClinicalStage-ConceptMap-3'!$I$15:$N$123,Q75+1,R75)</f>
        <v>0</v>
      </c>
    </row>
    <row r="76" spans="7:19">
      <c r="G76" s="124"/>
      <c r="P76" s="11">
        <v>62</v>
      </c>
      <c r="Q76" s="11">
        <f t="shared" si="6"/>
        <v>10</v>
      </c>
      <c r="R76" s="11">
        <f t="shared" si="7"/>
        <v>2</v>
      </c>
      <c r="S76" s="12" cm="1">
        <f t="array" ref="S76">INDEX('ClinicalStage-ConceptMap-3'!$I$15:$N$123,Q76+1,R76)</f>
        <v>0</v>
      </c>
    </row>
    <row r="77" spans="7:19">
      <c r="G77" s="124"/>
      <c r="P77" s="11">
        <v>63</v>
      </c>
      <c r="Q77" s="11">
        <f t="shared" si="6"/>
        <v>10</v>
      </c>
      <c r="R77" s="11">
        <f t="shared" si="7"/>
        <v>3</v>
      </c>
      <c r="S77" s="12" cm="1">
        <f t="array" ref="S77">INDEX('ClinicalStage-ConceptMap-3'!$I$15:$N$123,Q77+1,R77)</f>
        <v>0</v>
      </c>
    </row>
    <row r="78" spans="7:19">
      <c r="G78" s="124"/>
      <c r="P78" s="11">
        <v>64</v>
      </c>
      <c r="Q78" s="11">
        <f t="shared" si="6"/>
        <v>10</v>
      </c>
      <c r="R78" s="11">
        <f t="shared" si="7"/>
        <v>4</v>
      </c>
      <c r="S78" s="12" cm="1">
        <f t="array" ref="S78">INDEX('ClinicalStage-ConceptMap-3'!$I$15:$N$123,Q78+1,R78)</f>
        <v>0</v>
      </c>
    </row>
    <row r="79" spans="7:19">
      <c r="G79" s="124"/>
      <c r="P79" s="11">
        <v>65</v>
      </c>
      <c r="Q79" s="11">
        <f t="shared" ref="Q79:Q142" si="8">IF(MOD(P79,$Q$8)=0,P79/$Q$8-1,INT(P79/$Q$8))</f>
        <v>10</v>
      </c>
      <c r="R79" s="11">
        <f t="shared" ref="R79:R142" si="9">IF(MOD(P79,$Q$8)=0,$Q$8,MOD(P79,$Q$8))</f>
        <v>5</v>
      </c>
      <c r="S79" s="12" cm="1">
        <f t="array" ref="S79">INDEX('ClinicalStage-ConceptMap-3'!$I$15:$N$123,Q79+1,R79)</f>
        <v>0</v>
      </c>
    </row>
    <row r="80" spans="7:19">
      <c r="G80" s="124"/>
      <c r="P80" s="11">
        <v>66</v>
      </c>
      <c r="Q80" s="11">
        <f t="shared" si="8"/>
        <v>10</v>
      </c>
      <c r="R80" s="11">
        <f t="shared" si="9"/>
        <v>6</v>
      </c>
      <c r="S80" s="12" cm="1">
        <f t="array" ref="S80">INDEX('ClinicalStage-ConceptMap-3'!$I$15:$N$123,Q80+1,R80)</f>
        <v>0</v>
      </c>
    </row>
    <row r="81" spans="7:19">
      <c r="G81" s="124"/>
      <c r="P81" s="11">
        <v>67</v>
      </c>
      <c r="Q81" s="11">
        <f t="shared" si="8"/>
        <v>11</v>
      </c>
      <c r="R81" s="11">
        <f t="shared" si="9"/>
        <v>1</v>
      </c>
      <c r="S81" s="12" cm="1">
        <f t="array" ref="S81">INDEX('ClinicalStage-ConceptMap-3'!$I$15:$N$123,Q81+1,R81)</f>
        <v>0</v>
      </c>
    </row>
    <row r="82" spans="7:19">
      <c r="G82" s="124"/>
      <c r="P82" s="11">
        <v>68</v>
      </c>
      <c r="Q82" s="11">
        <f t="shared" si="8"/>
        <v>11</v>
      </c>
      <c r="R82" s="11">
        <f t="shared" si="9"/>
        <v>2</v>
      </c>
      <c r="S82" s="12" cm="1">
        <f t="array" ref="S82">INDEX('ClinicalStage-ConceptMap-3'!$I$15:$N$123,Q82+1,R82)</f>
        <v>0</v>
      </c>
    </row>
    <row r="83" spans="7:19">
      <c r="G83" s="124"/>
      <c r="P83" s="11">
        <v>69</v>
      </c>
      <c r="Q83" s="11">
        <f t="shared" si="8"/>
        <v>11</v>
      </c>
      <c r="R83" s="11">
        <f t="shared" si="9"/>
        <v>3</v>
      </c>
      <c r="S83" s="12" cm="1">
        <f t="array" ref="S83">INDEX('ClinicalStage-ConceptMap-3'!$I$15:$N$123,Q83+1,R83)</f>
        <v>0</v>
      </c>
    </row>
    <row r="84" spans="7:19">
      <c r="G84" s="124"/>
      <c r="P84" s="11">
        <v>70</v>
      </c>
      <c r="Q84" s="11">
        <f t="shared" si="8"/>
        <v>11</v>
      </c>
      <c r="R84" s="11">
        <f t="shared" si="9"/>
        <v>4</v>
      </c>
      <c r="S84" s="12" cm="1">
        <f t="array" ref="S84">INDEX('ClinicalStage-ConceptMap-3'!$I$15:$N$123,Q84+1,R84)</f>
        <v>0</v>
      </c>
    </row>
    <row r="85" spans="7:19">
      <c r="G85" s="124"/>
      <c r="P85" s="11">
        <v>71</v>
      </c>
      <c r="Q85" s="11">
        <f t="shared" si="8"/>
        <v>11</v>
      </c>
      <c r="R85" s="11">
        <f t="shared" si="9"/>
        <v>5</v>
      </c>
      <c r="S85" s="12" cm="1">
        <f t="array" ref="S85">INDEX('ClinicalStage-ConceptMap-3'!$I$15:$N$123,Q85+1,R85)</f>
        <v>0</v>
      </c>
    </row>
    <row r="86" spans="7:19">
      <c r="G86" s="124"/>
      <c r="P86" s="11">
        <v>72</v>
      </c>
      <c r="Q86" s="11">
        <f t="shared" si="8"/>
        <v>11</v>
      </c>
      <c r="R86" s="11">
        <f t="shared" si="9"/>
        <v>6</v>
      </c>
      <c r="S86" s="12" cm="1">
        <f t="array" ref="S86">INDEX('ClinicalStage-ConceptMap-3'!$I$15:$N$123,Q86+1,R86)</f>
        <v>0</v>
      </c>
    </row>
    <row r="87" spans="7:19">
      <c r="G87" s="124"/>
      <c r="P87" s="11">
        <v>73</v>
      </c>
      <c r="Q87" s="11">
        <f t="shared" si="8"/>
        <v>12</v>
      </c>
      <c r="R87" s="11">
        <f t="shared" si="9"/>
        <v>1</v>
      </c>
      <c r="S87" s="12" cm="1">
        <f t="array" ref="S87">INDEX('ClinicalStage-ConceptMap-3'!$I$15:$N$123,Q87+1,R87)</f>
        <v>0</v>
      </c>
    </row>
    <row r="88" spans="7:19">
      <c r="G88" s="124"/>
      <c r="P88" s="11">
        <v>74</v>
      </c>
      <c r="Q88" s="11">
        <f t="shared" si="8"/>
        <v>12</v>
      </c>
      <c r="R88" s="11">
        <f t="shared" si="9"/>
        <v>2</v>
      </c>
      <c r="S88" s="12" cm="1">
        <f t="array" ref="S88">INDEX('ClinicalStage-ConceptMap-3'!$I$15:$N$123,Q88+1,R88)</f>
        <v>0</v>
      </c>
    </row>
    <row r="89" spans="7:19">
      <c r="G89" s="124"/>
      <c r="P89" s="11">
        <v>75</v>
      </c>
      <c r="Q89" s="11">
        <f t="shared" si="8"/>
        <v>12</v>
      </c>
      <c r="R89" s="11">
        <f t="shared" si="9"/>
        <v>3</v>
      </c>
      <c r="S89" s="12" cm="1">
        <f t="array" ref="S89">INDEX('ClinicalStage-ConceptMap-3'!$I$15:$N$123,Q89+1,R89)</f>
        <v>0</v>
      </c>
    </row>
    <row r="90" spans="7:19">
      <c r="G90" s="124"/>
      <c r="P90" s="11">
        <v>76</v>
      </c>
      <c r="Q90" s="11">
        <f t="shared" si="8"/>
        <v>12</v>
      </c>
      <c r="R90" s="11">
        <f t="shared" si="9"/>
        <v>4</v>
      </c>
      <c r="S90" s="12" cm="1">
        <f t="array" ref="S90">INDEX('ClinicalStage-ConceptMap-3'!$I$15:$N$123,Q90+1,R90)</f>
        <v>0</v>
      </c>
    </row>
    <row r="91" spans="7:19">
      <c r="G91" s="124"/>
      <c r="P91" s="11">
        <v>77</v>
      </c>
      <c r="Q91" s="11">
        <f t="shared" si="8"/>
        <v>12</v>
      </c>
      <c r="R91" s="11">
        <f t="shared" si="9"/>
        <v>5</v>
      </c>
      <c r="S91" s="12" cm="1">
        <f t="array" ref="S91">INDEX('ClinicalStage-ConceptMap-3'!$I$15:$N$123,Q91+1,R91)</f>
        <v>0</v>
      </c>
    </row>
    <row r="92" spans="7:19">
      <c r="G92" s="124"/>
      <c r="P92" s="11">
        <v>78</v>
      </c>
      <c r="Q92" s="11">
        <f t="shared" si="8"/>
        <v>12</v>
      </c>
      <c r="R92" s="11">
        <f t="shared" si="9"/>
        <v>6</v>
      </c>
      <c r="S92" s="12" cm="1">
        <f t="array" ref="S92">INDEX('ClinicalStage-ConceptMap-3'!$I$15:$N$123,Q92+1,R92)</f>
        <v>0</v>
      </c>
    </row>
    <row r="93" spans="7:19">
      <c r="G93" s="124"/>
      <c r="P93" s="11">
        <v>79</v>
      </c>
      <c r="Q93" s="11">
        <f t="shared" si="8"/>
        <v>13</v>
      </c>
      <c r="R93" s="11">
        <f t="shared" si="9"/>
        <v>1</v>
      </c>
      <c r="S93" s="12" cm="1">
        <f t="array" ref="S93">INDEX('ClinicalStage-ConceptMap-3'!$I$15:$N$123,Q93+1,R93)</f>
        <v>0</v>
      </c>
    </row>
    <row r="94" spans="7:19">
      <c r="G94" s="124"/>
      <c r="P94" s="11">
        <v>80</v>
      </c>
      <c r="Q94" s="11">
        <f t="shared" si="8"/>
        <v>13</v>
      </c>
      <c r="R94" s="11">
        <f t="shared" si="9"/>
        <v>2</v>
      </c>
      <c r="S94" s="12" cm="1">
        <f t="array" ref="S94">INDEX('ClinicalStage-ConceptMap-3'!$I$15:$N$123,Q94+1,R94)</f>
        <v>0</v>
      </c>
    </row>
    <row r="95" spans="7:19">
      <c r="G95" s="124"/>
      <c r="P95" s="11">
        <v>81</v>
      </c>
      <c r="Q95" s="11">
        <f t="shared" si="8"/>
        <v>13</v>
      </c>
      <c r="R95" s="11">
        <f t="shared" si="9"/>
        <v>3</v>
      </c>
      <c r="S95" s="12" cm="1">
        <f t="array" ref="S95">INDEX('ClinicalStage-ConceptMap-3'!$I$15:$N$123,Q95+1,R95)</f>
        <v>0</v>
      </c>
    </row>
    <row r="96" spans="7:19">
      <c r="G96" s="124"/>
      <c r="P96" s="11">
        <v>82</v>
      </c>
      <c r="Q96" s="11">
        <f t="shared" si="8"/>
        <v>13</v>
      </c>
      <c r="R96" s="11">
        <f t="shared" si="9"/>
        <v>4</v>
      </c>
      <c r="S96" s="12" cm="1">
        <f t="array" ref="S96">INDEX('ClinicalStage-ConceptMap-3'!$I$15:$N$123,Q96+1,R96)</f>
        <v>0</v>
      </c>
    </row>
    <row r="97" spans="7:19">
      <c r="G97" s="124"/>
      <c r="P97" s="11">
        <v>83</v>
      </c>
      <c r="Q97" s="11">
        <f t="shared" si="8"/>
        <v>13</v>
      </c>
      <c r="R97" s="11">
        <f t="shared" si="9"/>
        <v>5</v>
      </c>
      <c r="S97" s="12" cm="1">
        <f t="array" ref="S97">INDEX('ClinicalStage-ConceptMap-3'!$I$15:$N$123,Q97+1,R97)</f>
        <v>0</v>
      </c>
    </row>
    <row r="98" spans="7:19">
      <c r="G98" s="124"/>
      <c r="P98" s="11">
        <v>84</v>
      </c>
      <c r="Q98" s="11">
        <f t="shared" si="8"/>
        <v>13</v>
      </c>
      <c r="R98" s="11">
        <f t="shared" si="9"/>
        <v>6</v>
      </c>
      <c r="S98" s="12" cm="1">
        <f t="array" ref="S98">INDEX('ClinicalStage-ConceptMap-3'!$I$15:$N$123,Q98+1,R98)</f>
        <v>0</v>
      </c>
    </row>
    <row r="99" spans="7:19">
      <c r="G99" s="124"/>
      <c r="P99" s="11">
        <v>85</v>
      </c>
      <c r="Q99" s="11">
        <f t="shared" si="8"/>
        <v>14</v>
      </c>
      <c r="R99" s="11">
        <f t="shared" si="9"/>
        <v>1</v>
      </c>
      <c r="S99" s="12" cm="1">
        <f t="array" ref="S99">INDEX('ClinicalStage-ConceptMap-3'!$I$15:$N$123,Q99+1,R99)</f>
        <v>0</v>
      </c>
    </row>
    <row r="100" spans="7:19">
      <c r="G100" s="124"/>
      <c r="P100" s="11">
        <v>86</v>
      </c>
      <c r="Q100" s="11">
        <f t="shared" si="8"/>
        <v>14</v>
      </c>
      <c r="R100" s="11">
        <f t="shared" si="9"/>
        <v>2</v>
      </c>
      <c r="S100" s="12" cm="1">
        <f t="array" ref="S100">INDEX('ClinicalStage-ConceptMap-3'!$I$15:$N$123,Q100+1,R100)</f>
        <v>0</v>
      </c>
    </row>
    <row r="101" spans="7:19">
      <c r="G101" s="124"/>
      <c r="P101" s="11">
        <v>87</v>
      </c>
      <c r="Q101" s="11">
        <f t="shared" si="8"/>
        <v>14</v>
      </c>
      <c r="R101" s="11">
        <f t="shared" si="9"/>
        <v>3</v>
      </c>
      <c r="S101" s="12" cm="1">
        <f t="array" ref="S101">INDEX('ClinicalStage-ConceptMap-3'!$I$15:$N$123,Q101+1,R101)</f>
        <v>0</v>
      </c>
    </row>
    <row r="102" spans="7:19">
      <c r="G102" s="124"/>
      <c r="P102" s="11">
        <v>88</v>
      </c>
      <c r="Q102" s="11">
        <f t="shared" si="8"/>
        <v>14</v>
      </c>
      <c r="R102" s="11">
        <f t="shared" si="9"/>
        <v>4</v>
      </c>
      <c r="S102" s="12" cm="1">
        <f t="array" ref="S102">INDEX('ClinicalStage-ConceptMap-3'!$I$15:$N$123,Q102+1,R102)</f>
        <v>0</v>
      </c>
    </row>
    <row r="103" spans="7:19">
      <c r="G103" s="124"/>
      <c r="P103" s="11">
        <v>89</v>
      </c>
      <c r="Q103" s="11">
        <f t="shared" si="8"/>
        <v>14</v>
      </c>
      <c r="R103" s="11">
        <f t="shared" si="9"/>
        <v>5</v>
      </c>
      <c r="S103" s="12" cm="1">
        <f t="array" ref="S103">INDEX('ClinicalStage-ConceptMap-3'!$I$15:$N$123,Q103+1,R103)</f>
        <v>0</v>
      </c>
    </row>
    <row r="104" spans="7:19">
      <c r="G104" s="124"/>
      <c r="P104" s="11">
        <v>90</v>
      </c>
      <c r="Q104" s="11">
        <f t="shared" si="8"/>
        <v>14</v>
      </c>
      <c r="R104" s="11">
        <f t="shared" si="9"/>
        <v>6</v>
      </c>
      <c r="S104" s="12" cm="1">
        <f t="array" ref="S104">INDEX('ClinicalStage-ConceptMap-3'!$I$15:$N$123,Q104+1,R104)</f>
        <v>0</v>
      </c>
    </row>
    <row r="105" spans="7:19">
      <c r="G105" s="124"/>
      <c r="P105" s="11">
        <v>91</v>
      </c>
      <c r="Q105" s="11">
        <f t="shared" si="8"/>
        <v>15</v>
      </c>
      <c r="R105" s="11">
        <f t="shared" si="9"/>
        <v>1</v>
      </c>
      <c r="S105" s="12" cm="1">
        <f t="array" ref="S105">INDEX('ClinicalStage-ConceptMap-3'!$I$15:$N$123,Q105+1,R105)</f>
        <v>0</v>
      </c>
    </row>
    <row r="106" spans="7:19">
      <c r="G106" s="124"/>
      <c r="P106" s="11">
        <v>92</v>
      </c>
      <c r="Q106" s="11">
        <f t="shared" si="8"/>
        <v>15</v>
      </c>
      <c r="R106" s="11">
        <f t="shared" si="9"/>
        <v>2</v>
      </c>
      <c r="S106" s="12" cm="1">
        <f t="array" ref="S106">INDEX('ClinicalStage-ConceptMap-3'!$I$15:$N$123,Q106+1,R106)</f>
        <v>0</v>
      </c>
    </row>
    <row r="107" spans="7:19">
      <c r="G107" s="124"/>
      <c r="P107" s="11">
        <v>93</v>
      </c>
      <c r="Q107" s="11">
        <f t="shared" si="8"/>
        <v>15</v>
      </c>
      <c r="R107" s="11">
        <f t="shared" si="9"/>
        <v>3</v>
      </c>
      <c r="S107" s="12" cm="1">
        <f t="array" ref="S107">INDEX('ClinicalStage-ConceptMap-3'!$I$15:$N$123,Q107+1,R107)</f>
        <v>0</v>
      </c>
    </row>
    <row r="108" spans="7:19">
      <c r="G108" s="124"/>
      <c r="P108" s="11">
        <v>94</v>
      </c>
      <c r="Q108" s="11">
        <f t="shared" si="8"/>
        <v>15</v>
      </c>
      <c r="R108" s="11">
        <f t="shared" si="9"/>
        <v>4</v>
      </c>
      <c r="S108" s="12" cm="1">
        <f t="array" ref="S108">INDEX('ClinicalStage-ConceptMap-3'!$I$15:$N$123,Q108+1,R108)</f>
        <v>0</v>
      </c>
    </row>
    <row r="109" spans="7:19">
      <c r="G109" s="124"/>
      <c r="P109" s="11">
        <v>95</v>
      </c>
      <c r="Q109" s="11">
        <f t="shared" si="8"/>
        <v>15</v>
      </c>
      <c r="R109" s="11">
        <f t="shared" si="9"/>
        <v>5</v>
      </c>
      <c r="S109" s="12" cm="1">
        <f t="array" ref="S109">INDEX('ClinicalStage-ConceptMap-3'!$I$15:$N$123,Q109+1,R109)</f>
        <v>0</v>
      </c>
    </row>
    <row r="110" spans="7:19">
      <c r="G110" s="124"/>
      <c r="P110" s="11">
        <v>96</v>
      </c>
      <c r="Q110" s="11">
        <f t="shared" si="8"/>
        <v>15</v>
      </c>
      <c r="R110" s="11">
        <f t="shared" si="9"/>
        <v>6</v>
      </c>
      <c r="S110" s="12" cm="1">
        <f t="array" ref="S110">INDEX('ClinicalStage-ConceptMap-3'!$I$15:$N$123,Q110+1,R110)</f>
        <v>0</v>
      </c>
    </row>
    <row r="111" spans="7:19">
      <c r="G111" s="124"/>
      <c r="P111" s="11">
        <v>97</v>
      </c>
      <c r="Q111" s="11">
        <f t="shared" si="8"/>
        <v>16</v>
      </c>
      <c r="R111" s="11">
        <f t="shared" si="9"/>
        <v>1</v>
      </c>
      <c r="S111" s="12" cm="1">
        <f t="array" ref="S111">INDEX('ClinicalStage-ConceptMap-3'!$I$15:$N$123,Q111+1,R111)</f>
        <v>0</v>
      </c>
    </row>
    <row r="112" spans="7:19">
      <c r="G112" s="124"/>
      <c r="P112" s="11">
        <v>98</v>
      </c>
      <c r="Q112" s="11">
        <f t="shared" si="8"/>
        <v>16</v>
      </c>
      <c r="R112" s="11">
        <f t="shared" si="9"/>
        <v>2</v>
      </c>
      <c r="S112" s="12" cm="1">
        <f t="array" ref="S112">INDEX('ClinicalStage-ConceptMap-3'!$I$15:$N$123,Q112+1,R112)</f>
        <v>0</v>
      </c>
    </row>
    <row r="113" spans="7:19">
      <c r="G113" s="124"/>
      <c r="P113" s="11">
        <v>99</v>
      </c>
      <c r="Q113" s="11">
        <f t="shared" si="8"/>
        <v>16</v>
      </c>
      <c r="R113" s="11">
        <f t="shared" si="9"/>
        <v>3</v>
      </c>
      <c r="S113" s="12" cm="1">
        <f t="array" ref="S113">INDEX('ClinicalStage-ConceptMap-3'!$I$15:$N$123,Q113+1,R113)</f>
        <v>0</v>
      </c>
    </row>
    <row r="114" spans="7:19">
      <c r="G114" s="124"/>
      <c r="P114" s="11">
        <v>100</v>
      </c>
      <c r="Q114" s="11">
        <f t="shared" si="8"/>
        <v>16</v>
      </c>
      <c r="R114" s="11">
        <f t="shared" si="9"/>
        <v>4</v>
      </c>
      <c r="S114" s="12" cm="1">
        <f t="array" ref="S114">INDEX('ClinicalStage-ConceptMap-3'!$I$15:$N$123,Q114+1,R114)</f>
        <v>0</v>
      </c>
    </row>
    <row r="115" spans="7:19">
      <c r="G115" s="124"/>
      <c r="P115" s="11">
        <v>101</v>
      </c>
      <c r="Q115" s="11">
        <f t="shared" si="8"/>
        <v>16</v>
      </c>
      <c r="R115" s="11">
        <f t="shared" si="9"/>
        <v>5</v>
      </c>
      <c r="S115" s="12" cm="1">
        <f t="array" ref="S115">INDEX('ClinicalStage-ConceptMap-3'!$I$15:$N$123,Q115+1,R115)</f>
        <v>0</v>
      </c>
    </row>
    <row r="116" spans="7:19">
      <c r="G116" s="124"/>
      <c r="P116" s="11">
        <v>102</v>
      </c>
      <c r="Q116" s="11">
        <f t="shared" si="8"/>
        <v>16</v>
      </c>
      <c r="R116" s="11">
        <f t="shared" si="9"/>
        <v>6</v>
      </c>
      <c r="S116" s="12" cm="1">
        <f t="array" ref="S116">INDEX('ClinicalStage-ConceptMap-3'!$I$15:$N$123,Q116+1,R116)</f>
        <v>0</v>
      </c>
    </row>
    <row r="117" spans="7:19">
      <c r="P117" s="11">
        <v>103</v>
      </c>
      <c r="Q117" s="11">
        <f t="shared" si="8"/>
        <v>17</v>
      </c>
      <c r="R117" s="11">
        <f t="shared" si="9"/>
        <v>1</v>
      </c>
      <c r="S117" s="12" cm="1">
        <f t="array" ref="S117">INDEX('ClinicalStage-ConceptMap-3'!$I$15:$N$123,Q117+1,R117)</f>
        <v>0</v>
      </c>
    </row>
    <row r="118" spans="7:19">
      <c r="P118" s="11">
        <v>104</v>
      </c>
      <c r="Q118" s="11">
        <f t="shared" si="8"/>
        <v>17</v>
      </c>
      <c r="R118" s="11">
        <f t="shared" si="9"/>
        <v>2</v>
      </c>
      <c r="S118" s="12" cm="1">
        <f t="array" ref="S118">INDEX('ClinicalStage-ConceptMap-3'!$I$15:$N$123,Q118+1,R118)</f>
        <v>0</v>
      </c>
    </row>
    <row r="119" spans="7:19">
      <c r="P119" s="11">
        <v>105</v>
      </c>
      <c r="Q119" s="11">
        <f t="shared" si="8"/>
        <v>17</v>
      </c>
      <c r="R119" s="11">
        <f t="shared" si="9"/>
        <v>3</v>
      </c>
      <c r="S119" s="12" cm="1">
        <f t="array" ref="S119">INDEX('ClinicalStage-ConceptMap-3'!$I$15:$N$123,Q119+1,R119)</f>
        <v>0</v>
      </c>
    </row>
    <row r="120" spans="7:19">
      <c r="P120" s="11">
        <v>106</v>
      </c>
      <c r="Q120" s="11">
        <f t="shared" si="8"/>
        <v>17</v>
      </c>
      <c r="R120" s="11">
        <f t="shared" si="9"/>
        <v>4</v>
      </c>
      <c r="S120" s="12" cm="1">
        <f t="array" ref="S120">INDEX('ClinicalStage-ConceptMap-3'!$I$15:$N$123,Q120+1,R120)</f>
        <v>0</v>
      </c>
    </row>
    <row r="121" spans="7:19">
      <c r="P121" s="11">
        <v>107</v>
      </c>
      <c r="Q121" s="11">
        <f t="shared" si="8"/>
        <v>17</v>
      </c>
      <c r="R121" s="11">
        <f t="shared" si="9"/>
        <v>5</v>
      </c>
      <c r="S121" s="12" cm="1">
        <f t="array" ref="S121">INDEX('ClinicalStage-ConceptMap-3'!$I$15:$N$123,Q121+1,R121)</f>
        <v>0</v>
      </c>
    </row>
    <row r="122" spans="7:19">
      <c r="P122" s="11">
        <v>108</v>
      </c>
      <c r="Q122" s="11">
        <f t="shared" si="8"/>
        <v>17</v>
      </c>
      <c r="R122" s="11">
        <f t="shared" si="9"/>
        <v>6</v>
      </c>
      <c r="S122" s="12" cm="1">
        <f t="array" ref="S122">INDEX('ClinicalStage-ConceptMap-3'!$I$15:$N$123,Q122+1,R122)</f>
        <v>0</v>
      </c>
    </row>
    <row r="123" spans="7:19">
      <c r="P123" s="11">
        <v>109</v>
      </c>
      <c r="Q123" s="11">
        <f t="shared" si="8"/>
        <v>18</v>
      </c>
      <c r="R123" s="11">
        <f t="shared" si="9"/>
        <v>1</v>
      </c>
      <c r="S123" s="12" cm="1">
        <f t="array" ref="S123">INDEX('ClinicalStage-ConceptMap-3'!$I$15:$N$123,Q123+1,R123)</f>
        <v>0</v>
      </c>
    </row>
    <row r="124" spans="7:19">
      <c r="P124" s="11">
        <v>110</v>
      </c>
      <c r="Q124" s="11">
        <f t="shared" si="8"/>
        <v>18</v>
      </c>
      <c r="R124" s="11">
        <f t="shared" si="9"/>
        <v>2</v>
      </c>
      <c r="S124" s="12" cm="1">
        <f t="array" ref="S124">INDEX('ClinicalStage-ConceptMap-3'!$I$15:$N$123,Q124+1,R124)</f>
        <v>0</v>
      </c>
    </row>
    <row r="125" spans="7:19">
      <c r="P125" s="11">
        <v>111</v>
      </c>
      <c r="Q125" s="11">
        <f t="shared" si="8"/>
        <v>18</v>
      </c>
      <c r="R125" s="11">
        <f t="shared" si="9"/>
        <v>3</v>
      </c>
      <c r="S125" s="12" cm="1">
        <f t="array" ref="S125">INDEX('ClinicalStage-ConceptMap-3'!$I$15:$N$123,Q125+1,R125)</f>
        <v>0</v>
      </c>
    </row>
    <row r="126" spans="7:19">
      <c r="P126" s="11">
        <v>112</v>
      </c>
      <c r="Q126" s="11">
        <f t="shared" si="8"/>
        <v>18</v>
      </c>
      <c r="R126" s="11">
        <f t="shared" si="9"/>
        <v>4</v>
      </c>
      <c r="S126" s="12" cm="1">
        <f t="array" ref="S126">INDEX('ClinicalStage-ConceptMap-3'!$I$15:$N$123,Q126+1,R126)</f>
        <v>0</v>
      </c>
    </row>
    <row r="127" spans="7:19">
      <c r="P127" s="11">
        <v>113</v>
      </c>
      <c r="Q127" s="11">
        <f t="shared" si="8"/>
        <v>18</v>
      </c>
      <c r="R127" s="11">
        <f t="shared" si="9"/>
        <v>5</v>
      </c>
      <c r="S127" s="12" cm="1">
        <f t="array" ref="S127">INDEX('ClinicalStage-ConceptMap-3'!$I$15:$N$123,Q127+1,R127)</f>
        <v>0</v>
      </c>
    </row>
    <row r="128" spans="7:19">
      <c r="P128" s="11">
        <v>114</v>
      </c>
      <c r="Q128" s="11">
        <f t="shared" si="8"/>
        <v>18</v>
      </c>
      <c r="R128" s="11">
        <f t="shared" si="9"/>
        <v>6</v>
      </c>
      <c r="S128" s="12" cm="1">
        <f t="array" ref="S128">INDEX('ClinicalStage-ConceptMap-3'!$I$15:$N$123,Q128+1,R128)</f>
        <v>0</v>
      </c>
    </row>
    <row r="129" spans="16:19">
      <c r="P129" s="11">
        <v>115</v>
      </c>
      <c r="Q129" s="11">
        <f t="shared" si="8"/>
        <v>19</v>
      </c>
      <c r="R129" s="11">
        <f t="shared" si="9"/>
        <v>1</v>
      </c>
      <c r="S129" s="12" cm="1">
        <f t="array" ref="S129">INDEX('ClinicalStage-ConceptMap-3'!$I$15:$N$123,Q129+1,R129)</f>
        <v>0</v>
      </c>
    </row>
    <row r="130" spans="16:19">
      <c r="P130" s="11">
        <v>116</v>
      </c>
      <c r="Q130" s="11">
        <f t="shared" si="8"/>
        <v>19</v>
      </c>
      <c r="R130" s="11">
        <f t="shared" si="9"/>
        <v>2</v>
      </c>
      <c r="S130" s="12" cm="1">
        <f t="array" ref="S130">INDEX('ClinicalStage-ConceptMap-3'!$I$15:$N$123,Q130+1,R130)</f>
        <v>0</v>
      </c>
    </row>
    <row r="131" spans="16:19">
      <c r="P131" s="11">
        <v>117</v>
      </c>
      <c r="Q131" s="11">
        <f t="shared" si="8"/>
        <v>19</v>
      </c>
      <c r="R131" s="11">
        <f t="shared" si="9"/>
        <v>3</v>
      </c>
      <c r="S131" s="12" cm="1">
        <f t="array" ref="S131">INDEX('ClinicalStage-ConceptMap-3'!$I$15:$N$123,Q131+1,R131)</f>
        <v>0</v>
      </c>
    </row>
    <row r="132" spans="16:19">
      <c r="P132" s="11">
        <v>118</v>
      </c>
      <c r="Q132" s="11">
        <f t="shared" si="8"/>
        <v>19</v>
      </c>
      <c r="R132" s="11">
        <f t="shared" si="9"/>
        <v>4</v>
      </c>
      <c r="S132" s="12" cm="1">
        <f t="array" ref="S132">INDEX('ClinicalStage-ConceptMap-3'!$I$15:$N$123,Q132+1,R132)</f>
        <v>0</v>
      </c>
    </row>
    <row r="133" spans="16:19">
      <c r="P133" s="11">
        <v>119</v>
      </c>
      <c r="Q133" s="11">
        <f t="shared" si="8"/>
        <v>19</v>
      </c>
      <c r="R133" s="11">
        <f t="shared" si="9"/>
        <v>5</v>
      </c>
      <c r="S133" s="12" cm="1">
        <f t="array" ref="S133">INDEX('ClinicalStage-ConceptMap-3'!$I$15:$N$123,Q133+1,R133)</f>
        <v>0</v>
      </c>
    </row>
    <row r="134" spans="16:19">
      <c r="P134" s="11">
        <v>120</v>
      </c>
      <c r="Q134" s="11">
        <f t="shared" si="8"/>
        <v>19</v>
      </c>
      <c r="R134" s="11">
        <f t="shared" si="9"/>
        <v>6</v>
      </c>
      <c r="S134" s="12" cm="1">
        <f t="array" ref="S134">INDEX('ClinicalStage-ConceptMap-3'!$I$15:$N$123,Q134+1,R134)</f>
        <v>0</v>
      </c>
    </row>
    <row r="135" spans="16:19">
      <c r="P135" s="11">
        <v>121</v>
      </c>
      <c r="Q135" s="11">
        <f t="shared" si="8"/>
        <v>20</v>
      </c>
      <c r="R135" s="11">
        <f t="shared" si="9"/>
        <v>1</v>
      </c>
      <c r="S135" s="12" cm="1">
        <f t="array" ref="S135">INDEX('ClinicalStage-ConceptMap-3'!$I$15:$N$123,Q135+1,R135)</f>
        <v>0</v>
      </c>
    </row>
    <row r="136" spans="16:19">
      <c r="P136" s="11">
        <v>122</v>
      </c>
      <c r="Q136" s="11">
        <f t="shared" si="8"/>
        <v>20</v>
      </c>
      <c r="R136" s="11">
        <f t="shared" si="9"/>
        <v>2</v>
      </c>
      <c r="S136" s="12" cm="1">
        <f t="array" ref="S136">INDEX('ClinicalStage-ConceptMap-3'!$I$15:$N$123,Q136+1,R136)</f>
        <v>0</v>
      </c>
    </row>
    <row r="137" spans="16:19">
      <c r="P137" s="11">
        <v>123</v>
      </c>
      <c r="Q137" s="11">
        <f t="shared" si="8"/>
        <v>20</v>
      </c>
      <c r="R137" s="11">
        <f t="shared" si="9"/>
        <v>3</v>
      </c>
      <c r="S137" s="12" cm="1">
        <f t="array" ref="S137">INDEX('ClinicalStage-ConceptMap-3'!$I$15:$N$123,Q137+1,R137)</f>
        <v>0</v>
      </c>
    </row>
    <row r="138" spans="16:19">
      <c r="P138" s="11">
        <v>124</v>
      </c>
      <c r="Q138" s="11">
        <f t="shared" si="8"/>
        <v>20</v>
      </c>
      <c r="R138" s="11">
        <f t="shared" si="9"/>
        <v>4</v>
      </c>
      <c r="S138" s="12" cm="1">
        <f t="array" ref="S138">INDEX('ClinicalStage-ConceptMap-3'!$I$15:$N$123,Q138+1,R138)</f>
        <v>0</v>
      </c>
    </row>
    <row r="139" spans="16:19">
      <c r="P139" s="11">
        <v>125</v>
      </c>
      <c r="Q139" s="11">
        <f t="shared" si="8"/>
        <v>20</v>
      </c>
      <c r="R139" s="11">
        <f t="shared" si="9"/>
        <v>5</v>
      </c>
      <c r="S139" s="12" cm="1">
        <f t="array" ref="S139">INDEX('ClinicalStage-ConceptMap-3'!$I$15:$N$123,Q139+1,R139)</f>
        <v>0</v>
      </c>
    </row>
    <row r="140" spans="16:19">
      <c r="P140" s="11">
        <v>126</v>
      </c>
      <c r="Q140" s="11">
        <f t="shared" si="8"/>
        <v>20</v>
      </c>
      <c r="R140" s="11">
        <f t="shared" si="9"/>
        <v>6</v>
      </c>
      <c r="S140" s="12" cm="1">
        <f t="array" ref="S140">INDEX('ClinicalStage-ConceptMap-3'!$I$15:$N$123,Q140+1,R140)</f>
        <v>0</v>
      </c>
    </row>
    <row r="141" spans="16:19">
      <c r="P141" s="11">
        <v>127</v>
      </c>
      <c r="Q141" s="11">
        <f t="shared" si="8"/>
        <v>21</v>
      </c>
      <c r="R141" s="11">
        <f t="shared" si="9"/>
        <v>1</v>
      </c>
      <c r="S141" s="12" cm="1">
        <f t="array" ref="S141">INDEX('ClinicalStage-ConceptMap-3'!$I$15:$N$123,Q141+1,R141)</f>
        <v>0</v>
      </c>
    </row>
    <row r="142" spans="16:19">
      <c r="P142" s="11">
        <v>128</v>
      </c>
      <c r="Q142" s="11">
        <f t="shared" si="8"/>
        <v>21</v>
      </c>
      <c r="R142" s="11">
        <f t="shared" si="9"/>
        <v>2</v>
      </c>
      <c r="S142" s="12" cm="1">
        <f t="array" ref="S142">INDEX('ClinicalStage-ConceptMap-3'!$I$15:$N$123,Q142+1,R142)</f>
        <v>0</v>
      </c>
    </row>
    <row r="143" spans="16:19">
      <c r="P143" s="11">
        <v>129</v>
      </c>
      <c r="Q143" s="11">
        <f t="shared" ref="Q143:Q162" si="10">IF(MOD(P143,$Q$8)=0,P143/$Q$8-1,INT(P143/$Q$8))</f>
        <v>21</v>
      </c>
      <c r="R143" s="11">
        <f t="shared" ref="R143:R162" si="11">IF(MOD(P143,$Q$8)=0,$Q$8,MOD(P143,$Q$8))</f>
        <v>3</v>
      </c>
      <c r="S143" s="12" cm="1">
        <f t="array" ref="S143">INDEX('ClinicalStage-ConceptMap-3'!$I$15:$N$123,Q143+1,R143)</f>
        <v>0</v>
      </c>
    </row>
    <row r="144" spans="16:19">
      <c r="P144" s="11">
        <v>130</v>
      </c>
      <c r="Q144" s="11">
        <f t="shared" si="10"/>
        <v>21</v>
      </c>
      <c r="R144" s="11">
        <f t="shared" si="11"/>
        <v>4</v>
      </c>
      <c r="S144" s="12" cm="1">
        <f t="array" ref="S144">INDEX('ClinicalStage-ConceptMap-3'!$I$15:$N$123,Q144+1,R144)</f>
        <v>0</v>
      </c>
    </row>
    <row r="145" spans="16:19">
      <c r="P145" s="11">
        <v>131</v>
      </c>
      <c r="Q145" s="11">
        <f t="shared" si="10"/>
        <v>21</v>
      </c>
      <c r="R145" s="11">
        <f t="shared" si="11"/>
        <v>5</v>
      </c>
      <c r="S145" s="12" cm="1">
        <f t="array" ref="S145">INDEX('ClinicalStage-ConceptMap-3'!$I$15:$N$123,Q145+1,R145)</f>
        <v>0</v>
      </c>
    </row>
    <row r="146" spans="16:19">
      <c r="P146" s="11">
        <v>132</v>
      </c>
      <c r="Q146" s="11">
        <f t="shared" si="10"/>
        <v>21</v>
      </c>
      <c r="R146" s="11">
        <f t="shared" si="11"/>
        <v>6</v>
      </c>
      <c r="S146" s="12" cm="1">
        <f t="array" ref="S146">INDEX('ClinicalStage-ConceptMap-3'!$I$15:$N$123,Q146+1,R146)</f>
        <v>0</v>
      </c>
    </row>
    <row r="147" spans="16:19">
      <c r="P147" s="11">
        <v>133</v>
      </c>
      <c r="Q147" s="11">
        <f t="shared" si="10"/>
        <v>22</v>
      </c>
      <c r="R147" s="11">
        <f t="shared" si="11"/>
        <v>1</v>
      </c>
      <c r="S147" s="12" cm="1">
        <f t="array" ref="S147">INDEX('ClinicalStage-ConceptMap-3'!$I$15:$N$123,Q147+1,R147)</f>
        <v>0</v>
      </c>
    </row>
    <row r="148" spans="16:19">
      <c r="P148" s="11">
        <v>134</v>
      </c>
      <c r="Q148" s="11">
        <f t="shared" si="10"/>
        <v>22</v>
      </c>
      <c r="R148" s="11">
        <f t="shared" si="11"/>
        <v>2</v>
      </c>
      <c r="S148" s="12" cm="1">
        <f t="array" ref="S148">INDEX('ClinicalStage-ConceptMap-3'!$I$15:$N$123,Q148+1,R148)</f>
        <v>0</v>
      </c>
    </row>
    <row r="149" spans="16:19">
      <c r="P149" s="11">
        <v>135</v>
      </c>
      <c r="Q149" s="11">
        <f t="shared" si="10"/>
        <v>22</v>
      </c>
      <c r="R149" s="11">
        <f t="shared" si="11"/>
        <v>3</v>
      </c>
      <c r="S149" s="12" cm="1">
        <f t="array" ref="S149">INDEX('ClinicalStage-ConceptMap-3'!$I$15:$N$123,Q149+1,R149)</f>
        <v>0</v>
      </c>
    </row>
    <row r="150" spans="16:19">
      <c r="P150" s="11">
        <v>136</v>
      </c>
      <c r="Q150" s="11">
        <f t="shared" si="10"/>
        <v>22</v>
      </c>
      <c r="R150" s="11">
        <f t="shared" si="11"/>
        <v>4</v>
      </c>
      <c r="S150" s="12" cm="1">
        <f t="array" ref="S150">INDEX('ClinicalStage-ConceptMap-3'!$I$15:$N$123,Q150+1,R150)</f>
        <v>0</v>
      </c>
    </row>
    <row r="151" spans="16:19">
      <c r="P151" s="11">
        <v>137</v>
      </c>
      <c r="Q151" s="11">
        <f t="shared" si="10"/>
        <v>22</v>
      </c>
      <c r="R151" s="11">
        <f t="shared" si="11"/>
        <v>5</v>
      </c>
      <c r="S151" s="12" cm="1">
        <f t="array" ref="S151">INDEX('ClinicalStage-ConceptMap-3'!$I$15:$N$123,Q151+1,R151)</f>
        <v>0</v>
      </c>
    </row>
    <row r="152" spans="16:19">
      <c r="P152" s="11">
        <v>138</v>
      </c>
      <c r="Q152" s="11">
        <f t="shared" si="10"/>
        <v>22</v>
      </c>
      <c r="R152" s="11">
        <f t="shared" si="11"/>
        <v>6</v>
      </c>
      <c r="S152" s="12" cm="1">
        <f t="array" ref="S152">INDEX('ClinicalStage-ConceptMap-3'!$I$15:$N$123,Q152+1,R152)</f>
        <v>0</v>
      </c>
    </row>
    <row r="153" spans="16:19">
      <c r="P153" s="11">
        <v>139</v>
      </c>
      <c r="Q153" s="11">
        <f t="shared" si="10"/>
        <v>23</v>
      </c>
      <c r="R153" s="11">
        <f t="shared" si="11"/>
        <v>1</v>
      </c>
      <c r="S153" s="12" cm="1">
        <f t="array" ref="S153">INDEX('ClinicalStage-ConceptMap-3'!$I$15:$N$123,Q153+1,R153)</f>
        <v>0</v>
      </c>
    </row>
    <row r="154" spans="16:19">
      <c r="P154" s="11">
        <v>140</v>
      </c>
      <c r="Q154" s="11">
        <f t="shared" si="10"/>
        <v>23</v>
      </c>
      <c r="R154" s="11">
        <f t="shared" si="11"/>
        <v>2</v>
      </c>
      <c r="S154" s="12" cm="1">
        <f t="array" ref="S154">INDEX('ClinicalStage-ConceptMap-3'!$I$15:$N$123,Q154+1,R154)</f>
        <v>0</v>
      </c>
    </row>
    <row r="155" spans="16:19">
      <c r="P155" s="11">
        <v>141</v>
      </c>
      <c r="Q155" s="11">
        <f t="shared" si="10"/>
        <v>23</v>
      </c>
      <c r="R155" s="11">
        <f t="shared" si="11"/>
        <v>3</v>
      </c>
      <c r="S155" s="12" cm="1">
        <f t="array" ref="S155">INDEX('ClinicalStage-ConceptMap-3'!$I$15:$N$123,Q155+1,R155)</f>
        <v>0</v>
      </c>
    </row>
    <row r="156" spans="16:19">
      <c r="P156" s="11">
        <v>142</v>
      </c>
      <c r="Q156" s="11">
        <f t="shared" si="10"/>
        <v>23</v>
      </c>
      <c r="R156" s="11">
        <f t="shared" si="11"/>
        <v>4</v>
      </c>
      <c r="S156" s="12" cm="1">
        <f t="array" ref="S156">INDEX('ClinicalStage-ConceptMap-3'!$I$15:$N$123,Q156+1,R156)</f>
        <v>0</v>
      </c>
    </row>
    <row r="157" spans="16:19">
      <c r="P157" s="11">
        <v>143</v>
      </c>
      <c r="Q157" s="11">
        <f t="shared" si="10"/>
        <v>23</v>
      </c>
      <c r="R157" s="11">
        <f t="shared" si="11"/>
        <v>5</v>
      </c>
      <c r="S157" s="12" cm="1">
        <f t="array" ref="S157">INDEX('ClinicalStage-ConceptMap-3'!$I$15:$N$123,Q157+1,R157)</f>
        <v>0</v>
      </c>
    </row>
    <row r="158" spans="16:19">
      <c r="P158" s="11">
        <v>144</v>
      </c>
      <c r="Q158" s="11">
        <f t="shared" si="10"/>
        <v>23</v>
      </c>
      <c r="R158" s="11">
        <f t="shared" si="11"/>
        <v>6</v>
      </c>
      <c r="S158" s="12" cm="1">
        <f t="array" ref="S158">INDEX('ClinicalStage-ConceptMap-3'!$I$15:$N$123,Q158+1,R158)</f>
        <v>0</v>
      </c>
    </row>
    <row r="159" spans="16:19">
      <c r="P159" s="11">
        <v>145</v>
      </c>
      <c r="Q159" s="11">
        <f t="shared" si="10"/>
        <v>24</v>
      </c>
      <c r="R159" s="11">
        <f t="shared" si="11"/>
        <v>1</v>
      </c>
      <c r="S159" s="12" cm="1">
        <f t="array" ref="S159">INDEX('ClinicalStage-ConceptMap-3'!$I$15:$N$123,Q159+1,R159)</f>
        <v>0</v>
      </c>
    </row>
    <row r="160" spans="16:19">
      <c r="P160" s="11">
        <v>146</v>
      </c>
      <c r="Q160" s="11">
        <f t="shared" si="10"/>
        <v>24</v>
      </c>
      <c r="R160" s="11">
        <f t="shared" si="11"/>
        <v>2</v>
      </c>
      <c r="S160" s="12" cm="1">
        <f t="array" ref="S160">INDEX('ClinicalStage-ConceptMap-3'!$I$15:$N$123,Q160+1,R160)</f>
        <v>0</v>
      </c>
    </row>
    <row r="161" spans="16:19">
      <c r="P161" s="11">
        <v>147</v>
      </c>
      <c r="Q161" s="11">
        <f t="shared" si="10"/>
        <v>24</v>
      </c>
      <c r="R161" s="11">
        <f t="shared" si="11"/>
        <v>3</v>
      </c>
      <c r="S161" s="12" cm="1">
        <f t="array" ref="S161">INDEX('ClinicalStage-ConceptMap-3'!$I$15:$N$123,Q161+1,R161)</f>
        <v>0</v>
      </c>
    </row>
    <row r="162" spans="16:19">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2125</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2125</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ClinicalStage!B5</f>
        <v>ClinicalStage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c r="I15" s="12" t="str">
        <f t="shared" ref="I15:I18" si="0">"* group[=].element[+].code = #"&amp;$B$14&amp;"."&amp;B15</f>
        <v>* group[=].element[+].code = #ClinicalStage.cT</v>
      </c>
      <c r="J15" s="12" t="str">
        <f t="shared" ref="J15:J18" si="1">"* group[=].element[=].display = ##34#"&amp;C15&amp;"##34#"</f>
        <v>* group[=].element[=].display = ##34#cT##34#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#ClinicalStage.cT</v>
      </c>
    </row>
    <row r="16" spans="1:19" ht="44.25">
      <c r="A16" s="59"/>
      <c r="B16" s="11" t="str">
        <f>ClinicalStage!B10</f>
        <v>cN</v>
      </c>
      <c r="C16" s="11" t="str">
        <f>ClinicalStage!C10</f>
        <v>cN</v>
      </c>
      <c r="D16" s="12"/>
      <c r="E16" s="12"/>
      <c r="F16" s="153" t="s">
        <v>1424</v>
      </c>
      <c r="G16" s="124"/>
      <c r="H16" s="58"/>
      <c r="I16" s="12" t="str">
        <f t="shared" si="0"/>
        <v>* group[=].element[+].code = #ClinicalStage.cN</v>
      </c>
      <c r="J16" s="12" t="str">
        <f t="shared" si="1"/>
        <v>* group[=].element[=].display = ##34#cN##34#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##34#cT##34#</v>
      </c>
    </row>
    <row r="17" spans="1:19" ht="44.25">
      <c r="A17" s="59"/>
      <c r="B17" s="11" t="str">
        <f>ClinicalStage!B11</f>
        <v>radiologicalExtraNodalExtension</v>
      </c>
      <c r="C17" s="11" t="str">
        <f>ClinicalStage!C11</f>
        <v>Radiological Extra-nodal extension (rENE)</v>
      </c>
      <c r="D17" s="12"/>
      <c r="E17" s="12"/>
      <c r="F17" s="153" t="s">
        <v>1424</v>
      </c>
      <c r="G17" s="124"/>
      <c r="H17" s="58"/>
      <c r="I17" s="12" t="str">
        <f t="shared" si="0"/>
        <v>* group[=].element[+].code = #ClinicalStage.radiologicalExtraNodalExtension</v>
      </c>
      <c r="J17" s="12" t="str">
        <f t="shared" si="1"/>
        <v>* group[=].element[=].display = ##34#Radiological Extra-nodal extension (rENE)##34#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c r="A18" s="59"/>
      <c r="B18" s="11" t="str">
        <f>ClinicalStage!B12</f>
        <v>cM</v>
      </c>
      <c r="C18" s="11" t="str">
        <f>ClinicalStage!C12</f>
        <v>cM</v>
      </c>
      <c r="D18" s="12"/>
      <c r="E18" s="12"/>
      <c r="F18" s="153" t="s">
        <v>1424</v>
      </c>
      <c r="G18" s="124"/>
      <c r="H18" s="58"/>
      <c r="I18" s="12" t="str">
        <f t="shared" si="0"/>
        <v>* group[=].element[+].code = #ClinicalStage.cM</v>
      </c>
      <c r="J18" s="12" t="str">
        <f t="shared" si="1"/>
        <v>* group[=].element[=].display = ##34#cM##34#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INDEX('ClinicalStage-ConceptMap-4'!$I$15:$N$43,Q20+1,R20)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t="str" cm="1">
        <f t="array" ref="S21">INDEX('ClinicalStage-ConceptMap-4'!$I$15:$N$43,Q21+1,R21)</f>
        <v>* group[=].element[+].code = #ClinicalStage.cN</v>
      </c>
    </row>
    <row r="22" spans="1:19">
      <c r="A22" s="59"/>
      <c r="B22" s="11"/>
      <c r="C22" s="11"/>
      <c r="D22" s="12"/>
      <c r="E22" s="12"/>
      <c r="F22" s="64"/>
      <c r="G22" s="124"/>
      <c r="H22" s="58"/>
      <c r="I22" s="12"/>
      <c r="J22" s="12"/>
      <c r="K22" s="12"/>
      <c r="L22" s="12"/>
      <c r="M22" s="12"/>
      <c r="N22" s="12"/>
      <c r="P22" s="11">
        <v>8</v>
      </c>
      <c r="Q22" s="11">
        <f t="shared" si="6"/>
        <v>1</v>
      </c>
      <c r="R22" s="11">
        <f t="shared" si="7"/>
        <v>2</v>
      </c>
      <c r="S22" s="12" t="str" cm="1">
        <f t="array" ref="S22">INDEX('ClinicalStage-ConceptMap-4'!$I$15:$N$43,Q22+1,R22)</f>
        <v>* group[=].element[=].display = ##34#cN##34#</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t="str" cm="1">
        <f t="array" ref="S23">INDEX('ClinicalStage-ConceptMap-4'!$I$15:$N$43,Q23+1,R23)</f>
        <v>//-- unmatched</v>
      </c>
    </row>
    <row r="24" spans="1:19">
      <c r="A24" s="59"/>
      <c r="B24" s="11"/>
      <c r="C24" s="11"/>
      <c r="D24" s="12"/>
      <c r="E24" s="12"/>
      <c r="F24" s="64"/>
      <c r="G24" s="124"/>
      <c r="H24" s="58"/>
      <c r="I24" s="12"/>
      <c r="J24" s="12"/>
      <c r="K24" s="12"/>
      <c r="L24" s="12"/>
      <c r="M24" s="12"/>
      <c r="N24" s="12"/>
      <c r="P24" s="11">
        <v>10</v>
      </c>
      <c r="Q24" s="11">
        <f t="shared" si="6"/>
        <v>1</v>
      </c>
      <c r="R24" s="11">
        <f t="shared" si="7"/>
        <v>4</v>
      </c>
      <c r="S24" s="12" t="str" cm="1">
        <f t="array" ref="S24">INDEX('ClinicalStage-ConceptMap-4'!$I$15:$N$43,Q24+1,R24)</f>
        <v>//-- unmatched</v>
      </c>
    </row>
    <row r="25" spans="1:19">
      <c r="A25" s="59"/>
      <c r="B25" s="11"/>
      <c r="C25" s="11"/>
      <c r="D25" s="12"/>
      <c r="E25" s="12"/>
      <c r="F25" s="64"/>
      <c r="G25" s="124"/>
      <c r="H25" s="58"/>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INDEX('ClinicalStage-ConceptMap-4'!$I$15:$N$43,Q26+1,R26)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t="str" cm="1">
        <f t="array" ref="S27">INDEX('ClinicalStage-ConceptMap-4'!$I$15:$N$43,Q27+1,R27)</f>
        <v>* group[=].element[+].code = #ClinicalStage.radiologicalExtraNodalExtension</v>
      </c>
    </row>
    <row r="28" spans="1:19">
      <c r="B28" s="11"/>
      <c r="C28" s="11"/>
      <c r="D28" s="12"/>
      <c r="E28" s="12"/>
      <c r="F28" s="64"/>
      <c r="G28" s="124"/>
      <c r="H28" s="58"/>
      <c r="I28" s="12"/>
      <c r="J28" s="12"/>
      <c r="K28" s="12"/>
      <c r="L28" s="12"/>
      <c r="M28" s="12"/>
      <c r="N28" s="12"/>
      <c r="P28" s="11">
        <v>14</v>
      </c>
      <c r="Q28" s="11">
        <f t="shared" si="6"/>
        <v>2</v>
      </c>
      <c r="R28" s="11">
        <f t="shared" si="7"/>
        <v>2</v>
      </c>
      <c r="S28" s="12" t="str" cm="1">
        <f t="array" ref="S28">INDEX('ClinicalStage-ConceptMap-4'!$I$15:$N$43,Q28+1,R28)</f>
        <v>* group[=].element[=].display = ##34#Radiological Extra-nodal extension (rENE)##34#</v>
      </c>
    </row>
    <row r="29" spans="1:19">
      <c r="B29" s="11"/>
      <c r="C29" s="11"/>
      <c r="D29" s="12"/>
      <c r="E29" s="12"/>
      <c r="F29" s="64"/>
      <c r="G29" s="124"/>
      <c r="H29" s="58"/>
      <c r="I29" s="12"/>
      <c r="J29" s="12"/>
      <c r="K29" s="12"/>
      <c r="L29" s="12"/>
      <c r="M29" s="12"/>
      <c r="N29" s="12"/>
      <c r="P29" s="11">
        <v>15</v>
      </c>
      <c r="Q29" s="11">
        <f t="shared" si="6"/>
        <v>2</v>
      </c>
      <c r="R29" s="11">
        <f t="shared" si="7"/>
        <v>3</v>
      </c>
      <c r="S29" s="12" t="str" cm="1">
        <f t="array" ref="S29">INDEX('ClinicalStage-ConceptMap-4'!$I$15:$N$43,Q29+1,R29)</f>
        <v>//-- unmatched</v>
      </c>
    </row>
    <row r="30" spans="1:19">
      <c r="B30" s="11"/>
      <c r="C30" s="11"/>
      <c r="D30" s="12"/>
      <c r="E30" s="12"/>
      <c r="F30" s="64"/>
      <c r="G30" s="124"/>
      <c r="H30" s="58"/>
      <c r="I30" s="12"/>
      <c r="J30" s="12"/>
      <c r="K30" s="12"/>
      <c r="L30" s="12"/>
      <c r="M30" s="12"/>
      <c r="N30" s="12"/>
      <c r="P30" s="11">
        <v>16</v>
      </c>
      <c r="Q30" s="11">
        <f t="shared" si="6"/>
        <v>2</v>
      </c>
      <c r="R30" s="11">
        <f t="shared" si="7"/>
        <v>4</v>
      </c>
      <c r="S30" s="12" t="str" cm="1">
        <f t="array" ref="S30">INDEX('ClinicalStage-ConceptMap-4'!$I$15:$N$43,Q30+1,R30)</f>
        <v>//-- unmatched</v>
      </c>
    </row>
    <row r="31" spans="1:19">
      <c r="B31" s="11"/>
      <c r="C31" s="11"/>
      <c r="D31" s="12"/>
      <c r="E31" s="12"/>
      <c r="F31" s="64"/>
      <c r="G31" s="124"/>
      <c r="H31" s="58"/>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INDEX('ClinicalStage-ConceptMap-4'!$I$15:$N$43,Q32+1,R32)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t="str" cm="1">
        <f t="array" ref="S33">INDEX('ClinicalStage-ConceptMap-4'!$I$15:$N$43,Q33+1,R33)</f>
        <v>* group[=].element[+].code = #ClinicalStage.cM</v>
      </c>
    </row>
    <row r="34" spans="1:19">
      <c r="B34" s="11"/>
      <c r="C34" s="11"/>
      <c r="D34" s="12"/>
      <c r="E34" s="12"/>
      <c r="F34" s="64"/>
      <c r="G34" s="124"/>
      <c r="H34" s="58"/>
      <c r="I34" s="12"/>
      <c r="J34" s="12"/>
      <c r="K34" s="12"/>
      <c r="L34" s="12"/>
      <c r="M34" s="12"/>
      <c r="N34" s="12"/>
      <c r="P34" s="11">
        <v>20</v>
      </c>
      <c r="Q34" s="11">
        <f t="shared" si="6"/>
        <v>3</v>
      </c>
      <c r="R34" s="11">
        <f t="shared" si="7"/>
        <v>2</v>
      </c>
      <c r="S34" s="12" t="str" cm="1">
        <f t="array" ref="S34">INDEX('ClinicalStage-ConceptMap-4'!$I$15:$N$43,Q34+1,R34)</f>
        <v>* group[=].element[=].display = ##34#cM##34#</v>
      </c>
    </row>
    <row r="35" spans="1:19">
      <c r="B35" s="11"/>
      <c r="C35" s="11"/>
      <c r="D35" s="12"/>
      <c r="E35" s="12"/>
      <c r="F35" s="64"/>
      <c r="G35" s="124"/>
      <c r="H35" s="58"/>
      <c r="I35" s="12"/>
      <c r="J35" s="12"/>
      <c r="K35" s="12"/>
      <c r="L35" s="12"/>
      <c r="M35" s="12"/>
      <c r="N35" s="12"/>
      <c r="P35" s="11">
        <v>21</v>
      </c>
      <c r="Q35" s="11">
        <f t="shared" si="6"/>
        <v>3</v>
      </c>
      <c r="R35" s="11">
        <f t="shared" si="7"/>
        <v>3</v>
      </c>
      <c r="S35" s="12" t="str" cm="1">
        <f t="array" ref="S35">INDEX('ClinicalStage-ConceptMap-4'!$I$15:$N$43,Q35+1,R35)</f>
        <v>//-- unmatched</v>
      </c>
    </row>
    <row r="36" spans="1:19">
      <c r="B36" s="11"/>
      <c r="C36" s="11"/>
      <c r="D36" s="12"/>
      <c r="E36" s="12"/>
      <c r="F36" s="64"/>
      <c r="G36" s="124"/>
      <c r="H36" s="58"/>
      <c r="I36" s="12"/>
      <c r="J36" s="12"/>
      <c r="K36" s="12"/>
      <c r="L36" s="12"/>
      <c r="M36" s="12"/>
      <c r="N36" s="12"/>
      <c r="P36" s="11">
        <v>22</v>
      </c>
      <c r="Q36" s="11">
        <f t="shared" si="6"/>
        <v>3</v>
      </c>
      <c r="R36" s="11">
        <f t="shared" si="7"/>
        <v>4</v>
      </c>
      <c r="S36" s="12" t="str" cm="1">
        <f t="array" ref="S36">INDEX('ClinicalStage-ConceptMap-4'!$I$15:$N$43,Q36+1,R36)</f>
        <v>//-- unmatched</v>
      </c>
    </row>
    <row r="37" spans="1:19">
      <c r="B37" s="11"/>
      <c r="C37" s="11"/>
      <c r="D37" s="12"/>
      <c r="E37" s="12"/>
      <c r="F37" s="64"/>
      <c r="G37" s="124"/>
      <c r="H37" s="58"/>
      <c r="K37" s="58"/>
      <c r="L37" s="58"/>
      <c r="M37" s="66"/>
      <c r="N37" s="66"/>
      <c r="P37" s="11">
        <v>23</v>
      </c>
      <c r="Q37" s="11">
        <f t="shared" si="6"/>
        <v>3</v>
      </c>
      <c r="R37" s="11">
        <f t="shared" si="7"/>
        <v>5</v>
      </c>
      <c r="S37" s="12" t="str" cm="1">
        <f t="array" ref="S37">INDEX('ClinicalStage-ConceptMap-4'!$I$15:$N$43,Q37+1,R37)</f>
        <v>* group[=].element[=].target.equivalence = #unmatched</v>
      </c>
    </row>
    <row r="38" spans="1:19">
      <c r="B38" s="11"/>
      <c r="C38" s="11"/>
      <c r="D38" s="12"/>
      <c r="E38" s="12"/>
      <c r="F38" s="64"/>
      <c r="G38" s="124"/>
      <c r="H38" s="58"/>
      <c r="K38" s="58"/>
      <c r="L38" s="58"/>
      <c r="M38" s="66"/>
      <c r="N38" s="66"/>
      <c r="P38" s="11">
        <v>24</v>
      </c>
      <c r="Q38" s="11">
        <f t="shared" si="6"/>
        <v>3</v>
      </c>
      <c r="R38" s="11">
        <f t="shared" si="7"/>
        <v>6</v>
      </c>
      <c r="S38" s="12" t="str" cm="1">
        <f t="array" ref="S38">INDEX('ClinicalStage-ConceptMap-4'!$I$15:$N$43,Q38+1,R38)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INDEX('ClinicalStage-ConceptMap-4'!$I$15:$N$43,Q39+1,R39)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INDEX('ClinicalStage-ConceptMap-4'!$I$15:$N$43,Q40+1,R40)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INDEX('ClinicalStage-ConceptMap-4'!$I$15:$N$43,Q41+1,R41)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INDEX('ClinicalStage-ConceptMap-4'!$I$15:$N$43,Q42+1,R42)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2126</v>
      </c>
    </row>
    <row r="3" spans="2:7">
      <c r="B3" s="24" t="s">
        <v>20</v>
      </c>
    </row>
    <row r="4" spans="2:7">
      <c r="B4" s="65" t="str">
        <f>"Instance: "&amp;'ClinicalStage-ConceptMap-1'!C4</f>
        <v>Instance: clinicalStage2FHIR</v>
      </c>
    </row>
    <row r="5" spans="2:7">
      <c r="B5" s="65" t="s">
        <v>1447</v>
      </c>
    </row>
    <row r="6" spans="2:7">
      <c r="B6" s="65" t="s">
        <v>1438</v>
      </c>
    </row>
    <row r="7" spans="2:7">
      <c r="B7" s="65" t="s">
        <v>1798</v>
      </c>
    </row>
    <row r="8" spans="2:7">
      <c r="B8" s="65" t="str">
        <f>"* name = ##34#"&amp;'ClinicalStage-ConceptMap-1'!C3&amp;"##34#"</f>
        <v>* name = ##34#ClinicalStage2FHIR##34#</v>
      </c>
    </row>
    <row r="9" spans="2:7">
      <c r="B9" s="65" t="str">
        <f>"* title = ##34#"&amp;'ClinicalStage-ConceptMap-1'!C5&amp;"##34#"</f>
        <v>* title = ##34#Clinical Stage Model to this guide Map##34#</v>
      </c>
    </row>
    <row r="10" spans="2:7">
      <c r="B10" s="65" t="s">
        <v>1439</v>
      </c>
    </row>
    <row r="11" spans="2:7">
      <c r="B11" s="65" t="s">
        <v>1440</v>
      </c>
    </row>
    <row r="12" spans="2:7">
      <c r="B12" s="65" t="str">
        <f>"* description = ##34#"&amp;'ClinicalStage-ConceptMap-1'!C8&amp;"##34#"</f>
        <v>* description = ##34#Clinical Stage Model to this guide Map##34#</v>
      </c>
    </row>
    <row r="13" spans="2:7">
      <c r="B13" s="65" t="str">
        <f>"* purpose = ##34#"&amp;'ClinicalStage-ConceptMap-1'!C9&amp;"##34#"</f>
        <v>* purpose = ##34#It shows how the Clinical Stage model is mapped into this guide##34#</v>
      </c>
    </row>
    <row r="14" spans="2:7">
      <c r="B14" s="69" t="str">
        <f>"* sourceUri = ##34#"&amp;'ClinicalStage-ConceptMap-1'!E3&amp;"##34#"</f>
        <v>* sourceUri = ##34#http://hl7.eu/fhir/ig/idea4rc/StructureDefinition/ClinicalStage##34#</v>
      </c>
    </row>
    <row r="15" spans="2:7">
      <c r="B15" s="69" t="str">
        <f>"* targetUri = ##34#"&amp;'ClinicalStage-ConceptMap-1'!E4&amp;"##34#"</f>
        <v>* targetUri = ##34#http://hl7.eu/fhir/ig/idea4rc/StructureDefinition/mcode-cancer-stage-group##34#</v>
      </c>
    </row>
    <row r="16" spans="2:7">
      <c r="B16" s="68" t="str">
        <f>"* group[+].source = ##34#"&amp;'ClinicalStage-ConceptMap-1'!E6&amp;"##34#"</f>
        <v>* group[+].source = ##34#http://hl7.eu/fhir/ig/idea4rc/StructureDefinition/ClinicalStage##34#</v>
      </c>
    </row>
    <row r="17" spans="2:7">
      <c r="B17" s="68" t="str">
        <f>"* group[=].target = ##34#"&amp;'ClinicalStage-ConceptMap-1'!E7&amp;"##34#"</f>
        <v>* group[=].target = ##34#http://hl7.eu/fhir/ig/idea4rc/StructureDefinition/mcode-cancer-stage-group##34#</v>
      </c>
    </row>
    <row r="18" spans="2:7">
      <c r="B18" s="122"/>
    </row>
    <row r="19" spans="2:7">
      <c r="B19" s="12" t="str">
        <f>IF('ClinicalStage-ConceptMap-1'!S15=0,"//---END",'ClinicalStage-ConceptMap-1'!S15)</f>
        <v>* group[=].element[+].code = #ClinicalStage.episodeEvent</v>
      </c>
    </row>
    <row r="20" spans="2:7">
      <c r="B20" s="12" t="str">
        <f>IF('ClinicalStage-ConceptMap-1'!S16=0,"//---END",'ClinicalStage-ConceptMap-1'!S16)</f>
        <v>* group[=].element[=].display = ##34#Episode Event##34#</v>
      </c>
    </row>
    <row r="21" spans="2:7">
      <c r="B21" s="12" t="str">
        <f>IF('ClinicalStage-ConceptMap-1'!S17=0,"//---END",'ClinicalStage-ConceptMap-1'!S17)</f>
        <v>* group[=].element[=].target.code = #Observation.</v>
      </c>
    </row>
    <row r="22" spans="2:7">
      <c r="B22" s="12" t="str">
        <f>IF('ClinicalStage-ConceptMap-1'!S18=0,"//---END",'ClinicalStage-ConceptMap-1'!S18)</f>
        <v>* group[=].element[=].target.display = ##34###34#</v>
      </c>
    </row>
    <row r="23" spans="2:7">
      <c r="B23" s="12" t="str">
        <f>IF('ClinicalStage-ConceptMap-1'!S19=0,"//---END",'ClinicalStage-ConceptMap-1'!S19)</f>
        <v>* group[=].element[=].target.equivalence = #relatedto</v>
      </c>
    </row>
    <row r="24" spans="2:7">
      <c r="B24" s="12" t="str">
        <f>IF('ClinicalStage-ConceptMap-1'!S20=0,"//---END",'ClinicalStage-ConceptMap-1'!S20)</f>
        <v>* group[=].element[=].target.comment = ##34#Condition.stage.assessment##34#</v>
      </c>
      <c r="G24" s="7"/>
    </row>
    <row r="25" spans="2:7">
      <c r="B25" s="12" t="str">
        <f>IF('ClinicalStage-ConceptMap-1'!S21=0,"//---END",'ClinicalStage-ConceptMap-1'!S21)</f>
        <v>* group[=].element[+].code = #ClinicalStage.cT</v>
      </c>
    </row>
    <row r="26" spans="2:7">
      <c r="B26" s="12" t="str">
        <f>IF('ClinicalStage-ConceptMap-1'!S22=0,"//---END",'ClinicalStage-ConceptMap-1'!S22)</f>
        <v>* group[=].element[=].display = ##34#cT##34#</v>
      </c>
    </row>
    <row r="27" spans="2:7">
      <c r="B27" s="12" t="str">
        <f>IF('ClinicalStage-ConceptMap-1'!S23=0,"//---END",'ClinicalStage-ConceptMap-1'!S23)</f>
        <v>* group[=].element[=].target.code = #Observation.hasMember:tnmPrimaryTumorCategory</v>
      </c>
    </row>
    <row r="28" spans="2:7">
      <c r="B28" s="12" t="str">
        <f>IF('ClinicalStage-ConceptMap-1'!S24=0,"//---END",'ClinicalStage-ConceptMap-1'!S24)</f>
        <v>* group[=].element[=].target.display = ##34###34#</v>
      </c>
    </row>
    <row r="29" spans="2:7">
      <c r="B29" s="12" t="str">
        <f>IF('ClinicalStage-ConceptMap-1'!S25=0,"//---END",'ClinicalStage-ConceptMap-1'!S25)</f>
        <v>* group[=].element[=].target.equivalence = #relatedto</v>
      </c>
    </row>
    <row r="30" spans="2:7">
      <c r="B30" s="12" t="str">
        <f>IF('ClinicalStage-ConceptMap-1'!S26=0,"//---END",'ClinicalStage-ConceptMap-1'!S26)</f>
        <v>* group[=].element[=].target.comment = ##34#where code = 21908-9 'Stage group.clinical'##34#</v>
      </c>
    </row>
    <row r="31" spans="2:7">
      <c r="B31" s="12" t="str">
        <f>IF('ClinicalStage-ConceptMap-1'!S27=0,"//---END",'ClinicalStage-ConceptMap-1'!S27)</f>
        <v>* group[=].element[+].code = #ClinicalStage.cN</v>
      </c>
    </row>
    <row r="32" spans="2:7">
      <c r="B32" s="12" t="str">
        <f>IF('ClinicalStage-ConceptMap-1'!S28=0,"//---END",'ClinicalStage-ConceptMap-1'!S28)</f>
        <v>* group[=].element[=].display = ##34#cN##34#</v>
      </c>
    </row>
    <row r="33" spans="2:2">
      <c r="B33" s="12" t="str">
        <f>IF('ClinicalStage-ConceptMap-1'!S29=0,"//---END",'ClinicalStage-ConceptMap-1'!S29)</f>
        <v>* group[=].element[=].target.code = #Observation.hasMember:tnmRegionalNodesCategory</v>
      </c>
    </row>
    <row r="34" spans="2:2">
      <c r="B34" s="12" t="str">
        <f>IF('ClinicalStage-ConceptMap-1'!S30=0,"//---END",'ClinicalStage-ConceptMap-1'!S30)</f>
        <v>* group[=].element[=].target.display = ##34###34#</v>
      </c>
    </row>
    <row r="35" spans="2:2">
      <c r="B35" s="12" t="str">
        <f>IF('ClinicalStage-ConceptMap-1'!S31=0,"//---END",'ClinicalStage-ConceptMap-1'!S31)</f>
        <v>* group[=].element[=].target.equivalence = #relatedto</v>
      </c>
    </row>
    <row r="36" spans="2:2">
      <c r="B36" s="12" t="str">
        <f>IF('ClinicalStage-ConceptMap-1'!S32=0,"//---END",'ClinicalStage-ConceptMap-1'!S32)</f>
        <v>* group[=].element[=].target.comment = ##34#where code = 21908-9 'Stage group.clinical'##34#</v>
      </c>
    </row>
    <row r="37" spans="2:2">
      <c r="B37" s="12" t="str">
        <f>IF('ClinicalStage-ConceptMap-1'!S33=0,"//---END",'ClinicalStage-ConceptMap-1'!S33)</f>
        <v>* group[=].element[+].code = #ClinicalStage.radiologicalExtraNodalExtension</v>
      </c>
    </row>
    <row r="38" spans="2:2">
      <c r="B38" s="12" t="str">
        <f>IF('ClinicalStage-ConceptMap-1'!S34=0,"//---END",'ClinicalStage-ConceptMap-1'!S34)</f>
        <v>* group[=].element[=].display = ##34#Radiological Extra-nodal extension (rENE)##34#</v>
      </c>
    </row>
    <row r="39" spans="2:2">
      <c r="B39" s="12" t="str">
        <f>IF('ClinicalStage-ConceptMap-1'!S35=0,"//---END",'ClinicalStage-ConceptMap-1'!S35)</f>
        <v>* group[=].element[=].target.code = #Observation.</v>
      </c>
    </row>
    <row r="40" spans="2:2">
      <c r="B40" s="12" t="str">
        <f>IF('ClinicalStage-ConceptMap-1'!S36=0,"//---END",'ClinicalStage-ConceptMap-1'!S36)</f>
        <v>* group[=].element[=].target.display = ##34###34#</v>
      </c>
    </row>
    <row r="41" spans="2:2">
      <c r="B41" s="12" t="str">
        <f>IF('ClinicalStage-ConceptMap-1'!S37=0,"//---END",'ClinicalStage-ConceptMap-1'!S37)</f>
        <v>* group[=].element[=].target.equivalence = #relatedto</v>
      </c>
    </row>
    <row r="42" spans="2:2">
      <c r="B42" s="12" t="str">
        <f>IF('ClinicalStage-ConceptMap-1'!S38=0,"//---END",'ClinicalStage-ConceptMap-1'!S38)</f>
        <v>* group[=].element[=].target.comment = ##34#TO BE DEFINED##34#</v>
      </c>
    </row>
    <row r="43" spans="2:2">
      <c r="B43" s="12" t="str">
        <f>IF('ClinicalStage-ConceptMap-1'!S39=0,"//---END",'ClinicalStage-ConceptMap-1'!S39)</f>
        <v>* group[=].element[+].code = #ClinicalStage.cM</v>
      </c>
    </row>
    <row r="44" spans="2:2">
      <c r="B44" s="12" t="str">
        <f>IF('ClinicalStage-ConceptMap-1'!S40=0,"//---END",'ClinicalStage-ConceptMap-1'!S40)</f>
        <v>* group[=].element[=].display = ##34#cM##34#</v>
      </c>
    </row>
    <row r="45" spans="2:2">
      <c r="B45" s="12" t="str">
        <f>IF('ClinicalStage-ConceptMap-1'!S41=0,"//---END",'ClinicalStage-ConceptMap-1'!S41)</f>
        <v>* group[=].element[=].target.code = #Observation.hasMember:tnmDistantMetastasesCategory</v>
      </c>
    </row>
    <row r="46" spans="2:2">
      <c r="B46" s="12" t="str">
        <f>IF('ClinicalStage-ConceptMap-1'!S42=0,"//---END",'ClinicalStage-ConceptMap-1'!S42)</f>
        <v>* group[=].element[=].target.display = ##34###34#</v>
      </c>
    </row>
    <row r="47" spans="2:2">
      <c r="B47" s="12" t="str">
        <f>IF('ClinicalStage-ConceptMap-1'!S43=0,"//---END",'ClinicalStage-ConceptMap-1'!S43)</f>
        <v>* group[=].element[=].target.equivalence = #equal</v>
      </c>
    </row>
    <row r="48" spans="2:2">
      <c r="B48" s="12" t="str">
        <f>IF('ClinicalStage-ConceptMap-1'!S44=0,"//---END",'ClinicalStage-ConceptMap-1'!S44)</f>
        <v>* group[=].element[=].target.comment = ##34#where code = 21908-9 'Stage group.clinical'##34#</v>
      </c>
    </row>
    <row r="49" spans="2:2">
      <c r="B49" s="12" t="str">
        <f>IF('ClinicalStage-ConceptMap-1'!S45=0,"//---END",'ClinicalStage-ConceptMap-1'!S45)</f>
        <v>* group[=].element[+].code = #ClinicalStage.clinicalStaging</v>
      </c>
    </row>
    <row r="50" spans="2:2">
      <c r="B50" s="12" t="str">
        <f>IF('ClinicalStage-ConceptMap-1'!S46=0,"//---END",'ClinicalStage-ConceptMap-1'!S46)</f>
        <v>* group[=].element[=].display = ##34#Clinical staging##34#</v>
      </c>
    </row>
    <row r="51" spans="2:2">
      <c r="B51" s="12" t="str">
        <f>IF('ClinicalStage-ConceptMap-1'!S47=0,"//---END",'ClinicalStage-ConceptMap-1'!S47)</f>
        <v>* group[=].element[=].target.code = #Observation.valueCodeableConcept</v>
      </c>
    </row>
    <row r="52" spans="2:2">
      <c r="B52" s="12" t="str">
        <f>IF('ClinicalStage-ConceptMap-1'!S48=0,"//---END",'ClinicalStage-ConceptMap-1'!S48)</f>
        <v>* group[=].element[=].target.display = ##34###34#</v>
      </c>
    </row>
    <row r="53" spans="2:2">
      <c r="B53" s="12" t="str">
        <f>IF('ClinicalStage-ConceptMap-1'!S49=0,"//---END",'ClinicalStage-ConceptMap-1'!S49)</f>
        <v>* group[=].element[=].target.equivalence = #equivalent</v>
      </c>
    </row>
    <row r="54" spans="2:2">
      <c r="B54" s="12" t="str">
        <f>IF('ClinicalStage-ConceptMap-1'!S50=0,"//---END",'ClinicalStage-ConceptMap-1'!S50)</f>
        <v>* group[=].element[=].target.comment = ##34#where code = 21908-9 'Stage group.clinical'##34#</v>
      </c>
    </row>
    <row r="55" spans="2:2">
      <c r="B55" s="12" t="str">
        <f>IF('ClinicalStage-ConceptMap-1'!S51=0,"//---END",'ClinicalStage-ConceptMap-1'!S51)</f>
        <v>* group[=].element[+].code = #ClinicalStage.ajccEdition</v>
      </c>
    </row>
    <row r="56" spans="2:2">
      <c r="B56" s="12" t="str">
        <f>IF('ClinicalStage-ConceptMap-1'!S52=0,"//---END",'ClinicalStage-ConceptMap-1'!S52)</f>
        <v>* group[=].element[=].display = ##34#Ajcc edition##34#</v>
      </c>
    </row>
    <row r="57" spans="2:2">
      <c r="B57" s="12" t="str">
        <f>IF('ClinicalStage-ConceptMap-1'!S53=0,"//---END",'ClinicalStage-ConceptMap-1'!S53)</f>
        <v>* group[=].element[=].target.code = #Observation.valueCodeableConcept.coding.system</v>
      </c>
    </row>
    <row r="58" spans="2:2">
      <c r="B58" s="12" t="str">
        <f>IF('ClinicalStage-ConceptMap-1'!S54=0,"//---END",'ClinicalStage-ConceptMap-1'!S54)</f>
        <v>* group[=].element[=].target.display = ##34###34#</v>
      </c>
    </row>
    <row r="59" spans="2:2">
      <c r="B59" s="12" t="str">
        <f>IF('ClinicalStage-ConceptMap-1'!S55=0,"//---END",'ClinicalStage-ConceptMap-1'!S55)</f>
        <v>* group[=].element[=].target.equivalence = #relatedto</v>
      </c>
    </row>
    <row r="60" spans="2:2" ht="29.5">
      <c r="B60" s="12" t="str">
        <f>IF('ClinicalStage-ConceptMap-1'!S56=0,"//---END",'ClinicalStage-ConceptMap-1'!S56)</f>
        <v>* group[=].element[=].target.comment = ##34#where code = 21908-9 'Stage group.clinical'
a code system version can be specifed as part of the system##34#</v>
      </c>
    </row>
    <row r="61" spans="2:2">
      <c r="B61" s="12" t="str">
        <f>IF('ClinicalStage-ConceptMap-1'!S57=0,"//---END",'ClinicalStage-ConceptMap-1'!S57)</f>
        <v>* group[=].element[+].code = #ClinicalStage.softTissue</v>
      </c>
    </row>
    <row r="62" spans="2:2">
      <c r="B62" s="12" t="str">
        <f>IF('ClinicalStage-ConceptMap-1'!S58=0,"//---END",'ClinicalStage-ConceptMap-1'!S58)</f>
        <v>* group[=].element[=].display = ##34#Soft tissue##34#</v>
      </c>
    </row>
    <row r="63" spans="2:2">
      <c r="B63" s="12" t="str">
        <f>IF('ClinicalStage-ConceptMap-1'!S59=0,"//---END",'ClinicalStage-ConceptMap-1'!S59)</f>
        <v>* group[=].element[=].target.code = #Observation.</v>
      </c>
    </row>
    <row r="64" spans="2:2">
      <c r="B64" s="12" t="str">
        <f>IF('ClinicalStage-ConceptMap-1'!S60=0,"//---END",'ClinicalStage-ConceptMap-1'!S60)</f>
        <v>* group[=].element[=].target.display = ##34###34#</v>
      </c>
    </row>
    <row r="65" spans="2:2">
      <c r="B65" s="12" t="str">
        <f>IF('ClinicalStage-ConceptMap-1'!S61=0,"//---END",'ClinicalStage-ConceptMap-1'!S61)</f>
        <v>* group[=].element[=].target.equivalence = #relatedto</v>
      </c>
    </row>
    <row r="66" spans="2:2">
      <c r="B66" s="12" t="str">
        <f>IF('ClinicalStage-ConceptMap-1'!S62=0,"//---END",'ClinicalStage-ConceptMap-1'!S62)</f>
        <v>* group[=].element[=].target.comment = ##34#CLARIFY HOW THIS DIFFERS FROM THE EQUIVALENT DATA IN EPISODE EVENT##34#</v>
      </c>
    </row>
    <row r="67" spans="2:2">
      <c r="B67" s="12" t="str">
        <f>IF('ClinicalStage-ConceptMap-1'!S63=0,"//---END",'ClinicalStage-ConceptMap-1'!S63)</f>
        <v>* group[=].element[+].code = #ClinicalStage.distantLymphNode</v>
      </c>
    </row>
    <row r="68" spans="2:2">
      <c r="B68" s="12" t="str">
        <f>IF('ClinicalStage-ConceptMap-1'!S64=0,"//---END",'ClinicalStage-ConceptMap-1'!S64)</f>
        <v>* group[=].element[=].display = ##34#distant lymph node##34#</v>
      </c>
    </row>
    <row r="69" spans="2:2">
      <c r="B69" s="12" t="str">
        <f>IF('ClinicalStage-ConceptMap-1'!S65=0,"//---END",'ClinicalStage-ConceptMap-1'!S65)</f>
        <v>* group[=].element[=].target.code = #Observation.</v>
      </c>
    </row>
    <row r="70" spans="2:2">
      <c r="B70" s="12" t="str">
        <f>IF('ClinicalStage-ConceptMap-1'!S66=0,"//---END",'ClinicalStage-ConceptMap-1'!S66)</f>
        <v>* group[=].element[=].target.display = ##34###34#</v>
      </c>
    </row>
    <row r="71" spans="2:2">
      <c r="B71" s="12" t="str">
        <f>IF('ClinicalStage-ConceptMap-1'!S67=0,"//---END",'ClinicalStage-ConceptMap-1'!S67)</f>
        <v>* group[=].element[=].target.equivalence = #relatedto</v>
      </c>
    </row>
    <row r="72" spans="2:2">
      <c r="B72" s="12" t="str">
        <f>IF('ClinicalStage-ConceptMap-1'!S68=0,"//---END",'ClinicalStage-ConceptMap-1'!S68)</f>
        <v>* group[=].element[=].target.comment = ##34#CLARIFY HOW THIS DIFFERS FROM THE EQUIVALENT DATA IN EPISODE EVENT##34#</v>
      </c>
    </row>
    <row r="73" spans="2:2">
      <c r="B73" s="12" t="str">
        <f>IF('ClinicalStage-ConceptMap-1'!S69=0,"//---END",'ClinicalStage-ConceptMap-1'!S69)</f>
        <v>* group[=].element[+].code = #ClinicalStage.lung</v>
      </c>
    </row>
    <row r="74" spans="2:2">
      <c r="B74" s="12" t="str">
        <f>IF('ClinicalStage-ConceptMap-1'!S70=0,"//---END",'ClinicalStage-ConceptMap-1'!S70)</f>
        <v>* group[=].element[=].display = ##34#lung##34#</v>
      </c>
    </row>
    <row r="75" spans="2:2">
      <c r="B75" s="12" t="str">
        <f>IF('ClinicalStage-ConceptMap-1'!S71=0,"//---END",'ClinicalStage-ConceptMap-1'!S71)</f>
        <v>* group[=].element[=].target.code = #Observation.</v>
      </c>
    </row>
    <row r="76" spans="2:2">
      <c r="B76" s="12" t="str">
        <f>IF('ClinicalStage-ConceptMap-1'!S72=0,"//---END",'ClinicalStage-ConceptMap-1'!S72)</f>
        <v>* group[=].element[=].target.display = ##34###34#</v>
      </c>
    </row>
    <row r="77" spans="2:2">
      <c r="B77" s="12" t="str">
        <f>IF('ClinicalStage-ConceptMap-1'!S73=0,"//---END",'ClinicalStage-ConceptMap-1'!S73)</f>
        <v>* group[=].element[=].target.equivalence = #relatedto</v>
      </c>
    </row>
    <row r="78" spans="2:2">
      <c r="B78" s="12" t="str">
        <f>IF('ClinicalStage-ConceptMap-1'!S74=0,"//---END",'ClinicalStage-ConceptMap-1'!S74)</f>
        <v>* group[=].element[=].target.comment = ##34#CLARIFY HOW THIS DIFFERS FROM THE EQUIVALENT DATA IN EPISODE EVENT##34#</v>
      </c>
    </row>
    <row r="79" spans="2:2">
      <c r="B79" s="12" t="str">
        <f>IF('ClinicalStage-ConceptMap-1'!S75=0,"//---END",'ClinicalStage-ConceptMap-1'!S75)</f>
        <v>* group[=].element[+].code = #ClinicalStage.bone</v>
      </c>
    </row>
    <row r="80" spans="2:2">
      <c r="B80" s="12" t="str">
        <f>IF('ClinicalStage-ConceptMap-1'!S76=0,"//---END",'ClinicalStage-ConceptMap-1'!S76)</f>
        <v>* group[=].element[=].display = ##34#bone##34#</v>
      </c>
    </row>
    <row r="81" spans="2:2">
      <c r="B81" s="12" t="str">
        <f>IF('ClinicalStage-ConceptMap-1'!S77=0,"//---END",'ClinicalStage-ConceptMap-1'!S77)</f>
        <v>* group[=].element[=].target.code = #Observation.</v>
      </c>
    </row>
    <row r="82" spans="2:2">
      <c r="B82" s="12" t="str">
        <f>IF('ClinicalStage-ConceptMap-1'!S78=0,"//---END",'ClinicalStage-ConceptMap-1'!S78)</f>
        <v>* group[=].element[=].target.display = ##34###34#</v>
      </c>
    </row>
    <row r="83" spans="2:2">
      <c r="B83" s="12" t="str">
        <f>IF('ClinicalStage-ConceptMap-1'!S79=0,"//---END",'ClinicalStage-ConceptMap-1'!S79)</f>
        <v>* group[=].element[=].target.equivalence = #relatedto</v>
      </c>
    </row>
    <row r="84" spans="2:2">
      <c r="B84" s="12" t="str">
        <f>IF('ClinicalStage-ConceptMap-1'!S80=0,"//---END",'ClinicalStage-ConceptMap-1'!S80)</f>
        <v>* group[=].element[=].target.comment = ##34#CLARIFY HOW THIS DIFFERS FROM THE EQUIVALENT DATA IN EPISODE EVENT##34#</v>
      </c>
    </row>
    <row r="85" spans="2:2">
      <c r="B85" s="12" t="str">
        <f>IF('ClinicalStage-ConceptMap-1'!S81=0,"//---END",'ClinicalStage-ConceptMap-1'!S81)</f>
        <v>* group[=].element[+].code = #ClinicalStage.liver</v>
      </c>
    </row>
    <row r="86" spans="2:2">
      <c r="B86" s="12" t="str">
        <f>IF('ClinicalStage-ConceptMap-1'!S82=0,"//---END",'ClinicalStage-ConceptMap-1'!S82)</f>
        <v>* group[=].element[=].display = ##34#liver##34#</v>
      </c>
    </row>
    <row r="87" spans="2:2">
      <c r="B87" s="12" t="str">
        <f>IF('ClinicalStage-ConceptMap-1'!S83=0,"//---END",'ClinicalStage-ConceptMap-1'!S83)</f>
        <v>* group[=].element[=].target.code = #Observation.</v>
      </c>
    </row>
    <row r="88" spans="2:2">
      <c r="B88" s="12" t="str">
        <f>IF('ClinicalStage-ConceptMap-1'!S84=0,"//---END",'ClinicalStage-ConceptMap-1'!S84)</f>
        <v>* group[=].element[=].target.display = ##34###34#</v>
      </c>
    </row>
    <row r="89" spans="2:2">
      <c r="B89" s="12" t="str">
        <f>IF('ClinicalStage-ConceptMap-1'!S85=0,"//---END",'ClinicalStage-ConceptMap-1'!S85)</f>
        <v>* group[=].element[=].target.equivalence = #relatedto</v>
      </c>
    </row>
    <row r="90" spans="2:2">
      <c r="B90" s="12" t="str">
        <f>IF('ClinicalStage-ConceptMap-1'!S86=0,"//---END",'ClinicalStage-ConceptMap-1'!S86)</f>
        <v>* group[=].element[=].target.comment = ##34#CLARIFY HOW THIS DIFFERS FROM THE EQUIVALENT DATA IN EPISODE EVENT##34#</v>
      </c>
    </row>
    <row r="91" spans="2:2">
      <c r="B91" s="12" t="str">
        <f>IF('ClinicalStage-ConceptMap-1'!S87=0,"//---END",'ClinicalStage-ConceptMap-1'!S87)</f>
        <v>* group[=].element[+].code = #ClinicalStage.pleura</v>
      </c>
    </row>
    <row r="92" spans="2:2">
      <c r="B92" s="12" t="str">
        <f>IF('ClinicalStage-ConceptMap-1'!S88=0,"//---END",'ClinicalStage-ConceptMap-1'!S88)</f>
        <v>* group[=].element[=].display = ##34#pleura##34#</v>
      </c>
    </row>
    <row r="93" spans="2:2">
      <c r="B93" s="12" t="str">
        <f>IF('ClinicalStage-ConceptMap-1'!S89=0,"//---END",'ClinicalStage-ConceptMap-1'!S89)</f>
        <v>* group[=].element[=].target.code = #Observation.</v>
      </c>
    </row>
    <row r="94" spans="2:2">
      <c r="B94" s="12" t="str">
        <f>IF('ClinicalStage-ConceptMap-1'!S90=0,"//---END",'ClinicalStage-ConceptMap-1'!S90)</f>
        <v>* group[=].element[=].target.display = ##34###34#</v>
      </c>
    </row>
    <row r="95" spans="2:2">
      <c r="B95" s="12" t="str">
        <f>IF('ClinicalStage-ConceptMap-1'!S91=0,"//---END",'ClinicalStage-ConceptMap-1'!S91)</f>
        <v>* group[=].element[=].target.equivalence = #relatedto</v>
      </c>
    </row>
    <row r="96" spans="2:2">
      <c r="B96" s="12" t="str">
        <f>IF('ClinicalStage-ConceptMap-1'!S92=0,"//---END",'ClinicalStage-ConceptMap-1'!S92)</f>
        <v>* group[=].element[=].target.comment = ##34#CLARIFY HOW THIS DIFFERS FROM THE EQUIVALENT DATA IN EPISODE EVENT##34#</v>
      </c>
    </row>
    <row r="97" spans="2:2">
      <c r="B97" s="12" t="str">
        <f>IF('ClinicalStage-ConceptMap-1'!S93=0,"//---END",'ClinicalStage-ConceptMap-1'!S93)</f>
        <v>* group[=].element[+].code = #ClinicalStage.peritoneum</v>
      </c>
    </row>
    <row r="98" spans="2:2">
      <c r="B98" s="12" t="str">
        <f>IF('ClinicalStage-ConceptMap-1'!S94=0,"//---END",'ClinicalStage-ConceptMap-1'!S94)</f>
        <v>* group[=].element[=].display = ##34#peritoneum##34#</v>
      </c>
    </row>
    <row r="99" spans="2:2">
      <c r="B99" s="12" t="str">
        <f>IF('ClinicalStage-ConceptMap-1'!S95=0,"//---END",'ClinicalStage-ConceptMap-1'!S95)</f>
        <v>* group[=].element[=].target.code = #Observation.</v>
      </c>
    </row>
    <row r="100" spans="2:2">
      <c r="B100" s="12" t="str">
        <f>IF('ClinicalStage-ConceptMap-1'!S96=0,"//---END",'ClinicalStage-ConceptMap-1'!S96)</f>
        <v>* group[=].element[=].target.display = ##34###34#</v>
      </c>
    </row>
    <row r="101" spans="2:2">
      <c r="B101" s="12" t="str">
        <f>IF('ClinicalStage-ConceptMap-1'!S97=0,"//---END",'ClinicalStage-ConceptMap-1'!S97)</f>
        <v>* group[=].element[=].target.equivalence = #relatedto</v>
      </c>
    </row>
    <row r="102" spans="2:2">
      <c r="B102" s="12" t="str">
        <f>IF('ClinicalStage-ConceptMap-1'!S98=0,"//---END",'ClinicalStage-ConceptMap-1'!S98)</f>
        <v>* group[=].element[=].target.comment = ##34#CLARIFY HOW THIS DIFFERS FROM THE EQUIVALENT DATA IN EPISODE EVENT##34#</v>
      </c>
    </row>
    <row r="103" spans="2:2">
      <c r="B103" s="12" t="str">
        <f>IF('ClinicalStage-ConceptMap-1'!S99=0,"//---END",'ClinicalStage-ConceptMap-1'!S99)</f>
        <v>* group[=].element[+].code = #ClinicalStage.brain</v>
      </c>
    </row>
    <row r="104" spans="2:2">
      <c r="B104" s="12" t="str">
        <f>IF('ClinicalStage-ConceptMap-1'!S100=0,"//---END",'ClinicalStage-ConceptMap-1'!S100)</f>
        <v>* group[=].element[=].display = ##34#brain##34#</v>
      </c>
    </row>
    <row r="105" spans="2:2">
      <c r="B105" s="12" t="str">
        <f>IF('ClinicalStage-ConceptMap-1'!S101=0,"//---END",'ClinicalStage-ConceptMap-1'!S101)</f>
        <v>* group[=].element[=].target.code = #Observation.</v>
      </c>
    </row>
    <row r="106" spans="2:2">
      <c r="B106" s="12" t="str">
        <f>IF('ClinicalStage-ConceptMap-1'!S102=0,"//---END",'ClinicalStage-ConceptMap-1'!S102)</f>
        <v>* group[=].element[=].target.display = ##34###34#</v>
      </c>
    </row>
    <row r="107" spans="2:2">
      <c r="B107" s="12" t="str">
        <f>IF('ClinicalStage-ConceptMap-1'!S103=0,"//---END",'ClinicalStage-ConceptMap-1'!S103)</f>
        <v>* group[=].element[=].target.equivalence = #relatedto</v>
      </c>
    </row>
    <row r="108" spans="2:2">
      <c r="B108" s="12" t="str">
        <f>IF('ClinicalStage-ConceptMap-1'!S104=0,"//---END",'ClinicalStage-ConceptMap-1'!S104)</f>
        <v>* group[=].element[=].target.comment = ##34#CLARIFY HOW THIS DIFFERS FROM THE EQUIVALENT DATA IN EPISODE EVENT##34#</v>
      </c>
    </row>
    <row r="109" spans="2:2">
      <c r="B109" s="12" t="str">
        <f>IF('ClinicalStage-ConceptMap-1'!S105=0,"//---END",'ClinicalStage-ConceptMap-1'!S105)</f>
        <v>* group[=].element[+].code = #ClinicalStage.otherViscera</v>
      </c>
    </row>
    <row r="110" spans="2:2">
      <c r="B110" s="12" t="str">
        <f>IF('ClinicalStage-ConceptMap-1'!S106=0,"//---END",'ClinicalStage-ConceptMap-1'!S106)</f>
        <v>* group[=].element[=].display = ##34#other viscera##34#</v>
      </c>
    </row>
    <row r="111" spans="2:2">
      <c r="B111" s="12" t="str">
        <f>IF('ClinicalStage-ConceptMap-1'!S107=0,"//---END",'ClinicalStage-ConceptMap-1'!S107)</f>
        <v>* group[=].element[=].target.code = #Observation.</v>
      </c>
    </row>
    <row r="112" spans="2:2">
      <c r="B112" s="12" t="str">
        <f>IF('ClinicalStage-ConceptMap-1'!S108=0,"//---END",'ClinicalStage-ConceptMap-1'!S108)</f>
        <v>* group[=].element[=].target.display = ##34###34#</v>
      </c>
    </row>
    <row r="113" spans="2:2">
      <c r="B113" s="12" t="str">
        <f>IF('ClinicalStage-ConceptMap-1'!S109=0,"//---END",'ClinicalStage-ConceptMap-1'!S109)</f>
        <v>* group[=].element[=].target.equivalence = #relatedto</v>
      </c>
    </row>
    <row r="114" spans="2:2">
      <c r="B114" s="12" t="str">
        <f>IF('ClinicalStage-ConceptMap-1'!S110=0,"//---END",'ClinicalStage-ConceptMap-1'!S110)</f>
        <v>* group[=].element[=].target.comment = ##34#CLARIFY HOW THIS DIFFERS FROM THE EQUIVALENT DATA IN EPISODE EVENT##34#</v>
      </c>
    </row>
    <row r="115" spans="2:2">
      <c r="B115" s="12" t="str">
        <f>IF('ClinicalStage-ConceptMap-1'!S111=0,"//---END",'ClinicalStage-ConceptMap-1'!S111)</f>
        <v>* group[=].element[+].code = #ClinicalStage.unknown</v>
      </c>
    </row>
    <row r="116" spans="2:2">
      <c r="B116" s="12" t="str">
        <f>IF('ClinicalStage-ConceptMap-1'!S112=0,"//---END",'ClinicalStage-ConceptMap-1'!S112)</f>
        <v>* group[=].element[=].display = ##34#unknown##34#</v>
      </c>
    </row>
    <row r="117" spans="2:2">
      <c r="B117" s="12" t="str">
        <f>IF('ClinicalStage-ConceptMap-1'!S113=0,"//---END",'ClinicalStage-ConceptMap-1'!S113)</f>
        <v>* group[=].element[=].target.code = #Observation.</v>
      </c>
    </row>
    <row r="118" spans="2:2">
      <c r="B118" s="12" t="str">
        <f>IF('ClinicalStage-ConceptMap-1'!S114=0,"//---END",'ClinicalStage-ConceptMap-1'!S114)</f>
        <v>* group[=].element[=].target.display = ##34###34#</v>
      </c>
    </row>
    <row r="119" spans="2:2">
      <c r="B119" s="12" t="str">
        <f>IF('ClinicalStage-ConceptMap-1'!S115=0,"//---END",'ClinicalStage-ConceptMap-1'!S115)</f>
        <v>* group[=].element[=].target.equivalence = #relatedto</v>
      </c>
    </row>
    <row r="120" spans="2:2">
      <c r="B120" s="12" t="str">
        <f>IF('ClinicalStage-ConceptMap-1'!S116=0,"//---END",'ClinicalStage-ConceptMap-1'!S116)</f>
        <v>* group[=].element[=].target.comment = ##34#CLARIFY HOW THIS DIFFERS FROM THE EQUIVALENT DATA IN EPISODE EVENT##34#</v>
      </c>
    </row>
    <row r="121" spans="2:2">
      <c r="B121" s="12" t="str">
        <f>IF('ClinicalStage-ConceptMap-1'!S117=0,"//---END",'ClinicalStage-ConceptMap-1'!S117)</f>
        <v>//---END</v>
      </c>
    </row>
    <row r="122" spans="2:2">
      <c r="B122" s="12" t="str">
        <f>IF('ClinicalStage-ConceptMap-1'!S118=0,"//---END",'ClinicalStage-ConceptMap-1'!S118)</f>
        <v>//---END</v>
      </c>
    </row>
    <row r="123" spans="2:2">
      <c r="B123" s="12" t="str">
        <f>IF('ClinicalStage-ConceptMap-1'!S119=0,"//---END",'ClinicalStage-ConceptMap-1'!S119)</f>
        <v>//---END</v>
      </c>
    </row>
    <row r="124" spans="2:2">
      <c r="B124" s="12" t="str">
        <f>IF('ClinicalStage-ConceptMap-1'!S120=0,"//---END",'ClinicalStage-ConceptMap-1'!S120)</f>
        <v>//---END</v>
      </c>
    </row>
    <row r="125" spans="2:2">
      <c r="B125" s="12" t="str">
        <f>IF('ClinicalStage-ConceptMap-1'!S121=0,"//---END",'ClinicalStage-ConceptMap-1'!S121)</f>
        <v>//---END</v>
      </c>
    </row>
    <row r="126" spans="2:2">
      <c r="B126" s="12" t="str">
        <f>IF('ClinicalStage-ConceptMap-1'!S122=0,"//---END",'ClinicalStage-ConceptMap-1'!S122)</f>
        <v>//---END</v>
      </c>
    </row>
    <row r="127" spans="2:2">
      <c r="B127" s="12" t="str">
        <f>IF('ClinicalStage-ConceptMap-1'!S123=0,"//---END",'ClinicalStage-ConceptMap-1'!S123)</f>
        <v>//---END</v>
      </c>
    </row>
    <row r="128" spans="2:2">
      <c r="B128" s="12" t="str">
        <f>IF('ClinicalStage-ConceptMap-1'!S124=0,"//---END",'ClinicalStage-ConceptMap-1'!S124)</f>
        <v>//---END</v>
      </c>
    </row>
    <row r="129" spans="2:2">
      <c r="B129" s="12" t="str">
        <f>IF('ClinicalStage-ConceptMap-1'!S125=0,"//---END",'ClinicalStage-ConceptMap-1'!S125)</f>
        <v>//---END</v>
      </c>
    </row>
    <row r="130" spans="2:2">
      <c r="B130" s="12" t="str">
        <f>IF('ClinicalStage-ConceptMap-1'!S126=0,"//---END",'ClinicalStage-ConceptMap-1'!S126)</f>
        <v>//---END</v>
      </c>
    </row>
    <row r="131" spans="2:2">
      <c r="B131" s="12" t="str">
        <f>IF('ClinicalStage-ConceptMap-1'!S127=0,"//---END",'ClinicalStage-ConceptMap-1'!S127)</f>
        <v>//---END</v>
      </c>
    </row>
    <row r="132" spans="2:2">
      <c r="B132" s="12" t="str">
        <f>IF('ClinicalStage-ConceptMap-1'!S128=0,"//---END",'ClinicalStage-ConceptMap-1'!S128)</f>
        <v>//---END</v>
      </c>
    </row>
    <row r="133" spans="2:2">
      <c r="B133" s="12" t="str">
        <f>IF('ClinicalStage-ConceptMap-1'!S129=0,"//---END",'ClinicalStage-ConceptMap-1'!S129)</f>
        <v>//---END</v>
      </c>
    </row>
    <row r="134" spans="2:2">
      <c r="B134" s="12" t="str">
        <f>IF('ClinicalStage-ConceptMap-1'!S130=0,"//---END",'ClinicalStage-ConceptMap-1'!S130)</f>
        <v>//---END</v>
      </c>
    </row>
    <row r="135" spans="2:2">
      <c r="B135" s="12" t="str">
        <f>IF('ClinicalStage-ConceptMap-1'!S131=0,"//---END",'ClinicalStage-ConceptMap-1'!S131)</f>
        <v>//---END</v>
      </c>
    </row>
    <row r="136" spans="2:2">
      <c r="B136" s="12" t="str">
        <f>IF('ClinicalStage-ConceptMap-1'!S132=0,"//---END",'ClinicalStage-ConceptMap-1'!S132)</f>
        <v>//---END</v>
      </c>
    </row>
    <row r="137" spans="2:2">
      <c r="B137" s="12" t="str">
        <f>IF('ClinicalStage-ConceptMap-1'!S133=0,"//---END",'ClinicalStage-ConceptMap-1'!S133)</f>
        <v>//---END</v>
      </c>
    </row>
    <row r="138" spans="2:2">
      <c r="B138" s="12" t="str">
        <f>IF('ClinicalStage-ConceptMap-1'!S134=0,"//---END",'ClinicalStage-ConceptMap-1'!S134)</f>
        <v>//---END</v>
      </c>
    </row>
    <row r="139" spans="2:2">
      <c r="B139" s="12" t="str">
        <f>IF('ClinicalStage-ConceptMap-1'!S135=0,"//---END",'ClinicalStage-ConceptMap-1'!S135)</f>
        <v>//---END</v>
      </c>
    </row>
    <row r="140" spans="2:2">
      <c r="B140" s="12" t="str">
        <f>IF('ClinicalStage-ConceptMap-1'!S136=0,"//---END",'ClinicalStage-ConceptMap-1'!S136)</f>
        <v>//---END</v>
      </c>
    </row>
    <row r="141" spans="2:2">
      <c r="B141" s="12" t="str">
        <f>IF('ClinicalStage-ConceptMap-1'!S137=0,"//---END",'ClinicalStage-ConceptMap-1'!S137)</f>
        <v>//---END</v>
      </c>
    </row>
    <row r="142" spans="2:2">
      <c r="B142" s="12" t="str">
        <f>IF('ClinicalStage-ConceptMap-1'!S138=0,"//---END",'ClinicalStage-ConceptMap-1'!S138)</f>
        <v>//---END</v>
      </c>
    </row>
    <row r="143" spans="2:2">
      <c r="B143" s="12" t="str">
        <f>IF('ClinicalStage-ConceptMap-1'!S139=0,"//---END",'ClinicalStage-ConceptMap-1'!S139)</f>
        <v>//---END</v>
      </c>
    </row>
    <row r="144" spans="2:2">
      <c r="B144" s="12" t="str">
        <f>IF('ClinicalStage-ConceptMap-1'!S140=0,"//---END",'ClinicalStage-ConceptMap-1'!S140)</f>
        <v>//---END</v>
      </c>
    </row>
    <row r="145" spans="2:2">
      <c r="B145" s="12" t="str">
        <f>IF('ClinicalStage-ConceptMap-1'!S141=0,"//---END",'ClinicalStage-ConceptMap-1'!S141)</f>
        <v>//---END</v>
      </c>
    </row>
    <row r="146" spans="2:2">
      <c r="B146" s="12" t="str">
        <f>IF('ClinicalStage-ConceptMap-1'!S142=0,"//---END",'ClinicalStage-ConceptMap-1'!S142)</f>
        <v>//---END</v>
      </c>
    </row>
    <row r="147" spans="2:2">
      <c r="B147" s="12" t="str">
        <f>IF('ClinicalStage-ConceptMap-1'!S143=0,"//---END",'ClinicalStage-ConceptMap-1'!S143)</f>
        <v>//---END</v>
      </c>
    </row>
    <row r="148" spans="2:2">
      <c r="B148" s="12" t="str">
        <f>IF('ClinicalStage-ConceptMap-1'!S144=0,"//---END",'ClinicalStage-ConceptMap-1'!S144)</f>
        <v>//---END</v>
      </c>
    </row>
    <row r="149" spans="2:2">
      <c r="B149" s="12" t="str">
        <f>IF('ClinicalStage-ConceptMap-1'!S145=0,"//---END",'ClinicalStage-ConceptMap-1'!S145)</f>
        <v>//---END</v>
      </c>
    </row>
    <row r="150" spans="2:2">
      <c r="B150" s="12" t="str">
        <f>IF('ClinicalStage-ConceptMap-1'!S146=0,"//---END",'ClinicalStage-ConceptMap-1'!S146)</f>
        <v>//---END</v>
      </c>
    </row>
    <row r="151" spans="2:2">
      <c r="B151" s="12" t="str">
        <f>IF('ClinicalStage-ConceptMap-1'!S147=0,"//---END",'ClinicalStage-ConceptMap-1'!S147)</f>
        <v>//---END</v>
      </c>
    </row>
    <row r="152" spans="2:2">
      <c r="B152" s="12" t="str">
        <f>IF('ClinicalStage-ConceptMap-1'!S148=0,"//---END",'ClinicalStage-ConceptMap-1'!S148)</f>
        <v>//---END</v>
      </c>
    </row>
    <row r="153" spans="2:2">
      <c r="B153" s="12" t="str">
        <f>IF('ClinicalStage-ConceptMap-1'!S149=0,"//---END",'ClinicalStage-ConceptMap-1'!S149)</f>
        <v>//---END</v>
      </c>
    </row>
    <row r="154" spans="2:2">
      <c r="B154" s="12" t="str">
        <f>IF('ClinicalStage-ConceptMap-1'!S150=0,"//---END",'ClinicalStage-ConceptMap-1'!S150)</f>
        <v>//---END</v>
      </c>
    </row>
    <row r="155" spans="2:2">
      <c r="B155" s="12" t="str">
        <f>IF('ClinicalStage-ConceptMap-1'!S151=0,"//---END",'ClinicalStage-ConceptMap-1'!S151)</f>
        <v>//---END</v>
      </c>
    </row>
    <row r="156" spans="2:2">
      <c r="B156" s="12" t="str">
        <f>IF('ClinicalStage-ConceptMap-1'!S152=0,"//---END",'ClinicalStage-ConceptMap-1'!S152)</f>
        <v>//---END</v>
      </c>
    </row>
    <row r="157" spans="2:2">
      <c r="B157" s="12" t="str">
        <f>IF('ClinicalStage-ConceptMap-1'!S153=0,"//---END",'ClinicalStage-ConceptMap-1'!S153)</f>
        <v>//---END</v>
      </c>
    </row>
    <row r="158" spans="2:2">
      <c r="B158" s="12" t="str">
        <f>IF('ClinicalStage-ConceptMap-1'!S154=0,"//---END",'ClinicalStage-ConceptMap-1'!S154)</f>
        <v>//---END</v>
      </c>
    </row>
    <row r="159" spans="2:2">
      <c r="B159" s="12" t="str">
        <f>IF('ClinicalStage-ConceptMap-1'!S155=0,"//---END",'ClinicalStage-ConceptMap-1'!S155)</f>
        <v>//---END</v>
      </c>
    </row>
    <row r="160" spans="2:2">
      <c r="B160" s="12" t="str">
        <f>IF('ClinicalStage-ConceptMap-1'!S156=0,"//---END",'ClinicalStage-ConceptMap-1'!S156)</f>
        <v>//---END</v>
      </c>
    </row>
    <row r="161" spans="2:2">
      <c r="B161" s="12"/>
    </row>
    <row r="162" spans="2:2">
      <c r="B162" s="12"/>
    </row>
    <row r="164" spans="2:2">
      <c r="B164" s="131"/>
    </row>
    <row r="165" spans="2:2">
      <c r="B165" s="68" t="str">
        <f>"* group[+].source = ##34#"&amp;'ClinicalStage-ConceptMap-2'!E6&amp;"##34#"</f>
        <v>* group[+].source = ##34#http://hl7.eu/fhir/ig/idea4rc/StructureDefinition/ClinicalStage##34#</v>
      </c>
    </row>
    <row r="166" spans="2:2">
      <c r="B166" s="132" t="str">
        <f>"* group[=].target = ##34#"&amp;'ClinicalStage-ConceptMap-2'!E7&amp;"##34#"</f>
        <v>* group[=].target = ##34#http://hl7.eu/fhir/ig/idea4rc/StructureDefinition/mcode-tnm-primary-tumor-category##34#</v>
      </c>
    </row>
    <row r="167" spans="2:2">
      <c r="B167" s="133"/>
    </row>
    <row r="168" spans="2:2">
      <c r="B168" s="11" t="str">
        <f>IF('ClinicalStage-ConceptMap-2'!S15=0,"//---END",'ClinicalStage-ConceptMap-2'!S15)</f>
        <v>* group[=].element[+].code = #ClinicalStage.cT</v>
      </c>
    </row>
    <row r="169" spans="2:2">
      <c r="B169" s="11" t="str">
        <f>IF('ClinicalStage-ConceptMap-2'!S16=0,"//---END",'ClinicalStage-ConceptMap-2'!S16)</f>
        <v>* group[=].element[=].display = ##34#cT##34#</v>
      </c>
    </row>
    <row r="170" spans="2:2">
      <c r="B170" s="11" t="str">
        <f>IF('ClinicalStage-ConceptMap-2'!S17=0,"//---END",'ClinicalStage-ConceptMap-2'!S17)</f>
        <v>* group[=].element[=].target.code = #Observation.valueCodeableConcept</v>
      </c>
    </row>
    <row r="171" spans="2:2">
      <c r="B171" s="11" t="str">
        <f>IF('ClinicalStage-ConceptMap-2'!S18=0,"//---END",'ClinicalStage-ConceptMap-2'!S18)</f>
        <v>* group[=].element[=].target.display = ##34###34#</v>
      </c>
    </row>
    <row r="172" spans="2:2">
      <c r="B172" s="11" t="str">
        <f>IF('ClinicalStage-ConceptMap-2'!S19=0,"//---END",'ClinicalStage-ConceptMap-2'!S19)</f>
        <v>* group[=].element[=].target.equivalence = #relatedto</v>
      </c>
    </row>
    <row r="173" spans="2:2">
      <c r="B173" s="11" t="str">
        <f>IF('ClinicalStage-ConceptMap-2'!S20=0,"//---END",'ClinicalStage-ConceptMap-2'!S20)</f>
        <v/>
      </c>
    </row>
    <row r="174" spans="2:2">
      <c r="B174" s="11" t="str">
        <f>IF('ClinicalStage-ConceptMap-2'!S21=0,"//---END",'ClinicalStage-ConceptMap-2'!S21)</f>
        <v>* group[=].element[+].code = #ClinicalStage.cN</v>
      </c>
    </row>
    <row r="175" spans="2:2">
      <c r="B175" s="11" t="str">
        <f>IF('ClinicalStage-ConceptMap-2'!S22=0,"//---END",'ClinicalStage-ConceptMap-2'!S22)</f>
        <v>* group[=].element[=].display = ##34#cN##34#</v>
      </c>
    </row>
    <row r="176" spans="2:2">
      <c r="B176" s="11" t="str">
        <f>IF('ClinicalStage-ConceptMap-2'!S23=0,"//---END",'ClinicalStage-ConceptMap-2'!S23)</f>
        <v>//-- unmatched</v>
      </c>
    </row>
    <row r="177" spans="2:7">
      <c r="B177" s="11" t="str">
        <f>IF('ClinicalStage-ConceptMap-2'!S24=0,"//---END",'ClinicalStage-ConceptMap-2'!S24)</f>
        <v>//-- unmatched</v>
      </c>
    </row>
    <row r="178" spans="2:7">
      <c r="B178" s="11" t="str">
        <f>IF('ClinicalStage-ConceptMap-2'!S25=0,"//---END",'ClinicalStage-ConceptMap-2'!S25)</f>
        <v>* group[=].element[=].target.equivalence = #unmatched</v>
      </c>
    </row>
    <row r="179" spans="2:7">
      <c r="B179" s="11" t="str">
        <f>IF('ClinicalStage-ConceptMap-2'!S26=0,"//---END",'ClinicalStage-ConceptMap-2'!S26)</f>
        <v/>
      </c>
    </row>
    <row r="180" spans="2:7">
      <c r="B180" s="11" t="str">
        <f>IF('ClinicalStage-ConceptMap-2'!S27=0,"//---END",'ClinicalStage-ConceptMap-2'!S27)</f>
        <v>* group[=].element[+].code = #ClinicalStage.radiologicalExtraNodalExtension</v>
      </c>
    </row>
    <row r="181" spans="2:7">
      <c r="B181" s="11" t="str">
        <f>IF('ClinicalStage-ConceptMap-2'!S28=0,"//---END",'ClinicalStage-ConceptMap-2'!S28)</f>
        <v>* group[=].element[=].display = ##34#Radiological Extra-nodal extension (rENE)##34#</v>
      </c>
    </row>
    <row r="182" spans="2:7">
      <c r="B182" s="11" t="str">
        <f>IF('ClinicalStage-ConceptMap-2'!S29=0,"//---END",'ClinicalStage-ConceptMap-2'!S29)</f>
        <v>//-- unmatched</v>
      </c>
    </row>
    <row r="183" spans="2:7">
      <c r="B183" s="11" t="str">
        <f>IF('ClinicalStage-ConceptMap-2'!S30=0,"//---END",'ClinicalStage-ConceptMap-2'!S30)</f>
        <v>//-- unmatched</v>
      </c>
    </row>
    <row r="184" spans="2:7">
      <c r="B184" s="11" t="str">
        <f>IF('ClinicalStage-ConceptMap-2'!S31=0,"//---END",'ClinicalStage-ConceptMap-2'!S31)</f>
        <v>* group[=].element[=].target.equivalence = #unmatched</v>
      </c>
    </row>
    <row r="185" spans="2:7">
      <c r="B185" s="11" t="str">
        <f>IF('ClinicalStage-ConceptMap-2'!S32=0,"//---END",'ClinicalStage-ConceptMap-2'!S32)</f>
        <v/>
      </c>
    </row>
    <row r="186" spans="2:7">
      <c r="B186" s="11" t="str">
        <f>IF('ClinicalStage-ConceptMap-2'!S33=0,"//---END",'ClinicalStage-ConceptMap-2'!S33)</f>
        <v>//---END</v>
      </c>
    </row>
    <row r="187" spans="2:7">
      <c r="B187" s="11" t="str">
        <f>IF('ClinicalStage-ConceptMap-2'!S34=0,"//---END",'ClinicalStage-ConceptMap-2'!S34)</f>
        <v>//---END</v>
      </c>
    </row>
    <row r="188" spans="2:7">
      <c r="B188" s="11" t="str">
        <f>IF('ClinicalStage-ConceptMap-2'!S35=0,"//---END",'ClinicalStage-ConceptMap-2'!S35)</f>
        <v>//---END</v>
      </c>
    </row>
    <row r="189" spans="2:7">
      <c r="B189" s="11" t="str">
        <f>IF('ClinicalStage-ConceptMap-2'!S36=0,"//---END",'ClinicalStage-ConceptMap-2'!S36)</f>
        <v>//---END</v>
      </c>
    </row>
    <row r="190" spans="2:7">
      <c r="B190" s="120"/>
      <c r="C190" s="7"/>
      <c r="D190" s="7"/>
      <c r="E190" s="7"/>
      <c r="F190" s="7"/>
      <c r="G190" s="7"/>
    </row>
    <row r="191" spans="2:7">
      <c r="B191" s="131"/>
      <c r="C191" s="7"/>
      <c r="D191" s="7"/>
      <c r="E191" s="7"/>
      <c r="F191" s="7"/>
      <c r="G191" s="7"/>
    </row>
    <row r="192" spans="2:7">
      <c r="B192" s="68" t="str">
        <f>"* group[+].source = ##34#"&amp;'ClinicalStage-ConceptMap-3'!E6&amp;"##34#"</f>
        <v>* group[+].source = ##34#http://hl7.eu/fhir/ig/idea4rc/StructureDefinition/ClinicalStage##34#</v>
      </c>
      <c r="C192" s="7"/>
      <c r="D192" s="7"/>
      <c r="E192" s="7"/>
      <c r="F192" s="7"/>
      <c r="G192" s="7"/>
    </row>
    <row r="193" spans="2:7">
      <c r="B193" s="132" t="str">
        <f>"* group[=].target = ##34#"&amp;'ClinicalStage-ConceptMap-3'!E7&amp;"##34#"</f>
        <v>* group[=].target = ##34#http://hl7.eu/fhir/ig/idea4rc/StructureDefinition/mcode-tnm-regional-nodes-category##34#</v>
      </c>
      <c r="C193" s="7"/>
      <c r="D193" s="7"/>
      <c r="E193" s="7"/>
      <c r="F193" s="7"/>
      <c r="G193" s="7"/>
    </row>
    <row r="194" spans="2:7">
      <c r="B194" s="133"/>
      <c r="C194" s="7"/>
      <c r="D194" s="7"/>
      <c r="E194" s="7"/>
      <c r="F194" s="7"/>
      <c r="G194" s="7"/>
    </row>
    <row r="195" spans="2:7">
      <c r="B195" s="120" t="str">
        <f>IF('ClinicalStage-ConceptMap-3'!S15=0,"//---END",'ClinicalStage-ConceptMap-3'!S15)</f>
        <v>* group[=].element[+].code = #ClinicalStage.cT</v>
      </c>
      <c r="C195" s="7"/>
      <c r="D195" s="7"/>
      <c r="E195" s="7"/>
      <c r="F195" s="7"/>
      <c r="G195" s="7"/>
    </row>
    <row r="196" spans="2:7">
      <c r="B196" s="120" t="str">
        <f>IF('ClinicalStage-ConceptMap-3'!S16=0,"//---END",'ClinicalStage-ConceptMap-3'!S16)</f>
        <v>* group[=].element[=].display = ##34#cT##34#</v>
      </c>
      <c r="C196" s="7"/>
      <c r="D196" s="7"/>
      <c r="E196" s="7"/>
      <c r="F196" s="7"/>
      <c r="G196" s="7"/>
    </row>
    <row r="197" spans="2:7">
      <c r="B197" s="120" t="str">
        <f>IF('ClinicalStage-ConceptMap-3'!S17=0,"//---END",'ClinicalStage-ConceptMap-3'!S17)</f>
        <v>* group[=].element[=].target.code = #Observation.valueCodeableConcept</v>
      </c>
      <c r="C197" s="7"/>
      <c r="D197" s="7"/>
      <c r="E197" s="7"/>
      <c r="F197" s="7"/>
      <c r="G197" s="7"/>
    </row>
    <row r="198" spans="2:7">
      <c r="B198" s="120" t="str">
        <f>IF('ClinicalStage-ConceptMap-3'!S18=0,"//---END",'ClinicalStage-ConceptMap-3'!S18)</f>
        <v>* group[=].element[=].target.display = ##34###34#</v>
      </c>
      <c r="C198" s="7"/>
      <c r="D198" s="7"/>
      <c r="E198" s="7"/>
      <c r="F198" s="7"/>
      <c r="G198" s="7"/>
    </row>
    <row r="199" spans="2:7">
      <c r="B199" s="120" t="str">
        <f>IF('ClinicalStage-ConceptMap-3'!S19=0,"//---END",'ClinicalStage-ConceptMap-3'!S19)</f>
        <v>* group[=].element[=].target.equivalence = #relatedto</v>
      </c>
      <c r="C199" s="7"/>
      <c r="D199" s="7"/>
      <c r="E199" s="7"/>
      <c r="F199" s="7"/>
      <c r="G199" s="7"/>
    </row>
    <row r="200" spans="2:7">
      <c r="B200" s="120" t="str">
        <f>IF('ClinicalStage-ConceptMap-3'!S20=0,"//---END",'ClinicalStage-ConceptMap-3'!S20)</f>
        <v/>
      </c>
      <c r="C200" s="7"/>
      <c r="D200" s="7"/>
      <c r="E200" s="7"/>
      <c r="F200" s="7"/>
      <c r="G200" s="7"/>
    </row>
    <row r="201" spans="2:7">
      <c r="B201" s="120" t="str">
        <f>IF('ClinicalStage-ConceptMap-3'!S21=0,"//---END",'ClinicalStage-ConceptMap-3'!S21)</f>
        <v>* group[=].element[+].code = #ClinicalStage.cN</v>
      </c>
      <c r="C201" s="7"/>
      <c r="D201" s="7"/>
      <c r="E201" s="7"/>
      <c r="F201" s="7"/>
      <c r="G201" s="7"/>
    </row>
    <row r="202" spans="2:7">
      <c r="B202" s="120" t="str">
        <f>IF('ClinicalStage-ConceptMap-3'!S22=0,"//---END",'ClinicalStage-ConceptMap-3'!S22)</f>
        <v>* group[=].element[=].display = ##34#cN##34#</v>
      </c>
      <c r="C202" s="7"/>
      <c r="D202" s="7"/>
      <c r="E202" s="7"/>
      <c r="F202" s="7"/>
      <c r="G202" s="7"/>
    </row>
    <row r="203" spans="2:7">
      <c r="B203" s="120" t="str">
        <f>IF('ClinicalStage-ConceptMap-3'!S23=0,"//---END",'ClinicalStage-ConceptMap-3'!S23)</f>
        <v>//-- unmatched</v>
      </c>
      <c r="C203" s="7"/>
      <c r="D203" s="7"/>
      <c r="E203" s="7"/>
      <c r="F203" s="7"/>
      <c r="G203" s="7"/>
    </row>
    <row r="204" spans="2:7">
      <c r="B204" s="120" t="str">
        <f>IF('ClinicalStage-ConceptMap-3'!S24=0,"//---END",'ClinicalStage-ConceptMap-3'!S24)</f>
        <v>//-- unmatched</v>
      </c>
      <c r="C204" s="7"/>
      <c r="D204" s="7"/>
      <c r="E204" s="7"/>
      <c r="F204" s="7"/>
      <c r="G204" s="7"/>
    </row>
    <row r="205" spans="2:7">
      <c r="B205" s="120" t="str">
        <f>IF('ClinicalStage-ConceptMap-3'!S25=0,"//---END",'ClinicalStage-ConceptMap-3'!S25)</f>
        <v>* group[=].element[=].target.equivalence = #unmatched</v>
      </c>
      <c r="C205" s="7"/>
      <c r="D205" s="7"/>
      <c r="E205" s="7"/>
      <c r="F205" s="7"/>
      <c r="G205" s="7"/>
    </row>
    <row r="206" spans="2:7">
      <c r="B206" s="120" t="str">
        <f>IF('ClinicalStage-ConceptMap-3'!S26=0,"//---END",'ClinicalStage-ConceptMap-3'!S26)</f>
        <v/>
      </c>
      <c r="C206" s="7"/>
      <c r="D206" s="7"/>
      <c r="E206" s="7"/>
      <c r="F206" s="7"/>
      <c r="G206" s="7"/>
    </row>
    <row r="207" spans="2:7">
      <c r="B207" s="120" t="str">
        <f>IF('ClinicalStage-ConceptMap-3'!S27=0,"//---END",'ClinicalStage-ConceptMap-3'!S27)</f>
        <v>* group[=].element[+].code = #ClinicalStage.radiologicalExtraNodalExtension</v>
      </c>
      <c r="C207" s="7"/>
      <c r="D207" s="7"/>
      <c r="E207" s="7"/>
      <c r="F207" s="7"/>
      <c r="G207" s="7"/>
    </row>
    <row r="208" spans="2:7">
      <c r="B208" s="120" t="str">
        <f>IF('ClinicalStage-ConceptMap-3'!S28=0,"//---END",'ClinicalStage-ConceptMap-3'!S28)</f>
        <v>* group[=].element[=].display = ##34#Radiological Extra-nodal extension (rENE)##34#</v>
      </c>
      <c r="C208" s="7"/>
      <c r="D208" s="7"/>
      <c r="E208" s="7"/>
      <c r="F208" s="7"/>
      <c r="G208" s="7"/>
    </row>
    <row r="209" spans="2:7">
      <c r="B209" s="120" t="str">
        <f>IF('ClinicalStage-ConceptMap-3'!S29=0,"//---END",'ClinicalStage-ConceptMap-3'!S29)</f>
        <v>//-- unmatched</v>
      </c>
      <c r="C209" s="7"/>
      <c r="D209" s="7"/>
      <c r="E209" s="7"/>
      <c r="F209" s="7"/>
      <c r="G209" s="7"/>
    </row>
    <row r="210" spans="2:7">
      <c r="B210" s="120" t="str">
        <f>IF('ClinicalStage-ConceptMap-3'!S30=0,"//---END",'ClinicalStage-ConceptMap-3'!S30)</f>
        <v>//-- unmatched</v>
      </c>
      <c r="C210" s="7"/>
      <c r="D210" s="7"/>
      <c r="E210" s="7"/>
      <c r="F210" s="7"/>
      <c r="G210" s="7"/>
    </row>
    <row r="211" spans="2:7">
      <c r="B211" s="120" t="str">
        <f>IF('ClinicalStage-ConceptMap-3'!S31=0,"//---END",'ClinicalStage-ConceptMap-3'!S31)</f>
        <v>* group[=].element[=].target.equivalence = #unmatched</v>
      </c>
      <c r="C211" s="7"/>
      <c r="D211" s="7"/>
      <c r="E211" s="7"/>
      <c r="F211" s="7"/>
      <c r="G211" s="7"/>
    </row>
    <row r="212" spans="2:7">
      <c r="B212" s="120" t="str">
        <f>IF('ClinicalStage-ConceptMap-3'!S32=0,"//---END",'ClinicalStage-ConceptMap-3'!S32)</f>
        <v/>
      </c>
      <c r="C212" s="7"/>
      <c r="D212" s="7"/>
      <c r="E212" s="7"/>
      <c r="F212" s="7"/>
      <c r="G212" s="7"/>
    </row>
    <row r="213" spans="2:7">
      <c r="B213" s="120" t="str">
        <f>IF('ClinicalStage-ConceptMap-3'!S33=0,"//---END",'ClinicalStage-ConceptMap-3'!S33)</f>
        <v>* group[=].element[+].code = #ClinicalStage.cM</v>
      </c>
      <c r="C213" s="7"/>
      <c r="D213" s="7"/>
      <c r="E213" s="7"/>
      <c r="F213" s="7"/>
      <c r="G213" s="7"/>
    </row>
    <row r="214" spans="2:7">
      <c r="B214" s="120" t="str">
        <f>IF('ClinicalStage-ConceptMap-3'!S34=0,"//---END",'ClinicalStage-ConceptMap-3'!S34)</f>
        <v>* group[=].element[=].display = ##34#cM##34#</v>
      </c>
      <c r="C214" s="7"/>
      <c r="D214" s="7"/>
      <c r="E214" s="7"/>
      <c r="F214" s="7"/>
      <c r="G214" s="7"/>
    </row>
    <row r="215" spans="2:7">
      <c r="B215" s="120" t="str">
        <f>IF('ClinicalStage-ConceptMap-3'!S35=0,"//---END",'ClinicalStage-ConceptMap-3'!S35)</f>
        <v>//-- unmatched</v>
      </c>
      <c r="C215" s="7"/>
      <c r="D215" s="7"/>
      <c r="E215" s="7"/>
      <c r="F215" s="7"/>
      <c r="G215" s="7"/>
    </row>
    <row r="216" spans="2:7">
      <c r="B216" s="120" t="str">
        <f>IF('ClinicalStage-ConceptMap-3'!S36=0,"//---END",'ClinicalStage-ConceptMap-3'!S36)</f>
        <v>//-- unmatched</v>
      </c>
      <c r="C216" s="7"/>
      <c r="D216" s="7"/>
      <c r="E216" s="7"/>
      <c r="F216" s="7"/>
      <c r="G216" s="7"/>
    </row>
    <row r="217" spans="2:7">
      <c r="B217" s="120" t="str">
        <f>IF('ClinicalStage-ConceptMap-3'!S37=0,"//---END",'ClinicalStage-ConceptMap-3'!S37)</f>
        <v>* group[=].element[=].target.equivalence = #unmatched</v>
      </c>
      <c r="C217" s="7"/>
      <c r="D217" s="7"/>
      <c r="E217" s="7"/>
      <c r="F217" s="7"/>
      <c r="G217" s="7"/>
    </row>
    <row r="218" spans="2:7">
      <c r="B218" s="120" t="str">
        <f>IF('ClinicalStage-ConceptMap-3'!S38=0,"//---END",'ClinicalStage-ConceptMap-3'!S38)</f>
        <v/>
      </c>
      <c r="C218" s="7"/>
      <c r="D218" s="7"/>
      <c r="E218" s="7"/>
      <c r="F218" s="7"/>
      <c r="G218" s="7"/>
    </row>
    <row r="219" spans="2:7">
      <c r="B219" s="120" t="str">
        <f>IF('ClinicalStage-ConceptMap-3'!S39=0,"//---END",'ClinicalStage-ConceptMap-3'!S39)</f>
        <v>//---END</v>
      </c>
      <c r="C219" s="7"/>
      <c r="D219" s="7"/>
      <c r="E219" s="7"/>
      <c r="F219" s="7"/>
      <c r="G219" s="7"/>
    </row>
    <row r="220" spans="2:7">
      <c r="B220" s="120" t="str">
        <f>IF('ClinicalStage-ConceptMap-3'!S40=0,"//---END",'ClinicalStage-ConceptMap-3'!S40)</f>
        <v>//---END</v>
      </c>
      <c r="C220" s="7"/>
      <c r="D220" s="7"/>
      <c r="E220" s="7"/>
      <c r="F220" s="7"/>
      <c r="G220" s="7"/>
    </row>
    <row r="221" spans="2:7">
      <c r="B221" s="120" t="str">
        <f>IF('ClinicalStage-ConceptMap-3'!S41=0,"//---END",'ClinicalStage-ConceptMap-3'!S41)</f>
        <v>//---END</v>
      </c>
      <c r="C221" s="7"/>
      <c r="D221" s="7"/>
      <c r="E221" s="7"/>
      <c r="F221" s="7"/>
      <c r="G221" s="7"/>
    </row>
    <row r="222" spans="2:7">
      <c r="B222" s="120" t="str">
        <f>IF('ClinicalStage-ConceptMap-3'!S42=0,"//---END",'ClinicalStage-ConceptMap-3'!S42)</f>
        <v>//---END</v>
      </c>
      <c r="C222" s="7"/>
      <c r="D222" s="7"/>
      <c r="E222" s="7"/>
      <c r="F222" s="7"/>
      <c r="G222" s="7"/>
    </row>
    <row r="223" spans="2:7">
      <c r="B223" s="7"/>
      <c r="C223" s="7"/>
      <c r="D223" s="7"/>
      <c r="E223" s="7"/>
      <c r="F223" s="7"/>
      <c r="G223" s="7"/>
    </row>
    <row r="224" spans="2:7">
      <c r="B224" s="131"/>
      <c r="C224" s="7"/>
      <c r="D224" s="7"/>
      <c r="E224" s="7"/>
      <c r="F224" s="7"/>
      <c r="G224" s="7"/>
    </row>
    <row r="225" spans="2:7">
      <c r="B225" s="68" t="str">
        <f>"* group[+].source = ##34#"&amp;'ClinicalStage-ConceptMap-4'!E6&amp;"##34#"</f>
        <v>* group[+].source = ##34#http://hl7.eu/fhir/ig/idea4rc/StructureDefinition/ClinicalStage##34#</v>
      </c>
      <c r="C225" s="7"/>
      <c r="D225" s="7"/>
      <c r="E225" s="7"/>
      <c r="F225" s="7"/>
      <c r="G225" s="7"/>
    </row>
    <row r="226" spans="2:7">
      <c r="B226" s="132" t="str">
        <f>"* group[=].target = ##34#"&amp;'ClinicalStage-ConceptMap-4'!E7&amp;"##34#"</f>
        <v>* group[=].target = ##34#http://hl7.eu/fhir/ig/idea4rc/StructureDefinition/mcode-tnm-distant-metastases-category##34#</v>
      </c>
      <c r="C226" s="7"/>
      <c r="D226" s="7"/>
      <c r="E226" s="7"/>
      <c r="F226" s="7"/>
      <c r="G226" s="7"/>
    </row>
    <row r="227" spans="2:7">
      <c r="B227" s="133"/>
      <c r="C227" s="7"/>
      <c r="D227" s="7"/>
      <c r="E227" s="7"/>
      <c r="F227" s="7"/>
      <c r="G227" s="7"/>
    </row>
    <row r="228" spans="2:7">
      <c r="B228" s="7" t="str">
        <f>IF('ClinicalStage-ConceptMap-4'!S15=0,"//---END",'ClinicalStage-ConceptMap-4'!S15)</f>
        <v>* group[=].element[+].code = #ClinicalStage.cT</v>
      </c>
      <c r="C228" s="7"/>
      <c r="D228" s="7"/>
      <c r="E228" s="7"/>
      <c r="F228" s="7"/>
      <c r="G228" s="7"/>
    </row>
    <row r="229" spans="2:7">
      <c r="B229" s="7" t="str">
        <f>IF('ClinicalStage-ConceptMap-4'!S16=0,"//---END",'ClinicalStage-ConceptMap-4'!S16)</f>
        <v>* group[=].element[=].display = ##34#cT##34#</v>
      </c>
      <c r="C229" s="7"/>
      <c r="D229" s="7"/>
      <c r="E229" s="7"/>
      <c r="F229" s="7"/>
      <c r="G229" s="7"/>
    </row>
    <row r="230" spans="2:7">
      <c r="B230" s="7" t="str">
        <f>IF('ClinicalStage-ConceptMap-4'!S17=0,"//---END",'ClinicalStage-ConceptMap-4'!S17)</f>
        <v>* group[=].element[=].target.code = #Observation.valueCodeableConcept</v>
      </c>
      <c r="C230" s="7"/>
      <c r="D230" s="7"/>
      <c r="E230" s="7"/>
      <c r="F230" s="7"/>
      <c r="G230" s="7"/>
    </row>
    <row r="231" spans="2:7">
      <c r="B231" s="7" t="str">
        <f>IF('ClinicalStage-ConceptMap-4'!S18=0,"//---END",'ClinicalStage-ConceptMap-4'!S18)</f>
        <v>* group[=].element[=].target.display = ##34###34#</v>
      </c>
      <c r="C231" s="7"/>
      <c r="D231" s="7"/>
      <c r="E231" s="7"/>
      <c r="F231" s="7"/>
      <c r="G231" s="7"/>
    </row>
    <row r="232" spans="2:7">
      <c r="B232" s="7" t="str">
        <f>IF('ClinicalStage-ConceptMap-4'!S19=0,"//---END",'ClinicalStage-ConceptMap-4'!S19)</f>
        <v>* group[=].element[=].target.equivalence = #relatedto</v>
      </c>
      <c r="C232" s="7"/>
      <c r="D232" s="7"/>
      <c r="E232" s="7"/>
      <c r="F232" s="7"/>
      <c r="G232" s="7"/>
    </row>
    <row r="233" spans="2:7">
      <c r="B233" s="7" t="str">
        <f>IF('ClinicalStage-ConceptMap-4'!S20=0,"//---END",'ClinicalStage-ConceptMap-4'!S20)</f>
        <v/>
      </c>
      <c r="C233" s="7"/>
      <c r="D233" s="7"/>
      <c r="E233" s="7"/>
      <c r="F233" s="7"/>
      <c r="G233" s="7"/>
    </row>
    <row r="234" spans="2:7">
      <c r="B234" s="7" t="str">
        <f>IF('ClinicalStage-ConceptMap-4'!S21=0,"//---END",'ClinicalStage-ConceptMap-4'!S21)</f>
        <v>* group[=].element[+].code = #ClinicalStage.cN</v>
      </c>
      <c r="C234" s="7"/>
      <c r="D234" s="7"/>
      <c r="E234" s="7"/>
      <c r="F234" s="7"/>
      <c r="G234" s="7"/>
    </row>
    <row r="235" spans="2:7">
      <c r="B235" s="7" t="str">
        <f>IF('ClinicalStage-ConceptMap-4'!S22=0,"//---END",'ClinicalStage-ConceptMap-4'!S22)</f>
        <v>* group[=].element[=].display = ##34#cN##34#</v>
      </c>
      <c r="C235" s="7"/>
      <c r="D235" s="7"/>
      <c r="E235" s="7"/>
      <c r="F235" s="7"/>
      <c r="G235" s="7"/>
    </row>
    <row r="236" spans="2:7">
      <c r="B236" s="7" t="str">
        <f>IF('ClinicalStage-ConceptMap-4'!S23=0,"//---END",'ClinicalStage-ConceptMap-4'!S23)</f>
        <v>//-- unmatched</v>
      </c>
      <c r="C236" s="7"/>
      <c r="D236" s="7"/>
      <c r="E236" s="7"/>
      <c r="F236" s="7"/>
      <c r="G236" s="7"/>
    </row>
    <row r="237" spans="2:7">
      <c r="B237" s="7" t="str">
        <f>IF('ClinicalStage-ConceptMap-4'!S24=0,"//---END",'ClinicalStage-ConceptMap-4'!S24)</f>
        <v>//-- unmatched</v>
      </c>
      <c r="C237" s="7"/>
      <c r="D237" s="7"/>
      <c r="E237" s="7"/>
      <c r="F237" s="7"/>
      <c r="G237" s="7"/>
    </row>
    <row r="238" spans="2:7">
      <c r="B238" s="7" t="str">
        <f>IF('ClinicalStage-ConceptMap-4'!S25=0,"//---END",'ClinicalStage-ConceptMap-4'!S25)</f>
        <v>* group[=].element[=].target.equivalence = #unmatched</v>
      </c>
    </row>
    <row r="239" spans="2:7">
      <c r="B239" s="7" t="str">
        <f>IF('ClinicalStage-ConceptMap-4'!S26=0,"//---END",'ClinicalStage-ConceptMap-4'!S26)</f>
        <v/>
      </c>
    </row>
    <row r="240" spans="2:7">
      <c r="B240" s="7" t="str">
        <f>IF('ClinicalStage-ConceptMap-4'!S27=0,"//---END",'ClinicalStage-ConceptMap-4'!S27)</f>
        <v>* group[=].element[+].code = #ClinicalStage.radiologicalExtraNodalExtension</v>
      </c>
    </row>
    <row r="241" spans="2:2">
      <c r="B241" s="7" t="str">
        <f>IF('ClinicalStage-ConceptMap-4'!S28=0,"//---END",'ClinicalStage-ConceptMap-4'!S28)</f>
        <v>* group[=].element[=].display = ##34#Radiological Extra-nodal extension (rENE)##34#</v>
      </c>
    </row>
    <row r="242" spans="2:2">
      <c r="B242" s="7" t="str">
        <f>IF('ClinicalStage-ConceptMap-4'!S29=0,"//---END",'ClinicalStage-ConceptMap-4'!S29)</f>
        <v>//-- unmatched</v>
      </c>
    </row>
    <row r="243" spans="2:2">
      <c r="B243" s="7" t="str">
        <f>IF('ClinicalStage-ConceptMap-4'!S30=0,"//---END",'ClinicalStage-ConceptMap-4'!S30)</f>
        <v>//-- unmatched</v>
      </c>
    </row>
    <row r="244" spans="2:2">
      <c r="B244" s="7" t="str">
        <f>IF('ClinicalStage-ConceptMap-4'!S31=0,"//---END",'ClinicalStage-ConceptMap-4'!S31)</f>
        <v>* group[=].element[=].target.equivalence = #unmatched</v>
      </c>
    </row>
    <row r="245" spans="2:2">
      <c r="B245" s="7" t="str">
        <f>IF('ClinicalStage-ConceptMap-4'!S32=0,"//---END",'ClinicalStage-ConceptMap-4'!S32)</f>
        <v/>
      </c>
    </row>
    <row r="246" spans="2:2">
      <c r="B246" s="7" t="str">
        <f>IF('ClinicalStage-ConceptMap-4'!S33=0,"//---END",'ClinicalStage-ConceptMap-4'!S33)</f>
        <v>* group[=].element[+].code = #ClinicalStage.cM</v>
      </c>
    </row>
    <row r="247" spans="2:2">
      <c r="B247" s="7" t="str">
        <f>IF('ClinicalStage-ConceptMap-4'!S34=0,"//---END",'ClinicalStage-ConceptMap-4'!S34)</f>
        <v>* group[=].element[=].display = ##34#cM##34#</v>
      </c>
    </row>
    <row r="248" spans="2:2">
      <c r="B248" s="7" t="str">
        <f>IF('ClinicalStage-ConceptMap-4'!S35=0,"//---END",'ClinicalStage-ConceptMap-4'!S35)</f>
        <v>//-- unmatched</v>
      </c>
    </row>
    <row r="249" spans="2:2">
      <c r="B249" s="7" t="str">
        <f>IF('ClinicalStage-ConceptMap-4'!S36=0,"//---END",'ClinicalStage-ConceptMap-4'!S36)</f>
        <v>//-- unmatched</v>
      </c>
    </row>
    <row r="250" spans="2:2">
      <c r="B250" s="7" t="str">
        <f>IF('ClinicalStage-ConceptMap-4'!S37=0,"//---END",'ClinicalStage-ConceptMap-4'!S37)</f>
        <v>* group[=].element[=].target.equivalence = #unmatched</v>
      </c>
    </row>
    <row r="251" spans="2:2">
      <c r="B251" s="7" t="str">
        <f>IF('ClinicalStage-ConceptMap-4'!S38=0,"//---END",'ClinicalStage-ConceptMap-4'!S38)</f>
        <v/>
      </c>
    </row>
    <row r="252" spans="2:2">
      <c r="B252" s="7" t="str">
        <f>IF('ClinicalStage-ConceptMap-4'!S39=0,"//---END",'ClinicalStage-ConceptMap-4'!S39)</f>
        <v>//---END</v>
      </c>
    </row>
    <row r="253" spans="2:2">
      <c r="B253" s="7" t="str">
        <f>IF('ClinicalStage-ConceptMap-4'!S40=0,"//---END",'ClinicalStage-ConceptMap-4'!S40)</f>
        <v>//---END</v>
      </c>
    </row>
    <row r="254" spans="2:2">
      <c r="B254" s="7" t="str">
        <f>IF('ClinicalStage-ConceptMap-4'!S41=0,"//---END",'ClinicalStage-ConceptMap-4'!S41)</f>
        <v>//---END</v>
      </c>
    </row>
    <row r="255" spans="2:2">
      <c r="B255" s="7" t="str">
        <f>IF('ClinicalStage-ConceptMap-4'!S42=0,"//---END",'ClinicalStage-ConceptMap-4'!S42)</f>
        <v>//---END</v>
      </c>
    </row>
    <row r="256" spans="2:2">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C2C1-7C4B-4B48-B0EF-E67479AEEC7B}">
  <dimension ref="A1:I45"/>
  <sheetViews>
    <sheetView topLeftCell="A27" workbookViewId="0">
      <selection activeCell="B26" sqref="B26:H45"/>
    </sheetView>
  </sheetViews>
  <sheetFormatPr defaultRowHeight="14.75"/>
  <cols>
    <col min="2" max="2" width="36.6328125" bestFit="1" customWidth="1"/>
    <col min="3" max="3" width="22.6796875" bestFit="1" customWidth="1"/>
    <col min="4" max="4" width="89.31640625" style="2" customWidth="1"/>
    <col min="5" max="5" width="15.7265625" bestFit="1" customWidth="1"/>
    <col min="6" max="6" width="23.7265625" customWidth="1"/>
    <col min="7" max="7" width="17.453125" customWidth="1"/>
    <col min="8" max="8" width="41.81640625" customWidth="1"/>
  </cols>
  <sheetData>
    <row r="1" spans="1:9">
      <c r="A1" s="100" t="s">
        <v>1765</v>
      </c>
      <c r="B1" s="100" t="s">
        <v>1764</v>
      </c>
      <c r="C1" s="100" t="s">
        <v>1763</v>
      </c>
      <c r="D1" s="144" t="s">
        <v>4</v>
      </c>
      <c r="E1" s="100" t="s">
        <v>7</v>
      </c>
      <c r="F1" s="100" t="s">
        <v>1469</v>
      </c>
      <c r="G1" s="100" t="s">
        <v>1762</v>
      </c>
      <c r="H1" s="100" t="s">
        <v>5</v>
      </c>
      <c r="I1" s="100" t="s">
        <v>6</v>
      </c>
    </row>
    <row r="2" spans="1:9">
      <c r="A2">
        <v>0</v>
      </c>
      <c r="B2" t="s">
        <v>1954</v>
      </c>
      <c r="C2" t="s">
        <v>1909</v>
      </c>
      <c r="D2" s="2" t="s">
        <v>1910</v>
      </c>
      <c r="E2" t="s">
        <v>1759</v>
      </c>
      <c r="H2">
        <v>1</v>
      </c>
      <c r="I2">
        <v>1</v>
      </c>
    </row>
    <row r="3" spans="1:9">
      <c r="A3">
        <v>1</v>
      </c>
      <c r="B3" t="s">
        <v>1955</v>
      </c>
      <c r="C3" t="s">
        <v>1956</v>
      </c>
      <c r="D3" s="2" t="s">
        <v>1957</v>
      </c>
      <c r="E3" t="s">
        <v>275</v>
      </c>
      <c r="F3" t="s">
        <v>1958</v>
      </c>
      <c r="G3" t="s">
        <v>1959</v>
      </c>
      <c r="H3">
        <v>0</v>
      </c>
      <c r="I3">
        <v>1</v>
      </c>
    </row>
    <row r="4" spans="1:9">
      <c r="A4">
        <v>2</v>
      </c>
      <c r="B4" t="s">
        <v>1960</v>
      </c>
      <c r="C4" t="s">
        <v>1961</v>
      </c>
      <c r="D4" s="2" t="s">
        <v>1962</v>
      </c>
      <c r="E4" t="s">
        <v>275</v>
      </c>
      <c r="F4" t="s">
        <v>1963</v>
      </c>
      <c r="G4" t="s">
        <v>1964</v>
      </c>
      <c r="H4">
        <v>0</v>
      </c>
      <c r="I4">
        <v>1</v>
      </c>
    </row>
    <row r="5" spans="1:9">
      <c r="A5">
        <v>3</v>
      </c>
      <c r="B5" t="s">
        <v>1965</v>
      </c>
      <c r="C5" t="s">
        <v>1966</v>
      </c>
      <c r="D5" s="2" t="s">
        <v>1967</v>
      </c>
      <c r="E5" t="s">
        <v>275</v>
      </c>
      <c r="F5" t="s">
        <v>1968</v>
      </c>
      <c r="G5" t="s">
        <v>1969</v>
      </c>
      <c r="H5">
        <v>0</v>
      </c>
      <c r="I5">
        <v>1</v>
      </c>
    </row>
    <row r="6" spans="1:9" ht="29.5">
      <c r="A6">
        <v>4</v>
      </c>
      <c r="B6" t="s">
        <v>1970</v>
      </c>
      <c r="C6" t="s">
        <v>1971</v>
      </c>
      <c r="D6" s="2" t="s">
        <v>1972</v>
      </c>
      <c r="E6" t="s">
        <v>1754</v>
      </c>
      <c r="F6" t="s">
        <v>1973</v>
      </c>
      <c r="G6" t="s">
        <v>1974</v>
      </c>
      <c r="H6">
        <v>0</v>
      </c>
      <c r="I6">
        <v>1</v>
      </c>
    </row>
    <row r="7" spans="1:9" ht="44.25">
      <c r="A7">
        <v>5</v>
      </c>
      <c r="B7" t="s">
        <v>1975</v>
      </c>
      <c r="C7" t="s">
        <v>1976</v>
      </c>
      <c r="D7" s="2" t="s">
        <v>1977</v>
      </c>
      <c r="E7" t="s">
        <v>1754</v>
      </c>
      <c r="F7" t="s">
        <v>1978</v>
      </c>
      <c r="G7" t="s">
        <v>1979</v>
      </c>
      <c r="H7">
        <v>0</v>
      </c>
      <c r="I7">
        <v>1</v>
      </c>
    </row>
    <row r="8" spans="1:9" ht="29.5">
      <c r="A8">
        <v>6</v>
      </c>
      <c r="B8" t="s">
        <v>1980</v>
      </c>
      <c r="C8" t="s">
        <v>1981</v>
      </c>
      <c r="D8" s="2" t="s">
        <v>1646</v>
      </c>
      <c r="E8" t="s">
        <v>1754</v>
      </c>
      <c r="F8" t="s">
        <v>1982</v>
      </c>
      <c r="G8" t="s">
        <v>1983</v>
      </c>
      <c r="H8">
        <v>1</v>
      </c>
      <c r="I8">
        <v>1</v>
      </c>
    </row>
    <row r="9" spans="1:9">
      <c r="A9">
        <v>7</v>
      </c>
      <c r="B9" t="s">
        <v>1984</v>
      </c>
      <c r="C9" t="s">
        <v>1645</v>
      </c>
      <c r="D9" s="2" t="s">
        <v>1985</v>
      </c>
      <c r="E9" t="s">
        <v>1754</v>
      </c>
      <c r="F9" t="s">
        <v>1982</v>
      </c>
      <c r="G9" t="s">
        <v>1983</v>
      </c>
      <c r="H9">
        <v>0</v>
      </c>
      <c r="I9">
        <v>1</v>
      </c>
    </row>
    <row r="10" spans="1:9">
      <c r="A10">
        <v>8</v>
      </c>
      <c r="B10" t="s">
        <v>1986</v>
      </c>
      <c r="C10" t="s">
        <v>1987</v>
      </c>
      <c r="D10" s="2" t="s">
        <v>1988</v>
      </c>
      <c r="E10" t="s">
        <v>275</v>
      </c>
      <c r="F10" t="s">
        <v>1989</v>
      </c>
      <c r="G10" t="s">
        <v>1990</v>
      </c>
      <c r="H10">
        <v>1</v>
      </c>
      <c r="I10">
        <v>1</v>
      </c>
    </row>
    <row r="11" spans="1:9">
      <c r="A11">
        <v>9</v>
      </c>
      <c r="B11" t="s">
        <v>1991</v>
      </c>
      <c r="C11" t="s">
        <v>1622</v>
      </c>
      <c r="D11" s="2" t="s">
        <v>1623</v>
      </c>
      <c r="E11" t="s">
        <v>275</v>
      </c>
      <c r="F11" t="s">
        <v>1929</v>
      </c>
      <c r="H11">
        <v>1</v>
      </c>
      <c r="I11">
        <v>1</v>
      </c>
    </row>
    <row r="12" spans="1:9">
      <c r="A12">
        <v>10</v>
      </c>
      <c r="B12" t="s">
        <v>1992</v>
      </c>
      <c r="C12" t="s">
        <v>1993</v>
      </c>
      <c r="D12" s="2" t="s">
        <v>1625</v>
      </c>
      <c r="E12" t="s">
        <v>1606</v>
      </c>
      <c r="F12" t="s">
        <v>1932</v>
      </c>
      <c r="H12">
        <v>0</v>
      </c>
      <c r="I12">
        <v>1</v>
      </c>
    </row>
    <row r="13" spans="1:9">
      <c r="A13">
        <v>11</v>
      </c>
      <c r="B13" t="s">
        <v>1994</v>
      </c>
      <c r="C13" t="s">
        <v>1626</v>
      </c>
      <c r="D13" s="2" t="s">
        <v>1627</v>
      </c>
      <c r="E13" t="s">
        <v>1606</v>
      </c>
      <c r="F13" t="s">
        <v>1932</v>
      </c>
      <c r="H13">
        <v>0</v>
      </c>
      <c r="I13">
        <v>1</v>
      </c>
    </row>
    <row r="14" spans="1:9">
      <c r="A14">
        <v>12</v>
      </c>
      <c r="B14" t="s">
        <v>1995</v>
      </c>
      <c r="C14" t="s">
        <v>1628</v>
      </c>
      <c r="D14" s="2" t="s">
        <v>1629</v>
      </c>
      <c r="E14" t="s">
        <v>1606</v>
      </c>
      <c r="F14" t="s">
        <v>1932</v>
      </c>
      <c r="H14">
        <v>0</v>
      </c>
      <c r="I14">
        <v>1</v>
      </c>
    </row>
    <row r="15" spans="1:9">
      <c r="A15">
        <v>13</v>
      </c>
      <c r="B15" t="s">
        <v>1996</v>
      </c>
      <c r="C15" t="s">
        <v>1630</v>
      </c>
      <c r="D15" s="2" t="s">
        <v>1631</v>
      </c>
      <c r="E15" t="s">
        <v>1606</v>
      </c>
      <c r="F15" t="s">
        <v>1932</v>
      </c>
      <c r="H15">
        <v>0</v>
      </c>
      <c r="I15">
        <v>1</v>
      </c>
    </row>
    <row r="16" spans="1:9">
      <c r="A16">
        <v>14</v>
      </c>
      <c r="B16" t="s">
        <v>1997</v>
      </c>
      <c r="C16" t="s">
        <v>1632</v>
      </c>
      <c r="D16" s="2" t="s">
        <v>1633</v>
      </c>
      <c r="E16" t="s">
        <v>1606</v>
      </c>
      <c r="F16" t="s">
        <v>1932</v>
      </c>
      <c r="H16">
        <v>0</v>
      </c>
      <c r="I16">
        <v>1</v>
      </c>
    </row>
    <row r="17" spans="1:9">
      <c r="A17">
        <v>15</v>
      </c>
      <c r="B17" t="s">
        <v>1998</v>
      </c>
      <c r="C17" t="s">
        <v>1634</v>
      </c>
      <c r="D17" s="2" t="s">
        <v>1635</v>
      </c>
      <c r="E17" t="s">
        <v>1606</v>
      </c>
      <c r="F17" t="s">
        <v>1932</v>
      </c>
      <c r="H17">
        <v>0</v>
      </c>
      <c r="I17">
        <v>1</v>
      </c>
    </row>
    <row r="18" spans="1:9">
      <c r="A18">
        <v>16</v>
      </c>
      <c r="B18" t="s">
        <v>1999</v>
      </c>
      <c r="C18" t="s">
        <v>1636</v>
      </c>
      <c r="D18" s="2" t="s">
        <v>1637</v>
      </c>
      <c r="E18" t="s">
        <v>1606</v>
      </c>
      <c r="F18" t="s">
        <v>1932</v>
      </c>
      <c r="H18">
        <v>0</v>
      </c>
      <c r="I18">
        <v>1</v>
      </c>
    </row>
    <row r="19" spans="1:9">
      <c r="A19">
        <v>17</v>
      </c>
      <c r="B19" t="s">
        <v>2000</v>
      </c>
      <c r="C19" t="s">
        <v>1638</v>
      </c>
      <c r="D19" s="2" t="s">
        <v>1639</v>
      </c>
      <c r="E19" t="s">
        <v>1606</v>
      </c>
      <c r="F19" t="s">
        <v>1932</v>
      </c>
      <c r="H19">
        <v>0</v>
      </c>
      <c r="I19">
        <v>1</v>
      </c>
    </row>
    <row r="20" spans="1:9">
      <c r="A20">
        <v>18</v>
      </c>
      <c r="B20" t="s">
        <v>2001</v>
      </c>
      <c r="C20" t="s">
        <v>1640</v>
      </c>
      <c r="D20" s="2" t="s">
        <v>1641</v>
      </c>
      <c r="E20" t="s">
        <v>1606</v>
      </c>
      <c r="F20" t="s">
        <v>1932</v>
      </c>
      <c r="H20">
        <v>0</v>
      </c>
      <c r="I20">
        <v>1</v>
      </c>
    </row>
    <row r="21" spans="1:9">
      <c r="A21">
        <v>19</v>
      </c>
      <c r="B21" t="s">
        <v>2002</v>
      </c>
      <c r="C21" t="s">
        <v>1642</v>
      </c>
      <c r="D21" s="2" t="s">
        <v>1643</v>
      </c>
      <c r="E21" t="s">
        <v>1606</v>
      </c>
      <c r="F21" t="s">
        <v>1932</v>
      </c>
      <c r="H21">
        <v>0</v>
      </c>
      <c r="I21">
        <v>1</v>
      </c>
    </row>
    <row r="25" spans="1:9">
      <c r="C25" s="9" t="s">
        <v>3</v>
      </c>
      <c r="D25" s="1" t="s">
        <v>4</v>
      </c>
      <c r="E25" s="3" t="s">
        <v>5</v>
      </c>
      <c r="F25" s="3" t="s">
        <v>6</v>
      </c>
      <c r="G25" s="3" t="s">
        <v>7</v>
      </c>
      <c r="H25" s="105" t="s">
        <v>1610</v>
      </c>
    </row>
    <row r="26" spans="1:9">
      <c r="B26" t="str">
        <f>B2</f>
        <v>PathologicalStage.EpisodeEventReference</v>
      </c>
      <c r="C26" t="str">
        <f>C2</f>
        <v>Episode Event Reference</v>
      </c>
      <c r="D26" t="str">
        <f>D2</f>
        <v>EpisodeEvent element containing the data regarding the patient's cancer</v>
      </c>
      <c r="E26">
        <f>H2</f>
        <v>1</v>
      </c>
      <c r="F26">
        <f>I2</f>
        <v>1</v>
      </c>
      <c r="G26" t="str">
        <f>E2</f>
        <v>ElementReference</v>
      </c>
      <c r="H26" s="2" t="str">
        <f>CONCATENATE(F2,$K$2,G2)</f>
        <v/>
      </c>
    </row>
    <row r="27" spans="1:9" ht="162.25">
      <c r="B27" t="str">
        <f t="shared" ref="B27:D27" si="0">B3</f>
        <v>PathologicalStage.Pt</v>
      </c>
      <c r="C27" t="str">
        <f t="shared" si="0"/>
        <v>pT</v>
      </c>
      <c r="D27" t="str">
        <f t="shared" si="0"/>
        <v>Specifies the pathological T</v>
      </c>
      <c r="E27">
        <f t="shared" ref="E27:F27" si="1">H3</f>
        <v>0</v>
      </c>
      <c r="F27">
        <f t="shared" si="1"/>
        <v>1</v>
      </c>
      <c r="G27" t="str">
        <f t="shared" ref="G27:G45" si="2">E3</f>
        <v>Code</v>
      </c>
      <c r="H27" s="2" t="str">
        <f t="shared" ref="H27:H45" si="3">CONCATENATE(F3,$K$2,G3)</f>
        <v>Tx; Tis; T0;T1;T2; T3; T4; T4a; T4b; unknownTx - 4282467
 Tis - 4195922
T0 - 4243213
T1 -  4052407
T2 - 4194614
 T3 - 4032012
 T4 - 4278513
 T4a - 4127612
 T4b - 4129920
Unknown - 4129922</v>
      </c>
    </row>
    <row r="28" spans="1:9" ht="177">
      <c r="B28" t="str">
        <f t="shared" ref="B28:D28" si="4">B4</f>
        <v>PathologicalStage.Pn</v>
      </c>
      <c r="C28" t="str">
        <f t="shared" si="4"/>
        <v>pN</v>
      </c>
      <c r="D28" t="str">
        <f t="shared" si="4"/>
        <v>Specifies the pathological N</v>
      </c>
      <c r="E28">
        <f t="shared" ref="E28:F28" si="5">H4</f>
        <v>0</v>
      </c>
      <c r="F28">
        <f t="shared" si="5"/>
        <v>1</v>
      </c>
      <c r="G28" t="str">
        <f t="shared" si="2"/>
        <v>Code</v>
      </c>
      <c r="H28" s="2" t="str">
        <f t="shared" si="3"/>
        <v>Nx; N0;N1;N2;N2a;N2b;N2c;N3; N3a;N3b; unknownNx - 4195718
N0 - 4266674
N1 - 4203608
N2 - 4263599
N2a - 4135247
N2b - 4119012
N2c - 4118508
N3 - 4239307
N3a - 4240556
N3b - 4240557
Unknown - 4129922</v>
      </c>
    </row>
    <row r="29" spans="1:9" ht="44.25">
      <c r="B29" t="str">
        <f t="shared" ref="B29:D29" si="6">B5</f>
        <v>PathologicalStage.Pm</v>
      </c>
      <c r="C29" t="str">
        <f t="shared" si="6"/>
        <v>pM</v>
      </c>
      <c r="D29" t="str">
        <f t="shared" si="6"/>
        <v>Describes whether capsular extension is present by histopathologic examination or not</v>
      </c>
      <c r="E29">
        <f t="shared" ref="E29:F29" si="7">H5</f>
        <v>0</v>
      </c>
      <c r="F29">
        <f t="shared" si="7"/>
        <v>1</v>
      </c>
      <c r="G29" t="str">
        <f t="shared" si="2"/>
        <v>Code</v>
      </c>
      <c r="H29" s="2" t="str">
        <f t="shared" si="3"/>
        <v>M0; M1; unknownM0 -  4149726
M1 - 4205430
Unknown - 4129922</v>
      </c>
    </row>
    <row r="30" spans="1:9" ht="44.25">
      <c r="B30" t="str">
        <f t="shared" ref="B30:D30" si="8">B6</f>
        <v>PathologicalStage.ExtranodalExtension(Ene)</v>
      </c>
      <c r="C30" t="str">
        <f t="shared" si="8"/>
        <v>Extranodal extension (ENE)</v>
      </c>
      <c r="D30" t="str">
        <f t="shared" si="8"/>
        <v>Describes extent of extranodal extension. This number must be explicitly referred to in the pathological report, otherwise it is unknown</v>
      </c>
      <c r="E30">
        <f t="shared" ref="E30:F30" si="9">H6</f>
        <v>0</v>
      </c>
      <c r="F30">
        <f t="shared" si="9"/>
        <v>1</v>
      </c>
      <c r="G30" t="str">
        <f t="shared" si="2"/>
        <v>CustomCode</v>
      </c>
      <c r="H30" s="2" t="str">
        <f t="shared" si="3"/>
        <v>ENE-; ENE+;  unknown.ENE- - 36769946
ENE+ - 36770618
Unknown - 4129922</v>
      </c>
    </row>
    <row r="31" spans="1:9">
      <c r="B31" t="str">
        <f t="shared" ref="B31:D31" si="10">B7</f>
        <v>PathologicalStage.ExtranodalExtent</v>
      </c>
      <c r="C31" t="str">
        <f t="shared" si="10"/>
        <v>Extranodal Extent</v>
      </c>
      <c r="D31" t="str">
        <f t="shared" si="10"/>
        <v>Describes whether a sentinel node procedure was performed or not. Sentinel lymph node biopsy is considered a diagnostic procedure, therefore, per se, the neck is not considered to have been treated if it does not lead to a neck dissection.</v>
      </c>
      <c r="E31">
        <f t="shared" ref="E31:F31" si="11">H7</f>
        <v>0</v>
      </c>
      <c r="F31">
        <f t="shared" si="11"/>
        <v>1</v>
      </c>
      <c r="G31" t="str">
        <f t="shared" si="2"/>
        <v>CustomCode</v>
      </c>
      <c r="H31" s="2" t="str">
        <f t="shared" si="3"/>
        <v>&lt; 2mm;  &gt;=2mm; unknownCustom</v>
      </c>
    </row>
    <row r="32" spans="1:9" ht="44.25">
      <c r="B32" t="str">
        <f t="shared" ref="B32:D32" si="12">B8</f>
        <v>PathologicalStage.SentinelNode</v>
      </c>
      <c r="C32" t="str">
        <f t="shared" si="12"/>
        <v>Sentinel node</v>
      </c>
      <c r="D32" t="str">
        <f t="shared" si="12"/>
        <v>Describes whether a protocoled and standardized en block resection of lymphatic tissue is performed or not</v>
      </c>
      <c r="E32">
        <f t="shared" ref="E32:F32" si="13">H8</f>
        <v>1</v>
      </c>
      <c r="F32">
        <f t="shared" si="13"/>
        <v>1</v>
      </c>
      <c r="G32" t="str">
        <f t="shared" si="2"/>
        <v>CustomCode</v>
      </c>
      <c r="H32" s="2" t="str">
        <f t="shared" si="3"/>
        <v>Yes; No; Unknown.Yes - 4188539
No -  4188540
Unknown - 4129922</v>
      </c>
    </row>
    <row r="33" spans="2:8" ht="44.25">
      <c r="B33" t="str">
        <f t="shared" ref="B33:D33" si="14">B9</f>
        <v>PathologicalStage.NeckDissection</v>
      </c>
      <c r="C33" t="str">
        <f t="shared" si="14"/>
        <v>Neck dissection</v>
      </c>
      <c r="D33" t="str">
        <f t="shared" si="14"/>
        <v>Specifies the pathological M</v>
      </c>
      <c r="E33">
        <f t="shared" ref="E33:F33" si="15">H9</f>
        <v>0</v>
      </c>
      <c r="F33">
        <f t="shared" si="15"/>
        <v>1</v>
      </c>
      <c r="G33" t="str">
        <f t="shared" si="2"/>
        <v>CustomCode</v>
      </c>
      <c r="H33" s="2" t="str">
        <f t="shared" si="3"/>
        <v>Yes; No; Unknown.Yes - 4188539
No -  4188540
Unknown - 4129922</v>
      </c>
    </row>
    <row r="34" spans="2:8" ht="29.5">
      <c r="B34" t="str">
        <f t="shared" ref="B34:D34" si="16">B10</f>
        <v>PathologicalStage.PathologicalStaging</v>
      </c>
      <c r="C34" t="str">
        <f t="shared" si="16"/>
        <v>Pathological staging</v>
      </c>
      <c r="D34" t="str">
        <f t="shared" si="16"/>
        <v>Specifies the pathological staging</v>
      </c>
      <c r="E34">
        <f t="shared" ref="E34:F34" si="17">H10</f>
        <v>1</v>
      </c>
      <c r="F34">
        <f t="shared" si="17"/>
        <v>1</v>
      </c>
      <c r="G34" t="str">
        <f t="shared" si="2"/>
        <v>Code</v>
      </c>
      <c r="H34" s="2" t="str">
        <f t="shared" si="3"/>
        <v>0;I;II;III;IV;IVA;IVB;IVC;UnknownUnknown - 4129922</v>
      </c>
    </row>
    <row r="35" spans="2:8">
      <c r="B35" t="str">
        <f t="shared" ref="B35:D35" si="18">B11</f>
        <v>PathologicalStage.AjccEdition</v>
      </c>
      <c r="C35" t="str">
        <f t="shared" si="18"/>
        <v>Ajcc edition</v>
      </c>
      <c r="D35" t="str">
        <f t="shared" si="18"/>
        <v>Describe the edition of the AJCC used for staging</v>
      </c>
      <c r="E35">
        <f t="shared" ref="E35:F35" si="19">H11</f>
        <v>1</v>
      </c>
      <c r="F35">
        <f t="shared" si="19"/>
        <v>1</v>
      </c>
      <c r="G35" t="str">
        <f t="shared" si="2"/>
        <v>Code</v>
      </c>
      <c r="H35" s="2" t="str">
        <f t="shared" si="3"/>
        <v>8th,9th,10th,11th</v>
      </c>
    </row>
    <row r="36" spans="2:8">
      <c r="B36" t="str">
        <f t="shared" ref="B36:D36" si="20">B12</f>
        <v>PathologicalStage.SoftTissue</v>
      </c>
      <c r="C36" t="str">
        <f t="shared" si="20"/>
        <v>Soft Tissue</v>
      </c>
      <c r="D36" t="str">
        <f t="shared" si="20"/>
        <v>Describes if site of metastasic disease  is soft tissue</v>
      </c>
      <c r="E36">
        <f t="shared" ref="E36:F36" si="21">H12</f>
        <v>0</v>
      </c>
      <c r="F36">
        <f t="shared" si="21"/>
        <v>1</v>
      </c>
      <c r="G36" t="str">
        <f t="shared" si="2"/>
        <v>Boolean</v>
      </c>
      <c r="H36" s="2" t="str">
        <f t="shared" si="3"/>
        <v>True; False</v>
      </c>
    </row>
    <row r="37" spans="2:8">
      <c r="B37" t="str">
        <f t="shared" ref="B37:D37" si="22">B13</f>
        <v>PathologicalStage.DistantLymphNode</v>
      </c>
      <c r="C37" t="str">
        <f t="shared" si="22"/>
        <v>distant lymph node</v>
      </c>
      <c r="D37" t="str">
        <f t="shared" si="22"/>
        <v>Describes if site of metastasic disease  is dystan lymph node</v>
      </c>
      <c r="E37">
        <f t="shared" ref="E37:F37" si="23">H13</f>
        <v>0</v>
      </c>
      <c r="F37">
        <f t="shared" si="23"/>
        <v>1</v>
      </c>
      <c r="G37" t="str">
        <f t="shared" si="2"/>
        <v>Boolean</v>
      </c>
      <c r="H37" s="2" t="str">
        <f t="shared" si="3"/>
        <v>True; False</v>
      </c>
    </row>
    <row r="38" spans="2:8">
      <c r="B38" t="str">
        <f t="shared" ref="B38:D38" si="24">B14</f>
        <v>PathologicalStage.Lung</v>
      </c>
      <c r="C38" t="str">
        <f t="shared" si="24"/>
        <v>lung</v>
      </c>
      <c r="D38" t="str">
        <f t="shared" si="24"/>
        <v>Describes if site of metastasic disease  is lung</v>
      </c>
      <c r="E38">
        <f t="shared" ref="E38:F38" si="25">H14</f>
        <v>0</v>
      </c>
      <c r="F38">
        <f t="shared" si="25"/>
        <v>1</v>
      </c>
      <c r="G38" t="str">
        <f t="shared" si="2"/>
        <v>Boolean</v>
      </c>
      <c r="H38" s="2" t="str">
        <f t="shared" si="3"/>
        <v>True; False</v>
      </c>
    </row>
    <row r="39" spans="2:8">
      <c r="B39" t="str">
        <f t="shared" ref="B39:D39" si="26">B15</f>
        <v>PathologicalStage.Bone</v>
      </c>
      <c r="C39" t="str">
        <f t="shared" si="26"/>
        <v>bone</v>
      </c>
      <c r="D39" t="str">
        <f t="shared" si="26"/>
        <v>Describes if site of metastasic disease  is bone</v>
      </c>
      <c r="E39">
        <f t="shared" ref="E39:F39" si="27">H15</f>
        <v>0</v>
      </c>
      <c r="F39">
        <f t="shared" si="27"/>
        <v>1</v>
      </c>
      <c r="G39" t="str">
        <f t="shared" si="2"/>
        <v>Boolean</v>
      </c>
      <c r="H39" s="2" t="str">
        <f t="shared" si="3"/>
        <v>True; False</v>
      </c>
    </row>
    <row r="40" spans="2:8">
      <c r="B40" t="str">
        <f t="shared" ref="B40:D40" si="28">B16</f>
        <v>PathologicalStage.Liver</v>
      </c>
      <c r="C40" t="str">
        <f t="shared" si="28"/>
        <v>liver</v>
      </c>
      <c r="D40" t="str">
        <f t="shared" si="28"/>
        <v>Describes if site of metastasic disease  is liver</v>
      </c>
      <c r="E40">
        <f t="shared" ref="E40:F40" si="29">H16</f>
        <v>0</v>
      </c>
      <c r="F40">
        <f t="shared" si="29"/>
        <v>1</v>
      </c>
      <c r="G40" t="str">
        <f t="shared" si="2"/>
        <v>Boolean</v>
      </c>
      <c r="H40" s="2" t="str">
        <f t="shared" si="3"/>
        <v>True; False</v>
      </c>
    </row>
    <row r="41" spans="2:8">
      <c r="B41" t="str">
        <f t="shared" ref="B41:D41" si="30">B17</f>
        <v>PathologicalStage.Pleura</v>
      </c>
      <c r="C41" t="str">
        <f t="shared" si="30"/>
        <v>pleura</v>
      </c>
      <c r="D41" t="str">
        <f t="shared" si="30"/>
        <v>Describes if site of metastasic disease  is pleura</v>
      </c>
      <c r="E41">
        <f t="shared" ref="E41:F41" si="31">H17</f>
        <v>0</v>
      </c>
      <c r="F41">
        <f t="shared" si="31"/>
        <v>1</v>
      </c>
      <c r="G41" t="str">
        <f t="shared" si="2"/>
        <v>Boolean</v>
      </c>
      <c r="H41" s="2" t="str">
        <f t="shared" si="3"/>
        <v>True; False</v>
      </c>
    </row>
    <row r="42" spans="2:8">
      <c r="B42" t="str">
        <f t="shared" ref="B42:D42" si="32">B18</f>
        <v>PathologicalStage.Peritoneum</v>
      </c>
      <c r="C42" t="str">
        <f t="shared" si="32"/>
        <v>peritoneum</v>
      </c>
      <c r="D42" t="str">
        <f t="shared" si="32"/>
        <v>Describes if site of metastasic disease  is peritoneum</v>
      </c>
      <c r="E42">
        <f t="shared" ref="E42:F42" si="33">H18</f>
        <v>0</v>
      </c>
      <c r="F42">
        <f t="shared" si="33"/>
        <v>1</v>
      </c>
      <c r="G42" t="str">
        <f t="shared" si="2"/>
        <v>Boolean</v>
      </c>
      <c r="H42" s="2" t="str">
        <f t="shared" si="3"/>
        <v>True; False</v>
      </c>
    </row>
    <row r="43" spans="2:8">
      <c r="B43" t="str">
        <f t="shared" ref="B43:D43" si="34">B19</f>
        <v>PathologicalStage.Brain</v>
      </c>
      <c r="C43" t="str">
        <f t="shared" si="34"/>
        <v>brain</v>
      </c>
      <c r="D43" t="str">
        <f t="shared" si="34"/>
        <v>Describes if site of metastasic disease  is brain</v>
      </c>
      <c r="E43">
        <f t="shared" ref="E43:F43" si="35">H19</f>
        <v>0</v>
      </c>
      <c r="F43">
        <f t="shared" si="35"/>
        <v>1</v>
      </c>
      <c r="G43" t="str">
        <f t="shared" si="2"/>
        <v>Boolean</v>
      </c>
      <c r="H43" s="2" t="str">
        <f t="shared" si="3"/>
        <v>True; False</v>
      </c>
    </row>
    <row r="44" spans="2:8">
      <c r="B44" t="str">
        <f t="shared" ref="B44:D44" si="36">B20</f>
        <v>PathologicalStage.OtherViscera</v>
      </c>
      <c r="C44" t="str">
        <f t="shared" si="36"/>
        <v>other viscera</v>
      </c>
      <c r="D44" t="str">
        <f t="shared" si="36"/>
        <v>Describes if site of metastasic disease  is other viscera</v>
      </c>
      <c r="E44">
        <f t="shared" ref="E44:F44" si="37">H20</f>
        <v>0</v>
      </c>
      <c r="F44">
        <f t="shared" si="37"/>
        <v>1</v>
      </c>
      <c r="G44" t="str">
        <f t="shared" si="2"/>
        <v>Boolean</v>
      </c>
      <c r="H44" s="2" t="str">
        <f t="shared" si="3"/>
        <v>True; False</v>
      </c>
    </row>
    <row r="45" spans="2:8" ht="16.25" customHeight="1">
      <c r="B45" t="str">
        <f t="shared" ref="B45:D45" si="38">B21</f>
        <v>PathologicalStage.Unknown</v>
      </c>
      <c r="C45" t="str">
        <f t="shared" si="38"/>
        <v>unknown</v>
      </c>
      <c r="D45" t="str">
        <f t="shared" si="38"/>
        <v>Describes if site of metastasic disease  is unknown</v>
      </c>
      <c r="E45">
        <f t="shared" ref="E45:F45" si="39">H21</f>
        <v>0</v>
      </c>
      <c r="F45">
        <f t="shared" si="39"/>
        <v>1</v>
      </c>
      <c r="G45" t="str">
        <f t="shared" si="2"/>
        <v>Boolean</v>
      </c>
      <c r="H45" s="2" t="str">
        <f t="shared" si="3"/>
        <v>True; False</v>
      </c>
    </row>
  </sheetData>
  <pageMargins left="0.75" right="0.75" top="1" bottom="1" header="0.5" footer="0.5"/>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topLeftCell="A10" zoomScale="130" zoomScaleNormal="130" workbookViewId="0">
      <selection activeCell="B15" sqref="B15"/>
    </sheetView>
  </sheetViews>
  <sheetFormatPr defaultRowHeight="19.899999999999999" customHeight="1"/>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c r="J1" s="23" t="s">
        <v>1612</v>
      </c>
      <c r="L1" s="23" t="s">
        <v>20</v>
      </c>
    </row>
    <row r="2" spans="1:12" ht="19.899999999999999" customHeight="1">
      <c r="J2" s="24" t="s">
        <v>19</v>
      </c>
      <c r="L2" s="24" t="s">
        <v>1611</v>
      </c>
    </row>
    <row r="3" spans="1:12" ht="19.899999999999999" customHeight="1" thickBot="1">
      <c r="J3" s="24" t="str">
        <f>J1</f>
        <v>//===================================================</v>
      </c>
      <c r="L3" s="24" t="str">
        <f>L1</f>
        <v>// -------------------------------------------------------------------------------</v>
      </c>
    </row>
    <row r="4" spans="1:12" ht="19.899999999999999" customHeight="1">
      <c r="A4" s="5" t="s">
        <v>11</v>
      </c>
      <c r="B4" s="45" t="s">
        <v>2010</v>
      </c>
      <c r="J4" s="16" t="str">
        <f>CONCATENATE("Logical: ",B4)</f>
        <v>Logical: PathologicalStage</v>
      </c>
    </row>
    <row r="5" spans="1:12" ht="19.899999999999999" customHeight="1">
      <c r="A5" s="14" t="s">
        <v>16</v>
      </c>
      <c r="B5" s="46" t="s">
        <v>2010</v>
      </c>
      <c r="J5" s="16" t="str">
        <f>CONCATENATE("Id: ",B5)</f>
        <v>Id: PathologicalStage</v>
      </c>
    </row>
    <row r="6" spans="1:12" ht="19.899999999999999" customHeight="1">
      <c r="A6" s="14" t="s">
        <v>10</v>
      </c>
      <c r="B6" s="47" t="s">
        <v>2011</v>
      </c>
      <c r="J6" s="17" t="str">
        <f>CONCATENATE("Title: ##34#",B6,"##34#")</f>
        <v>Title: ##34#Pathological Stage##34#</v>
      </c>
    </row>
    <row r="7" spans="1:12" ht="19.899999999999999" customHeight="1">
      <c r="A7" s="26" t="s">
        <v>2</v>
      </c>
      <c r="B7" s="104" t="s">
        <v>2010</v>
      </c>
      <c r="C7" s="9" t="s">
        <v>3</v>
      </c>
      <c r="D7" s="1" t="s">
        <v>4</v>
      </c>
      <c r="E7" s="3" t="s">
        <v>5</v>
      </c>
      <c r="F7" s="3" t="s">
        <v>6</v>
      </c>
      <c r="G7" s="3" t="s">
        <v>7</v>
      </c>
      <c r="H7" s="105" t="s">
        <v>1610</v>
      </c>
      <c r="J7" s="17" t="str">
        <f>CONCATENATE("Description: "," ##334#",B7,"##334#",)</f>
        <v>Description:  ##334#PathologicalStage##334#</v>
      </c>
    </row>
    <row r="8" spans="1:12" ht="20.25" customHeight="1">
      <c r="A8" s="100">
        <v>0</v>
      </c>
      <c r="B8" s="57" t="s">
        <v>2012</v>
      </c>
      <c r="C8" s="11" t="s">
        <v>1909</v>
      </c>
      <c r="D8" s="11" t="s">
        <v>1910</v>
      </c>
      <c r="E8" s="11">
        <v>1</v>
      </c>
      <c r="F8" s="11">
        <v>1</v>
      </c>
      <c r="G8" s="57" t="s">
        <v>2089</v>
      </c>
      <c r="H8" s="12" t="s">
        <v>184</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c r="A9" s="100">
        <v>1</v>
      </c>
      <c r="B9" s="11" t="s">
        <v>1956</v>
      </c>
      <c r="C9" s="11" t="s">
        <v>1956</v>
      </c>
      <c r="D9" s="11" t="s">
        <v>1957</v>
      </c>
      <c r="E9" s="11">
        <v>0</v>
      </c>
      <c r="F9" s="11">
        <v>1</v>
      </c>
      <c r="G9" s="57" t="s">
        <v>1786</v>
      </c>
      <c r="H9" s="12" t="s">
        <v>2003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c r="A10" s="100">
        <v>2</v>
      </c>
      <c r="B10" s="11" t="s">
        <v>1961</v>
      </c>
      <c r="C10" s="11" t="s">
        <v>1961</v>
      </c>
      <c r="D10" s="11" t="s">
        <v>1962</v>
      </c>
      <c r="E10" s="11">
        <v>0</v>
      </c>
      <c r="F10" s="11">
        <v>1</v>
      </c>
      <c r="G10" s="57" t="s">
        <v>1786</v>
      </c>
      <c r="H10" s="12" t="s">
        <v>2004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c r="A11" s="101">
        <v>3</v>
      </c>
      <c r="B11" s="11" t="s">
        <v>1966</v>
      </c>
      <c r="C11" s="11" t="s">
        <v>1966</v>
      </c>
      <c r="D11" s="11" t="s">
        <v>1967</v>
      </c>
      <c r="E11" s="11">
        <v>0</v>
      </c>
      <c r="F11" s="11">
        <v>1</v>
      </c>
      <c r="G11" s="57" t="s">
        <v>1786</v>
      </c>
      <c r="H11" s="12" t="s">
        <v>2005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c r="A12" s="101">
        <v>4</v>
      </c>
      <c r="B12" s="57" t="s">
        <v>2016</v>
      </c>
      <c r="C12" s="11" t="s">
        <v>1971</v>
      </c>
      <c r="D12" s="11" t="s">
        <v>1972</v>
      </c>
      <c r="E12" s="11">
        <v>0</v>
      </c>
      <c r="F12" s="11">
        <v>1</v>
      </c>
      <c r="G12" s="57" t="s">
        <v>1786</v>
      </c>
      <c r="H12" s="12" t="s">
        <v>2006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c r="A13" s="101">
        <v>5</v>
      </c>
      <c r="B13" s="57" t="s">
        <v>2013</v>
      </c>
      <c r="C13" s="11" t="s">
        <v>1976</v>
      </c>
      <c r="D13" s="12" t="s">
        <v>1977</v>
      </c>
      <c r="E13" s="11">
        <v>0</v>
      </c>
      <c r="F13" s="11">
        <v>1</v>
      </c>
      <c r="G13" s="57" t="s">
        <v>1786</v>
      </c>
      <c r="H13" s="12" t="s">
        <v>2007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c r="A14" s="101">
        <v>6</v>
      </c>
      <c r="B14" s="57" t="s">
        <v>2014</v>
      </c>
      <c r="C14" s="11" t="s">
        <v>1981</v>
      </c>
      <c r="D14" s="12" t="s">
        <v>1646</v>
      </c>
      <c r="E14" s="11">
        <v>1</v>
      </c>
      <c r="F14" s="11">
        <v>1</v>
      </c>
      <c r="G14" s="57" t="s">
        <v>1786</v>
      </c>
      <c r="H14" s="12" t="s">
        <v>2008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c r="A15" s="101">
        <v>7</v>
      </c>
      <c r="B15" s="57" t="s">
        <v>1644</v>
      </c>
      <c r="C15" s="11" t="s">
        <v>1645</v>
      </c>
      <c r="D15" s="12" t="s">
        <v>1985</v>
      </c>
      <c r="E15" s="11">
        <v>0</v>
      </c>
      <c r="F15" s="11">
        <v>1</v>
      </c>
      <c r="G15" s="57" t="s">
        <v>1786</v>
      </c>
      <c r="H15" s="12" t="s">
        <v>2008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c r="A16" s="101">
        <v>8</v>
      </c>
      <c r="B16" s="57" t="s">
        <v>2015</v>
      </c>
      <c r="C16" s="11" t="s">
        <v>1987</v>
      </c>
      <c r="D16" s="12" t="s">
        <v>1988</v>
      </c>
      <c r="E16" s="11">
        <v>1</v>
      </c>
      <c r="F16" s="11">
        <v>1</v>
      </c>
      <c r="G16" s="57" t="s">
        <v>1786</v>
      </c>
      <c r="H16" s="12" t="s">
        <v>2009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c r="A17" s="100">
        <v>9</v>
      </c>
      <c r="B17" s="57" t="s">
        <v>1647</v>
      </c>
      <c r="C17" s="11" t="s">
        <v>1622</v>
      </c>
      <c r="D17" s="12" t="s">
        <v>1623</v>
      </c>
      <c r="E17" s="11">
        <v>1</v>
      </c>
      <c r="F17" s="11">
        <v>1</v>
      </c>
      <c r="G17" s="57" t="s">
        <v>1786</v>
      </c>
      <c r="H17" s="12" t="s">
        <v>1929</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c r="A18" s="101">
        <v>10</v>
      </c>
      <c r="B18" s="57" t="s">
        <v>1648</v>
      </c>
      <c r="C18" s="11" t="s">
        <v>1993</v>
      </c>
      <c r="D18" s="11" t="s">
        <v>1625</v>
      </c>
      <c r="E18" s="11">
        <v>0</v>
      </c>
      <c r="F18" s="11">
        <v>1</v>
      </c>
      <c r="G18" s="57" t="s">
        <v>157</v>
      </c>
      <c r="H18" s="12" t="s">
        <v>1932</v>
      </c>
      <c r="J18" s="12" t="str">
        <f t="shared" si="0"/>
        <v>* softTissue 0..1 boolean ##34#Soft Tissue##34# ##334#Describes if site of metastasic disease  is soft tissue##334#</v>
      </c>
      <c r="L18" s="12" t="str">
        <f t="shared" si="1"/>
        <v>* softTissue ^comment = ##334#True; False##334#</v>
      </c>
    </row>
    <row r="19" spans="1:13" ht="19.899999999999999" customHeight="1">
      <c r="A19" s="101">
        <v>11</v>
      </c>
      <c r="B19" s="57" t="s">
        <v>1649</v>
      </c>
      <c r="C19" s="11" t="s">
        <v>1626</v>
      </c>
      <c r="D19" s="11" t="s">
        <v>1627</v>
      </c>
      <c r="E19" s="11">
        <v>0</v>
      </c>
      <c r="F19" s="11">
        <v>1</v>
      </c>
      <c r="G19" s="57" t="s">
        <v>157</v>
      </c>
      <c r="H19" s="12" t="s">
        <v>1932</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c r="A20" s="101">
        <v>12</v>
      </c>
      <c r="B20" s="11" t="s">
        <v>1628</v>
      </c>
      <c r="C20" s="11" t="s">
        <v>1628</v>
      </c>
      <c r="D20" s="11" t="s">
        <v>1629</v>
      </c>
      <c r="E20" s="135">
        <v>0</v>
      </c>
      <c r="F20" s="11">
        <v>1</v>
      </c>
      <c r="G20" s="57" t="s">
        <v>157</v>
      </c>
      <c r="H20" s="12" t="s">
        <v>1932</v>
      </c>
      <c r="J20" s="12" t="str">
        <f t="shared" si="0"/>
        <v>* lung 0..1 boolean ##34#lung##34# ##334#Describes if site of metastasic disease  is lung##334#</v>
      </c>
      <c r="L20" s="12" t="str">
        <f t="shared" si="1"/>
        <v>* lung ^comment = ##334#True; False##334#</v>
      </c>
    </row>
    <row r="21" spans="1:13" ht="19.899999999999999" customHeight="1">
      <c r="A21" s="101">
        <v>13</v>
      </c>
      <c r="B21" s="11" t="s">
        <v>1630</v>
      </c>
      <c r="C21" s="11" t="s">
        <v>1630</v>
      </c>
      <c r="D21" s="11" t="s">
        <v>1631</v>
      </c>
      <c r="E21" s="135">
        <v>0</v>
      </c>
      <c r="F21" s="11">
        <v>1</v>
      </c>
      <c r="G21" s="57" t="s">
        <v>157</v>
      </c>
      <c r="H21" s="12" t="s">
        <v>1932</v>
      </c>
      <c r="J21" s="12" t="str">
        <f t="shared" si="0"/>
        <v>* bone 0..1 boolean ##34#bone##34# ##334#Describes if site of metastasic disease  is bone##334#</v>
      </c>
      <c r="L21" s="12" t="str">
        <f t="shared" si="1"/>
        <v>* bone ^comment = ##334#True; False##334#</v>
      </c>
      <c r="M21"/>
    </row>
    <row r="22" spans="1:13" ht="19.899999999999999" customHeight="1">
      <c r="A22" s="101">
        <v>14</v>
      </c>
      <c r="B22" s="11" t="s">
        <v>1632</v>
      </c>
      <c r="C22" s="11" t="s">
        <v>1632</v>
      </c>
      <c r="D22" s="11" t="s">
        <v>1633</v>
      </c>
      <c r="E22" s="135">
        <v>0</v>
      </c>
      <c r="F22" s="11">
        <v>1</v>
      </c>
      <c r="G22" s="57" t="s">
        <v>157</v>
      </c>
      <c r="H22" s="12" t="s">
        <v>1932</v>
      </c>
      <c r="J22" s="12" t="str">
        <f t="shared" si="0"/>
        <v>* liver 0..1 boolean ##34#liver##34# ##334#Describes if site of metastasic disease  is liver##334#</v>
      </c>
      <c r="L22" s="12" t="str">
        <f t="shared" si="1"/>
        <v>* liver ^comment = ##334#True; False##334#</v>
      </c>
      <c r="M22"/>
    </row>
    <row r="23" spans="1:13" ht="19.899999999999999" customHeight="1">
      <c r="A23" s="101">
        <v>15</v>
      </c>
      <c r="B23" s="11" t="s">
        <v>1634</v>
      </c>
      <c r="C23" s="11" t="s">
        <v>1634</v>
      </c>
      <c r="D23" s="12" t="s">
        <v>1635</v>
      </c>
      <c r="E23" s="135">
        <v>0</v>
      </c>
      <c r="F23" s="11">
        <v>1</v>
      </c>
      <c r="G23" s="57" t="s">
        <v>157</v>
      </c>
      <c r="H23" s="12" t="s">
        <v>1932</v>
      </c>
      <c r="J23" s="12" t="str">
        <f t="shared" si="0"/>
        <v>* pleura 0..1 boolean ##34#pleura##34# ##334#Describes if site of metastasic disease  is pleura##334#</v>
      </c>
      <c r="L23" s="12" t="str">
        <f t="shared" si="1"/>
        <v>* pleura ^comment = ##334#True; False##334#</v>
      </c>
      <c r="M23"/>
    </row>
    <row r="24" spans="1:13" ht="19.899999999999999" customHeight="1">
      <c r="A24" s="101">
        <v>16</v>
      </c>
      <c r="B24" s="11" t="s">
        <v>1636</v>
      </c>
      <c r="C24" s="11" t="s">
        <v>1636</v>
      </c>
      <c r="D24" s="12" t="s">
        <v>1637</v>
      </c>
      <c r="E24" s="135">
        <v>0</v>
      </c>
      <c r="F24" s="11">
        <v>1</v>
      </c>
      <c r="G24" s="57" t="s">
        <v>157</v>
      </c>
      <c r="H24" s="12" t="s">
        <v>1932</v>
      </c>
      <c r="J24" s="12" t="str">
        <f t="shared" si="0"/>
        <v>* peritoneum 0..1 boolean ##34#peritoneum##34# ##334#Describes if site of metastasic disease  is peritoneum##334#</v>
      </c>
      <c r="L24" s="12" t="str">
        <f t="shared" si="1"/>
        <v>* peritoneum ^comment = ##334#True; False##334#</v>
      </c>
      <c r="M24"/>
    </row>
    <row r="25" spans="1:13" ht="19.899999999999999" customHeight="1">
      <c r="A25" s="101">
        <v>17</v>
      </c>
      <c r="B25" s="11" t="s">
        <v>1638</v>
      </c>
      <c r="C25" s="11" t="s">
        <v>1638</v>
      </c>
      <c r="D25" s="12" t="s">
        <v>1639</v>
      </c>
      <c r="E25">
        <v>0</v>
      </c>
      <c r="F25">
        <v>1</v>
      </c>
      <c r="G25" s="57" t="s">
        <v>157</v>
      </c>
      <c r="H25" s="2" t="s">
        <v>1932</v>
      </c>
      <c r="J25" s="12" t="str">
        <f t="shared" si="0"/>
        <v>* brain 0..1 boolean ##34#brain##34# ##334#Describes if site of metastasic disease  is brain##334#</v>
      </c>
      <c r="L25" s="12" t="str">
        <f t="shared" si="1"/>
        <v>* brain ^comment = ##334#True; False##334#</v>
      </c>
      <c r="M25"/>
    </row>
    <row r="26" spans="1:13" ht="19.899999999999999" customHeight="1">
      <c r="A26" s="101">
        <v>18</v>
      </c>
      <c r="B26" s="11" t="s">
        <v>1650</v>
      </c>
      <c r="C26" s="11" t="s">
        <v>1640</v>
      </c>
      <c r="D26" s="12" t="s">
        <v>1641</v>
      </c>
      <c r="E26">
        <v>0</v>
      </c>
      <c r="F26">
        <v>1</v>
      </c>
      <c r="G26" s="57" t="s">
        <v>157</v>
      </c>
      <c r="H26" s="2" t="s">
        <v>1932</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c r="A27" s="101">
        <v>19</v>
      </c>
      <c r="B27" s="12" t="s">
        <v>1642</v>
      </c>
      <c r="C27" s="12" t="s">
        <v>1642</v>
      </c>
      <c r="D27" s="11" t="s">
        <v>1643</v>
      </c>
      <c r="E27">
        <v>0</v>
      </c>
      <c r="F27">
        <v>1</v>
      </c>
      <c r="G27" s="57" t="s">
        <v>157</v>
      </c>
      <c r="H27" s="2" t="s">
        <v>1932</v>
      </c>
      <c r="J27" s="12" t="str">
        <f t="shared" si="0"/>
        <v>* unknown 0..1 boolean ##34#unknown##34# ##334#Describes if site of metastasic disease  is unknown##334#</v>
      </c>
      <c r="L27" s="12" t="str">
        <f t="shared" si="1"/>
        <v>* unknown ^comment = ##334#True; False##334#</v>
      </c>
    </row>
    <row r="28" spans="1:13" ht="19.899999999999999" customHeight="1">
      <c r="J28" s="12" t="str">
        <f t="shared" si="0"/>
        <v>*  ..  ##34###34# ##334###334#</v>
      </c>
      <c r="L28" s="12" t="str">
        <f t="shared" si="1"/>
        <v>*  ..  ##34###34# ##334###334#</v>
      </c>
    </row>
    <row r="29" spans="1:13" ht="19.899999999999999" customHeight="1">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c r="J30" s="12" t="str">
        <f t="shared" si="2"/>
        <v>*  ..  ##34###34# ##334###334#</v>
      </c>
      <c r="L30" s="12" t="str">
        <f t="shared" si="3"/>
        <v>*  ..  ##34###34# ##334###334#</v>
      </c>
    </row>
    <row r="31" spans="1:13" ht="19.899999999999999" customHeight="1">
      <c r="J31" s="12" t="str">
        <f t="shared" si="2"/>
        <v>*  ..  ##34###34# ##334###334#</v>
      </c>
      <c r="L31" s="12" t="str">
        <f t="shared" si="3"/>
        <v>*  ..  ##34###34# ##334###334#</v>
      </c>
    </row>
    <row r="32" spans="1:13" ht="19.899999999999999" customHeight="1" thickBot="1">
      <c r="F32" s="7"/>
    </row>
    <row r="33" spans="2:2" ht="19.899999999999999" customHeight="1" thickBot="1">
      <c r="B33" s="152" t="s">
        <v>2120</v>
      </c>
    </row>
  </sheetData>
  <pageMargins left="0.7" right="0.7" top="0.75" bottom="0.75" header="0.3" footer="0.3"/>
  <pageSetup paperSize="9" orientation="portrait"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PathologicalStage!J1</f>
        <v>//===================================================</v>
      </c>
    </row>
    <row r="2" spans="3:7" ht="16.75" thickBot="1">
      <c r="C2" s="24" t="str">
        <f>PathologicalStage!J2</f>
        <v>//  Logical Model</v>
      </c>
      <c r="G2" s="29" t="s">
        <v>2018</v>
      </c>
    </row>
    <row r="3" spans="3:7">
      <c r="C3" s="24" t="str">
        <f>PathologicalStage!J3</f>
        <v>//===================================================</v>
      </c>
    </row>
    <row r="4" spans="3:7">
      <c r="C4" s="16" t="str">
        <f>PathologicalStage!J4</f>
        <v>Logical: PathologicalStage</v>
      </c>
    </row>
    <row r="5" spans="3:7">
      <c r="C5" s="16" t="str">
        <f>PathologicalStage!J5</f>
        <v>Id: PathologicalStage</v>
      </c>
    </row>
    <row r="6" spans="3:7">
      <c r="C6" s="16" t="str">
        <f>PathologicalStage!J6</f>
        <v>Title: ##34#Pathological Stage##34#</v>
      </c>
    </row>
    <row r="7" spans="3:7">
      <c r="C7" s="16" t="str">
        <f>PathologicalStage!J7</f>
        <v>Description:  ##334#PathologicalStage##334#</v>
      </c>
    </row>
    <row r="8" spans="3:7" ht="29.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c r="C9" s="12" t="str">
        <f>IF(PathologicalStage!J9="*  ..  ##34###34# ##334###334#","//--- END",PathologicalStage!J9)</f>
        <v>* pT 0..1 CodeableConcept ##34#pT##34# ##334#Specifies the pathological T##334#</v>
      </c>
    </row>
    <row r="10" spans="3:7">
      <c r="C10" s="12" t="str">
        <f>IF(PathologicalStage!J10="*  ..  ##34###34# ##334###334#","//--- END",PathologicalStage!J10)</f>
        <v>* pN 0..1 CodeableConcept ##34#pN##34# ##334#Specifies the pathological N##334#</v>
      </c>
    </row>
    <row r="11" spans="3:7" ht="29.5">
      <c r="C11" s="12" t="str">
        <f>IF(PathologicalStage!J11="*  ..  ##34###34# ##334###334#","//--- END",PathologicalStage!J11)</f>
        <v>* pM 0..1 CodeableConcept ##34#pM##34# ##334#Describes whether capsular extension is present by histopathologic examination or not##334#</v>
      </c>
    </row>
    <row r="12" spans="3:7" ht="29.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c r="C14" s="12" t="str">
        <f>IF(PathologicalStage!J14="*  ..  ##34###34# ##334###334#","//--- END",PathologicalStage!J14)</f>
        <v>* sentinelNode 1..1 CodeableConcept ##34#Sentinel node##34# ##334#Describes whether a protocoled and standardized en block resection of lymphatic tissue is performed or not##334#</v>
      </c>
    </row>
    <row r="15" spans="3:7">
      <c r="C15" s="12" t="str">
        <f>IF(PathologicalStage!J15="*  ..  ##34###34# ##334###334#","//--- END",PathologicalStage!J15)</f>
        <v>* neckDissection 0..1 CodeableConcept ##34#Neck dissection##34# ##334#Specifies the pathological M##334#</v>
      </c>
    </row>
    <row r="16" spans="3:7">
      <c r="C16" s="12" t="str">
        <f>IF(PathologicalStage!J16="*  ..  ##34###34# ##334###334#","//--- END",PathologicalStage!J16)</f>
        <v>* pathologicalStaging 1..1 CodeableConcept ##34#Pathological staging##34# ##334#Specifies the pathological staging##334#</v>
      </c>
    </row>
    <row r="17" spans="3:3">
      <c r="C17" s="12" t="str">
        <f>IF(PathologicalStage!J17="*  ..  ##34###34# ##334###334#","//--- END",PathologicalStage!J17)</f>
        <v>* ajccEdition 1..1 CodeableConcept ##34#Ajcc edition##34# ##334#Describe the edition of the AJCC used for staging##334#</v>
      </c>
    </row>
    <row r="18" spans="3:3">
      <c r="C18" s="12" t="str">
        <f>IF(PathologicalStage!J18="*  ..  ##34###34# ##334###334#","//--- END",PathologicalStage!J18)</f>
        <v>* softTissue 0..1 boolean ##34#Soft Tissue##34# ##334#Describes if site of metastasic disease  is soft tissue##334#</v>
      </c>
    </row>
    <row r="19" spans="3:3" ht="29.5">
      <c r="C19" s="12" t="str">
        <f>IF(PathologicalStage!J19="*  ..  ##34###34# ##334###334#","//--- END",PathologicalStage!J19)</f>
        <v>* distantLymphNode 0..1 boolean ##34#distant lymph node##34# ##334#Describes if site of metastasic disease  is dystan lymph node##334#</v>
      </c>
    </row>
    <row r="20" spans="3:3">
      <c r="C20" s="12" t="str">
        <f>IF(PathologicalStage!J20="*  ..  ##34###34# ##334###334#","//--- END",PathologicalStage!J20)</f>
        <v>* lung 0..1 boolean ##34#lung##34# ##334#Describes if site of metastasic disease  is lung##334#</v>
      </c>
    </row>
    <row r="21" spans="3:3">
      <c r="C21" s="12" t="str">
        <f>IF(PathologicalStage!J21="*  ..  ##34###34# ##334###334#","//--- END",PathologicalStage!J21)</f>
        <v>* bone 0..1 boolean ##34#bone##34# ##334#Describes if site of metastasic disease  is bone##334#</v>
      </c>
    </row>
    <row r="22" spans="3:3">
      <c r="C22" s="12" t="str">
        <f>IF(PathologicalStage!J22="*  ..  ##34###34# ##334###334#","//--- END",PathologicalStage!J22)</f>
        <v>* liver 0..1 boolean ##34#liver##34# ##334#Describes if site of metastasic disease  is liver##334#</v>
      </c>
    </row>
    <row r="23" spans="3:3">
      <c r="C23" s="12" t="str">
        <f>IF(PathologicalStage!J23="*  ..  ##34###34# ##334###334#","//--- END",PathologicalStage!J23)</f>
        <v>* pleura 0..1 boolean ##34#pleura##34# ##334#Describes if site of metastasic disease  is pleura##334#</v>
      </c>
    </row>
    <row r="24" spans="3:3">
      <c r="C24" s="12" t="str">
        <f>IF(PathologicalStage!J24="*  ..  ##34###34# ##334###334#","//--- END",PathologicalStage!J24)</f>
        <v>* peritoneum 0..1 boolean ##34#peritoneum##34# ##334#Describes if site of metastasic disease  is peritoneum##334#</v>
      </c>
    </row>
    <row r="25" spans="3:3">
      <c r="C25" s="12" t="str">
        <f>IF(PathologicalStage!J25="*  ..  ##34###34# ##334###334#","//--- END",PathologicalStage!J25)</f>
        <v>* brain 0..1 boolean ##34#brain##34# ##334#Describes if site of metastasic disease  is brain##334#</v>
      </c>
    </row>
    <row r="26" spans="3:3">
      <c r="C26" s="12" t="str">
        <f>IF(PathologicalStage!J26="*  ..  ##34###34# ##334###334#","//--- END",PathologicalStage!J26)</f>
        <v>* otherViscera 0..1 boolean ##34#other viscera##34# ##334#Describes if site of metastasic disease  is other viscera##334#</v>
      </c>
    </row>
    <row r="27" spans="3:3">
      <c r="C27" s="12" t="str">
        <f>IF(PathologicalStage!J27="*  ..  ##34###34# ##334###334#","//--- END",PathologicalStage!J27)</f>
        <v>* unknown 0..1 boolean ##34#unknown##34# ##334#Describes if site of metastasic disease  is unknown##334#</v>
      </c>
    </row>
    <row r="28" spans="3:3">
      <c r="C28" s="12" t="str">
        <f>IF(PathologicalStage!J28="*  ..  ##34###34# ##334###334#","//--- END",PathologicalStage!J28)</f>
        <v>//--- END</v>
      </c>
    </row>
    <row r="29" spans="3:3">
      <c r="C29" s="12" t="str">
        <f>IF(PathologicalStage!J29="*  ..  ##34###34# ##334###334#","//--- END",PathologicalStage!J29)</f>
        <v>//--- END</v>
      </c>
    </row>
    <row r="30" spans="3:3">
      <c r="C30" s="12" t="str">
        <f>IF(PathologicalStage!J30="*  ..  ##34###34# ##334###334#","//--- END",PathologicalStage!J30)</f>
        <v>//--- END</v>
      </c>
    </row>
    <row r="33" spans="3:3">
      <c r="C33" s="23" t="s">
        <v>1613</v>
      </c>
    </row>
    <row r="34" spans="3:3">
      <c r="C34" s="24" t="s">
        <v>1706</v>
      </c>
    </row>
    <row r="35" spans="3:3">
      <c r="C35" s="24" t="s">
        <v>1613</v>
      </c>
    </row>
    <row r="36" spans="3:3">
      <c r="C36" s="12" t="str">
        <f>IF(PathologicalStage!L8="*  ..  ##34###34# ##334###334#","//--- END",PathologicalStage!L8)</f>
        <v/>
      </c>
    </row>
    <row r="37" spans="3:3" ht="14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c r="C39" s="12" t="str">
        <f>IF(PathologicalStage!L11="*  ..  ##34###34# ##334###334#","//--- END",PathologicalStage!L11)</f>
        <v>* pM ^comment = ##334#M0; M1; unknownM0 -  4149726
M1 - 4205430
Unknown - 4129922##334#</v>
      </c>
    </row>
    <row r="40" spans="3:3" ht="44.25">
      <c r="C40" s="12" t="str">
        <f>IF(PathologicalStage!L12="*  ..  ##34###34# ##334###334#","//--- END",PathologicalStage!L12)</f>
        <v>* extranodalExtension ^comment = ##334#ENE-; ENE+;  unknown.ENE- - 36769946
ENE+ - 36770618
Unknown - 4129922##334#</v>
      </c>
    </row>
    <row r="41" spans="3:3">
      <c r="C41" s="12" t="str">
        <f>IF(PathologicalStage!L13="*  ..  ##34###34# ##334###334#","//--- END",PathologicalStage!L13)</f>
        <v>* extranodalExtent ^comment = ##334#&lt; 2mm;  &gt;=2mm; unknownCustom##334#</v>
      </c>
    </row>
    <row r="42" spans="3:3" ht="44.25">
      <c r="C42" s="12" t="str">
        <f>IF(PathologicalStage!L14="*  ..  ##34###34# ##334###334#","//--- END",PathologicalStage!L14)</f>
        <v>* sentinelNode ^comment = ##334#Yes; No; Unknown.Yes - 4188539
No -  4188540
Unknown - 4129922##334#</v>
      </c>
    </row>
    <row r="43" spans="3:3" ht="44.25">
      <c r="C43" s="12" t="str">
        <f>IF(PathologicalStage!L15="*  ..  ##34###34# ##334###334#","//--- END",PathologicalStage!L15)</f>
        <v>* neckDissection ^comment = ##334#Yes; No; Unknown.Yes - 4188539
No -  4188540
Unknown - 4129922##334#</v>
      </c>
    </row>
    <row r="44" spans="3:3">
      <c r="C44" s="12" t="str">
        <f>IF(PathologicalStage!L16="*  ..  ##34###34# ##334###334#","//--- END",PathologicalStage!L16)</f>
        <v>* pathologicalStaging ^comment = ##334#0;I;II;III;IV;IVA;IVB;IVC;UnknownUnknown - 4129922##334#</v>
      </c>
    </row>
    <row r="45" spans="3:3">
      <c r="C45" s="12" t="str">
        <f>IF(PathologicalStage!L17="*  ..  ##34###34# ##334###334#","//--- END",PathologicalStage!L17)</f>
        <v>* ajccEdition ^comment = ##334#8th,9th,10th,11th##334#</v>
      </c>
    </row>
    <row r="46" spans="3:3">
      <c r="C46" s="12" t="str">
        <f>IF(PathologicalStage!L18="*  ..  ##34###34# ##334###334#","//--- END",PathologicalStage!L18)</f>
        <v>* softTissue ^comment = ##334#True; False##334#</v>
      </c>
    </row>
    <row r="47" spans="3:3">
      <c r="C47" s="12" t="str">
        <f>IF(PathologicalStage!L19="*  ..  ##34###34# ##334###334#","//--- END",PathologicalStage!L19)</f>
        <v>* distantLymphNode ^comment = ##334#True; False##334#</v>
      </c>
    </row>
    <row r="48" spans="3:3">
      <c r="C48" s="12" t="str">
        <f>IF(PathologicalStage!L20="*  ..  ##34###34# ##334###334#","//--- END",PathologicalStage!L20)</f>
        <v>* lung ^comment = ##334#True; False##334#</v>
      </c>
    </row>
    <row r="49" spans="3:3">
      <c r="C49" s="12" t="str">
        <f>IF(PathologicalStage!L21="*  ..  ##34###34# ##334###334#","//--- END",PathologicalStage!L21)</f>
        <v>* bone ^comment = ##334#True; False##334#</v>
      </c>
    </row>
    <row r="50" spans="3:3">
      <c r="C50" s="12" t="str">
        <f>IF(PathologicalStage!L22="*  ..  ##34###34# ##334###334#","//--- END",PathologicalStage!L22)</f>
        <v>* liver ^comment = ##334#True; False##334#</v>
      </c>
    </row>
    <row r="51" spans="3:3">
      <c r="C51" s="12" t="str">
        <f>IF(PathologicalStage!L23="*  ..  ##34###34# ##334###334#","//--- END",PathologicalStage!L23)</f>
        <v>* pleura ^comment = ##334#True; False##334#</v>
      </c>
    </row>
    <row r="52" spans="3:3">
      <c r="C52" s="12" t="str">
        <f>IF(PathologicalStage!L24="*  ..  ##34###34# ##334###334#","//--- END",PathologicalStage!L24)</f>
        <v>* peritoneum ^comment = ##334#True; False##334#</v>
      </c>
    </row>
    <row r="53" spans="3:3">
      <c r="C53" s="12" t="str">
        <f>IF(PathologicalStage!L25="*  ..  ##34###34# ##334###334#","//--- END",PathologicalStage!L25)</f>
        <v>* brain ^comment = ##334#True; False##334#</v>
      </c>
    </row>
    <row r="54" spans="3:3">
      <c r="C54" s="12" t="str">
        <f>IF(PathologicalStage!L26="*  ..  ##34###34# ##334###334#","//--- END",PathologicalStage!L26)</f>
        <v>* otherViscera ^comment = ##334#True; False##334#</v>
      </c>
    </row>
    <row r="55" spans="3:3">
      <c r="C55" s="12" t="str">
        <f>IF(PathologicalStage!L27="*  ..  ##34###34# ##334###334#","//--- END",PathologicalStage!L27)</f>
        <v>* unknown ^comment = ##334#True; False##334#</v>
      </c>
    </row>
    <row r="56" spans="3:3">
      <c r="C56" s="12" t="str">
        <f>IF(PathologicalStage!L28="*  ..  ##34###34# ##334###334#","//--- END",PathologicalStage!L28)</f>
        <v>//--- END</v>
      </c>
    </row>
    <row r="57" spans="3:3">
      <c r="C57" s="12" t="str">
        <f>IF(PathologicalStage!L29="*  ..  ##34###34# ##334###334#","//--- END",PathologicalStage!L29)</f>
        <v>//--- END</v>
      </c>
    </row>
    <row r="58" spans="3:3">
      <c r="C58" s="12" t="str">
        <f>IF(PathologicalStage!L30="*  ..  ##34###34# ##334###334#","//--- END",PathologicalStage!L30)</f>
        <v>//--- END</v>
      </c>
    </row>
    <row r="59" spans="3:3">
      <c r="C59" s="12" t="str">
        <f>IF(PathologicalStage!L31="*  ..  ##34###34# ##334###334#","//--- END",PathologicalStage!L31)</f>
        <v>//--- END</v>
      </c>
    </row>
    <row r="102" spans="3:3">
      <c r="C102" s="23"/>
    </row>
    <row r="103" spans="3:3">
      <c r="C103" s="24"/>
    </row>
    <row r="104" spans="3:3">
      <c r="C104" s="24"/>
    </row>
    <row r="194" spans="3:3">
      <c r="C194" s="2"/>
    </row>
    <row r="195" spans="3:3">
      <c r="C195"/>
    </row>
    <row r="197" spans="3:3">
      <c r="C197" s="23"/>
    </row>
    <row r="198" spans="3:3">
      <c r="C198" s="24"/>
    </row>
    <row r="199" spans="3:3">
      <c r="C199" s="24"/>
    </row>
    <row r="206" spans="3:3">
      <c r="C206" s="4"/>
    </row>
    <row r="296" spans="3:3">
      <c r="C296" s="103"/>
    </row>
    <row r="297" spans="3:3">
      <c r="C297" s="103"/>
    </row>
    <row r="298" spans="3:3">
      <c r="C298" s="103"/>
    </row>
    <row r="299" spans="3:3">
      <c r="C299" s="103"/>
    </row>
    <row r="300" spans="3:3">
      <c r="C300" s="103"/>
    </row>
    <row r="301" spans="3:3">
      <c r="C301" s="103"/>
    </row>
    <row r="302" spans="3:3">
      <c r="C302" s="103"/>
    </row>
    <row r="303" spans="3:3">
      <c r="C303" s="103"/>
    </row>
    <row r="304" spans="3:3">
      <c r="C304" s="103"/>
    </row>
    <row r="305" spans="3:3">
      <c r="C305" s="103"/>
    </row>
    <row r="306" spans="3:3">
      <c r="C306" s="103"/>
    </row>
    <row r="307" spans="3:3">
      <c r="C307" s="10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2132</v>
      </c>
      <c r="D4" s="62" t="s">
        <v>1792</v>
      </c>
      <c r="E4" s="166" t="s">
        <v>2111</v>
      </c>
      <c r="F4" s="167"/>
      <c r="G4" s="167"/>
    </row>
    <row r="5" spans="1:19">
      <c r="B5" s="62" t="s">
        <v>10</v>
      </c>
      <c r="C5" s="7" t="s">
        <v>2130</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2111</v>
      </c>
      <c r="F7" s="167"/>
      <c r="G7" s="167"/>
    </row>
    <row r="8" spans="1:19" ht="44.25">
      <c r="B8" s="62" t="s">
        <v>1795</v>
      </c>
      <c r="C8" s="120" t="s">
        <v>2130</v>
      </c>
      <c r="D8" s="62"/>
      <c r="E8" s="7"/>
      <c r="I8" s="12" t="s">
        <v>1402</v>
      </c>
      <c r="J8" s="12" t="s">
        <v>1403</v>
      </c>
      <c r="K8" s="12" t="s">
        <v>1404</v>
      </c>
      <c r="L8" s="12" t="s">
        <v>1405</v>
      </c>
      <c r="M8" s="11" t="s">
        <v>1406</v>
      </c>
      <c r="P8" s="49" t="s">
        <v>1441</v>
      </c>
      <c r="Q8" s="49">
        <v>6</v>
      </c>
    </row>
    <row r="9" spans="1:19" ht="29.5">
      <c r="B9" s="62" t="s">
        <v>1796</v>
      </c>
      <c r="C9" s="12" t="s">
        <v>2131</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PathologicalStage!B8</f>
        <v>episodeEventReference</v>
      </c>
      <c r="C15" s="11" t="str">
        <f>PathologicalStage!C8</f>
        <v>Episode Event Reference</v>
      </c>
      <c r="D15" s="12"/>
      <c r="E15" s="12"/>
      <c r="F15" s="64" t="s">
        <v>1407</v>
      </c>
      <c r="G15" s="124" t="s">
        <v>2112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c r="A16" s="59"/>
      <c r="B16" s="11" t="str">
        <f>PathologicalStage!B9</f>
        <v>pT</v>
      </c>
      <c r="C16" s="11" t="str">
        <f>PathologicalStage!C9</f>
        <v>pT</v>
      </c>
      <c r="D16" s="12" t="s">
        <v>2113</v>
      </c>
      <c r="E16" s="12"/>
      <c r="F16" s="64" t="s">
        <v>1407</v>
      </c>
      <c r="G16" s="124" t="s">
        <v>2118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c r="A17" s="59"/>
      <c r="B17" s="11" t="str">
        <f>PathologicalStage!B10</f>
        <v>pN</v>
      </c>
      <c r="C17" s="11" t="str">
        <f>PathologicalStage!C10</f>
        <v>pN</v>
      </c>
      <c r="D17" s="12" t="s">
        <v>2114</v>
      </c>
      <c r="E17" s="12"/>
      <c r="F17" s="153" t="s">
        <v>1407</v>
      </c>
      <c r="G17" s="124" t="s">
        <v>2118</v>
      </c>
      <c r="H17" s="58"/>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c r="A18" s="59"/>
      <c r="B18" s="11" t="str">
        <f>PathologicalStage!B11</f>
        <v>pM</v>
      </c>
      <c r="C18" s="11" t="str">
        <f>PathologicalStage!C11</f>
        <v>pM</v>
      </c>
      <c r="D18" s="12" t="s">
        <v>2115</v>
      </c>
      <c r="E18" s="12"/>
      <c r="F18" s="64" t="s">
        <v>1430</v>
      </c>
      <c r="G18" s="124" t="s">
        <v>2118</v>
      </c>
      <c r="H18" s="58"/>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c r="A19" s="59"/>
      <c r="B19" s="11" t="str">
        <f>PathologicalStage!B12</f>
        <v>extranodalExtension</v>
      </c>
      <c r="C19" s="11" t="str">
        <f>PathologicalStage!C12</f>
        <v>Extranodal extension (ENE)</v>
      </c>
      <c r="D19" s="12"/>
      <c r="E19" s="12"/>
      <c r="F19" s="64" t="s">
        <v>1407</v>
      </c>
      <c r="G19" s="123" t="s">
        <v>2323</v>
      </c>
      <c r="H19" s="58"/>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c r="A20" s="59"/>
      <c r="B20" s="11" t="str">
        <f>PathologicalStage!B13</f>
        <v>extranodalExtent</v>
      </c>
      <c r="C20" s="11" t="str">
        <f>PathologicalStage!C13</f>
        <v>Extranodal Extent</v>
      </c>
      <c r="D20" s="12"/>
      <c r="E20" s="12"/>
      <c r="F20" s="64" t="s">
        <v>1407</v>
      </c>
      <c r="G20" s="123" t="s">
        <v>2323</v>
      </c>
      <c r="H20" s="58"/>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c r="A21" s="59"/>
      <c r="B21" s="11" t="str">
        <f>PathologicalStage!B14</f>
        <v>sentinelNode</v>
      </c>
      <c r="C21" s="11" t="str">
        <f>PathologicalStage!C14</f>
        <v>Sentinel node</v>
      </c>
      <c r="D21" s="12"/>
      <c r="E21" s="12"/>
      <c r="F21" s="64" t="s">
        <v>1407</v>
      </c>
      <c r="G21" s="123" t="s">
        <v>2323</v>
      </c>
      <c r="H21" s="58"/>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c r="A22" s="59"/>
      <c r="B22" s="11" t="str">
        <f>PathologicalStage!B15</f>
        <v>neckDissection</v>
      </c>
      <c r="C22" s="11" t="str">
        <f>PathologicalStage!C15</f>
        <v>Neck dissection</v>
      </c>
      <c r="D22" s="12"/>
      <c r="E22" s="12"/>
      <c r="F22" s="64" t="s">
        <v>1407</v>
      </c>
      <c r="G22" s="123" t="s">
        <v>2323</v>
      </c>
      <c r="H22" s="58"/>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c r="A23" s="59"/>
      <c r="B23" s="11" t="str">
        <f>PathologicalStage!B16</f>
        <v>pathologicalStaging</v>
      </c>
      <c r="C23" s="11" t="str">
        <f>PathologicalStage!C16</f>
        <v>Pathological staging</v>
      </c>
      <c r="D23" s="12" t="s">
        <v>2116</v>
      </c>
      <c r="E23" s="12"/>
      <c r="F23" s="64" t="s">
        <v>1407</v>
      </c>
      <c r="G23" s="124" t="s">
        <v>2118</v>
      </c>
      <c r="H23" s="58"/>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c r="A24" s="59"/>
      <c r="B24" s="11" t="str">
        <f>PathologicalStage!B17</f>
        <v>ajccEdition</v>
      </c>
      <c r="C24" s="11" t="str">
        <f>PathologicalStage!C17</f>
        <v>Ajcc edition</v>
      </c>
      <c r="D24" s="12" t="s">
        <v>2117</v>
      </c>
      <c r="E24" s="12"/>
      <c r="F24" s="64" t="s">
        <v>1407</v>
      </c>
      <c r="G24" s="124" t="s">
        <v>2119</v>
      </c>
      <c r="H24" s="58"/>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c r="A25" s="59"/>
      <c r="B25" s="11" t="str">
        <f>PathologicalStage!B18</f>
        <v>softTissue</v>
      </c>
      <c r="C25" s="11" t="str">
        <f>PathologicalStage!C18</f>
        <v>Soft Tissue</v>
      </c>
      <c r="D25" s="27"/>
      <c r="E25" s="12"/>
      <c r="F25" s="64" t="s">
        <v>1407</v>
      </c>
      <c r="G25" s="123" t="s">
        <v>2121</v>
      </c>
      <c r="H25" s="58"/>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c r="A26" s="59"/>
      <c r="B26" s="11" t="str">
        <f>PathologicalStage!B19</f>
        <v>distantLymphNode</v>
      </c>
      <c r="C26" s="11" t="str">
        <f>PathologicalStage!C19</f>
        <v>distant lymph node</v>
      </c>
      <c r="D26" s="4"/>
      <c r="E26" s="11"/>
      <c r="F26" s="64" t="s">
        <v>1407</v>
      </c>
      <c r="G26" s="123" t="s">
        <v>2121</v>
      </c>
      <c r="H26" s="58"/>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c r="A27" s="59"/>
      <c r="B27" s="11" t="str">
        <f>PathologicalStage!B20</f>
        <v>lung</v>
      </c>
      <c r="C27" s="11" t="str">
        <f>PathologicalStage!C20</f>
        <v>lung</v>
      </c>
      <c r="D27" s="4"/>
      <c r="E27" s="11"/>
      <c r="F27" s="64" t="s">
        <v>1407</v>
      </c>
      <c r="G27" s="123" t="s">
        <v>2121</v>
      </c>
      <c r="H27" s="58"/>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c r="B28" s="11" t="str">
        <f>PathologicalStage!B21</f>
        <v>bone</v>
      </c>
      <c r="C28" s="11" t="str">
        <f>PathologicalStage!C21</f>
        <v>bone</v>
      </c>
      <c r="D28" s="4"/>
      <c r="E28" s="11"/>
      <c r="F28" s="64" t="s">
        <v>1407</v>
      </c>
      <c r="G28" s="123" t="s">
        <v>2121</v>
      </c>
      <c r="H28" s="58"/>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c r="B29" s="11" t="str">
        <f>PathologicalStage!B22</f>
        <v>liver</v>
      </c>
      <c r="C29" s="11" t="str">
        <f>PathologicalStage!C22</f>
        <v>liver</v>
      </c>
      <c r="D29" s="4"/>
      <c r="E29" s="12"/>
      <c r="F29" s="64" t="s">
        <v>1407</v>
      </c>
      <c r="G29" s="123" t="s">
        <v>2121</v>
      </c>
      <c r="H29" s="58"/>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c r="B30" s="11" t="str">
        <f>PathologicalStage!B23</f>
        <v>pleura</v>
      </c>
      <c r="C30" s="11" t="str">
        <f>PathologicalStage!C23</f>
        <v>pleura</v>
      </c>
      <c r="D30" s="4"/>
      <c r="E30" s="12"/>
      <c r="F30" s="64" t="s">
        <v>1407</v>
      </c>
      <c r="G30" s="123" t="s">
        <v>2121</v>
      </c>
      <c r="H30" s="58"/>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c r="B31" s="11" t="str">
        <f>PathologicalStage!B24</f>
        <v>peritoneum</v>
      </c>
      <c r="C31" s="11" t="str">
        <f>PathologicalStage!C24</f>
        <v>peritoneum</v>
      </c>
      <c r="D31" s="4"/>
      <c r="E31" s="12"/>
      <c r="F31" s="64" t="s">
        <v>1407</v>
      </c>
      <c r="G31" s="123" t="s">
        <v>2121</v>
      </c>
      <c r="H31" s="58"/>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c r="B32" s="11" t="str">
        <f>PathologicalStage!B25</f>
        <v>brain</v>
      </c>
      <c r="C32" s="11" t="str">
        <f>PathologicalStage!C25</f>
        <v>brain</v>
      </c>
      <c r="D32" s="4"/>
      <c r="E32" s="12"/>
      <c r="F32" s="64" t="s">
        <v>1407</v>
      </c>
      <c r="G32" s="123" t="s">
        <v>2121</v>
      </c>
      <c r="H32" s="58"/>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c r="B33" s="11" t="str">
        <f>PathologicalStage!B26</f>
        <v>otherViscera</v>
      </c>
      <c r="C33" s="11" t="str">
        <f>PathologicalStage!C26</f>
        <v>other viscera</v>
      </c>
      <c r="D33" s="4"/>
      <c r="E33" s="12"/>
      <c r="F33" s="64" t="s">
        <v>1407</v>
      </c>
      <c r="G33" s="123" t="s">
        <v>2121</v>
      </c>
      <c r="H33" s="58"/>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c r="B34" s="11" t="str">
        <f>PathologicalStage!B27</f>
        <v>unknown</v>
      </c>
      <c r="C34" s="11" t="str">
        <f>PathologicalStage!C27</f>
        <v>unknown</v>
      </c>
      <c r="D34" s="4"/>
      <c r="E34" s="12"/>
      <c r="F34" s="64" t="s">
        <v>1407</v>
      </c>
      <c r="G34" s="123" t="s">
        <v>2121</v>
      </c>
      <c r="H34" s="58"/>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c r="B35" s="11"/>
      <c r="C35" s="11"/>
      <c r="D35" s="12"/>
      <c r="E35" s="12"/>
      <c r="F35" s="64"/>
      <c r="G35" s="124"/>
      <c r="H35" s="58"/>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c r="B36" s="11"/>
      <c r="C36" s="11"/>
      <c r="D36" s="12"/>
      <c r="E36" s="12"/>
      <c r="F36" s="64"/>
      <c r="G36" s="124"/>
      <c r="H36" s="58"/>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c r="B37" s="11"/>
      <c r="C37" s="11"/>
      <c r="D37" s="12"/>
      <c r="E37" s="12"/>
      <c r="F37" s="64"/>
      <c r="G37" s="124"/>
      <c r="H37" s="58"/>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c r="B38" s="11"/>
      <c r="C38" s="11"/>
      <c r="D38" s="12"/>
      <c r="E38" s="12"/>
      <c r="F38" s="64"/>
      <c r="G38" s="124"/>
      <c r="H38" s="58"/>
      <c r="K38" s="58"/>
      <c r="L38" s="58"/>
      <c r="M38" s="66"/>
      <c r="N38" s="66"/>
      <c r="P38" s="11">
        <v>24</v>
      </c>
      <c r="Q38" s="11">
        <f t="shared" si="13"/>
        <v>3</v>
      </c>
      <c r="R38" s="11">
        <f t="shared" si="14"/>
        <v>6</v>
      </c>
      <c r="S38" s="12" t="str" cm="1">
        <f t="array" ref="S38">INDEX('PathStage-ConceptMap-1'!$I$15:$N$124,Q38+1,R38)</f>
        <v>* group[=].element[=].target.comment = ##34#where code = 21902-2	 'Stage group.pathology'##34#</v>
      </c>
    </row>
    <row r="39" spans="1:19">
      <c r="B39" s="11"/>
      <c r="C39" s="11"/>
      <c r="D39" s="12"/>
      <c r="E39" s="12"/>
      <c r="F39" s="64"/>
      <c r="G39" s="124"/>
      <c r="H39" s="58"/>
      <c r="K39" s="58"/>
      <c r="L39" s="58"/>
      <c r="M39" s="66"/>
      <c r="N39" s="66"/>
      <c r="P39" s="11">
        <v>25</v>
      </c>
      <c r="Q39" s="11">
        <f t="shared" si="13"/>
        <v>4</v>
      </c>
      <c r="R39" s="11">
        <f t="shared" si="14"/>
        <v>1</v>
      </c>
      <c r="S39" s="12" t="str" cm="1">
        <f t="array" ref="S39">INDEX('PathStage-ConceptMap-1'!$I$15:$N$124,Q39+1,R39)</f>
        <v>* group[=].element[+].code = #PathologicalStage.extranodalExtension</v>
      </c>
    </row>
    <row r="40" spans="1:19" s="2" customFormat="1">
      <c r="A40"/>
      <c r="B40" s="11"/>
      <c r="C40" s="11"/>
      <c r="D40" s="12"/>
      <c r="E40" s="12"/>
      <c r="F40" s="64"/>
      <c r="G40" s="124"/>
      <c r="H40" s="58"/>
      <c r="J40"/>
      <c r="K40" s="58"/>
      <c r="L40" s="58"/>
      <c r="M40" s="66"/>
      <c r="N40" s="66"/>
      <c r="P40" s="11">
        <v>26</v>
      </c>
      <c r="Q40" s="11">
        <f t="shared" si="13"/>
        <v>4</v>
      </c>
      <c r="R40" s="11">
        <f t="shared" si="14"/>
        <v>2</v>
      </c>
      <c r="S40" s="12" t="str" cm="1">
        <f t="array" ref="S40">INDEX('PathStage-ConceptMap-1'!$I$15:$N$124,Q40+1,R40)</f>
        <v>* group[=].element[=].display = ##34#Extranodal extension (ENE)##34#</v>
      </c>
    </row>
    <row r="41" spans="1:19" s="2" customFormat="1">
      <c r="A41"/>
      <c r="B41" s="11"/>
      <c r="C41" s="11"/>
      <c r="D41" s="12"/>
      <c r="F41" s="58"/>
      <c r="G41" s="124"/>
      <c r="H41" s="58"/>
      <c r="J41"/>
      <c r="K41" s="58"/>
      <c r="L41" s="58"/>
      <c r="M41" s="66"/>
      <c r="N41" s="66"/>
      <c r="P41" s="11">
        <v>27</v>
      </c>
      <c r="Q41" s="11">
        <f t="shared" si="13"/>
        <v>4</v>
      </c>
      <c r="R41" s="11">
        <f t="shared" si="14"/>
        <v>3</v>
      </c>
      <c r="S41" s="12" t="str" cm="1">
        <f t="array" ref="S41">INDEX('PathStage-ConceptMap-1'!$I$15:$N$124,Q41+1,R41)</f>
        <v>* group[=].element[=].target.code = #Observation.</v>
      </c>
    </row>
    <row r="42" spans="1:19" s="2" customFormat="1">
      <c r="A42"/>
      <c r="B42" s="11"/>
      <c r="C42" s="11"/>
      <c r="D42" s="12"/>
      <c r="F42" s="58"/>
      <c r="G42" s="124"/>
      <c r="H42" s="58"/>
      <c r="J42"/>
      <c r="K42" s="58"/>
      <c r="L42" s="58"/>
      <c r="M42" s="66"/>
      <c r="N42" s="66"/>
      <c r="P42" s="11">
        <v>28</v>
      </c>
      <c r="Q42" s="11">
        <f t="shared" si="13"/>
        <v>4</v>
      </c>
      <c r="R42" s="11">
        <f t="shared" si="14"/>
        <v>4</v>
      </c>
      <c r="S42" s="12" t="str" cm="1">
        <f t="array" ref="S42">INDEX('PathStage-ConceptMap-1'!$I$15:$N$124,Q42+1,R42)</f>
        <v>* group[=].element[=].target.display = ##34###34#</v>
      </c>
    </row>
    <row r="43" spans="1:19" s="2" customFormat="1">
      <c r="A43"/>
      <c r="B43" s="11"/>
      <c r="C43" s="11"/>
      <c r="D43" s="12"/>
      <c r="F43" s="58"/>
      <c r="G43" s="124"/>
      <c r="H43" s="58"/>
      <c r="J43" s="58"/>
      <c r="K43" s="58"/>
      <c r="L43" s="58"/>
      <c r="M43" s="66"/>
      <c r="N43" s="66"/>
      <c r="P43" s="11">
        <v>29</v>
      </c>
      <c r="Q43" s="11">
        <f t="shared" si="13"/>
        <v>4</v>
      </c>
      <c r="R43" s="11">
        <f t="shared" si="14"/>
        <v>5</v>
      </c>
      <c r="S43" s="12" t="str" cm="1">
        <f t="array" ref="S43">INDEX('PathStage-ConceptMap-1'!$I$15:$N$124,Q43+1,R43)</f>
        <v>* group[=].element[=].target.equivalence = #relatedto</v>
      </c>
    </row>
    <row r="44" spans="1:19" s="2" customFormat="1">
      <c r="A44"/>
      <c r="B44" s="11"/>
      <c r="C44" s="11"/>
      <c r="F44" s="58"/>
      <c r="G44" s="124"/>
      <c r="H44" s="58"/>
      <c r="J44" s="58"/>
      <c r="K44" s="58"/>
      <c r="L44" s="58"/>
      <c r="M44" s="66"/>
      <c r="N44" s="66"/>
      <c r="P44" s="11">
        <v>30</v>
      </c>
      <c r="Q44" s="11">
        <f t="shared" si="13"/>
        <v>4</v>
      </c>
      <c r="R44" s="11">
        <f t="shared" si="14"/>
        <v>6</v>
      </c>
      <c r="S44" s="12" t="str" cm="1">
        <f t="array" ref="S44">INDEX('PathStage-ConceptMap-1'!$I$15:$N$124,Q44+1,R44)</f>
        <v>* group[=].element[=].target.comment = ##34#CLARIFY MAPPING##34#</v>
      </c>
    </row>
    <row r="45" spans="1:19">
      <c r="B45" s="11"/>
      <c r="C45" s="11"/>
      <c r="G45" s="124"/>
      <c r="P45" s="11">
        <v>31</v>
      </c>
      <c r="Q45" s="11">
        <f t="shared" si="13"/>
        <v>5</v>
      </c>
      <c r="R45" s="11">
        <f t="shared" si="14"/>
        <v>1</v>
      </c>
      <c r="S45" s="12" t="str" cm="1">
        <f t="array" ref="S45">INDEX('PathStage-ConceptMap-1'!$I$15:$N$124,Q45+1,R45)</f>
        <v>* group[=].element[+].code = #PathologicalStage.extranodalExtent</v>
      </c>
    </row>
    <row r="46" spans="1:19">
      <c r="B46" s="11"/>
      <c r="C46" s="11"/>
      <c r="G46" s="124"/>
      <c r="P46" s="11">
        <v>32</v>
      </c>
      <c r="Q46" s="11">
        <f t="shared" si="13"/>
        <v>5</v>
      </c>
      <c r="R46" s="11">
        <f t="shared" si="14"/>
        <v>2</v>
      </c>
      <c r="S46" s="12" t="str" cm="1">
        <f t="array" ref="S46">INDEX('PathStage-ConceptMap-1'!$I$15:$N$124,Q46+1,R46)</f>
        <v>* group[=].element[=].display = ##34#Extranodal Extent##34#</v>
      </c>
    </row>
    <row r="47" spans="1:19">
      <c r="G47" s="124"/>
      <c r="P47" s="11">
        <v>33</v>
      </c>
      <c r="Q47" s="11">
        <f t="shared" si="13"/>
        <v>5</v>
      </c>
      <c r="R47" s="11">
        <f t="shared" si="14"/>
        <v>3</v>
      </c>
      <c r="S47" s="12" t="str" cm="1">
        <f t="array" ref="S47">INDEX('PathStage-ConceptMap-1'!$I$15:$N$124,Q47+1,R47)</f>
        <v>* group[=].element[=].target.code = #Observation.</v>
      </c>
    </row>
    <row r="48" spans="1:19">
      <c r="G48" s="124"/>
      <c r="P48" s="11">
        <v>34</v>
      </c>
      <c r="Q48" s="11">
        <f t="shared" si="13"/>
        <v>5</v>
      </c>
      <c r="R48" s="11">
        <f t="shared" si="14"/>
        <v>4</v>
      </c>
      <c r="S48" s="12" t="str" cm="1">
        <f t="array" ref="S48">INDEX('PathStage-ConceptMap-1'!$I$15:$N$124,Q48+1,R48)</f>
        <v>* group[=].element[=].target.display = ##34###34#</v>
      </c>
    </row>
    <row r="49" spans="7:19">
      <c r="G49" s="124"/>
      <c r="P49" s="11">
        <v>35</v>
      </c>
      <c r="Q49" s="11">
        <f t="shared" si="13"/>
        <v>5</v>
      </c>
      <c r="R49" s="11">
        <f t="shared" si="14"/>
        <v>5</v>
      </c>
      <c r="S49" s="12" t="str" cm="1">
        <f t="array" ref="S49">INDEX('PathStage-ConceptMap-1'!$I$15:$N$124,Q49+1,R49)</f>
        <v>* group[=].element[=].target.equivalence = #relatedto</v>
      </c>
    </row>
    <row r="50" spans="7:19">
      <c r="G50" s="124"/>
      <c r="P50" s="11">
        <v>36</v>
      </c>
      <c r="Q50" s="11">
        <f t="shared" si="13"/>
        <v>5</v>
      </c>
      <c r="R50" s="11">
        <f t="shared" si="14"/>
        <v>6</v>
      </c>
      <c r="S50" s="12" t="str" cm="1">
        <f t="array" ref="S50">INDEX('PathStage-ConceptMap-1'!$I$15:$N$124,Q50+1,R50)</f>
        <v>* group[=].element[=].target.comment = ##34#CLARIFY MAPPING##34#</v>
      </c>
    </row>
    <row r="51" spans="7:19">
      <c r="G51" s="124"/>
      <c r="P51" s="11">
        <v>37</v>
      </c>
      <c r="Q51" s="11">
        <f t="shared" si="13"/>
        <v>6</v>
      </c>
      <c r="R51" s="11">
        <f t="shared" si="14"/>
        <v>1</v>
      </c>
      <c r="S51" s="12" t="str" cm="1">
        <f t="array" ref="S51">INDEX('PathStage-ConceptMap-1'!$I$15:$N$124,Q51+1,R51)</f>
        <v>* group[=].element[+].code = #PathologicalStage.sentinelNode</v>
      </c>
    </row>
    <row r="52" spans="7:19">
      <c r="G52" s="124"/>
      <c r="P52" s="11">
        <v>38</v>
      </c>
      <c r="Q52" s="11">
        <f t="shared" si="13"/>
        <v>6</v>
      </c>
      <c r="R52" s="11">
        <f t="shared" si="14"/>
        <v>2</v>
      </c>
      <c r="S52" s="12" t="str" cm="1">
        <f t="array" ref="S52">INDEX('PathStage-ConceptMap-1'!$I$15:$N$124,Q52+1,R52)</f>
        <v>* group[=].element[=].display = ##34#Sentinel node##34#</v>
      </c>
    </row>
    <row r="53" spans="7:19">
      <c r="G53" s="124"/>
      <c r="P53" s="11">
        <v>39</v>
      </c>
      <c r="Q53" s="11">
        <f t="shared" si="13"/>
        <v>6</v>
      </c>
      <c r="R53" s="11">
        <f t="shared" si="14"/>
        <v>3</v>
      </c>
      <c r="S53" s="12" t="str" cm="1">
        <f t="array" ref="S53">INDEX('PathStage-ConceptMap-1'!$I$15:$N$124,Q53+1,R53)</f>
        <v>* group[=].element[=].target.code = #Observation.</v>
      </c>
    </row>
    <row r="54" spans="7:19">
      <c r="G54" s="124"/>
      <c r="P54" s="11">
        <v>40</v>
      </c>
      <c r="Q54" s="11">
        <f t="shared" si="13"/>
        <v>6</v>
      </c>
      <c r="R54" s="11">
        <f t="shared" si="14"/>
        <v>4</v>
      </c>
      <c r="S54" s="12" t="str" cm="1">
        <f t="array" ref="S54">INDEX('PathStage-ConceptMap-1'!$I$15:$N$124,Q54+1,R54)</f>
        <v>* group[=].element[=].target.display = ##34###34#</v>
      </c>
    </row>
    <row r="55" spans="7:19">
      <c r="G55" s="124"/>
      <c r="P55" s="11">
        <v>41</v>
      </c>
      <c r="Q55" s="11">
        <f t="shared" si="13"/>
        <v>6</v>
      </c>
      <c r="R55" s="11">
        <f t="shared" si="14"/>
        <v>5</v>
      </c>
      <c r="S55" s="12" t="str" cm="1">
        <f t="array" ref="S55">INDEX('PathStage-ConceptMap-1'!$I$15:$N$124,Q55+1,R55)</f>
        <v>* group[=].element[=].target.equivalence = #relatedto</v>
      </c>
    </row>
    <row r="56" spans="7:19">
      <c r="G56" s="124"/>
      <c r="P56" s="11">
        <v>42</v>
      </c>
      <c r="Q56" s="11">
        <f t="shared" si="13"/>
        <v>6</v>
      </c>
      <c r="R56" s="11">
        <f t="shared" si="14"/>
        <v>6</v>
      </c>
      <c r="S56" s="12" t="str" cm="1">
        <f t="array" ref="S56">INDEX('PathStage-ConceptMap-1'!$I$15:$N$124,Q56+1,R56)</f>
        <v>* group[=].element[=].target.comment = ##34#CLARIFY MAPPING##34#</v>
      </c>
    </row>
    <row r="57" spans="7:19">
      <c r="G57" s="124"/>
      <c r="P57" s="11">
        <v>43</v>
      </c>
      <c r="Q57" s="11">
        <f t="shared" si="13"/>
        <v>7</v>
      </c>
      <c r="R57" s="11">
        <f t="shared" si="14"/>
        <v>1</v>
      </c>
      <c r="S57" s="12" t="str" cm="1">
        <f t="array" ref="S57">INDEX('PathStage-ConceptMap-1'!$I$15:$N$124,Q57+1,R57)</f>
        <v>* group[=].element[+].code = #PathologicalStage.neckDissection</v>
      </c>
    </row>
    <row r="58" spans="7:19">
      <c r="G58" s="124"/>
      <c r="P58" s="11">
        <v>44</v>
      </c>
      <c r="Q58" s="11">
        <f t="shared" si="13"/>
        <v>7</v>
      </c>
      <c r="R58" s="11">
        <f t="shared" si="14"/>
        <v>2</v>
      </c>
      <c r="S58" s="12" t="str" cm="1">
        <f t="array" ref="S58">INDEX('PathStage-ConceptMap-1'!$I$15:$N$124,Q58+1,R58)</f>
        <v>* group[=].element[=].display = ##34#Neck dissection##34#</v>
      </c>
    </row>
    <row r="59" spans="7:19">
      <c r="G59" s="124"/>
      <c r="P59" s="11">
        <v>45</v>
      </c>
      <c r="Q59" s="11">
        <f t="shared" si="13"/>
        <v>7</v>
      </c>
      <c r="R59" s="11">
        <f t="shared" si="14"/>
        <v>3</v>
      </c>
      <c r="S59" s="12" t="str" cm="1">
        <f t="array" ref="S59">INDEX('PathStage-ConceptMap-1'!$I$15:$N$124,Q59+1,R59)</f>
        <v>* group[=].element[=].target.code = #Observation.</v>
      </c>
    </row>
    <row r="60" spans="7:19">
      <c r="G60" s="124"/>
      <c r="P60" s="11">
        <v>46</v>
      </c>
      <c r="Q60" s="11">
        <f t="shared" si="13"/>
        <v>7</v>
      </c>
      <c r="R60" s="11">
        <f t="shared" si="14"/>
        <v>4</v>
      </c>
      <c r="S60" s="12" t="str" cm="1">
        <f t="array" ref="S60">INDEX('PathStage-ConceptMap-1'!$I$15:$N$124,Q60+1,R60)</f>
        <v>* group[=].element[=].target.display = ##34###34#</v>
      </c>
    </row>
    <row r="61" spans="7:19">
      <c r="G61" s="124"/>
      <c r="P61" s="11">
        <v>47</v>
      </c>
      <c r="Q61" s="11">
        <f t="shared" si="13"/>
        <v>7</v>
      </c>
      <c r="R61" s="11">
        <f t="shared" si="14"/>
        <v>5</v>
      </c>
      <c r="S61" s="12" t="str" cm="1">
        <f t="array" ref="S61">INDEX('PathStage-ConceptMap-1'!$I$15:$N$124,Q61+1,R61)</f>
        <v>* group[=].element[=].target.equivalence = #relatedto</v>
      </c>
    </row>
    <row r="62" spans="7:19">
      <c r="G62" s="124"/>
      <c r="P62" s="11">
        <v>48</v>
      </c>
      <c r="Q62" s="11">
        <f t="shared" si="13"/>
        <v>7</v>
      </c>
      <c r="R62" s="11">
        <f t="shared" si="14"/>
        <v>6</v>
      </c>
      <c r="S62" s="12" t="str" cm="1">
        <f t="array" ref="S62">INDEX('PathStage-ConceptMap-1'!$I$15:$N$124,Q62+1,R62)</f>
        <v>* group[=].element[=].target.comment = ##34#CLARIFY MAPPING##34#</v>
      </c>
    </row>
    <row r="63" spans="7:19">
      <c r="G63" s="124"/>
      <c r="P63" s="11">
        <v>49</v>
      </c>
      <c r="Q63" s="11">
        <f t="shared" si="13"/>
        <v>8</v>
      </c>
      <c r="R63" s="11">
        <f t="shared" si="14"/>
        <v>1</v>
      </c>
      <c r="S63" s="12" t="str" cm="1">
        <f t="array" ref="S63">INDEX('PathStage-ConceptMap-1'!$I$15:$N$124,Q63+1,R63)</f>
        <v>* group[=].element[+].code = #PathologicalStage.pathologicalStaging</v>
      </c>
    </row>
    <row r="64" spans="7:19">
      <c r="G64" s="124"/>
      <c r="P64" s="11">
        <v>50</v>
      </c>
      <c r="Q64" s="11">
        <f t="shared" si="13"/>
        <v>8</v>
      </c>
      <c r="R64" s="11">
        <f t="shared" si="14"/>
        <v>2</v>
      </c>
      <c r="S64" s="12" t="str" cm="1">
        <f t="array" ref="S64">INDEX('PathStage-ConceptMap-1'!$I$15:$N$124,Q64+1,R64)</f>
        <v>* group[=].element[=].display = ##34#Pathological staging##34#</v>
      </c>
    </row>
    <row r="65" spans="7:19">
      <c r="G65" s="124"/>
      <c r="P65" s="11">
        <v>51</v>
      </c>
      <c r="Q65" s="11">
        <f t="shared" si="13"/>
        <v>8</v>
      </c>
      <c r="R65" s="11">
        <f t="shared" si="14"/>
        <v>3</v>
      </c>
      <c r="S65" s="12" t="str" cm="1">
        <f t="array" ref="S65">INDEX('PathStage-ConceptMap-1'!$I$15:$N$124,Q65+1,R65)</f>
        <v>* group[=].element[=].target.code = #Observation.valueCodeableConcept</v>
      </c>
    </row>
    <row r="66" spans="7:19">
      <c r="G66" s="124"/>
      <c r="P66" s="11">
        <v>52</v>
      </c>
      <c r="Q66" s="11">
        <f t="shared" si="13"/>
        <v>8</v>
      </c>
      <c r="R66" s="11">
        <f t="shared" si="14"/>
        <v>4</v>
      </c>
      <c r="S66" s="12" t="str" cm="1">
        <f t="array" ref="S66">INDEX('PathStage-ConceptMap-1'!$I$15:$N$124,Q66+1,R66)</f>
        <v>* group[=].element[=].target.display = ##34###34#</v>
      </c>
    </row>
    <row r="67" spans="7:19">
      <c r="G67" s="124"/>
      <c r="P67" s="11">
        <v>53</v>
      </c>
      <c r="Q67" s="11">
        <f t="shared" si="13"/>
        <v>8</v>
      </c>
      <c r="R67" s="11">
        <f t="shared" si="14"/>
        <v>5</v>
      </c>
      <c r="S67" s="12" t="str" cm="1">
        <f t="array" ref="S67">INDEX('PathStage-ConceptMap-1'!$I$15:$N$124,Q67+1,R67)</f>
        <v>* group[=].element[=].target.equivalence = #relatedto</v>
      </c>
    </row>
    <row r="68" spans="7:19" ht="29.5">
      <c r="G68" s="124"/>
      <c r="P68" s="11">
        <v>54</v>
      </c>
      <c r="Q68" s="11">
        <f t="shared" si="13"/>
        <v>8</v>
      </c>
      <c r="R68" s="11">
        <f t="shared" si="14"/>
        <v>6</v>
      </c>
      <c r="S68" s="12" t="str" cm="1">
        <f t="array" ref="S68">INDEX('PathStage-ConceptMap-1'!$I$15:$N$124,Q68+1,R68)</f>
        <v>* group[=].element[=].target.comment = ##34#where code = 21902-2	 'Stage group.pathology'##34#</v>
      </c>
    </row>
    <row r="69" spans="7:19">
      <c r="G69" s="124"/>
      <c r="P69" s="11">
        <v>55</v>
      </c>
      <c r="Q69" s="11">
        <f t="shared" si="13"/>
        <v>9</v>
      </c>
      <c r="R69" s="11">
        <f t="shared" si="14"/>
        <v>1</v>
      </c>
      <c r="S69" s="12" t="str" cm="1">
        <f t="array" ref="S69">INDEX('PathStage-ConceptMap-1'!$I$15:$N$124,Q69+1,R69)</f>
        <v>* group[=].element[+].code = #PathologicalStage.ajccEdition</v>
      </c>
    </row>
    <row r="70" spans="7:19">
      <c r="G70" s="124"/>
      <c r="P70" s="11">
        <v>56</v>
      </c>
      <c r="Q70" s="11">
        <f t="shared" si="13"/>
        <v>9</v>
      </c>
      <c r="R70" s="11">
        <f t="shared" si="14"/>
        <v>2</v>
      </c>
      <c r="S70" s="12" t="str" cm="1">
        <f t="array" ref="S70">INDEX('PathStage-ConceptMap-1'!$I$15:$N$124,Q70+1,R70)</f>
        <v>* group[=].element[=].display = ##34#Ajcc edition##34#</v>
      </c>
    </row>
    <row r="71" spans="7:19" ht="29.5">
      <c r="G71" s="124"/>
      <c r="P71" s="11">
        <v>57</v>
      </c>
      <c r="Q71" s="11">
        <f t="shared" si="13"/>
        <v>9</v>
      </c>
      <c r="R71" s="11">
        <f t="shared" si="14"/>
        <v>3</v>
      </c>
      <c r="S71" s="12" t="str" cm="1">
        <f t="array" ref="S71">INDEX('PathStage-ConceptMap-1'!$I$15:$N$124,Q71+1,R71)</f>
        <v>* group[=].element[=].target.code = #Observation.valueCodeableConcept.coding.system</v>
      </c>
    </row>
    <row r="72" spans="7:19">
      <c r="G72" s="124"/>
      <c r="P72" s="11">
        <v>58</v>
      </c>
      <c r="Q72" s="11">
        <f t="shared" si="13"/>
        <v>9</v>
      </c>
      <c r="R72" s="11">
        <f t="shared" si="14"/>
        <v>4</v>
      </c>
      <c r="S72" s="12" t="str" cm="1">
        <f t="array" ref="S72">INDEX('PathStage-ConceptMap-1'!$I$15:$N$124,Q72+1,R72)</f>
        <v>* group[=].element[=].target.display = ##34###34#</v>
      </c>
    </row>
    <row r="73" spans="7:19">
      <c r="G73" s="124"/>
      <c r="P73" s="11">
        <v>59</v>
      </c>
      <c r="Q73" s="11">
        <f t="shared" si="13"/>
        <v>9</v>
      </c>
      <c r="R73" s="11">
        <f t="shared" si="14"/>
        <v>5</v>
      </c>
      <c r="S73" s="12" t="str" cm="1">
        <f t="array" ref="S73">INDEX('PathStage-ConceptMap-1'!$I$15:$N$124,Q73+1,R73)</f>
        <v>* group[=].element[=].target.equivalence = #relatedto</v>
      </c>
    </row>
    <row r="74" spans="7:19" ht="44.25">
      <c r="G74" s="124"/>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c r="G75" s="124"/>
      <c r="P75" s="11">
        <v>61</v>
      </c>
      <c r="Q75" s="11">
        <f t="shared" si="13"/>
        <v>10</v>
      </c>
      <c r="R75" s="11">
        <f t="shared" si="14"/>
        <v>1</v>
      </c>
      <c r="S75" s="12" t="str" cm="1">
        <f t="array" ref="S75">INDEX('PathStage-ConceptMap-1'!$I$15:$N$124,Q75+1,R75)</f>
        <v>* group[=].element[+].code = #PathologicalStage.softTissue</v>
      </c>
    </row>
    <row r="76" spans="7:19">
      <c r="G76" s="124"/>
      <c r="P76" s="11">
        <v>62</v>
      </c>
      <c r="Q76" s="11">
        <f t="shared" si="13"/>
        <v>10</v>
      </c>
      <c r="R76" s="11">
        <f t="shared" si="14"/>
        <v>2</v>
      </c>
      <c r="S76" s="12" t="str" cm="1">
        <f t="array" ref="S76">INDEX('PathStage-ConceptMap-1'!$I$15:$N$124,Q76+1,R76)</f>
        <v>* group[=].element[=].display = ##34#Soft Tissue##34#</v>
      </c>
    </row>
    <row r="77" spans="7:19">
      <c r="G77" s="124"/>
      <c r="P77" s="11">
        <v>63</v>
      </c>
      <c r="Q77" s="11">
        <f t="shared" si="13"/>
        <v>10</v>
      </c>
      <c r="R77" s="11">
        <f t="shared" si="14"/>
        <v>3</v>
      </c>
      <c r="S77" s="12" t="str" cm="1">
        <f t="array" ref="S77">INDEX('PathStage-ConceptMap-1'!$I$15:$N$124,Q77+1,R77)</f>
        <v>* group[=].element[=].target.code = #Observation.</v>
      </c>
    </row>
    <row r="78" spans="7:19">
      <c r="G78" s="124"/>
      <c r="P78" s="11">
        <v>64</v>
      </c>
      <c r="Q78" s="11">
        <f t="shared" si="13"/>
        <v>10</v>
      </c>
      <c r="R78" s="11">
        <f t="shared" si="14"/>
        <v>4</v>
      </c>
      <c r="S78" s="12" t="str" cm="1">
        <f t="array" ref="S78">INDEX('PathStage-ConceptMap-1'!$I$15:$N$124,Q78+1,R78)</f>
        <v>* group[=].element[=].target.display = ##34###34#</v>
      </c>
    </row>
    <row r="79" spans="7:19">
      <c r="G79" s="124"/>
      <c r="P79" s="11">
        <v>65</v>
      </c>
      <c r="Q79" s="11">
        <f t="shared" si="13"/>
        <v>10</v>
      </c>
      <c r="R79" s="11">
        <f t="shared" si="14"/>
        <v>5</v>
      </c>
      <c r="S79" s="12" t="str" cm="1">
        <f t="array" ref="S79">INDEX('PathStage-ConceptMap-1'!$I$15:$N$124,Q79+1,R79)</f>
        <v>* group[=].element[=].target.equivalence = #relatedto</v>
      </c>
    </row>
    <row r="80" spans="7:19" ht="29.5">
      <c r="G80" s="124"/>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c r="G81" s="124"/>
      <c r="P81" s="11">
        <v>67</v>
      </c>
      <c r="Q81" s="11">
        <f t="shared" si="21"/>
        <v>11</v>
      </c>
      <c r="R81" s="11">
        <f t="shared" si="22"/>
        <v>1</v>
      </c>
      <c r="S81" s="12" t="str" cm="1">
        <f t="array" ref="S81">INDEX('PathStage-ConceptMap-1'!$I$15:$N$124,Q81+1,R81)</f>
        <v>* group[=].element[+].code = #PathologicalStage.distantLymphNode</v>
      </c>
    </row>
    <row r="82" spans="7:19">
      <c r="G82" s="124"/>
      <c r="P82" s="11">
        <v>68</v>
      </c>
      <c r="Q82" s="11">
        <f t="shared" si="21"/>
        <v>11</v>
      </c>
      <c r="R82" s="11">
        <f t="shared" si="22"/>
        <v>2</v>
      </c>
      <c r="S82" s="12" t="str" cm="1">
        <f t="array" ref="S82">INDEX('PathStage-ConceptMap-1'!$I$15:$N$124,Q82+1,R82)</f>
        <v>* group[=].element[=].display = ##34#distant lymph node##34#</v>
      </c>
    </row>
    <row r="83" spans="7:19">
      <c r="G83" s="124"/>
      <c r="P83" s="11">
        <v>69</v>
      </c>
      <c r="Q83" s="11">
        <f t="shared" si="21"/>
        <v>11</v>
      </c>
      <c r="R83" s="11">
        <f t="shared" si="22"/>
        <v>3</v>
      </c>
      <c r="S83" s="12" t="str" cm="1">
        <f t="array" ref="S83">INDEX('PathStage-ConceptMap-1'!$I$15:$N$124,Q83+1,R83)</f>
        <v>* group[=].element[=].target.code = #Observation.</v>
      </c>
    </row>
    <row r="84" spans="7:19">
      <c r="G84" s="124"/>
      <c r="P84" s="11">
        <v>70</v>
      </c>
      <c r="Q84" s="11">
        <f t="shared" si="21"/>
        <v>11</v>
      </c>
      <c r="R84" s="11">
        <f t="shared" si="22"/>
        <v>4</v>
      </c>
      <c r="S84" s="12" t="str" cm="1">
        <f t="array" ref="S84">INDEX('PathStage-ConceptMap-1'!$I$15:$N$124,Q84+1,R84)</f>
        <v>* group[=].element[=].target.display = ##34###34#</v>
      </c>
    </row>
    <row r="85" spans="7:19">
      <c r="G85" s="124"/>
      <c r="P85" s="11">
        <v>71</v>
      </c>
      <c r="Q85" s="11">
        <f t="shared" si="21"/>
        <v>11</v>
      </c>
      <c r="R85" s="11">
        <f t="shared" si="22"/>
        <v>5</v>
      </c>
      <c r="S85" s="12" t="str" cm="1">
        <f t="array" ref="S85">INDEX('PathStage-ConceptMap-1'!$I$15:$N$124,Q85+1,R85)</f>
        <v>* group[=].element[=].target.equivalence = #relatedto</v>
      </c>
    </row>
    <row r="86" spans="7:19" ht="29.5">
      <c r="G86" s="124"/>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c r="G87" s="124"/>
      <c r="P87" s="11">
        <v>73</v>
      </c>
      <c r="Q87" s="11">
        <f t="shared" si="21"/>
        <v>12</v>
      </c>
      <c r="R87" s="11">
        <f t="shared" si="22"/>
        <v>1</v>
      </c>
      <c r="S87" s="12" t="str" cm="1">
        <f t="array" ref="S87">INDEX('PathStage-ConceptMap-1'!$I$15:$N$124,Q87+1,R87)</f>
        <v>* group[=].element[+].code = #PathologicalStage.lung</v>
      </c>
    </row>
    <row r="88" spans="7:19">
      <c r="G88" s="124"/>
      <c r="P88" s="11">
        <v>74</v>
      </c>
      <c r="Q88" s="11">
        <f t="shared" si="21"/>
        <v>12</v>
      </c>
      <c r="R88" s="11">
        <f t="shared" si="22"/>
        <v>2</v>
      </c>
      <c r="S88" s="12" t="str" cm="1">
        <f t="array" ref="S88">INDEX('PathStage-ConceptMap-1'!$I$15:$N$124,Q88+1,R88)</f>
        <v>* group[=].element[=].display = ##34#lung##34#</v>
      </c>
    </row>
    <row r="89" spans="7:19">
      <c r="G89" s="124"/>
      <c r="P89" s="11">
        <v>75</v>
      </c>
      <c r="Q89" s="11">
        <f t="shared" si="21"/>
        <v>12</v>
      </c>
      <c r="R89" s="11">
        <f t="shared" si="22"/>
        <v>3</v>
      </c>
      <c r="S89" s="12" t="str" cm="1">
        <f t="array" ref="S89">INDEX('PathStage-ConceptMap-1'!$I$15:$N$124,Q89+1,R89)</f>
        <v>* group[=].element[=].target.code = #Observation.</v>
      </c>
    </row>
    <row r="90" spans="7:19">
      <c r="G90" s="124"/>
      <c r="P90" s="11">
        <v>76</v>
      </c>
      <c r="Q90" s="11">
        <f t="shared" si="21"/>
        <v>12</v>
      </c>
      <c r="R90" s="11">
        <f t="shared" si="22"/>
        <v>4</v>
      </c>
      <c r="S90" s="12" t="str" cm="1">
        <f t="array" ref="S90">INDEX('PathStage-ConceptMap-1'!$I$15:$N$124,Q90+1,R90)</f>
        <v>* group[=].element[=].target.display = ##34###34#</v>
      </c>
    </row>
    <row r="91" spans="7:19">
      <c r="G91" s="124"/>
      <c r="P91" s="11">
        <v>77</v>
      </c>
      <c r="Q91" s="11">
        <f t="shared" si="21"/>
        <v>12</v>
      </c>
      <c r="R91" s="11">
        <f t="shared" si="22"/>
        <v>5</v>
      </c>
      <c r="S91" s="12" t="str" cm="1">
        <f t="array" ref="S91">INDEX('PathStage-ConceptMap-1'!$I$15:$N$124,Q91+1,R91)</f>
        <v>* group[=].element[=].target.equivalence = #relatedto</v>
      </c>
    </row>
    <row r="92" spans="7:19" ht="29.5">
      <c r="G92" s="124"/>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c r="G93" s="124"/>
      <c r="P93" s="11">
        <v>79</v>
      </c>
      <c r="Q93" s="11">
        <f t="shared" si="21"/>
        <v>13</v>
      </c>
      <c r="R93" s="11">
        <f t="shared" si="22"/>
        <v>1</v>
      </c>
      <c r="S93" s="12" t="str" cm="1">
        <f t="array" ref="S93">INDEX('PathStage-ConceptMap-1'!$I$15:$N$124,Q93+1,R93)</f>
        <v>* group[=].element[+].code = #PathologicalStage.bone</v>
      </c>
    </row>
    <row r="94" spans="7:19">
      <c r="G94" s="124"/>
      <c r="P94" s="11">
        <v>80</v>
      </c>
      <c r="Q94" s="11">
        <f t="shared" si="21"/>
        <v>13</v>
      </c>
      <c r="R94" s="11">
        <f t="shared" si="22"/>
        <v>2</v>
      </c>
      <c r="S94" s="12" t="str" cm="1">
        <f t="array" ref="S94">INDEX('PathStage-ConceptMap-1'!$I$15:$N$124,Q94+1,R94)</f>
        <v>* group[=].element[=].display = ##34#bone##34#</v>
      </c>
    </row>
    <row r="95" spans="7:19">
      <c r="G95" s="124"/>
      <c r="P95" s="11">
        <v>81</v>
      </c>
      <c r="Q95" s="11">
        <f t="shared" si="21"/>
        <v>13</v>
      </c>
      <c r="R95" s="11">
        <f t="shared" si="22"/>
        <v>3</v>
      </c>
      <c r="S95" s="12" t="str" cm="1">
        <f t="array" ref="S95">INDEX('PathStage-ConceptMap-1'!$I$15:$N$124,Q95+1,R95)</f>
        <v>* group[=].element[=].target.code = #Observation.</v>
      </c>
    </row>
    <row r="96" spans="7:19">
      <c r="G96" s="124"/>
      <c r="P96" s="11">
        <v>82</v>
      </c>
      <c r="Q96" s="11">
        <f t="shared" si="21"/>
        <v>13</v>
      </c>
      <c r="R96" s="11">
        <f t="shared" si="22"/>
        <v>4</v>
      </c>
      <c r="S96" s="12" t="str" cm="1">
        <f t="array" ref="S96">INDEX('PathStage-ConceptMap-1'!$I$15:$N$124,Q96+1,R96)</f>
        <v>* group[=].element[=].target.display = ##34###34#</v>
      </c>
    </row>
    <row r="97" spans="7:19">
      <c r="G97" s="124"/>
      <c r="P97" s="11">
        <v>83</v>
      </c>
      <c r="Q97" s="11">
        <f t="shared" si="21"/>
        <v>13</v>
      </c>
      <c r="R97" s="11">
        <f t="shared" si="22"/>
        <v>5</v>
      </c>
      <c r="S97" s="12" t="str" cm="1">
        <f t="array" ref="S97">INDEX('PathStage-ConceptMap-1'!$I$15:$N$124,Q97+1,R97)</f>
        <v>* group[=].element[=].target.equivalence = #relatedto</v>
      </c>
    </row>
    <row r="98" spans="7:19" ht="29.5">
      <c r="G98" s="124"/>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c r="G99" s="124"/>
      <c r="P99" s="11">
        <v>85</v>
      </c>
      <c r="Q99" s="11">
        <f t="shared" si="21"/>
        <v>14</v>
      </c>
      <c r="R99" s="11">
        <f t="shared" si="22"/>
        <v>1</v>
      </c>
      <c r="S99" s="12" t="str" cm="1">
        <f t="array" ref="S99">INDEX('PathStage-ConceptMap-1'!$I$15:$N$124,Q99+1,R99)</f>
        <v>* group[=].element[+].code = #PathologicalStage.liver</v>
      </c>
    </row>
    <row r="100" spans="7:19">
      <c r="G100" s="124"/>
      <c r="P100" s="11">
        <v>86</v>
      </c>
      <c r="Q100" s="11">
        <f t="shared" si="21"/>
        <v>14</v>
      </c>
      <c r="R100" s="11">
        <f t="shared" si="22"/>
        <v>2</v>
      </c>
      <c r="S100" s="12" t="str" cm="1">
        <f t="array" ref="S100">INDEX('PathStage-ConceptMap-1'!$I$15:$N$124,Q100+1,R100)</f>
        <v>* group[=].element[=].display = ##34#liver##34#</v>
      </c>
    </row>
    <row r="101" spans="7:19">
      <c r="G101" s="124"/>
      <c r="P101" s="11">
        <v>87</v>
      </c>
      <c r="Q101" s="11">
        <f t="shared" si="21"/>
        <v>14</v>
      </c>
      <c r="R101" s="11">
        <f t="shared" si="22"/>
        <v>3</v>
      </c>
      <c r="S101" s="12" t="str" cm="1">
        <f t="array" ref="S101">INDEX('PathStage-ConceptMap-1'!$I$15:$N$124,Q101+1,R101)</f>
        <v>* group[=].element[=].target.code = #Observation.</v>
      </c>
    </row>
    <row r="102" spans="7:19">
      <c r="G102" s="124"/>
      <c r="P102" s="11">
        <v>88</v>
      </c>
      <c r="Q102" s="11">
        <f t="shared" si="21"/>
        <v>14</v>
      </c>
      <c r="R102" s="11">
        <f t="shared" si="22"/>
        <v>4</v>
      </c>
      <c r="S102" s="12" t="str" cm="1">
        <f t="array" ref="S102">INDEX('PathStage-ConceptMap-1'!$I$15:$N$124,Q102+1,R102)</f>
        <v>* group[=].element[=].target.display = ##34###34#</v>
      </c>
    </row>
    <row r="103" spans="7:19">
      <c r="G103" s="124"/>
      <c r="P103" s="11">
        <v>89</v>
      </c>
      <c r="Q103" s="11">
        <f t="shared" si="21"/>
        <v>14</v>
      </c>
      <c r="R103" s="11">
        <f t="shared" si="22"/>
        <v>5</v>
      </c>
      <c r="S103" s="12" t="str" cm="1">
        <f t="array" ref="S103">INDEX('PathStage-ConceptMap-1'!$I$15:$N$124,Q103+1,R103)</f>
        <v>* group[=].element[=].target.equivalence = #relatedto</v>
      </c>
    </row>
    <row r="104" spans="7:19" ht="29.5">
      <c r="G104" s="124"/>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c r="G105" s="124"/>
      <c r="P105" s="11">
        <v>91</v>
      </c>
      <c r="Q105" s="11">
        <f t="shared" si="21"/>
        <v>15</v>
      </c>
      <c r="R105" s="11">
        <f t="shared" si="22"/>
        <v>1</v>
      </c>
      <c r="S105" s="12" t="str" cm="1">
        <f t="array" ref="S105">INDEX('PathStage-ConceptMap-1'!$I$15:$N$124,Q105+1,R105)</f>
        <v>* group[=].element[+].code = #PathologicalStage.pleura</v>
      </c>
    </row>
    <row r="106" spans="7:19">
      <c r="G106" s="124"/>
      <c r="P106" s="11">
        <v>92</v>
      </c>
      <c r="Q106" s="11">
        <f t="shared" si="21"/>
        <v>15</v>
      </c>
      <c r="R106" s="11">
        <f t="shared" si="22"/>
        <v>2</v>
      </c>
      <c r="S106" s="12" t="str" cm="1">
        <f t="array" ref="S106">INDEX('PathStage-ConceptMap-1'!$I$15:$N$124,Q106+1,R106)</f>
        <v>* group[=].element[=].display = ##34#pleura##34#</v>
      </c>
    </row>
    <row r="107" spans="7:19">
      <c r="G107" s="124"/>
      <c r="P107" s="11">
        <v>93</v>
      </c>
      <c r="Q107" s="11">
        <f t="shared" si="21"/>
        <v>15</v>
      </c>
      <c r="R107" s="11">
        <f t="shared" si="22"/>
        <v>3</v>
      </c>
      <c r="S107" s="12" t="str" cm="1">
        <f t="array" ref="S107">INDEX('PathStage-ConceptMap-1'!$I$15:$N$124,Q107+1,R107)</f>
        <v>* group[=].element[=].target.code = #Observation.</v>
      </c>
    </row>
    <row r="108" spans="7:19">
      <c r="G108" s="124"/>
      <c r="P108" s="11">
        <v>94</v>
      </c>
      <c r="Q108" s="11">
        <f t="shared" si="21"/>
        <v>15</v>
      </c>
      <c r="R108" s="11">
        <f t="shared" si="22"/>
        <v>4</v>
      </c>
      <c r="S108" s="12" t="str" cm="1">
        <f t="array" ref="S108">INDEX('PathStage-ConceptMap-1'!$I$15:$N$124,Q108+1,R108)</f>
        <v>* group[=].element[=].target.display = ##34###34#</v>
      </c>
    </row>
    <row r="109" spans="7:19">
      <c r="G109" s="124"/>
      <c r="P109" s="11">
        <v>95</v>
      </c>
      <c r="Q109" s="11">
        <f t="shared" si="21"/>
        <v>15</v>
      </c>
      <c r="R109" s="11">
        <f t="shared" si="22"/>
        <v>5</v>
      </c>
      <c r="S109" s="12" t="str" cm="1">
        <f t="array" ref="S109">INDEX('PathStage-ConceptMap-1'!$I$15:$N$124,Q109+1,R109)</f>
        <v>* group[=].element[=].target.equivalence = #relatedto</v>
      </c>
    </row>
    <row r="110" spans="7:19" ht="29.5">
      <c r="G110" s="124"/>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c r="G111" s="124"/>
      <c r="P111" s="11">
        <v>97</v>
      </c>
      <c r="Q111" s="11">
        <f t="shared" si="21"/>
        <v>16</v>
      </c>
      <c r="R111" s="11">
        <f t="shared" si="22"/>
        <v>1</v>
      </c>
      <c r="S111" s="12" t="str" cm="1">
        <f t="array" ref="S111">INDEX('PathStage-ConceptMap-1'!$I$15:$N$124,Q111+1,R111)</f>
        <v>* group[=].element[+].code = #PathologicalStage.peritoneum</v>
      </c>
    </row>
    <row r="112" spans="7:19">
      <c r="G112" s="124"/>
      <c r="P112" s="11">
        <v>98</v>
      </c>
      <c r="Q112" s="11">
        <f t="shared" si="21"/>
        <v>16</v>
      </c>
      <c r="R112" s="11">
        <f t="shared" si="22"/>
        <v>2</v>
      </c>
      <c r="S112" s="12" t="str" cm="1">
        <f t="array" ref="S112">INDEX('PathStage-ConceptMap-1'!$I$15:$N$124,Q112+1,R112)</f>
        <v>* group[=].element[=].display = ##34#peritoneum##34#</v>
      </c>
    </row>
    <row r="113" spans="7:19">
      <c r="G113" s="124"/>
      <c r="P113" s="11">
        <v>99</v>
      </c>
      <c r="Q113" s="11">
        <f t="shared" si="21"/>
        <v>16</v>
      </c>
      <c r="R113" s="11">
        <f t="shared" si="22"/>
        <v>3</v>
      </c>
      <c r="S113" s="12" t="str" cm="1">
        <f t="array" ref="S113">INDEX('PathStage-ConceptMap-1'!$I$15:$N$124,Q113+1,R113)</f>
        <v>* group[=].element[=].target.code = #Observation.</v>
      </c>
    </row>
    <row r="114" spans="7:19">
      <c r="G114" s="124"/>
      <c r="P114" s="11">
        <v>100</v>
      </c>
      <c r="Q114" s="11">
        <f t="shared" si="21"/>
        <v>16</v>
      </c>
      <c r="R114" s="11">
        <f t="shared" si="22"/>
        <v>4</v>
      </c>
      <c r="S114" s="12" t="str" cm="1">
        <f t="array" ref="S114">INDEX('PathStage-ConceptMap-1'!$I$15:$N$124,Q114+1,R114)</f>
        <v>* group[=].element[=].target.display = ##34###34#</v>
      </c>
    </row>
    <row r="115" spans="7:19">
      <c r="G115" s="124"/>
      <c r="P115" s="11">
        <v>101</v>
      </c>
      <c r="Q115" s="11">
        <f t="shared" si="21"/>
        <v>16</v>
      </c>
      <c r="R115" s="11">
        <f t="shared" si="22"/>
        <v>5</v>
      </c>
      <c r="S115" s="12" t="str" cm="1">
        <f t="array" ref="S115">INDEX('PathStage-ConceptMap-1'!$I$15:$N$124,Q115+1,R115)</f>
        <v>* group[=].element[=].target.equivalence = #relatedto</v>
      </c>
    </row>
    <row r="116" spans="7:19" ht="29.5">
      <c r="G116" s="124"/>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c r="G117" s="124"/>
      <c r="P117" s="11">
        <v>103</v>
      </c>
      <c r="Q117" s="11">
        <f t="shared" si="21"/>
        <v>17</v>
      </c>
      <c r="R117" s="11">
        <f t="shared" si="22"/>
        <v>1</v>
      </c>
      <c r="S117" s="12" t="str" cm="1">
        <f t="array" ref="S117">INDEX('PathStage-ConceptMap-1'!$I$15:$N$124,Q117+1,R117)</f>
        <v>* group[=].element[+].code = #PathologicalStage.brain</v>
      </c>
    </row>
    <row r="118" spans="7:19">
      <c r="P118" s="11">
        <v>104</v>
      </c>
      <c r="Q118" s="11">
        <f t="shared" si="21"/>
        <v>17</v>
      </c>
      <c r="R118" s="11">
        <f t="shared" si="22"/>
        <v>2</v>
      </c>
      <c r="S118" s="12" t="str" cm="1">
        <f t="array" ref="S118">INDEX('PathStage-ConceptMap-1'!$I$15:$N$124,Q118+1,R118)</f>
        <v>* group[=].element[=].display = ##34#brain##34#</v>
      </c>
    </row>
    <row r="119" spans="7:19">
      <c r="P119" s="11">
        <v>105</v>
      </c>
      <c r="Q119" s="11">
        <f t="shared" si="21"/>
        <v>17</v>
      </c>
      <c r="R119" s="11">
        <f t="shared" si="22"/>
        <v>3</v>
      </c>
      <c r="S119" s="12" t="str" cm="1">
        <f t="array" ref="S119">INDEX('PathStage-ConceptMap-1'!$I$15:$N$124,Q119+1,R119)</f>
        <v>* group[=].element[=].target.code = #Observation.</v>
      </c>
    </row>
    <row r="120" spans="7:19">
      <c r="P120" s="11">
        <v>106</v>
      </c>
      <c r="Q120" s="11">
        <f t="shared" si="21"/>
        <v>17</v>
      </c>
      <c r="R120" s="11">
        <f t="shared" si="22"/>
        <v>4</v>
      </c>
      <c r="S120" s="12" t="str" cm="1">
        <f t="array" ref="S120">INDEX('PathStage-ConceptMap-1'!$I$15:$N$124,Q120+1,R120)</f>
        <v>* group[=].element[=].target.display = ##34###34#</v>
      </c>
    </row>
    <row r="121" spans="7:19">
      <c r="P121" s="11">
        <v>107</v>
      </c>
      <c r="Q121" s="11">
        <f t="shared" si="21"/>
        <v>17</v>
      </c>
      <c r="R121" s="11">
        <f t="shared" si="22"/>
        <v>5</v>
      </c>
      <c r="S121" s="12" t="str" cm="1">
        <f t="array" ref="S121">INDEX('PathStage-ConceptMap-1'!$I$15:$N$124,Q121+1,R121)</f>
        <v>* group[=].element[=].target.equivalence = #relatedto</v>
      </c>
    </row>
    <row r="122" spans="7:19" ht="29.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c r="P123" s="11">
        <v>109</v>
      </c>
      <c r="Q123" s="11">
        <f t="shared" si="21"/>
        <v>18</v>
      </c>
      <c r="R123" s="11">
        <f t="shared" si="22"/>
        <v>1</v>
      </c>
      <c r="S123" s="12" t="str" cm="1">
        <f t="array" ref="S123">INDEX('PathStage-ConceptMap-1'!$I$15:$N$124,Q123+1,R123)</f>
        <v>* group[=].element[+].code = #PathologicalStage.otherViscera</v>
      </c>
    </row>
    <row r="124" spans="7:19">
      <c r="P124" s="11">
        <v>110</v>
      </c>
      <c r="Q124" s="11">
        <f t="shared" si="21"/>
        <v>18</v>
      </c>
      <c r="R124" s="11">
        <f t="shared" si="22"/>
        <v>2</v>
      </c>
      <c r="S124" s="12" t="str" cm="1">
        <f t="array" ref="S124">INDEX('PathStage-ConceptMap-1'!$I$15:$N$124,Q124+1,R124)</f>
        <v>* group[=].element[=].display = ##34#other viscera##34#</v>
      </c>
    </row>
    <row r="125" spans="7:19">
      <c r="P125" s="11">
        <v>111</v>
      </c>
      <c r="Q125" s="11">
        <f t="shared" si="21"/>
        <v>18</v>
      </c>
      <c r="R125" s="11">
        <f t="shared" si="22"/>
        <v>3</v>
      </c>
      <c r="S125" s="12" t="str" cm="1">
        <f t="array" ref="S125">INDEX('PathStage-ConceptMap-1'!$I$15:$N$124,Q125+1,R125)</f>
        <v>* group[=].element[=].target.code = #Observation.</v>
      </c>
    </row>
    <row r="126" spans="7:19">
      <c r="P126" s="11">
        <v>112</v>
      </c>
      <c r="Q126" s="11">
        <f t="shared" si="21"/>
        <v>18</v>
      </c>
      <c r="R126" s="11">
        <f t="shared" si="22"/>
        <v>4</v>
      </c>
      <c r="S126" s="12" t="str" cm="1">
        <f t="array" ref="S126">INDEX('PathStage-ConceptMap-1'!$I$15:$N$124,Q126+1,R126)</f>
        <v>* group[=].element[=].target.display = ##34###34#</v>
      </c>
    </row>
    <row r="127" spans="7:19">
      <c r="P127" s="11">
        <v>113</v>
      </c>
      <c r="Q127" s="11">
        <f t="shared" si="21"/>
        <v>18</v>
      </c>
      <c r="R127" s="11">
        <f t="shared" si="22"/>
        <v>5</v>
      </c>
      <c r="S127" s="12" t="str" cm="1">
        <f t="array" ref="S127">INDEX('PathStage-ConceptMap-1'!$I$15:$N$124,Q127+1,R127)</f>
        <v>* group[=].element[=].target.equivalence = #relatedto</v>
      </c>
    </row>
    <row r="128" spans="7:19" ht="29.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c r="P129" s="11">
        <v>115</v>
      </c>
      <c r="Q129" s="11">
        <f t="shared" si="21"/>
        <v>19</v>
      </c>
      <c r="R129" s="11">
        <f t="shared" si="22"/>
        <v>1</v>
      </c>
      <c r="S129" s="12" t="str" cm="1">
        <f t="array" ref="S129">INDEX('PathStage-ConceptMap-1'!$I$15:$N$124,Q129+1,R129)</f>
        <v>* group[=].element[+].code = #PathologicalStage.unknown</v>
      </c>
    </row>
    <row r="130" spans="16:19">
      <c r="P130" s="11">
        <v>116</v>
      </c>
      <c r="Q130" s="11">
        <f t="shared" si="21"/>
        <v>19</v>
      </c>
      <c r="R130" s="11">
        <f t="shared" si="22"/>
        <v>2</v>
      </c>
      <c r="S130" s="12" t="str" cm="1">
        <f t="array" ref="S130">INDEX('PathStage-ConceptMap-1'!$I$15:$N$124,Q130+1,R130)</f>
        <v>* group[=].element[=].display = ##34#unknown##34#</v>
      </c>
    </row>
    <row r="131" spans="16:19">
      <c r="P131" s="11">
        <v>117</v>
      </c>
      <c r="Q131" s="11">
        <f t="shared" si="21"/>
        <v>19</v>
      </c>
      <c r="R131" s="11">
        <f t="shared" si="22"/>
        <v>3</v>
      </c>
      <c r="S131" s="12" t="str" cm="1">
        <f t="array" ref="S131">INDEX('PathStage-ConceptMap-1'!$I$15:$N$124,Q131+1,R131)</f>
        <v>* group[=].element[=].target.code = #Observation.</v>
      </c>
    </row>
    <row r="132" spans="16:19">
      <c r="P132" s="11">
        <v>118</v>
      </c>
      <c r="Q132" s="11">
        <f t="shared" si="21"/>
        <v>19</v>
      </c>
      <c r="R132" s="11">
        <f t="shared" si="22"/>
        <v>4</v>
      </c>
      <c r="S132" s="12" t="str" cm="1">
        <f t="array" ref="S132">INDEX('PathStage-ConceptMap-1'!$I$15:$N$124,Q132+1,R132)</f>
        <v>* group[=].element[=].target.display = ##34###34#</v>
      </c>
    </row>
    <row r="133" spans="16:19">
      <c r="P133" s="11">
        <v>119</v>
      </c>
      <c r="Q133" s="11">
        <f t="shared" si="21"/>
        <v>19</v>
      </c>
      <c r="R133" s="11">
        <f t="shared" si="22"/>
        <v>5</v>
      </c>
      <c r="S133" s="12" t="str" cm="1">
        <f t="array" ref="S133">INDEX('PathStage-ConceptMap-1'!$I$15:$N$124,Q133+1,R133)</f>
        <v>* group[=].element[=].target.equivalence = #relatedto</v>
      </c>
    </row>
    <row r="134" spans="16:19" ht="29.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c r="P135" s="11">
        <v>121</v>
      </c>
      <c r="Q135" s="11">
        <f t="shared" si="21"/>
        <v>20</v>
      </c>
      <c r="R135" s="11">
        <f t="shared" si="22"/>
        <v>1</v>
      </c>
      <c r="S135" s="12" cm="1">
        <f t="array" ref="S135">INDEX('PathStage-ConceptMap-1'!$I$15:$N$124,Q135+1,R135)</f>
        <v>0</v>
      </c>
    </row>
    <row r="136" spans="16:19">
      <c r="P136" s="11">
        <v>122</v>
      </c>
      <c r="Q136" s="11">
        <f t="shared" si="21"/>
        <v>20</v>
      </c>
      <c r="R136" s="11">
        <f t="shared" si="22"/>
        <v>2</v>
      </c>
      <c r="S136" s="12" cm="1">
        <f t="array" ref="S136">INDEX('PathStage-ConceptMap-1'!$I$15:$N$124,Q136+1,R136)</f>
        <v>0</v>
      </c>
    </row>
    <row r="137" spans="16:19">
      <c r="P137" s="11">
        <v>123</v>
      </c>
      <c r="Q137" s="11">
        <f t="shared" si="21"/>
        <v>20</v>
      </c>
      <c r="R137" s="11">
        <f t="shared" si="22"/>
        <v>3</v>
      </c>
      <c r="S137" s="12" cm="1">
        <f t="array" ref="S137">INDEX('PathStage-ConceptMap-1'!$I$15:$N$124,Q137+1,R137)</f>
        <v>0</v>
      </c>
    </row>
    <row r="138" spans="16:19">
      <c r="P138" s="11">
        <v>124</v>
      </c>
      <c r="Q138" s="11">
        <f t="shared" si="21"/>
        <v>20</v>
      </c>
      <c r="R138" s="11">
        <f t="shared" si="22"/>
        <v>4</v>
      </c>
      <c r="S138" s="12" cm="1">
        <f t="array" ref="S138">INDEX('PathStage-ConceptMap-1'!$I$15:$N$124,Q138+1,R138)</f>
        <v>0</v>
      </c>
    </row>
    <row r="139" spans="16:19">
      <c r="P139" s="11">
        <v>125</v>
      </c>
      <c r="Q139" s="11">
        <f t="shared" si="21"/>
        <v>20</v>
      </c>
      <c r="R139" s="11">
        <f t="shared" si="22"/>
        <v>5</v>
      </c>
      <c r="S139" s="12" cm="1">
        <f t="array" ref="S139">INDEX('PathStage-ConceptMap-1'!$I$15:$N$124,Q139+1,R139)</f>
        <v>0</v>
      </c>
    </row>
    <row r="140" spans="16:19">
      <c r="P140" s="11">
        <v>126</v>
      </c>
      <c r="Q140" s="11">
        <f t="shared" si="21"/>
        <v>20</v>
      </c>
      <c r="R140" s="11">
        <f t="shared" si="22"/>
        <v>6</v>
      </c>
      <c r="S140" s="12" cm="1">
        <f t="array" ref="S140">INDEX('PathStage-ConceptMap-1'!$I$15:$N$124,Q140+1,R140)</f>
        <v>0</v>
      </c>
    </row>
    <row r="141" spans="16:19">
      <c r="P141" s="11">
        <v>127</v>
      </c>
      <c r="Q141" s="11">
        <f t="shared" si="21"/>
        <v>21</v>
      </c>
      <c r="R141" s="11">
        <f t="shared" si="22"/>
        <v>1</v>
      </c>
      <c r="S141" s="12" cm="1">
        <f t="array" ref="S141">INDEX('PathStage-ConceptMap-1'!$I$15:$N$124,Q141+1,R141)</f>
        <v>0</v>
      </c>
    </row>
    <row r="142" spans="16:19">
      <c r="P142" s="11">
        <v>128</v>
      </c>
      <c r="Q142" s="11">
        <f t="shared" si="21"/>
        <v>21</v>
      </c>
      <c r="R142" s="11">
        <f t="shared" si="22"/>
        <v>2</v>
      </c>
      <c r="S142" s="12" cm="1">
        <f t="array" ref="S142">INDEX('PathStage-ConceptMap-1'!$I$15:$N$124,Q142+1,R142)</f>
        <v>0</v>
      </c>
    </row>
    <row r="143" spans="16:19">
      <c r="P143" s="11">
        <v>129</v>
      </c>
      <c r="Q143" s="11">
        <f t="shared" si="21"/>
        <v>21</v>
      </c>
      <c r="R143" s="11">
        <f t="shared" si="22"/>
        <v>3</v>
      </c>
      <c r="S143" s="12" cm="1">
        <f t="array" ref="S143">INDEX('PathStage-ConceptMap-1'!$I$15:$N$124,Q143+1,R143)</f>
        <v>0</v>
      </c>
    </row>
    <row r="144" spans="16:19">
      <c r="P144" s="11">
        <v>130</v>
      </c>
      <c r="Q144" s="11">
        <f t="shared" ref="Q144:Q163" si="23">IF(MOD(P144,$Q$8)=0,P144/$Q$8-1,INT(P144/$Q$8))</f>
        <v>21</v>
      </c>
      <c r="R144" s="11">
        <f t="shared" ref="R144:R163" si="24">IF(MOD(P144,$Q$8)=0,$Q$8,MOD(P144,$Q$8))</f>
        <v>4</v>
      </c>
      <c r="S144" s="12" cm="1">
        <f t="array" ref="S144">INDEX('PathStage-ConceptMap-1'!$I$15:$N$124,Q144+1,R144)</f>
        <v>0</v>
      </c>
    </row>
    <row r="145" spans="16:19">
      <c r="P145" s="11">
        <v>131</v>
      </c>
      <c r="Q145" s="11">
        <f t="shared" si="23"/>
        <v>21</v>
      </c>
      <c r="R145" s="11">
        <f t="shared" si="24"/>
        <v>5</v>
      </c>
      <c r="S145" s="12" cm="1">
        <f t="array" ref="S145">INDEX('PathStage-ConceptMap-1'!$I$15:$N$124,Q145+1,R145)</f>
        <v>0</v>
      </c>
    </row>
    <row r="146" spans="16:19">
      <c r="P146" s="11">
        <v>132</v>
      </c>
      <c r="Q146" s="11">
        <f t="shared" si="23"/>
        <v>21</v>
      </c>
      <c r="R146" s="11">
        <f t="shared" si="24"/>
        <v>6</v>
      </c>
      <c r="S146" s="12" cm="1">
        <f t="array" ref="S146">INDEX('PathStage-ConceptMap-1'!$I$15:$N$124,Q146+1,R146)</f>
        <v>0</v>
      </c>
    </row>
    <row r="147" spans="16:19">
      <c r="P147" s="11">
        <v>133</v>
      </c>
      <c r="Q147" s="11">
        <f t="shared" si="23"/>
        <v>22</v>
      </c>
      <c r="R147" s="11">
        <f t="shared" si="24"/>
        <v>1</v>
      </c>
      <c r="S147" s="12" cm="1">
        <f t="array" ref="S147">INDEX('PathStage-ConceptMap-1'!$I$15:$N$124,Q147+1,R147)</f>
        <v>0</v>
      </c>
    </row>
    <row r="148" spans="16:19">
      <c r="P148" s="11">
        <v>134</v>
      </c>
      <c r="Q148" s="11">
        <f t="shared" si="23"/>
        <v>22</v>
      </c>
      <c r="R148" s="11">
        <f t="shared" si="24"/>
        <v>2</v>
      </c>
      <c r="S148" s="12" cm="1">
        <f t="array" ref="S148">INDEX('PathStage-ConceptMap-1'!$I$15:$N$124,Q148+1,R148)</f>
        <v>0</v>
      </c>
    </row>
    <row r="149" spans="16:19">
      <c r="P149" s="11">
        <v>135</v>
      </c>
      <c r="Q149" s="11">
        <f t="shared" si="23"/>
        <v>22</v>
      </c>
      <c r="R149" s="11">
        <f t="shared" si="24"/>
        <v>3</v>
      </c>
      <c r="S149" s="12" cm="1">
        <f t="array" ref="S149">INDEX('PathStage-ConceptMap-1'!$I$15:$N$124,Q149+1,R149)</f>
        <v>0</v>
      </c>
    </row>
    <row r="150" spans="16:19">
      <c r="P150" s="11">
        <v>136</v>
      </c>
      <c r="Q150" s="11">
        <f t="shared" si="23"/>
        <v>22</v>
      </c>
      <c r="R150" s="11">
        <f t="shared" si="24"/>
        <v>4</v>
      </c>
      <c r="S150" s="12" cm="1">
        <f t="array" ref="S150">INDEX('PathStage-ConceptMap-1'!$I$15:$N$124,Q150+1,R150)</f>
        <v>0</v>
      </c>
    </row>
    <row r="151" spans="16:19">
      <c r="P151" s="11">
        <v>137</v>
      </c>
      <c r="Q151" s="11">
        <f t="shared" si="23"/>
        <v>22</v>
      </c>
      <c r="R151" s="11">
        <f t="shared" si="24"/>
        <v>5</v>
      </c>
      <c r="S151" s="12" cm="1">
        <f t="array" ref="S151">INDEX('PathStage-ConceptMap-1'!$I$15:$N$124,Q151+1,R151)</f>
        <v>0</v>
      </c>
    </row>
    <row r="152" spans="16:19">
      <c r="P152" s="11">
        <v>138</v>
      </c>
      <c r="Q152" s="11">
        <f t="shared" si="23"/>
        <v>22</v>
      </c>
      <c r="R152" s="11">
        <f t="shared" si="24"/>
        <v>6</v>
      </c>
      <c r="S152" s="12" cm="1">
        <f t="array" ref="S152">INDEX('PathStage-ConceptMap-1'!$I$15:$N$124,Q152+1,R152)</f>
        <v>0</v>
      </c>
    </row>
    <row r="153" spans="16:19">
      <c r="P153" s="11">
        <v>139</v>
      </c>
      <c r="Q153" s="11">
        <f t="shared" si="23"/>
        <v>23</v>
      </c>
      <c r="R153" s="11">
        <f t="shared" si="24"/>
        <v>1</v>
      </c>
      <c r="S153" s="12" cm="1">
        <f t="array" ref="S153">INDEX('PathStage-ConceptMap-1'!$I$15:$N$124,Q153+1,R153)</f>
        <v>0</v>
      </c>
    </row>
    <row r="154" spans="16:19">
      <c r="P154" s="11">
        <v>140</v>
      </c>
      <c r="Q154" s="11">
        <f t="shared" si="23"/>
        <v>23</v>
      </c>
      <c r="R154" s="11">
        <f t="shared" si="24"/>
        <v>2</v>
      </c>
      <c r="S154" s="12" cm="1">
        <f t="array" ref="S154">INDEX('PathStage-ConceptMap-1'!$I$15:$N$124,Q154+1,R154)</f>
        <v>0</v>
      </c>
    </row>
    <row r="155" spans="16:19">
      <c r="P155" s="11">
        <v>141</v>
      </c>
      <c r="Q155" s="11">
        <f t="shared" si="23"/>
        <v>23</v>
      </c>
      <c r="R155" s="11">
        <f t="shared" si="24"/>
        <v>3</v>
      </c>
      <c r="S155" s="12" cm="1">
        <f t="array" ref="S155">INDEX('PathStage-ConceptMap-1'!$I$15:$N$124,Q155+1,R155)</f>
        <v>0</v>
      </c>
    </row>
    <row r="156" spans="16:19">
      <c r="P156" s="11">
        <v>142</v>
      </c>
      <c r="Q156" s="11">
        <f t="shared" si="23"/>
        <v>23</v>
      </c>
      <c r="R156" s="11">
        <f t="shared" si="24"/>
        <v>4</v>
      </c>
      <c r="S156" s="12" cm="1">
        <f t="array" ref="S156">INDEX('PathStage-ConceptMap-1'!$I$15:$N$124,Q156+1,R156)</f>
        <v>0</v>
      </c>
    </row>
    <row r="157" spans="16:19">
      <c r="P157" s="11">
        <v>143</v>
      </c>
      <c r="Q157" s="11">
        <f t="shared" si="23"/>
        <v>23</v>
      </c>
      <c r="R157" s="11">
        <f t="shared" si="24"/>
        <v>5</v>
      </c>
      <c r="S157" s="12" cm="1">
        <f t="array" ref="S157">INDEX('PathStage-ConceptMap-1'!$I$15:$N$124,Q157+1,R157)</f>
        <v>0</v>
      </c>
    </row>
    <row r="158" spans="16:19">
      <c r="P158" s="11">
        <v>144</v>
      </c>
      <c r="Q158" s="11">
        <f t="shared" si="23"/>
        <v>23</v>
      </c>
      <c r="R158" s="11">
        <f t="shared" si="24"/>
        <v>6</v>
      </c>
      <c r="S158" s="12" cm="1">
        <f t="array" ref="S158">INDEX('PathStage-ConceptMap-1'!$I$15:$N$124,Q158+1,R158)</f>
        <v>0</v>
      </c>
    </row>
    <row r="159" spans="16:19">
      <c r="P159" s="11">
        <v>145</v>
      </c>
      <c r="Q159" s="11">
        <f t="shared" si="23"/>
        <v>24</v>
      </c>
      <c r="R159" s="11">
        <f t="shared" si="24"/>
        <v>1</v>
      </c>
      <c r="S159" s="12" cm="1">
        <f t="array" ref="S159">INDEX('PathStage-ConceptMap-1'!$I$15:$N$124,Q159+1,R159)</f>
        <v>0</v>
      </c>
    </row>
    <row r="160" spans="16:19">
      <c r="P160" s="11">
        <v>146</v>
      </c>
      <c r="Q160" s="11">
        <f t="shared" si="23"/>
        <v>24</v>
      </c>
      <c r="R160" s="11">
        <f t="shared" si="24"/>
        <v>2</v>
      </c>
      <c r="S160" s="12" cm="1">
        <f t="array" ref="S160">INDEX('PathStage-ConceptMap-1'!$I$15:$N$124,Q160+1,R160)</f>
        <v>0</v>
      </c>
    </row>
    <row r="161" spans="16:19">
      <c r="P161" s="11">
        <v>147</v>
      </c>
      <c r="Q161" s="11">
        <f t="shared" si="23"/>
        <v>24</v>
      </c>
      <c r="R161" s="11">
        <f t="shared" si="24"/>
        <v>3</v>
      </c>
      <c r="S161" s="12" cm="1">
        <f t="array" ref="S161">INDEX('PathStage-ConceptMap-1'!$I$15:$N$124,Q161+1,R161)</f>
        <v>0</v>
      </c>
    </row>
    <row r="162" spans="16:19">
      <c r="P162" s="11">
        <v>148</v>
      </c>
      <c r="Q162" s="11">
        <f t="shared" si="23"/>
        <v>24</v>
      </c>
      <c r="R162" s="11">
        <f t="shared" si="24"/>
        <v>4</v>
      </c>
      <c r="S162" s="12" cm="1">
        <f t="array" ref="S162">INDEX('PathStage-ConceptMap-1'!$I$15:$N$124,Q162+1,R162)</f>
        <v>0</v>
      </c>
    </row>
    <row r="163" spans="16:19">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2129</v>
      </c>
      <c r="D3" s="62" t="s">
        <v>1791</v>
      </c>
      <c r="E3" s="118" t="str">
        <f>$C$1&amp;ClinicalStage!B4</f>
        <v>http://hl7.eu/fhir/ig/idea4rc/StructureDefinition/ClinicalStage</v>
      </c>
    </row>
    <row r="4" spans="1:19">
      <c r="B4" s="62" t="s">
        <v>16</v>
      </c>
      <c r="C4" s="28" t="s">
        <v>2129</v>
      </c>
      <c r="D4" s="62" t="s">
        <v>1792</v>
      </c>
      <c r="E4" s="166" t="s">
        <v>2123</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2123</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ClinicalStage!B9</f>
        <v>cT</v>
      </c>
      <c r="C15" s="11" t="str">
        <f>ClinicalStage!C9</f>
        <v>cT</v>
      </c>
      <c r="D15" s="12" t="s">
        <v>2116</v>
      </c>
      <c r="E15" s="12"/>
      <c r="F15" s="64" t="s">
        <v>1407</v>
      </c>
      <c r="G15" s="124" t="s">
        <v>2118</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#PathologicalStage.cT</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INDEX('PathStage-ConceptMap-2'!$I$15:$N$39,Q16+1,R16)</f>
        <v>* group[=].element[=].display = ##34#cT##34#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INDEX('PathStage-ConceptMap-2'!$I$15:$N$39,Q21+1,R21)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INDEX('PathStage-ConceptMap-2'!$I$15:$N$39,Q22+1,R22)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INDEX('PathStage-ConceptMap-2'!$I$15:$N$39,Q23+1,R23)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INDEX('PathStage-ConceptMap-2'!$I$15:$N$39,Q24+1,R24)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INDEX('PathStage-ConceptMap-2'!$I$15:$N$39,Q25+1,R25)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INDEX('PathStage-ConceptMap-2'!$I$15:$N$39,Q26+1,R26)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INDEX('PathStage-ConceptMap-2'!$I$15:$N$39,Q27+1,R27)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INDEX('PathStage-ConceptMap-2'!$I$15:$N$39,Q28+1,R28)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INDEX('PathStage-ConceptMap-2'!$I$15:$N$39,Q29+1,R29)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INDEX('PathStage-ConceptMap-2'!$I$15:$N$39,Q30+1,R30)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INDEX('PathStage-ConceptMap-2'!$I$15:$N$39,Q31+1,R31)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INDEX('PathStage-ConceptMap-2'!$I$15:$N$39,Q32+1,R32)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INDEX('PathStage-ConceptMap-2'!$I$15:$N$39,Q33+1,R33)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INDEX('PathStage-ConceptMap-2'!$I$15:$N$39,Q34+1,R34)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INDEX('PathStage-ConceptMap-2'!$I$15:$N$39,Q35+1,R35)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INDEX('PathStage-ConceptMap-2'!$I$15:$N$39,Q36+1,R36)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INDEX('PathStage-ConceptMap-2'!$I$15:$N$39,Q37+1,R37)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INDEX('PathStage-ConceptMap-2'!$I$15:$N$39,Q38+1,R38)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2124</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2124</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ClinicalStage!B10</f>
        <v>cN</v>
      </c>
      <c r="C15" s="11" t="str">
        <f>ClinicalStage!C10</f>
        <v>cN</v>
      </c>
      <c r="D15" s="12" t="s">
        <v>2116</v>
      </c>
      <c r="E15" s="12"/>
      <c r="F15" s="64" t="s">
        <v>1407</v>
      </c>
      <c r="G15" s="124" t="s">
        <v>2118</v>
      </c>
      <c r="I15" s="12" t="str">
        <f t="shared" ref="I15" si="0">"* group[=].element[+].code = #"&amp;$B$14&amp;"."&amp;B15</f>
        <v>* group[=].element[+].code = #PathologicalStage.cN</v>
      </c>
      <c r="J15" s="12" t="str">
        <f t="shared" ref="J15" si="1">"* group[=].element[=].display = ##34#"&amp;C15&amp;"##34#"</f>
        <v>* group[=].element[=].display = ##34#cN##34#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#PathologicalStage.cN</v>
      </c>
    </row>
    <row r="16" spans="1:19">
      <c r="A16" s="59"/>
      <c r="B16" s="11"/>
      <c r="C16" s="11"/>
      <c r="D16" s="12"/>
      <c r="E16" s="12"/>
      <c r="F16" s="64"/>
      <c r="G16" s="124"/>
      <c r="H16" s="58"/>
      <c r="I16" s="12"/>
      <c r="J16" s="12"/>
      <c r="K16" s="12"/>
      <c r="L16" s="12"/>
      <c r="M16" s="12"/>
      <c r="N16" s="12"/>
      <c r="P16" s="11">
        <v>2</v>
      </c>
      <c r="Q16" s="11">
        <f t="shared" si="6"/>
        <v>0</v>
      </c>
      <c r="R16" s="11">
        <f t="shared" si="7"/>
        <v>2</v>
      </c>
      <c r="S16" s="12" t="str" cm="1">
        <f t="array" ref="S16">INDEX('PathStage-ConceptMap-3'!$I$15:$N$123,Q16+1,R16)</f>
        <v>* group[=].element[=].display = ##34#cN##34#</v>
      </c>
    </row>
    <row r="17" spans="1:19">
      <c r="A17" s="59"/>
      <c r="B17" s="11"/>
      <c r="C17" s="11"/>
      <c r="D17" s="12"/>
      <c r="E17" s="12"/>
      <c r="F17" s="153"/>
      <c r="G17" s="124"/>
      <c r="H17" s="58"/>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c r="A18" s="59"/>
      <c r="B18" s="11"/>
      <c r="C18" s="11"/>
      <c r="D18" s="12"/>
      <c r="E18" s="12"/>
      <c r="F18" s="153"/>
      <c r="G18" s="124"/>
      <c r="H18" s="58"/>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INDEX('PathStage-ConceptMap-3'!$I$15:$N$123,Q21+1,R21)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INDEX('PathStage-ConceptMap-3'!$I$15:$N$123,Q22+1,R22)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INDEX('PathStage-ConceptMap-3'!$I$15:$N$123,Q23+1,R23)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INDEX('PathStage-ConceptMap-3'!$I$15:$N$123,Q24+1,R24)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INDEX('PathStage-ConceptMap-3'!$I$15:$N$123,Q25+1,R25)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cm="1">
        <f t="array" ref="S26">INDEX('PathStage-ConceptMap-3'!$I$15:$N$123,Q26+1,R26)</f>
        <v>0</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INDEX('PathStage-ConceptMap-3'!$I$15:$N$123,Q27+1,R27)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INDEX('PathStage-ConceptMap-3'!$I$15:$N$123,Q28+1,R28)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INDEX('PathStage-ConceptMap-3'!$I$15:$N$123,Q29+1,R29)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INDEX('PathStage-ConceptMap-3'!$I$15:$N$123,Q30+1,R30)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INDEX('PathStage-ConceptMap-3'!$I$15:$N$123,Q31+1,R31)</f>
        <v>0</v>
      </c>
    </row>
    <row r="32" spans="1:19">
      <c r="B32" s="11"/>
      <c r="C32" s="11"/>
      <c r="D32" s="12"/>
      <c r="E32" s="12"/>
      <c r="F32" s="64"/>
      <c r="G32" s="124"/>
      <c r="H32" s="58"/>
      <c r="I32" s="12"/>
      <c r="J32" s="12"/>
      <c r="K32" s="12"/>
      <c r="L32" s="12"/>
      <c r="M32" s="12"/>
      <c r="N32" s="12"/>
      <c r="P32" s="11">
        <v>18</v>
      </c>
      <c r="Q32" s="11">
        <f t="shared" si="6"/>
        <v>2</v>
      </c>
      <c r="R32" s="11">
        <f t="shared" si="7"/>
        <v>6</v>
      </c>
      <c r="S32" s="12" cm="1">
        <f t="array" ref="S32">INDEX('PathStage-ConceptMap-3'!$I$15:$N$123,Q32+1,R32)</f>
        <v>0</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INDEX('PathStage-ConceptMap-3'!$I$15:$N$123,Q33+1,R33)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INDEX('PathStage-ConceptMap-3'!$I$15:$N$123,Q34+1,R34)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INDEX('PathStage-ConceptMap-3'!$I$15:$N$123,Q35+1,R35)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INDEX('PathStage-ConceptMap-3'!$I$15:$N$123,Q36+1,R36)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INDEX('PathStage-ConceptMap-3'!$I$15:$N$123,Q37+1,R37)</f>
        <v>0</v>
      </c>
    </row>
    <row r="38" spans="1:19">
      <c r="B38" s="11"/>
      <c r="C38" s="11"/>
      <c r="D38" s="12"/>
      <c r="E38" s="12"/>
      <c r="F38" s="64"/>
      <c r="G38" s="124"/>
      <c r="H38" s="58"/>
      <c r="K38" s="58"/>
      <c r="L38" s="58"/>
      <c r="M38" s="66"/>
      <c r="N38" s="66"/>
      <c r="P38" s="11">
        <v>24</v>
      </c>
      <c r="Q38" s="11">
        <f t="shared" si="6"/>
        <v>3</v>
      </c>
      <c r="R38" s="11">
        <f t="shared" si="7"/>
        <v>6</v>
      </c>
      <c r="S38" s="12" cm="1">
        <f t="array" ref="S38">INDEX('PathStage-ConceptMap-3'!$I$15:$N$123,Q38+1,R38)</f>
        <v>0</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INDEX('PathStage-ConceptMap-3'!$I$15:$N$123,Q39+1,R39)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INDEX('PathStage-ConceptMap-3'!$I$15:$N$123,Q40+1,R40)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INDEX('PathStage-ConceptMap-3'!$I$15:$N$123,Q41+1,R41)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INDEX('PathStage-ConceptMap-3'!$I$15:$N$123,Q42+1,R42)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INDEX('PathStage-ConceptMap-3'!$I$15:$N$123,Q43+1,R43)</f>
        <v>0</v>
      </c>
    </row>
    <row r="44" spans="1:19">
      <c r="B44" s="11"/>
      <c r="C44" s="11"/>
      <c r="G44" s="124"/>
      <c r="P44" s="11">
        <v>30</v>
      </c>
      <c r="Q44" s="11">
        <f t="shared" si="6"/>
        <v>4</v>
      </c>
      <c r="R44" s="11">
        <f t="shared" si="7"/>
        <v>6</v>
      </c>
      <c r="S44" s="12" cm="1">
        <f t="array" ref="S44">INDEX('PathStage-ConceptMap-3'!$I$15:$N$123,Q44+1,R44)</f>
        <v>0</v>
      </c>
    </row>
    <row r="45" spans="1:19">
      <c r="B45" s="11"/>
      <c r="C45" s="11"/>
      <c r="G45" s="124"/>
      <c r="P45" s="11">
        <v>31</v>
      </c>
      <c r="Q45" s="11">
        <f t="shared" si="6"/>
        <v>5</v>
      </c>
      <c r="R45" s="11">
        <f t="shared" si="7"/>
        <v>1</v>
      </c>
      <c r="S45" s="12" cm="1">
        <f t="array" ref="S45">INDEX('PathStage-ConceptMap-3'!$I$15:$N$123,Q45+1,R45)</f>
        <v>0</v>
      </c>
    </row>
    <row r="46" spans="1:19">
      <c r="G46" s="124"/>
      <c r="P46" s="11">
        <v>32</v>
      </c>
      <c r="Q46" s="11">
        <f t="shared" si="6"/>
        <v>5</v>
      </c>
      <c r="R46" s="11">
        <f t="shared" si="7"/>
        <v>2</v>
      </c>
      <c r="S46" s="12" cm="1">
        <f t="array" ref="S46">INDEX('PathStage-ConceptMap-3'!$I$15:$N$123,Q46+1,R46)</f>
        <v>0</v>
      </c>
    </row>
    <row r="47" spans="1:19">
      <c r="G47" s="124"/>
      <c r="P47" s="11">
        <v>33</v>
      </c>
      <c r="Q47" s="11">
        <f t="shared" si="6"/>
        <v>5</v>
      </c>
      <c r="R47" s="11">
        <f t="shared" si="7"/>
        <v>3</v>
      </c>
      <c r="S47" s="12" cm="1">
        <f t="array" ref="S47">INDEX('PathStage-ConceptMap-3'!$I$15:$N$123,Q47+1,R47)</f>
        <v>0</v>
      </c>
    </row>
    <row r="48" spans="1:19">
      <c r="G48" s="124"/>
      <c r="P48" s="11">
        <v>34</v>
      </c>
      <c r="Q48" s="11">
        <f t="shared" si="6"/>
        <v>5</v>
      </c>
      <c r="R48" s="11">
        <f t="shared" si="7"/>
        <v>4</v>
      </c>
      <c r="S48" s="12" cm="1">
        <f t="array" ref="S48">INDEX('PathStage-ConceptMap-3'!$I$15:$N$123,Q48+1,R48)</f>
        <v>0</v>
      </c>
    </row>
    <row r="49" spans="7:19">
      <c r="G49" s="124"/>
      <c r="P49" s="11">
        <v>35</v>
      </c>
      <c r="Q49" s="11">
        <f t="shared" si="6"/>
        <v>5</v>
      </c>
      <c r="R49" s="11">
        <f t="shared" si="7"/>
        <v>5</v>
      </c>
      <c r="S49" s="12" cm="1">
        <f t="array" ref="S49">INDEX('PathStage-ConceptMap-3'!$I$15:$N$123,Q49+1,R49)</f>
        <v>0</v>
      </c>
    </row>
    <row r="50" spans="7:19">
      <c r="G50" s="124"/>
      <c r="P50" s="11">
        <v>36</v>
      </c>
      <c r="Q50" s="11">
        <f t="shared" si="6"/>
        <v>5</v>
      </c>
      <c r="R50" s="11">
        <f t="shared" si="7"/>
        <v>6</v>
      </c>
      <c r="S50" s="12" cm="1">
        <f t="array" ref="S50">INDEX('PathStage-ConceptMap-3'!$I$15:$N$123,Q50+1,R50)</f>
        <v>0</v>
      </c>
    </row>
    <row r="51" spans="7:19">
      <c r="G51" s="124"/>
      <c r="P51" s="11">
        <v>37</v>
      </c>
      <c r="Q51" s="11">
        <f t="shared" si="6"/>
        <v>6</v>
      </c>
      <c r="R51" s="11">
        <f t="shared" si="7"/>
        <v>1</v>
      </c>
      <c r="S51" s="12" cm="1">
        <f t="array" ref="S51">INDEX('PathStage-ConceptMap-3'!$I$15:$N$123,Q51+1,R51)</f>
        <v>0</v>
      </c>
    </row>
    <row r="52" spans="7:19">
      <c r="G52" s="124"/>
      <c r="P52" s="11">
        <v>38</v>
      </c>
      <c r="Q52" s="11">
        <f t="shared" si="6"/>
        <v>6</v>
      </c>
      <c r="R52" s="11">
        <f t="shared" si="7"/>
        <v>2</v>
      </c>
      <c r="S52" s="12" cm="1">
        <f t="array" ref="S52">INDEX('PathStage-ConceptMap-3'!$I$15:$N$123,Q52+1,R52)</f>
        <v>0</v>
      </c>
    </row>
    <row r="53" spans="7:19">
      <c r="G53" s="124"/>
      <c r="P53" s="11">
        <v>39</v>
      </c>
      <c r="Q53" s="11">
        <f t="shared" si="6"/>
        <v>6</v>
      </c>
      <c r="R53" s="11">
        <f t="shared" si="7"/>
        <v>3</v>
      </c>
      <c r="S53" s="12" cm="1">
        <f t="array" ref="S53">INDEX('PathStage-ConceptMap-3'!$I$15:$N$123,Q53+1,R53)</f>
        <v>0</v>
      </c>
    </row>
    <row r="54" spans="7:19">
      <c r="G54" s="124"/>
      <c r="P54" s="11">
        <v>40</v>
      </c>
      <c r="Q54" s="11">
        <f t="shared" si="6"/>
        <v>6</v>
      </c>
      <c r="R54" s="11">
        <f t="shared" si="7"/>
        <v>4</v>
      </c>
      <c r="S54" s="12" cm="1">
        <f t="array" ref="S54">INDEX('PathStage-ConceptMap-3'!$I$15:$N$123,Q54+1,R54)</f>
        <v>0</v>
      </c>
    </row>
    <row r="55" spans="7:19">
      <c r="G55" s="124"/>
      <c r="P55" s="11">
        <v>41</v>
      </c>
      <c r="Q55" s="11">
        <f t="shared" si="6"/>
        <v>6</v>
      </c>
      <c r="R55" s="11">
        <f t="shared" si="7"/>
        <v>5</v>
      </c>
      <c r="S55" s="12" cm="1">
        <f t="array" ref="S55">INDEX('PathStage-ConceptMap-3'!$I$15:$N$123,Q55+1,R55)</f>
        <v>0</v>
      </c>
    </row>
    <row r="56" spans="7:19">
      <c r="G56" s="124"/>
      <c r="P56" s="11">
        <v>42</v>
      </c>
      <c r="Q56" s="11">
        <f t="shared" si="6"/>
        <v>6</v>
      </c>
      <c r="R56" s="11">
        <f t="shared" si="7"/>
        <v>6</v>
      </c>
      <c r="S56" s="12" cm="1">
        <f t="array" ref="S56">INDEX('PathStage-ConceptMap-3'!$I$15:$N$123,Q56+1,R56)</f>
        <v>0</v>
      </c>
    </row>
    <row r="57" spans="7:19">
      <c r="G57" s="124"/>
      <c r="P57" s="11">
        <v>43</v>
      </c>
      <c r="Q57" s="11">
        <f t="shared" si="6"/>
        <v>7</v>
      </c>
      <c r="R57" s="11">
        <f t="shared" si="7"/>
        <v>1</v>
      </c>
      <c r="S57" s="12" cm="1">
        <f t="array" ref="S57">INDEX('PathStage-ConceptMap-3'!$I$15:$N$123,Q57+1,R57)</f>
        <v>0</v>
      </c>
    </row>
    <row r="58" spans="7:19">
      <c r="G58" s="124"/>
      <c r="P58" s="11">
        <v>44</v>
      </c>
      <c r="Q58" s="11">
        <f t="shared" si="6"/>
        <v>7</v>
      </c>
      <c r="R58" s="11">
        <f t="shared" si="7"/>
        <v>2</v>
      </c>
      <c r="S58" s="12" cm="1">
        <f t="array" ref="S58">INDEX('PathStage-ConceptMap-3'!$I$15:$N$123,Q58+1,R58)</f>
        <v>0</v>
      </c>
    </row>
    <row r="59" spans="7:19">
      <c r="G59" s="124"/>
      <c r="P59" s="11">
        <v>45</v>
      </c>
      <c r="Q59" s="11">
        <f t="shared" si="6"/>
        <v>7</v>
      </c>
      <c r="R59" s="11">
        <f t="shared" si="7"/>
        <v>3</v>
      </c>
      <c r="S59" s="12" cm="1">
        <f t="array" ref="S59">INDEX('PathStage-ConceptMap-3'!$I$15:$N$123,Q59+1,R59)</f>
        <v>0</v>
      </c>
    </row>
    <row r="60" spans="7:19">
      <c r="G60" s="124"/>
      <c r="P60" s="11">
        <v>46</v>
      </c>
      <c r="Q60" s="11">
        <f t="shared" si="6"/>
        <v>7</v>
      </c>
      <c r="R60" s="11">
        <f t="shared" si="7"/>
        <v>4</v>
      </c>
      <c r="S60" s="12" cm="1">
        <f t="array" ref="S60">INDEX('PathStage-ConceptMap-3'!$I$15:$N$123,Q60+1,R60)</f>
        <v>0</v>
      </c>
    </row>
    <row r="61" spans="7:19">
      <c r="G61" s="124"/>
      <c r="P61" s="11">
        <v>47</v>
      </c>
      <c r="Q61" s="11">
        <f t="shared" si="6"/>
        <v>7</v>
      </c>
      <c r="R61" s="11">
        <f t="shared" si="7"/>
        <v>5</v>
      </c>
      <c r="S61" s="12" cm="1">
        <f t="array" ref="S61">INDEX('PathStage-ConceptMap-3'!$I$15:$N$123,Q61+1,R61)</f>
        <v>0</v>
      </c>
    </row>
    <row r="62" spans="7:19">
      <c r="G62" s="124"/>
      <c r="P62" s="11">
        <v>48</v>
      </c>
      <c r="Q62" s="11">
        <f t="shared" si="6"/>
        <v>7</v>
      </c>
      <c r="R62" s="11">
        <f t="shared" si="7"/>
        <v>6</v>
      </c>
      <c r="S62" s="12" cm="1">
        <f t="array" ref="S62">INDEX('PathStage-ConceptMap-3'!$I$15:$N$123,Q62+1,R62)</f>
        <v>0</v>
      </c>
    </row>
    <row r="63" spans="7:19">
      <c r="G63" s="124"/>
      <c r="P63" s="11">
        <v>49</v>
      </c>
      <c r="Q63" s="11">
        <f t="shared" si="6"/>
        <v>8</v>
      </c>
      <c r="R63" s="11">
        <f t="shared" si="7"/>
        <v>1</v>
      </c>
      <c r="S63" s="12" cm="1">
        <f t="array" ref="S63">INDEX('PathStage-ConceptMap-3'!$I$15:$N$123,Q63+1,R63)</f>
        <v>0</v>
      </c>
    </row>
    <row r="64" spans="7:19">
      <c r="G64" s="124"/>
      <c r="P64" s="11">
        <v>50</v>
      </c>
      <c r="Q64" s="11">
        <f t="shared" si="6"/>
        <v>8</v>
      </c>
      <c r="R64" s="11">
        <f t="shared" si="7"/>
        <v>2</v>
      </c>
      <c r="S64" s="12" cm="1">
        <f t="array" ref="S64">INDEX('PathStage-ConceptMap-3'!$I$15:$N$123,Q64+1,R64)</f>
        <v>0</v>
      </c>
    </row>
    <row r="65" spans="7:19">
      <c r="G65" s="124"/>
      <c r="P65" s="11">
        <v>51</v>
      </c>
      <c r="Q65" s="11">
        <f t="shared" si="6"/>
        <v>8</v>
      </c>
      <c r="R65" s="11">
        <f t="shared" si="7"/>
        <v>3</v>
      </c>
      <c r="S65" s="12" cm="1">
        <f t="array" ref="S65">INDEX('PathStage-ConceptMap-3'!$I$15:$N$123,Q65+1,R65)</f>
        <v>0</v>
      </c>
    </row>
    <row r="66" spans="7:19">
      <c r="G66" s="124"/>
      <c r="P66" s="11">
        <v>52</v>
      </c>
      <c r="Q66" s="11">
        <f t="shared" si="6"/>
        <v>8</v>
      </c>
      <c r="R66" s="11">
        <f t="shared" si="7"/>
        <v>4</v>
      </c>
      <c r="S66" s="12" cm="1">
        <f t="array" ref="S66">INDEX('PathStage-ConceptMap-3'!$I$15:$N$123,Q66+1,R66)</f>
        <v>0</v>
      </c>
    </row>
    <row r="67" spans="7:19">
      <c r="G67" s="124"/>
      <c r="P67" s="11">
        <v>53</v>
      </c>
      <c r="Q67" s="11">
        <f t="shared" si="6"/>
        <v>8</v>
      </c>
      <c r="R67" s="11">
        <f t="shared" si="7"/>
        <v>5</v>
      </c>
      <c r="S67" s="12" cm="1">
        <f t="array" ref="S67">INDEX('PathStage-ConceptMap-3'!$I$15:$N$123,Q67+1,R67)</f>
        <v>0</v>
      </c>
    </row>
    <row r="68" spans="7:19">
      <c r="G68" s="124"/>
      <c r="P68" s="11">
        <v>54</v>
      </c>
      <c r="Q68" s="11">
        <f t="shared" si="6"/>
        <v>8</v>
      </c>
      <c r="R68" s="11">
        <f t="shared" si="7"/>
        <v>6</v>
      </c>
      <c r="S68" s="12" cm="1">
        <f t="array" ref="S68">INDEX('PathStage-ConceptMap-3'!$I$15:$N$123,Q68+1,R68)</f>
        <v>0</v>
      </c>
    </row>
    <row r="69" spans="7:19">
      <c r="G69" s="124"/>
      <c r="P69" s="11">
        <v>55</v>
      </c>
      <c r="Q69" s="11">
        <f t="shared" si="6"/>
        <v>9</v>
      </c>
      <c r="R69" s="11">
        <f t="shared" si="7"/>
        <v>1</v>
      </c>
      <c r="S69" s="12" cm="1">
        <f t="array" ref="S69">INDEX('PathStage-ConceptMap-3'!$I$15:$N$123,Q69+1,R69)</f>
        <v>0</v>
      </c>
    </row>
    <row r="70" spans="7:19">
      <c r="G70" s="124"/>
      <c r="P70" s="11">
        <v>56</v>
      </c>
      <c r="Q70" s="11">
        <f t="shared" si="6"/>
        <v>9</v>
      </c>
      <c r="R70" s="11">
        <f t="shared" si="7"/>
        <v>2</v>
      </c>
      <c r="S70" s="12" cm="1">
        <f t="array" ref="S70">INDEX('PathStage-ConceptMap-3'!$I$15:$N$123,Q70+1,R70)</f>
        <v>0</v>
      </c>
    </row>
    <row r="71" spans="7:19">
      <c r="G71" s="124"/>
      <c r="P71" s="11">
        <v>57</v>
      </c>
      <c r="Q71" s="11">
        <f t="shared" si="6"/>
        <v>9</v>
      </c>
      <c r="R71" s="11">
        <f t="shared" si="7"/>
        <v>3</v>
      </c>
      <c r="S71" s="12" cm="1">
        <f t="array" ref="S71">INDEX('PathStage-ConceptMap-3'!$I$15:$N$123,Q71+1,R71)</f>
        <v>0</v>
      </c>
    </row>
    <row r="72" spans="7:19">
      <c r="G72" s="124"/>
      <c r="P72" s="11">
        <v>58</v>
      </c>
      <c r="Q72" s="11">
        <f t="shared" si="6"/>
        <v>9</v>
      </c>
      <c r="R72" s="11">
        <f t="shared" si="7"/>
        <v>4</v>
      </c>
      <c r="S72" s="12" cm="1">
        <f t="array" ref="S72">INDEX('PathStage-ConceptMap-3'!$I$15:$N$123,Q72+1,R72)</f>
        <v>0</v>
      </c>
    </row>
    <row r="73" spans="7:19">
      <c r="G73" s="124"/>
      <c r="P73" s="11">
        <v>59</v>
      </c>
      <c r="Q73" s="11">
        <f t="shared" si="6"/>
        <v>9</v>
      </c>
      <c r="R73" s="11">
        <f t="shared" si="7"/>
        <v>5</v>
      </c>
      <c r="S73" s="12" cm="1">
        <f t="array" ref="S73">INDEX('PathStage-ConceptMap-3'!$I$15:$N$123,Q73+1,R73)</f>
        <v>0</v>
      </c>
    </row>
    <row r="74" spans="7:19">
      <c r="G74" s="124"/>
      <c r="P74" s="11">
        <v>60</v>
      </c>
      <c r="Q74" s="11">
        <f t="shared" si="6"/>
        <v>9</v>
      </c>
      <c r="R74" s="11">
        <f t="shared" si="7"/>
        <v>6</v>
      </c>
      <c r="S74" s="12" cm="1">
        <f t="array" ref="S74">INDEX('PathStage-ConceptMap-3'!$I$15:$N$123,Q74+1,R74)</f>
        <v>0</v>
      </c>
    </row>
    <row r="75" spans="7:19">
      <c r="G75" s="124"/>
      <c r="P75" s="11">
        <v>61</v>
      </c>
      <c r="Q75" s="11">
        <f t="shared" si="6"/>
        <v>10</v>
      </c>
      <c r="R75" s="11">
        <f t="shared" si="7"/>
        <v>1</v>
      </c>
      <c r="S75" s="12" cm="1">
        <f t="array" ref="S75">INDEX('PathStage-ConceptMap-3'!$I$15:$N$123,Q75+1,R75)</f>
        <v>0</v>
      </c>
    </row>
    <row r="76" spans="7:19">
      <c r="G76" s="124"/>
      <c r="P76" s="11">
        <v>62</v>
      </c>
      <c r="Q76" s="11">
        <f t="shared" si="6"/>
        <v>10</v>
      </c>
      <c r="R76" s="11">
        <f t="shared" si="7"/>
        <v>2</v>
      </c>
      <c r="S76" s="12" cm="1">
        <f t="array" ref="S76">INDEX('PathStage-ConceptMap-3'!$I$15:$N$123,Q76+1,R76)</f>
        <v>0</v>
      </c>
    </row>
    <row r="77" spans="7:19">
      <c r="G77" s="124"/>
      <c r="P77" s="11">
        <v>63</v>
      </c>
      <c r="Q77" s="11">
        <f t="shared" si="6"/>
        <v>10</v>
      </c>
      <c r="R77" s="11">
        <f t="shared" si="7"/>
        <v>3</v>
      </c>
      <c r="S77" s="12" cm="1">
        <f t="array" ref="S77">INDEX('PathStage-ConceptMap-3'!$I$15:$N$123,Q77+1,R77)</f>
        <v>0</v>
      </c>
    </row>
    <row r="78" spans="7:19">
      <c r="G78" s="124"/>
      <c r="P78" s="11">
        <v>64</v>
      </c>
      <c r="Q78" s="11">
        <f t="shared" si="6"/>
        <v>10</v>
      </c>
      <c r="R78" s="11">
        <f t="shared" si="7"/>
        <v>4</v>
      </c>
      <c r="S78" s="12" cm="1">
        <f t="array" ref="S78">INDEX('PathStage-ConceptMap-3'!$I$15:$N$123,Q78+1,R78)</f>
        <v>0</v>
      </c>
    </row>
    <row r="79" spans="7:19">
      <c r="G79" s="124"/>
      <c r="P79" s="11">
        <v>65</v>
      </c>
      <c r="Q79" s="11">
        <f t="shared" ref="Q79:Q142" si="8">IF(MOD(P79,$Q$8)=0,P79/$Q$8-1,INT(P79/$Q$8))</f>
        <v>10</v>
      </c>
      <c r="R79" s="11">
        <f t="shared" ref="R79:R142" si="9">IF(MOD(P79,$Q$8)=0,$Q$8,MOD(P79,$Q$8))</f>
        <v>5</v>
      </c>
      <c r="S79" s="12" cm="1">
        <f t="array" ref="S79">INDEX('PathStage-ConceptMap-3'!$I$15:$N$123,Q79+1,R79)</f>
        <v>0</v>
      </c>
    </row>
    <row r="80" spans="7:19">
      <c r="G80" s="124"/>
      <c r="P80" s="11">
        <v>66</v>
      </c>
      <c r="Q80" s="11">
        <f t="shared" si="8"/>
        <v>10</v>
      </c>
      <c r="R80" s="11">
        <f t="shared" si="9"/>
        <v>6</v>
      </c>
      <c r="S80" s="12" cm="1">
        <f t="array" ref="S80">INDEX('PathStage-ConceptMap-3'!$I$15:$N$123,Q80+1,R80)</f>
        <v>0</v>
      </c>
    </row>
    <row r="81" spans="7:19">
      <c r="G81" s="124"/>
      <c r="P81" s="11">
        <v>67</v>
      </c>
      <c r="Q81" s="11">
        <f t="shared" si="8"/>
        <v>11</v>
      </c>
      <c r="R81" s="11">
        <f t="shared" si="9"/>
        <v>1</v>
      </c>
      <c r="S81" s="12" cm="1">
        <f t="array" ref="S81">INDEX('PathStage-ConceptMap-3'!$I$15:$N$123,Q81+1,R81)</f>
        <v>0</v>
      </c>
    </row>
    <row r="82" spans="7:19">
      <c r="G82" s="124"/>
      <c r="P82" s="11">
        <v>68</v>
      </c>
      <c r="Q82" s="11">
        <f t="shared" si="8"/>
        <v>11</v>
      </c>
      <c r="R82" s="11">
        <f t="shared" si="9"/>
        <v>2</v>
      </c>
      <c r="S82" s="12" cm="1">
        <f t="array" ref="S82">INDEX('PathStage-ConceptMap-3'!$I$15:$N$123,Q82+1,R82)</f>
        <v>0</v>
      </c>
    </row>
    <row r="83" spans="7:19">
      <c r="G83" s="124"/>
      <c r="P83" s="11">
        <v>69</v>
      </c>
      <c r="Q83" s="11">
        <f t="shared" si="8"/>
        <v>11</v>
      </c>
      <c r="R83" s="11">
        <f t="shared" si="9"/>
        <v>3</v>
      </c>
      <c r="S83" s="12" cm="1">
        <f t="array" ref="S83">INDEX('PathStage-ConceptMap-3'!$I$15:$N$123,Q83+1,R83)</f>
        <v>0</v>
      </c>
    </row>
    <row r="84" spans="7:19">
      <c r="G84" s="124"/>
      <c r="P84" s="11">
        <v>70</v>
      </c>
      <c r="Q84" s="11">
        <f t="shared" si="8"/>
        <v>11</v>
      </c>
      <c r="R84" s="11">
        <f t="shared" si="9"/>
        <v>4</v>
      </c>
      <c r="S84" s="12" cm="1">
        <f t="array" ref="S84">INDEX('PathStage-ConceptMap-3'!$I$15:$N$123,Q84+1,R84)</f>
        <v>0</v>
      </c>
    </row>
    <row r="85" spans="7:19">
      <c r="G85" s="124"/>
      <c r="P85" s="11">
        <v>71</v>
      </c>
      <c r="Q85" s="11">
        <f t="shared" si="8"/>
        <v>11</v>
      </c>
      <c r="R85" s="11">
        <f t="shared" si="9"/>
        <v>5</v>
      </c>
      <c r="S85" s="12" cm="1">
        <f t="array" ref="S85">INDEX('PathStage-ConceptMap-3'!$I$15:$N$123,Q85+1,R85)</f>
        <v>0</v>
      </c>
    </row>
    <row r="86" spans="7:19">
      <c r="G86" s="124"/>
      <c r="P86" s="11">
        <v>72</v>
      </c>
      <c r="Q86" s="11">
        <f t="shared" si="8"/>
        <v>11</v>
      </c>
      <c r="R86" s="11">
        <f t="shared" si="9"/>
        <v>6</v>
      </c>
      <c r="S86" s="12" cm="1">
        <f t="array" ref="S86">INDEX('PathStage-ConceptMap-3'!$I$15:$N$123,Q86+1,R86)</f>
        <v>0</v>
      </c>
    </row>
    <row r="87" spans="7:19">
      <c r="G87" s="124"/>
      <c r="P87" s="11">
        <v>73</v>
      </c>
      <c r="Q87" s="11">
        <f t="shared" si="8"/>
        <v>12</v>
      </c>
      <c r="R87" s="11">
        <f t="shared" si="9"/>
        <v>1</v>
      </c>
      <c r="S87" s="12" cm="1">
        <f t="array" ref="S87">INDEX('PathStage-ConceptMap-3'!$I$15:$N$123,Q87+1,R87)</f>
        <v>0</v>
      </c>
    </row>
    <row r="88" spans="7:19">
      <c r="G88" s="124"/>
      <c r="P88" s="11">
        <v>74</v>
      </c>
      <c r="Q88" s="11">
        <f t="shared" si="8"/>
        <v>12</v>
      </c>
      <c r="R88" s="11">
        <f t="shared" si="9"/>
        <v>2</v>
      </c>
      <c r="S88" s="12" cm="1">
        <f t="array" ref="S88">INDEX('PathStage-ConceptMap-3'!$I$15:$N$123,Q88+1,R88)</f>
        <v>0</v>
      </c>
    </row>
    <row r="89" spans="7:19">
      <c r="G89" s="124"/>
      <c r="P89" s="11">
        <v>75</v>
      </c>
      <c r="Q89" s="11">
        <f t="shared" si="8"/>
        <v>12</v>
      </c>
      <c r="R89" s="11">
        <f t="shared" si="9"/>
        <v>3</v>
      </c>
      <c r="S89" s="12" cm="1">
        <f t="array" ref="S89">INDEX('PathStage-ConceptMap-3'!$I$15:$N$123,Q89+1,R89)</f>
        <v>0</v>
      </c>
    </row>
    <row r="90" spans="7:19">
      <c r="G90" s="124"/>
      <c r="P90" s="11">
        <v>76</v>
      </c>
      <c r="Q90" s="11">
        <f t="shared" si="8"/>
        <v>12</v>
      </c>
      <c r="R90" s="11">
        <f t="shared" si="9"/>
        <v>4</v>
      </c>
      <c r="S90" s="12" cm="1">
        <f t="array" ref="S90">INDEX('PathStage-ConceptMap-3'!$I$15:$N$123,Q90+1,R90)</f>
        <v>0</v>
      </c>
    </row>
    <row r="91" spans="7:19">
      <c r="G91" s="124"/>
      <c r="P91" s="11">
        <v>77</v>
      </c>
      <c r="Q91" s="11">
        <f t="shared" si="8"/>
        <v>12</v>
      </c>
      <c r="R91" s="11">
        <f t="shared" si="9"/>
        <v>5</v>
      </c>
      <c r="S91" s="12" cm="1">
        <f t="array" ref="S91">INDEX('PathStage-ConceptMap-3'!$I$15:$N$123,Q91+1,R91)</f>
        <v>0</v>
      </c>
    </row>
    <row r="92" spans="7:19">
      <c r="G92" s="124"/>
      <c r="P92" s="11">
        <v>78</v>
      </c>
      <c r="Q92" s="11">
        <f t="shared" si="8"/>
        <v>12</v>
      </c>
      <c r="R92" s="11">
        <f t="shared" si="9"/>
        <v>6</v>
      </c>
      <c r="S92" s="12" cm="1">
        <f t="array" ref="S92">INDEX('PathStage-ConceptMap-3'!$I$15:$N$123,Q92+1,R92)</f>
        <v>0</v>
      </c>
    </row>
    <row r="93" spans="7:19">
      <c r="G93" s="124"/>
      <c r="P93" s="11">
        <v>79</v>
      </c>
      <c r="Q93" s="11">
        <f t="shared" si="8"/>
        <v>13</v>
      </c>
      <c r="R93" s="11">
        <f t="shared" si="9"/>
        <v>1</v>
      </c>
      <c r="S93" s="12" cm="1">
        <f t="array" ref="S93">INDEX('PathStage-ConceptMap-3'!$I$15:$N$123,Q93+1,R93)</f>
        <v>0</v>
      </c>
    </row>
    <row r="94" spans="7:19">
      <c r="G94" s="124"/>
      <c r="P94" s="11">
        <v>80</v>
      </c>
      <c r="Q94" s="11">
        <f t="shared" si="8"/>
        <v>13</v>
      </c>
      <c r="R94" s="11">
        <f t="shared" si="9"/>
        <v>2</v>
      </c>
      <c r="S94" s="12" cm="1">
        <f t="array" ref="S94">INDEX('PathStage-ConceptMap-3'!$I$15:$N$123,Q94+1,R94)</f>
        <v>0</v>
      </c>
    </row>
    <row r="95" spans="7:19">
      <c r="G95" s="124"/>
      <c r="P95" s="11">
        <v>81</v>
      </c>
      <c r="Q95" s="11">
        <f t="shared" si="8"/>
        <v>13</v>
      </c>
      <c r="R95" s="11">
        <f t="shared" si="9"/>
        <v>3</v>
      </c>
      <c r="S95" s="12" cm="1">
        <f t="array" ref="S95">INDEX('PathStage-ConceptMap-3'!$I$15:$N$123,Q95+1,R95)</f>
        <v>0</v>
      </c>
    </row>
    <row r="96" spans="7:19">
      <c r="G96" s="124"/>
      <c r="P96" s="11">
        <v>82</v>
      </c>
      <c r="Q96" s="11">
        <f t="shared" si="8"/>
        <v>13</v>
      </c>
      <c r="R96" s="11">
        <f t="shared" si="9"/>
        <v>4</v>
      </c>
      <c r="S96" s="12" cm="1">
        <f t="array" ref="S96">INDEX('PathStage-ConceptMap-3'!$I$15:$N$123,Q96+1,R96)</f>
        <v>0</v>
      </c>
    </row>
    <row r="97" spans="7:19">
      <c r="G97" s="124"/>
      <c r="P97" s="11">
        <v>83</v>
      </c>
      <c r="Q97" s="11">
        <f t="shared" si="8"/>
        <v>13</v>
      </c>
      <c r="R97" s="11">
        <f t="shared" si="9"/>
        <v>5</v>
      </c>
      <c r="S97" s="12" cm="1">
        <f t="array" ref="S97">INDEX('PathStage-ConceptMap-3'!$I$15:$N$123,Q97+1,R97)</f>
        <v>0</v>
      </c>
    </row>
    <row r="98" spans="7:19">
      <c r="G98" s="124"/>
      <c r="P98" s="11">
        <v>84</v>
      </c>
      <c r="Q98" s="11">
        <f t="shared" si="8"/>
        <v>13</v>
      </c>
      <c r="R98" s="11">
        <f t="shared" si="9"/>
        <v>6</v>
      </c>
      <c r="S98" s="12" cm="1">
        <f t="array" ref="S98">INDEX('PathStage-ConceptMap-3'!$I$15:$N$123,Q98+1,R98)</f>
        <v>0</v>
      </c>
    </row>
    <row r="99" spans="7:19">
      <c r="G99" s="124"/>
      <c r="P99" s="11">
        <v>85</v>
      </c>
      <c r="Q99" s="11">
        <f t="shared" si="8"/>
        <v>14</v>
      </c>
      <c r="R99" s="11">
        <f t="shared" si="9"/>
        <v>1</v>
      </c>
      <c r="S99" s="12" cm="1">
        <f t="array" ref="S99">INDEX('PathStage-ConceptMap-3'!$I$15:$N$123,Q99+1,R99)</f>
        <v>0</v>
      </c>
    </row>
    <row r="100" spans="7:19">
      <c r="G100" s="124"/>
      <c r="P100" s="11">
        <v>86</v>
      </c>
      <c r="Q100" s="11">
        <f t="shared" si="8"/>
        <v>14</v>
      </c>
      <c r="R100" s="11">
        <f t="shared" si="9"/>
        <v>2</v>
      </c>
      <c r="S100" s="12" cm="1">
        <f t="array" ref="S100">INDEX('PathStage-ConceptMap-3'!$I$15:$N$123,Q100+1,R100)</f>
        <v>0</v>
      </c>
    </row>
    <row r="101" spans="7:19">
      <c r="G101" s="124"/>
      <c r="P101" s="11">
        <v>87</v>
      </c>
      <c r="Q101" s="11">
        <f t="shared" si="8"/>
        <v>14</v>
      </c>
      <c r="R101" s="11">
        <f t="shared" si="9"/>
        <v>3</v>
      </c>
      <c r="S101" s="12" cm="1">
        <f t="array" ref="S101">INDEX('PathStage-ConceptMap-3'!$I$15:$N$123,Q101+1,R101)</f>
        <v>0</v>
      </c>
    </row>
    <row r="102" spans="7:19">
      <c r="G102" s="124"/>
      <c r="P102" s="11">
        <v>88</v>
      </c>
      <c r="Q102" s="11">
        <f t="shared" si="8"/>
        <v>14</v>
      </c>
      <c r="R102" s="11">
        <f t="shared" si="9"/>
        <v>4</v>
      </c>
      <c r="S102" s="12" cm="1">
        <f t="array" ref="S102">INDEX('PathStage-ConceptMap-3'!$I$15:$N$123,Q102+1,R102)</f>
        <v>0</v>
      </c>
    </row>
    <row r="103" spans="7:19">
      <c r="G103" s="124"/>
      <c r="P103" s="11">
        <v>89</v>
      </c>
      <c r="Q103" s="11">
        <f t="shared" si="8"/>
        <v>14</v>
      </c>
      <c r="R103" s="11">
        <f t="shared" si="9"/>
        <v>5</v>
      </c>
      <c r="S103" s="12" cm="1">
        <f t="array" ref="S103">INDEX('PathStage-ConceptMap-3'!$I$15:$N$123,Q103+1,R103)</f>
        <v>0</v>
      </c>
    </row>
    <row r="104" spans="7:19">
      <c r="G104" s="124"/>
      <c r="P104" s="11">
        <v>90</v>
      </c>
      <c r="Q104" s="11">
        <f t="shared" si="8"/>
        <v>14</v>
      </c>
      <c r="R104" s="11">
        <f t="shared" si="9"/>
        <v>6</v>
      </c>
      <c r="S104" s="12" cm="1">
        <f t="array" ref="S104">INDEX('PathStage-ConceptMap-3'!$I$15:$N$123,Q104+1,R104)</f>
        <v>0</v>
      </c>
    </row>
    <row r="105" spans="7:19">
      <c r="G105" s="124"/>
      <c r="P105" s="11">
        <v>91</v>
      </c>
      <c r="Q105" s="11">
        <f t="shared" si="8"/>
        <v>15</v>
      </c>
      <c r="R105" s="11">
        <f t="shared" si="9"/>
        <v>1</v>
      </c>
      <c r="S105" s="12" cm="1">
        <f t="array" ref="S105">INDEX('PathStage-ConceptMap-3'!$I$15:$N$123,Q105+1,R105)</f>
        <v>0</v>
      </c>
    </row>
    <row r="106" spans="7:19">
      <c r="G106" s="124"/>
      <c r="P106" s="11">
        <v>92</v>
      </c>
      <c r="Q106" s="11">
        <f t="shared" si="8"/>
        <v>15</v>
      </c>
      <c r="R106" s="11">
        <f t="shared" si="9"/>
        <v>2</v>
      </c>
      <c r="S106" s="12" cm="1">
        <f t="array" ref="S106">INDEX('PathStage-ConceptMap-3'!$I$15:$N$123,Q106+1,R106)</f>
        <v>0</v>
      </c>
    </row>
    <row r="107" spans="7:19">
      <c r="G107" s="124"/>
      <c r="P107" s="11">
        <v>93</v>
      </c>
      <c r="Q107" s="11">
        <f t="shared" si="8"/>
        <v>15</v>
      </c>
      <c r="R107" s="11">
        <f t="shared" si="9"/>
        <v>3</v>
      </c>
      <c r="S107" s="12" cm="1">
        <f t="array" ref="S107">INDEX('PathStage-ConceptMap-3'!$I$15:$N$123,Q107+1,R107)</f>
        <v>0</v>
      </c>
    </row>
    <row r="108" spans="7:19">
      <c r="G108" s="124"/>
      <c r="P108" s="11">
        <v>94</v>
      </c>
      <c r="Q108" s="11">
        <f t="shared" si="8"/>
        <v>15</v>
      </c>
      <c r="R108" s="11">
        <f t="shared" si="9"/>
        <v>4</v>
      </c>
      <c r="S108" s="12" cm="1">
        <f t="array" ref="S108">INDEX('PathStage-ConceptMap-3'!$I$15:$N$123,Q108+1,R108)</f>
        <v>0</v>
      </c>
    </row>
    <row r="109" spans="7:19">
      <c r="G109" s="124"/>
      <c r="P109" s="11">
        <v>95</v>
      </c>
      <c r="Q109" s="11">
        <f t="shared" si="8"/>
        <v>15</v>
      </c>
      <c r="R109" s="11">
        <f t="shared" si="9"/>
        <v>5</v>
      </c>
      <c r="S109" s="12" cm="1">
        <f t="array" ref="S109">INDEX('PathStage-ConceptMap-3'!$I$15:$N$123,Q109+1,R109)</f>
        <v>0</v>
      </c>
    </row>
    <row r="110" spans="7:19">
      <c r="G110" s="124"/>
      <c r="P110" s="11">
        <v>96</v>
      </c>
      <c r="Q110" s="11">
        <f t="shared" si="8"/>
        <v>15</v>
      </c>
      <c r="R110" s="11">
        <f t="shared" si="9"/>
        <v>6</v>
      </c>
      <c r="S110" s="12" cm="1">
        <f t="array" ref="S110">INDEX('PathStage-ConceptMap-3'!$I$15:$N$123,Q110+1,R110)</f>
        <v>0</v>
      </c>
    </row>
    <row r="111" spans="7:19">
      <c r="G111" s="124"/>
      <c r="P111" s="11">
        <v>97</v>
      </c>
      <c r="Q111" s="11">
        <f t="shared" si="8"/>
        <v>16</v>
      </c>
      <c r="R111" s="11">
        <f t="shared" si="9"/>
        <v>1</v>
      </c>
      <c r="S111" s="12" cm="1">
        <f t="array" ref="S111">INDEX('PathStage-ConceptMap-3'!$I$15:$N$123,Q111+1,R111)</f>
        <v>0</v>
      </c>
    </row>
    <row r="112" spans="7:19">
      <c r="G112" s="124"/>
      <c r="P112" s="11">
        <v>98</v>
      </c>
      <c r="Q112" s="11">
        <f t="shared" si="8"/>
        <v>16</v>
      </c>
      <c r="R112" s="11">
        <f t="shared" si="9"/>
        <v>2</v>
      </c>
      <c r="S112" s="12" cm="1">
        <f t="array" ref="S112">INDEX('PathStage-ConceptMap-3'!$I$15:$N$123,Q112+1,R112)</f>
        <v>0</v>
      </c>
    </row>
    <row r="113" spans="7:19">
      <c r="G113" s="124"/>
      <c r="P113" s="11">
        <v>99</v>
      </c>
      <c r="Q113" s="11">
        <f t="shared" si="8"/>
        <v>16</v>
      </c>
      <c r="R113" s="11">
        <f t="shared" si="9"/>
        <v>3</v>
      </c>
      <c r="S113" s="12" cm="1">
        <f t="array" ref="S113">INDEX('PathStage-ConceptMap-3'!$I$15:$N$123,Q113+1,R113)</f>
        <v>0</v>
      </c>
    </row>
    <row r="114" spans="7:19">
      <c r="G114" s="124"/>
      <c r="P114" s="11">
        <v>100</v>
      </c>
      <c r="Q114" s="11">
        <f t="shared" si="8"/>
        <v>16</v>
      </c>
      <c r="R114" s="11">
        <f t="shared" si="9"/>
        <v>4</v>
      </c>
      <c r="S114" s="12" cm="1">
        <f t="array" ref="S114">INDEX('PathStage-ConceptMap-3'!$I$15:$N$123,Q114+1,R114)</f>
        <v>0</v>
      </c>
    </row>
    <row r="115" spans="7:19">
      <c r="G115" s="124"/>
      <c r="P115" s="11">
        <v>101</v>
      </c>
      <c r="Q115" s="11">
        <f t="shared" si="8"/>
        <v>16</v>
      </c>
      <c r="R115" s="11">
        <f t="shared" si="9"/>
        <v>5</v>
      </c>
      <c r="S115" s="12" cm="1">
        <f t="array" ref="S115">INDEX('PathStage-ConceptMap-3'!$I$15:$N$123,Q115+1,R115)</f>
        <v>0</v>
      </c>
    </row>
    <row r="116" spans="7:19">
      <c r="G116" s="124"/>
      <c r="P116" s="11">
        <v>102</v>
      </c>
      <c r="Q116" s="11">
        <f t="shared" si="8"/>
        <v>16</v>
      </c>
      <c r="R116" s="11">
        <f t="shared" si="9"/>
        <v>6</v>
      </c>
      <c r="S116" s="12" cm="1">
        <f t="array" ref="S116">INDEX('PathStage-ConceptMap-3'!$I$15:$N$123,Q116+1,R116)</f>
        <v>0</v>
      </c>
    </row>
    <row r="117" spans="7:19">
      <c r="P117" s="11">
        <v>103</v>
      </c>
      <c r="Q117" s="11">
        <f t="shared" si="8"/>
        <v>17</v>
      </c>
      <c r="R117" s="11">
        <f t="shared" si="9"/>
        <v>1</v>
      </c>
      <c r="S117" s="12" cm="1">
        <f t="array" ref="S117">INDEX('PathStage-ConceptMap-3'!$I$15:$N$123,Q117+1,R117)</f>
        <v>0</v>
      </c>
    </row>
    <row r="118" spans="7:19">
      <c r="P118" s="11">
        <v>104</v>
      </c>
      <c r="Q118" s="11">
        <f t="shared" si="8"/>
        <v>17</v>
      </c>
      <c r="R118" s="11">
        <f t="shared" si="9"/>
        <v>2</v>
      </c>
      <c r="S118" s="12" cm="1">
        <f t="array" ref="S118">INDEX('PathStage-ConceptMap-3'!$I$15:$N$123,Q118+1,R118)</f>
        <v>0</v>
      </c>
    </row>
    <row r="119" spans="7:19">
      <c r="P119" s="11">
        <v>105</v>
      </c>
      <c r="Q119" s="11">
        <f t="shared" si="8"/>
        <v>17</v>
      </c>
      <c r="R119" s="11">
        <f t="shared" si="9"/>
        <v>3</v>
      </c>
      <c r="S119" s="12" cm="1">
        <f t="array" ref="S119">INDEX('PathStage-ConceptMap-3'!$I$15:$N$123,Q119+1,R119)</f>
        <v>0</v>
      </c>
    </row>
    <row r="120" spans="7:19">
      <c r="P120" s="11">
        <v>106</v>
      </c>
      <c r="Q120" s="11">
        <f t="shared" si="8"/>
        <v>17</v>
      </c>
      <c r="R120" s="11">
        <f t="shared" si="9"/>
        <v>4</v>
      </c>
      <c r="S120" s="12" cm="1">
        <f t="array" ref="S120">INDEX('PathStage-ConceptMap-3'!$I$15:$N$123,Q120+1,R120)</f>
        <v>0</v>
      </c>
    </row>
    <row r="121" spans="7:19">
      <c r="P121" s="11">
        <v>107</v>
      </c>
      <c r="Q121" s="11">
        <f t="shared" si="8"/>
        <v>17</v>
      </c>
      <c r="R121" s="11">
        <f t="shared" si="9"/>
        <v>5</v>
      </c>
      <c r="S121" s="12" cm="1">
        <f t="array" ref="S121">INDEX('PathStage-ConceptMap-3'!$I$15:$N$123,Q121+1,R121)</f>
        <v>0</v>
      </c>
    </row>
    <row r="122" spans="7:19">
      <c r="P122" s="11">
        <v>108</v>
      </c>
      <c r="Q122" s="11">
        <f t="shared" si="8"/>
        <v>17</v>
      </c>
      <c r="R122" s="11">
        <f t="shared" si="9"/>
        <v>6</v>
      </c>
      <c r="S122" s="12" cm="1">
        <f t="array" ref="S122">INDEX('PathStage-ConceptMap-3'!$I$15:$N$123,Q122+1,R122)</f>
        <v>0</v>
      </c>
    </row>
    <row r="123" spans="7:19">
      <c r="P123" s="11">
        <v>109</v>
      </c>
      <c r="Q123" s="11">
        <f t="shared" si="8"/>
        <v>18</v>
      </c>
      <c r="R123" s="11">
        <f t="shared" si="9"/>
        <v>1</v>
      </c>
      <c r="S123" s="12" cm="1">
        <f t="array" ref="S123">INDEX('PathStage-ConceptMap-3'!$I$15:$N$123,Q123+1,R123)</f>
        <v>0</v>
      </c>
    </row>
    <row r="124" spans="7:19">
      <c r="P124" s="11">
        <v>110</v>
      </c>
      <c r="Q124" s="11">
        <f t="shared" si="8"/>
        <v>18</v>
      </c>
      <c r="R124" s="11">
        <f t="shared" si="9"/>
        <v>2</v>
      </c>
      <c r="S124" s="12" cm="1">
        <f t="array" ref="S124">INDEX('PathStage-ConceptMap-3'!$I$15:$N$123,Q124+1,R124)</f>
        <v>0</v>
      </c>
    </row>
    <row r="125" spans="7:19">
      <c r="P125" s="11">
        <v>111</v>
      </c>
      <c r="Q125" s="11">
        <f t="shared" si="8"/>
        <v>18</v>
      </c>
      <c r="R125" s="11">
        <f t="shared" si="9"/>
        <v>3</v>
      </c>
      <c r="S125" s="12" cm="1">
        <f t="array" ref="S125">INDEX('PathStage-ConceptMap-3'!$I$15:$N$123,Q125+1,R125)</f>
        <v>0</v>
      </c>
    </row>
    <row r="126" spans="7:19">
      <c r="P126" s="11">
        <v>112</v>
      </c>
      <c r="Q126" s="11">
        <f t="shared" si="8"/>
        <v>18</v>
      </c>
      <c r="R126" s="11">
        <f t="shared" si="9"/>
        <v>4</v>
      </c>
      <c r="S126" s="12" cm="1">
        <f t="array" ref="S126">INDEX('PathStage-ConceptMap-3'!$I$15:$N$123,Q126+1,R126)</f>
        <v>0</v>
      </c>
    </row>
    <row r="127" spans="7:19">
      <c r="P127" s="11">
        <v>113</v>
      </c>
      <c r="Q127" s="11">
        <f t="shared" si="8"/>
        <v>18</v>
      </c>
      <c r="R127" s="11">
        <f t="shared" si="9"/>
        <v>5</v>
      </c>
      <c r="S127" s="12" cm="1">
        <f t="array" ref="S127">INDEX('PathStage-ConceptMap-3'!$I$15:$N$123,Q127+1,R127)</f>
        <v>0</v>
      </c>
    </row>
    <row r="128" spans="7:19">
      <c r="P128" s="11">
        <v>114</v>
      </c>
      <c r="Q128" s="11">
        <f t="shared" si="8"/>
        <v>18</v>
      </c>
      <c r="R128" s="11">
        <f t="shared" si="9"/>
        <v>6</v>
      </c>
      <c r="S128" s="12" cm="1">
        <f t="array" ref="S128">INDEX('PathStage-ConceptMap-3'!$I$15:$N$123,Q128+1,R128)</f>
        <v>0</v>
      </c>
    </row>
    <row r="129" spans="16:19">
      <c r="P129" s="11">
        <v>115</v>
      </c>
      <c r="Q129" s="11">
        <f t="shared" si="8"/>
        <v>19</v>
      </c>
      <c r="R129" s="11">
        <f t="shared" si="9"/>
        <v>1</v>
      </c>
      <c r="S129" s="12" cm="1">
        <f t="array" ref="S129">INDEX('PathStage-ConceptMap-3'!$I$15:$N$123,Q129+1,R129)</f>
        <v>0</v>
      </c>
    </row>
    <row r="130" spans="16:19">
      <c r="P130" s="11">
        <v>116</v>
      </c>
      <c r="Q130" s="11">
        <f t="shared" si="8"/>
        <v>19</v>
      </c>
      <c r="R130" s="11">
        <f t="shared" si="9"/>
        <v>2</v>
      </c>
      <c r="S130" s="12" cm="1">
        <f t="array" ref="S130">INDEX('PathStage-ConceptMap-3'!$I$15:$N$123,Q130+1,R130)</f>
        <v>0</v>
      </c>
    </row>
    <row r="131" spans="16:19">
      <c r="P131" s="11">
        <v>117</v>
      </c>
      <c r="Q131" s="11">
        <f t="shared" si="8"/>
        <v>19</v>
      </c>
      <c r="R131" s="11">
        <f t="shared" si="9"/>
        <v>3</v>
      </c>
      <c r="S131" s="12" cm="1">
        <f t="array" ref="S131">INDEX('PathStage-ConceptMap-3'!$I$15:$N$123,Q131+1,R131)</f>
        <v>0</v>
      </c>
    </row>
    <row r="132" spans="16:19">
      <c r="P132" s="11">
        <v>118</v>
      </c>
      <c r="Q132" s="11">
        <f t="shared" si="8"/>
        <v>19</v>
      </c>
      <c r="R132" s="11">
        <f t="shared" si="9"/>
        <v>4</v>
      </c>
      <c r="S132" s="12" cm="1">
        <f t="array" ref="S132">INDEX('PathStage-ConceptMap-3'!$I$15:$N$123,Q132+1,R132)</f>
        <v>0</v>
      </c>
    </row>
    <row r="133" spans="16:19">
      <c r="P133" s="11">
        <v>119</v>
      </c>
      <c r="Q133" s="11">
        <f t="shared" si="8"/>
        <v>19</v>
      </c>
      <c r="R133" s="11">
        <f t="shared" si="9"/>
        <v>5</v>
      </c>
      <c r="S133" s="12" cm="1">
        <f t="array" ref="S133">INDEX('PathStage-ConceptMap-3'!$I$15:$N$123,Q133+1,R133)</f>
        <v>0</v>
      </c>
    </row>
    <row r="134" spans="16:19">
      <c r="P134" s="11">
        <v>120</v>
      </c>
      <c r="Q134" s="11">
        <f t="shared" si="8"/>
        <v>19</v>
      </c>
      <c r="R134" s="11">
        <f t="shared" si="9"/>
        <v>6</v>
      </c>
      <c r="S134" s="12" cm="1">
        <f t="array" ref="S134">INDEX('PathStage-ConceptMap-3'!$I$15:$N$123,Q134+1,R134)</f>
        <v>0</v>
      </c>
    </row>
    <row r="135" spans="16:19">
      <c r="P135" s="11">
        <v>121</v>
      </c>
      <c r="Q135" s="11">
        <f t="shared" si="8"/>
        <v>20</v>
      </c>
      <c r="R135" s="11">
        <f t="shared" si="9"/>
        <v>1</v>
      </c>
      <c r="S135" s="12" cm="1">
        <f t="array" ref="S135">INDEX('PathStage-ConceptMap-3'!$I$15:$N$123,Q135+1,R135)</f>
        <v>0</v>
      </c>
    </row>
    <row r="136" spans="16:19">
      <c r="P136" s="11">
        <v>122</v>
      </c>
      <c r="Q136" s="11">
        <f t="shared" si="8"/>
        <v>20</v>
      </c>
      <c r="R136" s="11">
        <f t="shared" si="9"/>
        <v>2</v>
      </c>
      <c r="S136" s="12" cm="1">
        <f t="array" ref="S136">INDEX('PathStage-ConceptMap-3'!$I$15:$N$123,Q136+1,R136)</f>
        <v>0</v>
      </c>
    </row>
    <row r="137" spans="16:19">
      <c r="P137" s="11">
        <v>123</v>
      </c>
      <c r="Q137" s="11">
        <f t="shared" si="8"/>
        <v>20</v>
      </c>
      <c r="R137" s="11">
        <f t="shared" si="9"/>
        <v>3</v>
      </c>
      <c r="S137" s="12" cm="1">
        <f t="array" ref="S137">INDEX('PathStage-ConceptMap-3'!$I$15:$N$123,Q137+1,R137)</f>
        <v>0</v>
      </c>
    </row>
    <row r="138" spans="16:19">
      <c r="P138" s="11">
        <v>124</v>
      </c>
      <c r="Q138" s="11">
        <f t="shared" si="8"/>
        <v>20</v>
      </c>
      <c r="R138" s="11">
        <f t="shared" si="9"/>
        <v>4</v>
      </c>
      <c r="S138" s="12" cm="1">
        <f t="array" ref="S138">INDEX('PathStage-ConceptMap-3'!$I$15:$N$123,Q138+1,R138)</f>
        <v>0</v>
      </c>
    </row>
    <row r="139" spans="16:19">
      <c r="P139" s="11">
        <v>125</v>
      </c>
      <c r="Q139" s="11">
        <f t="shared" si="8"/>
        <v>20</v>
      </c>
      <c r="R139" s="11">
        <f t="shared" si="9"/>
        <v>5</v>
      </c>
      <c r="S139" s="12" cm="1">
        <f t="array" ref="S139">INDEX('PathStage-ConceptMap-3'!$I$15:$N$123,Q139+1,R139)</f>
        <v>0</v>
      </c>
    </row>
    <row r="140" spans="16:19">
      <c r="P140" s="11">
        <v>126</v>
      </c>
      <c r="Q140" s="11">
        <f t="shared" si="8"/>
        <v>20</v>
      </c>
      <c r="R140" s="11">
        <f t="shared" si="9"/>
        <v>6</v>
      </c>
      <c r="S140" s="12" cm="1">
        <f t="array" ref="S140">INDEX('PathStage-ConceptMap-3'!$I$15:$N$123,Q140+1,R140)</f>
        <v>0</v>
      </c>
    </row>
    <row r="141" spans="16:19">
      <c r="P141" s="11">
        <v>127</v>
      </c>
      <c r="Q141" s="11">
        <f t="shared" si="8"/>
        <v>21</v>
      </c>
      <c r="R141" s="11">
        <f t="shared" si="9"/>
        <v>1</v>
      </c>
      <c r="S141" s="12" cm="1">
        <f t="array" ref="S141">INDEX('PathStage-ConceptMap-3'!$I$15:$N$123,Q141+1,R141)</f>
        <v>0</v>
      </c>
    </row>
    <row r="142" spans="16:19">
      <c r="P142" s="11">
        <v>128</v>
      </c>
      <c r="Q142" s="11">
        <f t="shared" si="8"/>
        <v>21</v>
      </c>
      <c r="R142" s="11">
        <f t="shared" si="9"/>
        <v>2</v>
      </c>
      <c r="S142" s="12" cm="1">
        <f t="array" ref="S142">INDEX('PathStage-ConceptMap-3'!$I$15:$N$123,Q142+1,R142)</f>
        <v>0</v>
      </c>
    </row>
    <row r="143" spans="16:19">
      <c r="P143" s="11">
        <v>129</v>
      </c>
      <c r="Q143" s="11">
        <f t="shared" ref="Q143:Q162" si="10">IF(MOD(P143,$Q$8)=0,P143/$Q$8-1,INT(P143/$Q$8))</f>
        <v>21</v>
      </c>
      <c r="R143" s="11">
        <f t="shared" ref="R143:R162" si="11">IF(MOD(P143,$Q$8)=0,$Q$8,MOD(P143,$Q$8))</f>
        <v>3</v>
      </c>
      <c r="S143" s="12" cm="1">
        <f t="array" ref="S143">INDEX('PathStage-ConceptMap-3'!$I$15:$N$123,Q143+1,R143)</f>
        <v>0</v>
      </c>
    </row>
    <row r="144" spans="16:19">
      <c r="P144" s="11">
        <v>130</v>
      </c>
      <c r="Q144" s="11">
        <f t="shared" si="10"/>
        <v>21</v>
      </c>
      <c r="R144" s="11">
        <f t="shared" si="11"/>
        <v>4</v>
      </c>
      <c r="S144" s="12" cm="1">
        <f t="array" ref="S144">INDEX('PathStage-ConceptMap-3'!$I$15:$N$123,Q144+1,R144)</f>
        <v>0</v>
      </c>
    </row>
    <row r="145" spans="16:19">
      <c r="P145" s="11">
        <v>131</v>
      </c>
      <c r="Q145" s="11">
        <f t="shared" si="10"/>
        <v>21</v>
      </c>
      <c r="R145" s="11">
        <f t="shared" si="11"/>
        <v>5</v>
      </c>
      <c r="S145" s="12" cm="1">
        <f t="array" ref="S145">INDEX('PathStage-ConceptMap-3'!$I$15:$N$123,Q145+1,R145)</f>
        <v>0</v>
      </c>
    </row>
    <row r="146" spans="16:19">
      <c r="P146" s="11">
        <v>132</v>
      </c>
      <c r="Q146" s="11">
        <f t="shared" si="10"/>
        <v>21</v>
      </c>
      <c r="R146" s="11">
        <f t="shared" si="11"/>
        <v>6</v>
      </c>
      <c r="S146" s="12" cm="1">
        <f t="array" ref="S146">INDEX('PathStage-ConceptMap-3'!$I$15:$N$123,Q146+1,R146)</f>
        <v>0</v>
      </c>
    </row>
    <row r="147" spans="16:19">
      <c r="P147" s="11">
        <v>133</v>
      </c>
      <c r="Q147" s="11">
        <f t="shared" si="10"/>
        <v>22</v>
      </c>
      <c r="R147" s="11">
        <f t="shared" si="11"/>
        <v>1</v>
      </c>
      <c r="S147" s="12" cm="1">
        <f t="array" ref="S147">INDEX('PathStage-ConceptMap-3'!$I$15:$N$123,Q147+1,R147)</f>
        <v>0</v>
      </c>
    </row>
    <row r="148" spans="16:19">
      <c r="P148" s="11">
        <v>134</v>
      </c>
      <c r="Q148" s="11">
        <f t="shared" si="10"/>
        <v>22</v>
      </c>
      <c r="R148" s="11">
        <f t="shared" si="11"/>
        <v>2</v>
      </c>
      <c r="S148" s="12" cm="1">
        <f t="array" ref="S148">INDEX('PathStage-ConceptMap-3'!$I$15:$N$123,Q148+1,R148)</f>
        <v>0</v>
      </c>
    </row>
    <row r="149" spans="16:19">
      <c r="P149" s="11">
        <v>135</v>
      </c>
      <c r="Q149" s="11">
        <f t="shared" si="10"/>
        <v>22</v>
      </c>
      <c r="R149" s="11">
        <f t="shared" si="11"/>
        <v>3</v>
      </c>
      <c r="S149" s="12" cm="1">
        <f t="array" ref="S149">INDEX('PathStage-ConceptMap-3'!$I$15:$N$123,Q149+1,R149)</f>
        <v>0</v>
      </c>
    </row>
    <row r="150" spans="16:19">
      <c r="P150" s="11">
        <v>136</v>
      </c>
      <c r="Q150" s="11">
        <f t="shared" si="10"/>
        <v>22</v>
      </c>
      <c r="R150" s="11">
        <f t="shared" si="11"/>
        <v>4</v>
      </c>
      <c r="S150" s="12" cm="1">
        <f t="array" ref="S150">INDEX('PathStage-ConceptMap-3'!$I$15:$N$123,Q150+1,R150)</f>
        <v>0</v>
      </c>
    </row>
    <row r="151" spans="16:19">
      <c r="P151" s="11">
        <v>137</v>
      </c>
      <c r="Q151" s="11">
        <f t="shared" si="10"/>
        <v>22</v>
      </c>
      <c r="R151" s="11">
        <f t="shared" si="11"/>
        <v>5</v>
      </c>
      <c r="S151" s="12" cm="1">
        <f t="array" ref="S151">INDEX('PathStage-ConceptMap-3'!$I$15:$N$123,Q151+1,R151)</f>
        <v>0</v>
      </c>
    </row>
    <row r="152" spans="16:19">
      <c r="P152" s="11">
        <v>138</v>
      </c>
      <c r="Q152" s="11">
        <f t="shared" si="10"/>
        <v>22</v>
      </c>
      <c r="R152" s="11">
        <f t="shared" si="11"/>
        <v>6</v>
      </c>
      <c r="S152" s="12" cm="1">
        <f t="array" ref="S152">INDEX('PathStage-ConceptMap-3'!$I$15:$N$123,Q152+1,R152)</f>
        <v>0</v>
      </c>
    </row>
    <row r="153" spans="16:19">
      <c r="P153" s="11">
        <v>139</v>
      </c>
      <c r="Q153" s="11">
        <f t="shared" si="10"/>
        <v>23</v>
      </c>
      <c r="R153" s="11">
        <f t="shared" si="11"/>
        <v>1</v>
      </c>
      <c r="S153" s="12" cm="1">
        <f t="array" ref="S153">INDEX('PathStage-ConceptMap-3'!$I$15:$N$123,Q153+1,R153)</f>
        <v>0</v>
      </c>
    </row>
    <row r="154" spans="16:19">
      <c r="P154" s="11">
        <v>140</v>
      </c>
      <c r="Q154" s="11">
        <f t="shared" si="10"/>
        <v>23</v>
      </c>
      <c r="R154" s="11">
        <f t="shared" si="11"/>
        <v>2</v>
      </c>
      <c r="S154" s="12" cm="1">
        <f t="array" ref="S154">INDEX('PathStage-ConceptMap-3'!$I$15:$N$123,Q154+1,R154)</f>
        <v>0</v>
      </c>
    </row>
    <row r="155" spans="16:19">
      <c r="P155" s="11">
        <v>141</v>
      </c>
      <c r="Q155" s="11">
        <f t="shared" si="10"/>
        <v>23</v>
      </c>
      <c r="R155" s="11">
        <f t="shared" si="11"/>
        <v>3</v>
      </c>
      <c r="S155" s="12" cm="1">
        <f t="array" ref="S155">INDEX('PathStage-ConceptMap-3'!$I$15:$N$123,Q155+1,R155)</f>
        <v>0</v>
      </c>
    </row>
    <row r="156" spans="16:19">
      <c r="P156" s="11">
        <v>142</v>
      </c>
      <c r="Q156" s="11">
        <f t="shared" si="10"/>
        <v>23</v>
      </c>
      <c r="R156" s="11">
        <f t="shared" si="11"/>
        <v>4</v>
      </c>
      <c r="S156" s="12" cm="1">
        <f t="array" ref="S156">INDEX('PathStage-ConceptMap-3'!$I$15:$N$123,Q156+1,R156)</f>
        <v>0</v>
      </c>
    </row>
    <row r="157" spans="16:19">
      <c r="P157" s="11">
        <v>143</v>
      </c>
      <c r="Q157" s="11">
        <f t="shared" si="10"/>
        <v>23</v>
      </c>
      <c r="R157" s="11">
        <f t="shared" si="11"/>
        <v>5</v>
      </c>
      <c r="S157" s="12" cm="1">
        <f t="array" ref="S157">INDEX('PathStage-ConceptMap-3'!$I$15:$N$123,Q157+1,R157)</f>
        <v>0</v>
      </c>
    </row>
    <row r="158" spans="16:19">
      <c r="P158" s="11">
        <v>144</v>
      </c>
      <c r="Q158" s="11">
        <f t="shared" si="10"/>
        <v>23</v>
      </c>
      <c r="R158" s="11">
        <f t="shared" si="11"/>
        <v>6</v>
      </c>
      <c r="S158" s="12" cm="1">
        <f t="array" ref="S158">INDEX('PathStage-ConceptMap-3'!$I$15:$N$123,Q158+1,R158)</f>
        <v>0</v>
      </c>
    </row>
    <row r="159" spans="16:19">
      <c r="P159" s="11">
        <v>145</v>
      </c>
      <c r="Q159" s="11">
        <f t="shared" si="10"/>
        <v>24</v>
      </c>
      <c r="R159" s="11">
        <f t="shared" si="11"/>
        <v>1</v>
      </c>
      <c r="S159" s="12" cm="1">
        <f t="array" ref="S159">INDEX('PathStage-ConceptMap-3'!$I$15:$N$123,Q159+1,R159)</f>
        <v>0</v>
      </c>
    </row>
    <row r="160" spans="16:19">
      <c r="P160" s="11">
        <v>146</v>
      </c>
      <c r="Q160" s="11">
        <f t="shared" si="10"/>
        <v>24</v>
      </c>
      <c r="R160" s="11">
        <f t="shared" si="11"/>
        <v>2</v>
      </c>
      <c r="S160" s="12" cm="1">
        <f t="array" ref="S160">INDEX('PathStage-ConceptMap-3'!$I$15:$N$123,Q160+1,R160)</f>
        <v>0</v>
      </c>
    </row>
    <row r="161" spans="16:19">
      <c r="P161" s="11">
        <v>147</v>
      </c>
      <c r="Q161" s="11">
        <f t="shared" si="10"/>
        <v>24</v>
      </c>
      <c r="R161" s="11">
        <f t="shared" si="11"/>
        <v>3</v>
      </c>
      <c r="S161" s="12" cm="1">
        <f t="array" ref="S161">INDEX('PathStage-ConceptMap-3'!$I$15:$N$123,Q161+1,R161)</f>
        <v>0</v>
      </c>
    </row>
    <row r="162" spans="16:19">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2103</v>
      </c>
      <c r="D3" s="62" t="s">
        <v>1791</v>
      </c>
      <c r="E3" s="118" t="str">
        <f>$C$1&amp;ClinicalStage!B4</f>
        <v>http://hl7.eu/fhir/ig/idea4rc/StructureDefinition/ClinicalStage</v>
      </c>
    </row>
    <row r="4" spans="1:19">
      <c r="B4" s="62" t="s">
        <v>16</v>
      </c>
      <c r="C4" s="28" t="s">
        <v>2105</v>
      </c>
      <c r="D4" s="62" t="s">
        <v>1792</v>
      </c>
      <c r="E4" s="166" t="s">
        <v>2125</v>
      </c>
      <c r="F4" s="167"/>
      <c r="G4" s="167"/>
    </row>
    <row r="5" spans="1:19">
      <c r="B5" s="62" t="s">
        <v>10</v>
      </c>
      <c r="C5" s="7" t="s">
        <v>2106</v>
      </c>
      <c r="D5" s="62"/>
      <c r="E5" s="7"/>
    </row>
    <row r="6" spans="1:19">
      <c r="B6" s="62" t="s">
        <v>18</v>
      </c>
      <c r="C6" s="56"/>
      <c r="D6" s="62" t="s">
        <v>1793</v>
      </c>
      <c r="E6" s="166" t="str">
        <f>E3</f>
        <v>http://hl7.eu/fhir/ig/idea4rc/StructureDefinition/ClinicalStage</v>
      </c>
      <c r="F6" s="167"/>
      <c r="G6" s="167"/>
    </row>
    <row r="7" spans="1:19">
      <c r="B7" s="62" t="s">
        <v>15</v>
      </c>
      <c r="C7" s="119"/>
      <c r="D7" s="62" t="s">
        <v>1794</v>
      </c>
      <c r="E7" s="166" t="s">
        <v>2125</v>
      </c>
      <c r="F7" s="167"/>
      <c r="G7" s="167"/>
    </row>
    <row r="8" spans="1:19" ht="44.25">
      <c r="B8" s="62" t="s">
        <v>1795</v>
      </c>
      <c r="C8" s="120" t="s">
        <v>2106</v>
      </c>
      <c r="D8" s="62"/>
      <c r="E8" s="7"/>
      <c r="I8" s="12" t="s">
        <v>1402</v>
      </c>
      <c r="J8" s="12" t="s">
        <v>1403</v>
      </c>
      <c r="K8" s="12" t="s">
        <v>1404</v>
      </c>
      <c r="L8" s="12" t="s">
        <v>1405</v>
      </c>
      <c r="M8" s="11" t="s">
        <v>1406</v>
      </c>
      <c r="P8" s="49" t="s">
        <v>1441</v>
      </c>
      <c r="Q8" s="49">
        <v>6</v>
      </c>
    </row>
    <row r="9" spans="1:19">
      <c r="B9" s="62" t="s">
        <v>1796</v>
      </c>
      <c r="C9" s="12" t="s">
        <v>2107</v>
      </c>
      <c r="D9" s="62"/>
      <c r="E9" s="118"/>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PathologicalStage!B5</f>
        <v>PathologicalStage</v>
      </c>
      <c r="C14" s="11"/>
      <c r="D14" s="4" t="s">
        <v>1879</v>
      </c>
      <c r="E14" s="6"/>
      <c r="F14" s="64"/>
      <c r="G14" s="64"/>
      <c r="I14" s="12"/>
      <c r="J14" s="11"/>
      <c r="K14" s="11"/>
      <c r="L14" s="11"/>
      <c r="M14" s="63"/>
      <c r="N14" s="66"/>
    </row>
    <row r="15" spans="1:19" ht="73.75" customHeight="1">
      <c r="A15" s="59"/>
      <c r="B15" s="11" t="str">
        <f>ClinicalStage!B12</f>
        <v>cM</v>
      </c>
      <c r="C15" s="11" t="str">
        <f>ClinicalStage!C12</f>
        <v>cM</v>
      </c>
      <c r="D15" s="12" t="s">
        <v>2116</v>
      </c>
      <c r="E15" s="12"/>
      <c r="F15" s="64" t="s">
        <v>1407</v>
      </c>
      <c r="G15" s="124"/>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c r="A16" s="59"/>
      <c r="B16" s="11"/>
      <c r="C16" s="11"/>
      <c r="D16" s="12"/>
      <c r="E16" s="12"/>
      <c r="F16" s="153"/>
      <c r="G16" s="124"/>
      <c r="H16" s="58"/>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c r="A17" s="59"/>
      <c r="B17" s="11"/>
      <c r="C17" s="11"/>
      <c r="D17" s="12"/>
      <c r="E17" s="12"/>
      <c r="F17" s="153"/>
      <c r="G17" s="124"/>
      <c r="H17" s="58"/>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c r="A18" s="59"/>
      <c r="B18" s="11"/>
      <c r="C18" s="11"/>
      <c r="D18" s="12"/>
      <c r="E18" s="12"/>
      <c r="F18" s="153"/>
      <c r="G18" s="124"/>
      <c r="H18" s="58"/>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c r="A19" s="59"/>
      <c r="B19" s="11"/>
      <c r="C19" s="11"/>
      <c r="D19" s="12"/>
      <c r="E19" s="12"/>
      <c r="F19" s="64"/>
      <c r="G19" s="124"/>
      <c r="H19" s="58"/>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c r="A20" s="59"/>
      <c r="B20" s="11"/>
      <c r="C20" s="11"/>
      <c r="D20" s="12"/>
      <c r="E20" s="12"/>
      <c r="F20" s="64"/>
      <c r="G20" s="124"/>
      <c r="H20" s="58"/>
      <c r="I20" s="12"/>
      <c r="J20" s="12"/>
      <c r="K20" s="12"/>
      <c r="L20" s="12"/>
      <c r="M20" s="12"/>
      <c r="N20" s="12"/>
      <c r="P20" s="11">
        <v>6</v>
      </c>
      <c r="Q20" s="11">
        <f t="shared" si="6"/>
        <v>0</v>
      </c>
      <c r="R20" s="11">
        <f t="shared" si="7"/>
        <v>6</v>
      </c>
      <c r="S20" s="12" t="str" cm="1">
        <f t="array" ref="S20">INDEX('PathStage-ConceptMap-4'!$I$15:$N$43,Q20+1,R20)</f>
        <v/>
      </c>
    </row>
    <row r="21" spans="1:19">
      <c r="A21" s="59"/>
      <c r="B21" s="11"/>
      <c r="C21" s="11"/>
      <c r="D21" s="12"/>
      <c r="E21" s="12"/>
      <c r="F21" s="64"/>
      <c r="G21" s="124"/>
      <c r="H21" s="58"/>
      <c r="I21" s="12"/>
      <c r="J21" s="12"/>
      <c r="K21" s="12"/>
      <c r="L21" s="12"/>
      <c r="M21" s="12"/>
      <c r="N21" s="12"/>
      <c r="P21" s="11">
        <v>7</v>
      </c>
      <c r="Q21" s="11">
        <f t="shared" si="6"/>
        <v>1</v>
      </c>
      <c r="R21" s="11">
        <f t="shared" si="7"/>
        <v>1</v>
      </c>
      <c r="S21" s="12" cm="1">
        <f t="array" ref="S21">INDEX('PathStage-ConceptMap-4'!$I$15:$N$43,Q21+1,R21)</f>
        <v>0</v>
      </c>
    </row>
    <row r="22" spans="1:19">
      <c r="A22" s="59"/>
      <c r="B22" s="11"/>
      <c r="C22" s="11"/>
      <c r="D22" s="12"/>
      <c r="E22" s="12"/>
      <c r="F22" s="64"/>
      <c r="G22" s="124"/>
      <c r="H22" s="58"/>
      <c r="I22" s="12"/>
      <c r="J22" s="12"/>
      <c r="K22" s="12"/>
      <c r="L22" s="12"/>
      <c r="M22" s="12"/>
      <c r="N22" s="12"/>
      <c r="P22" s="11">
        <v>8</v>
      </c>
      <c r="Q22" s="11">
        <f t="shared" si="6"/>
        <v>1</v>
      </c>
      <c r="R22" s="11">
        <f t="shared" si="7"/>
        <v>2</v>
      </c>
      <c r="S22" s="12" cm="1">
        <f t="array" ref="S22">INDEX('PathStage-ConceptMap-4'!$I$15:$N$43,Q22+1,R22)</f>
        <v>0</v>
      </c>
    </row>
    <row r="23" spans="1:19" ht="29.5" customHeight="1">
      <c r="A23" s="59"/>
      <c r="B23" s="11"/>
      <c r="C23" s="11"/>
      <c r="D23" s="12"/>
      <c r="E23" s="12"/>
      <c r="F23" s="64"/>
      <c r="G23" s="124"/>
      <c r="H23" s="58"/>
      <c r="I23" s="12"/>
      <c r="J23" s="12"/>
      <c r="K23" s="12"/>
      <c r="L23" s="12"/>
      <c r="M23" s="12"/>
      <c r="N23" s="12"/>
      <c r="P23" s="11">
        <v>9</v>
      </c>
      <c r="Q23" s="11">
        <f t="shared" si="6"/>
        <v>1</v>
      </c>
      <c r="R23" s="11">
        <f t="shared" si="7"/>
        <v>3</v>
      </c>
      <c r="S23" s="12" cm="1">
        <f t="array" ref="S23">INDEX('PathStage-ConceptMap-4'!$I$15:$N$43,Q23+1,R23)</f>
        <v>0</v>
      </c>
    </row>
    <row r="24" spans="1:19">
      <c r="A24" s="59"/>
      <c r="B24" s="11"/>
      <c r="C24" s="11"/>
      <c r="D24" s="12"/>
      <c r="E24" s="12"/>
      <c r="F24" s="64"/>
      <c r="G24" s="124"/>
      <c r="H24" s="58"/>
      <c r="I24" s="12"/>
      <c r="J24" s="12"/>
      <c r="K24" s="12"/>
      <c r="L24" s="12"/>
      <c r="M24" s="12"/>
      <c r="N24" s="12"/>
      <c r="P24" s="11">
        <v>10</v>
      </c>
      <c r="Q24" s="11">
        <f t="shared" si="6"/>
        <v>1</v>
      </c>
      <c r="R24" s="11">
        <f t="shared" si="7"/>
        <v>4</v>
      </c>
      <c r="S24" s="12" cm="1">
        <f t="array" ref="S24">INDEX('PathStage-ConceptMap-4'!$I$15:$N$43,Q24+1,R24)</f>
        <v>0</v>
      </c>
    </row>
    <row r="25" spans="1:19">
      <c r="A25" s="59"/>
      <c r="B25" s="11"/>
      <c r="C25" s="11"/>
      <c r="D25" s="12"/>
      <c r="E25" s="12"/>
      <c r="F25" s="64"/>
      <c r="G25" s="124"/>
      <c r="H25" s="58"/>
      <c r="I25" s="12"/>
      <c r="J25" s="12"/>
      <c r="K25" s="12"/>
      <c r="L25" s="12"/>
      <c r="M25" s="12"/>
      <c r="N25" s="12"/>
      <c r="P25" s="11">
        <v>11</v>
      </c>
      <c r="Q25" s="11">
        <f t="shared" si="6"/>
        <v>1</v>
      </c>
      <c r="R25" s="11">
        <f t="shared" si="7"/>
        <v>5</v>
      </c>
      <c r="S25" s="12" cm="1">
        <f t="array" ref="S25">INDEX('PathStage-ConceptMap-4'!$I$15:$N$43,Q25+1,R25)</f>
        <v>0</v>
      </c>
    </row>
    <row r="26" spans="1:19">
      <c r="A26" s="59"/>
      <c r="B26" s="11"/>
      <c r="C26" s="11"/>
      <c r="D26" s="12"/>
      <c r="E26" s="12"/>
      <c r="F26" s="64"/>
      <c r="G26" s="124"/>
      <c r="H26" s="58"/>
      <c r="I26" s="12"/>
      <c r="J26" s="12"/>
      <c r="K26" s="12"/>
      <c r="L26" s="12"/>
      <c r="M26" s="12"/>
      <c r="N26" s="12"/>
      <c r="P26" s="11">
        <v>12</v>
      </c>
      <c r="Q26" s="11">
        <f t="shared" si="6"/>
        <v>1</v>
      </c>
      <c r="R26" s="11">
        <f t="shared" si="7"/>
        <v>6</v>
      </c>
      <c r="S26" s="12" t="str" cm="1">
        <f t="array" ref="S26">INDEX('PathStage-ConceptMap-4'!$I$15:$N$43,Q26+1,R26)</f>
        <v/>
      </c>
    </row>
    <row r="27" spans="1:19">
      <c r="B27" s="11"/>
      <c r="C27" s="11"/>
      <c r="D27" s="12"/>
      <c r="E27" s="12"/>
      <c r="F27" s="64"/>
      <c r="G27" s="124"/>
      <c r="H27" s="58"/>
      <c r="I27" s="12"/>
      <c r="J27" s="12"/>
      <c r="K27" s="12"/>
      <c r="L27" s="12"/>
      <c r="M27" s="12"/>
      <c r="N27" s="12"/>
      <c r="P27" s="11">
        <v>13</v>
      </c>
      <c r="Q27" s="11">
        <f t="shared" si="6"/>
        <v>2</v>
      </c>
      <c r="R27" s="11">
        <f t="shared" si="7"/>
        <v>1</v>
      </c>
      <c r="S27" s="12" cm="1">
        <f t="array" ref="S27">INDEX('PathStage-ConceptMap-4'!$I$15:$N$43,Q27+1,R27)</f>
        <v>0</v>
      </c>
    </row>
    <row r="28" spans="1:19">
      <c r="B28" s="11"/>
      <c r="C28" s="11"/>
      <c r="D28" s="12"/>
      <c r="E28" s="12"/>
      <c r="F28" s="64"/>
      <c r="G28" s="124"/>
      <c r="H28" s="58"/>
      <c r="I28" s="12"/>
      <c r="J28" s="12"/>
      <c r="K28" s="12"/>
      <c r="L28" s="12"/>
      <c r="M28" s="12"/>
      <c r="N28" s="12"/>
      <c r="P28" s="11">
        <v>14</v>
      </c>
      <c r="Q28" s="11">
        <f t="shared" si="6"/>
        <v>2</v>
      </c>
      <c r="R28" s="11">
        <f t="shared" si="7"/>
        <v>2</v>
      </c>
      <c r="S28" s="12" cm="1">
        <f t="array" ref="S28">INDEX('PathStage-ConceptMap-4'!$I$15:$N$43,Q28+1,R28)</f>
        <v>0</v>
      </c>
    </row>
    <row r="29" spans="1:19">
      <c r="B29" s="11"/>
      <c r="C29" s="11"/>
      <c r="D29" s="12"/>
      <c r="E29" s="12"/>
      <c r="F29" s="64"/>
      <c r="G29" s="124"/>
      <c r="H29" s="58"/>
      <c r="I29" s="12"/>
      <c r="J29" s="12"/>
      <c r="K29" s="12"/>
      <c r="L29" s="12"/>
      <c r="M29" s="12"/>
      <c r="N29" s="12"/>
      <c r="P29" s="11">
        <v>15</v>
      </c>
      <c r="Q29" s="11">
        <f t="shared" si="6"/>
        <v>2</v>
      </c>
      <c r="R29" s="11">
        <f t="shared" si="7"/>
        <v>3</v>
      </c>
      <c r="S29" s="12" cm="1">
        <f t="array" ref="S29">INDEX('PathStage-ConceptMap-4'!$I$15:$N$43,Q29+1,R29)</f>
        <v>0</v>
      </c>
    </row>
    <row r="30" spans="1:19">
      <c r="B30" s="11"/>
      <c r="C30" s="11"/>
      <c r="D30" s="12"/>
      <c r="E30" s="12"/>
      <c r="F30" s="64"/>
      <c r="G30" s="124"/>
      <c r="H30" s="58"/>
      <c r="I30" s="12"/>
      <c r="J30" s="12"/>
      <c r="K30" s="12"/>
      <c r="L30" s="12"/>
      <c r="M30" s="12"/>
      <c r="N30" s="12"/>
      <c r="P30" s="11">
        <v>16</v>
      </c>
      <c r="Q30" s="11">
        <f t="shared" si="6"/>
        <v>2</v>
      </c>
      <c r="R30" s="11">
        <f t="shared" si="7"/>
        <v>4</v>
      </c>
      <c r="S30" s="12" cm="1">
        <f t="array" ref="S30">INDEX('PathStage-ConceptMap-4'!$I$15:$N$43,Q30+1,R30)</f>
        <v>0</v>
      </c>
    </row>
    <row r="31" spans="1:19">
      <c r="B31" s="11"/>
      <c r="C31" s="11"/>
      <c r="D31" s="12"/>
      <c r="E31" s="12"/>
      <c r="F31" s="64"/>
      <c r="G31" s="124"/>
      <c r="H31" s="58"/>
      <c r="I31" s="12"/>
      <c r="J31" s="12"/>
      <c r="K31" s="12"/>
      <c r="L31" s="12"/>
      <c r="M31" s="12"/>
      <c r="N31" s="12"/>
      <c r="P31" s="11">
        <v>17</v>
      </c>
      <c r="Q31" s="11">
        <f t="shared" si="6"/>
        <v>2</v>
      </c>
      <c r="R31" s="11">
        <f t="shared" si="7"/>
        <v>5</v>
      </c>
      <c r="S31" s="12" cm="1">
        <f t="array" ref="S31">INDEX('PathStage-ConceptMap-4'!$I$15:$N$43,Q31+1,R31)</f>
        <v>0</v>
      </c>
    </row>
    <row r="32" spans="1:19">
      <c r="B32" s="11"/>
      <c r="C32" s="11"/>
      <c r="D32" s="12"/>
      <c r="E32" s="12"/>
      <c r="F32" s="64"/>
      <c r="G32" s="124"/>
      <c r="H32" s="58"/>
      <c r="I32" s="12"/>
      <c r="J32" s="12"/>
      <c r="K32" s="12"/>
      <c r="L32" s="12"/>
      <c r="M32" s="12"/>
      <c r="N32" s="12"/>
      <c r="P32" s="11">
        <v>18</v>
      </c>
      <c r="Q32" s="11">
        <f t="shared" si="6"/>
        <v>2</v>
      </c>
      <c r="R32" s="11">
        <f t="shared" si="7"/>
        <v>6</v>
      </c>
      <c r="S32" s="12" t="str" cm="1">
        <f t="array" ref="S32">INDEX('PathStage-ConceptMap-4'!$I$15:$N$43,Q32+1,R32)</f>
        <v/>
      </c>
    </row>
    <row r="33" spans="1:19">
      <c r="B33" s="11"/>
      <c r="C33" s="11"/>
      <c r="D33" s="12"/>
      <c r="E33" s="12"/>
      <c r="F33" s="64"/>
      <c r="G33" s="124"/>
      <c r="H33" s="58"/>
      <c r="I33" s="12"/>
      <c r="J33" s="12"/>
      <c r="K33" s="12"/>
      <c r="L33" s="12"/>
      <c r="M33" s="12"/>
      <c r="N33" s="12"/>
      <c r="P33" s="11">
        <v>19</v>
      </c>
      <c r="Q33" s="11">
        <f t="shared" si="6"/>
        <v>3</v>
      </c>
      <c r="R33" s="11">
        <f t="shared" si="7"/>
        <v>1</v>
      </c>
      <c r="S33" s="12" cm="1">
        <f t="array" ref="S33">INDEX('PathStage-ConceptMap-4'!$I$15:$N$43,Q33+1,R33)</f>
        <v>0</v>
      </c>
    </row>
    <row r="34" spans="1:19">
      <c r="B34" s="11"/>
      <c r="C34" s="11"/>
      <c r="D34" s="12"/>
      <c r="E34" s="12"/>
      <c r="F34" s="64"/>
      <c r="G34" s="124"/>
      <c r="H34" s="58"/>
      <c r="I34" s="12"/>
      <c r="J34" s="12"/>
      <c r="K34" s="12"/>
      <c r="L34" s="12"/>
      <c r="M34" s="12"/>
      <c r="N34" s="12"/>
      <c r="P34" s="11">
        <v>20</v>
      </c>
      <c r="Q34" s="11">
        <f t="shared" si="6"/>
        <v>3</v>
      </c>
      <c r="R34" s="11">
        <f t="shared" si="7"/>
        <v>2</v>
      </c>
      <c r="S34" s="12" cm="1">
        <f t="array" ref="S34">INDEX('PathStage-ConceptMap-4'!$I$15:$N$43,Q34+1,R34)</f>
        <v>0</v>
      </c>
    </row>
    <row r="35" spans="1:19">
      <c r="B35" s="11"/>
      <c r="C35" s="11"/>
      <c r="D35" s="12"/>
      <c r="E35" s="12"/>
      <c r="F35" s="64"/>
      <c r="G35" s="124"/>
      <c r="H35" s="58"/>
      <c r="I35" s="12"/>
      <c r="J35" s="12"/>
      <c r="K35" s="12"/>
      <c r="L35" s="12"/>
      <c r="M35" s="12"/>
      <c r="N35" s="12"/>
      <c r="P35" s="11">
        <v>21</v>
      </c>
      <c r="Q35" s="11">
        <f t="shared" si="6"/>
        <v>3</v>
      </c>
      <c r="R35" s="11">
        <f t="shared" si="7"/>
        <v>3</v>
      </c>
      <c r="S35" s="12" cm="1">
        <f t="array" ref="S35">INDEX('PathStage-ConceptMap-4'!$I$15:$N$43,Q35+1,R35)</f>
        <v>0</v>
      </c>
    </row>
    <row r="36" spans="1:19">
      <c r="B36" s="11"/>
      <c r="C36" s="11"/>
      <c r="D36" s="12"/>
      <c r="E36" s="12"/>
      <c r="F36" s="64"/>
      <c r="G36" s="124"/>
      <c r="H36" s="58"/>
      <c r="I36" s="12"/>
      <c r="J36" s="12"/>
      <c r="K36" s="12"/>
      <c r="L36" s="12"/>
      <c r="M36" s="12"/>
      <c r="N36" s="12"/>
      <c r="P36" s="11">
        <v>22</v>
      </c>
      <c r="Q36" s="11">
        <f t="shared" si="6"/>
        <v>3</v>
      </c>
      <c r="R36" s="11">
        <f t="shared" si="7"/>
        <v>4</v>
      </c>
      <c r="S36" s="12" cm="1">
        <f t="array" ref="S36">INDEX('PathStage-ConceptMap-4'!$I$15:$N$43,Q36+1,R36)</f>
        <v>0</v>
      </c>
    </row>
    <row r="37" spans="1:19">
      <c r="B37" s="11"/>
      <c r="C37" s="11"/>
      <c r="D37" s="12"/>
      <c r="E37" s="12"/>
      <c r="F37" s="64"/>
      <c r="G37" s="124"/>
      <c r="H37" s="58"/>
      <c r="K37" s="58"/>
      <c r="L37" s="58"/>
      <c r="M37" s="66"/>
      <c r="N37" s="66"/>
      <c r="P37" s="11">
        <v>23</v>
      </c>
      <c r="Q37" s="11">
        <f t="shared" si="6"/>
        <v>3</v>
      </c>
      <c r="R37" s="11">
        <f t="shared" si="7"/>
        <v>5</v>
      </c>
      <c r="S37" s="12" cm="1">
        <f t="array" ref="S37">INDEX('PathStage-ConceptMap-4'!$I$15:$N$43,Q37+1,R37)</f>
        <v>0</v>
      </c>
    </row>
    <row r="38" spans="1:19">
      <c r="B38" s="11"/>
      <c r="C38" s="11"/>
      <c r="D38" s="12"/>
      <c r="E38" s="12"/>
      <c r="F38" s="64"/>
      <c r="G38" s="124"/>
      <c r="H38" s="58"/>
      <c r="K38" s="58"/>
      <c r="L38" s="58"/>
      <c r="M38" s="66"/>
      <c r="N38" s="66"/>
      <c r="P38" s="11">
        <v>24</v>
      </c>
      <c r="Q38" s="11">
        <f t="shared" si="6"/>
        <v>3</v>
      </c>
      <c r="R38" s="11">
        <f t="shared" si="7"/>
        <v>6</v>
      </c>
      <c r="S38" s="12" t="str" cm="1">
        <f t="array" ref="S38">INDEX('PathStage-ConceptMap-4'!$I$15:$N$43,Q38+1,R38)</f>
        <v/>
      </c>
    </row>
    <row r="39" spans="1:19" s="2" customFormat="1">
      <c r="A39"/>
      <c r="B39" s="11"/>
      <c r="C39" s="11"/>
      <c r="D39" s="12"/>
      <c r="E39" s="12"/>
      <c r="F39" s="64"/>
      <c r="G39" s="124"/>
      <c r="H39" s="58"/>
      <c r="J39"/>
      <c r="K39" s="58"/>
      <c r="L39" s="58"/>
      <c r="M39" s="66"/>
      <c r="N39" s="66"/>
      <c r="P39" s="11">
        <v>25</v>
      </c>
      <c r="Q39" s="11">
        <f t="shared" si="6"/>
        <v>4</v>
      </c>
      <c r="R39" s="11">
        <f t="shared" si="7"/>
        <v>1</v>
      </c>
      <c r="S39" s="12" cm="1">
        <f t="array" ref="S39">INDEX('PathStage-ConceptMap-4'!$I$15:$N$43,Q39+1,R39)</f>
        <v>0</v>
      </c>
    </row>
    <row r="40" spans="1:19" s="2" customFormat="1">
      <c r="A40"/>
      <c r="B40" s="11"/>
      <c r="C40" s="11"/>
      <c r="D40" s="12"/>
      <c r="F40" s="58"/>
      <c r="G40" s="124"/>
      <c r="H40" s="58"/>
      <c r="J40"/>
      <c r="K40" s="58"/>
      <c r="L40" s="58"/>
      <c r="M40" s="66"/>
      <c r="N40" s="66"/>
      <c r="P40" s="11">
        <v>26</v>
      </c>
      <c r="Q40" s="11">
        <f t="shared" si="6"/>
        <v>4</v>
      </c>
      <c r="R40" s="11">
        <f t="shared" si="7"/>
        <v>2</v>
      </c>
      <c r="S40" s="12" cm="1">
        <f t="array" ref="S40">INDEX('PathStage-ConceptMap-4'!$I$15:$N$43,Q40+1,R40)</f>
        <v>0</v>
      </c>
    </row>
    <row r="41" spans="1:19" s="2" customFormat="1">
      <c r="A41"/>
      <c r="B41" s="11"/>
      <c r="C41" s="11"/>
      <c r="D41" s="12"/>
      <c r="F41" s="58"/>
      <c r="G41" s="124"/>
      <c r="H41" s="58"/>
      <c r="J41"/>
      <c r="K41" s="58"/>
      <c r="L41" s="58"/>
      <c r="M41" s="66"/>
      <c r="N41" s="66"/>
      <c r="P41" s="11">
        <v>27</v>
      </c>
      <c r="Q41" s="11">
        <f t="shared" si="6"/>
        <v>4</v>
      </c>
      <c r="R41" s="11">
        <f t="shared" si="7"/>
        <v>3</v>
      </c>
      <c r="S41" s="12" cm="1">
        <f t="array" ref="S41">INDEX('PathStage-ConceptMap-4'!$I$15:$N$43,Q41+1,R41)</f>
        <v>0</v>
      </c>
    </row>
    <row r="42" spans="1:19" s="2" customFormat="1">
      <c r="A42"/>
      <c r="B42" s="11"/>
      <c r="C42" s="11"/>
      <c r="D42" s="12"/>
      <c r="F42" s="58"/>
      <c r="G42" s="124"/>
      <c r="H42" s="58"/>
      <c r="J42" s="58"/>
      <c r="K42" s="58"/>
      <c r="L42" s="58"/>
      <c r="M42" s="66"/>
      <c r="N42" s="66"/>
      <c r="P42" s="11">
        <v>28</v>
      </c>
      <c r="Q42" s="11">
        <f t="shared" si="6"/>
        <v>4</v>
      </c>
      <c r="R42" s="11">
        <f t="shared" si="7"/>
        <v>4</v>
      </c>
      <c r="S42" s="12" cm="1">
        <f t="array" ref="S42">INDEX('PathStage-ConceptMap-4'!$I$15:$N$43,Q42+1,R42)</f>
        <v>0</v>
      </c>
    </row>
    <row r="43" spans="1:19" s="2" customFormat="1">
      <c r="A43"/>
      <c r="B43" s="11"/>
      <c r="C43" s="11"/>
      <c r="F43" s="58"/>
      <c r="G43" s="124"/>
      <c r="H43" s="58"/>
      <c r="J43" s="58"/>
      <c r="K43" s="58"/>
      <c r="L43" s="58"/>
      <c r="M43" s="66"/>
      <c r="N43" s="66"/>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2133</v>
      </c>
    </row>
    <row r="3" spans="2:7">
      <c r="B3" s="24" t="s">
        <v>20</v>
      </c>
    </row>
    <row r="4" spans="2:7">
      <c r="B4" s="65" t="str">
        <f>"Instance: "&amp;'PathStage-ConceptMap-1'!C4</f>
        <v>Instance: pathologicalStage2FHIR</v>
      </c>
    </row>
    <row r="5" spans="2:7">
      <c r="B5" s="65" t="s">
        <v>1447</v>
      </c>
    </row>
    <row r="6" spans="2:7">
      <c r="B6" s="65" t="s">
        <v>1438</v>
      </c>
    </row>
    <row r="7" spans="2:7">
      <c r="B7" s="65" t="s">
        <v>1798</v>
      </c>
    </row>
    <row r="8" spans="2:7">
      <c r="B8" s="65" t="str">
        <f>"* name = ##34#"&amp;'PathStage-ConceptMap-1'!C3&amp;"##34#"</f>
        <v>* name = ##34#PathologicalStage2FHIR##34#</v>
      </c>
    </row>
    <row r="9" spans="2:7">
      <c r="B9" s="65" t="str">
        <f>"* title = ##34#"&amp;'PathStage-ConceptMap-1'!C5&amp;"##34#"</f>
        <v>* title = ##34#Pathological Stage Model to this guide Map##34#</v>
      </c>
    </row>
    <row r="10" spans="2:7">
      <c r="B10" s="65" t="s">
        <v>1439</v>
      </c>
    </row>
    <row r="11" spans="2:7">
      <c r="B11" s="65" t="s">
        <v>1440</v>
      </c>
    </row>
    <row r="12" spans="2:7">
      <c r="B12" s="65" t="str">
        <f>"* description = ##34#"&amp;'PathStage-ConceptMap-1'!C8&amp;"##34#"</f>
        <v>* description = ##34#Pathological Stage Model to this guide Map##34#</v>
      </c>
    </row>
    <row r="13" spans="2:7">
      <c r="B13" s="65" t="str">
        <f>"* purpose = ##34#"&amp;'PathStage-ConceptMap-1'!C9&amp;"##34#"</f>
        <v>* purpose = ##34#It shows how the Pathological Stage model is mapped into this guide##34#</v>
      </c>
    </row>
    <row r="14" spans="2:7">
      <c r="B14" s="69" t="str">
        <f>"* sourceUri = ##34#"&amp;'PathStage-ConceptMap-1'!E3&amp;"##34#"</f>
        <v>* sourceUri = ##34#http://hl7.eu/fhir/ig/idea4rc/StructureDefinition/ClinicalStage##34#</v>
      </c>
    </row>
    <row r="15" spans="2:7">
      <c r="B15" s="69" t="str">
        <f>"* targetUri = ##34#"&amp;'PathStage-ConceptMap-1'!E4&amp;"##34#"</f>
        <v>* targetUri = ##34#http://hl7.eu/fhir/ig/idea4rc/StructureDefinition/mcode-cancer-stage-group##34#</v>
      </c>
    </row>
    <row r="16" spans="2:7">
      <c r="B16" s="68" t="str">
        <f>"* group[+].source = ##34#"&amp;'PathStage-ConceptMap-1'!E6&amp;"##34#"</f>
        <v>* group[+].source = ##34#http://hl7.eu/fhir/ig/idea4rc/StructureDefinition/ClinicalStage##34#</v>
      </c>
    </row>
    <row r="17" spans="2:7">
      <c r="B17" s="68" t="str">
        <f>"* group[=].target = ##34#"&amp;'PathStage-ConceptMap-1'!E7&amp;"##34#"</f>
        <v>* group[=].target = ##34#http://hl7.eu/fhir/ig/idea4rc/StructureDefinition/mcode-cancer-stage-group##34#</v>
      </c>
    </row>
    <row r="18" spans="2:7">
      <c r="B18" s="122"/>
    </row>
    <row r="19" spans="2:7">
      <c r="B19" s="12" t="str">
        <f>IF('PathStage-ConceptMap-1'!S15=0,"//---END",'PathStage-ConceptMap-1'!S15)</f>
        <v>* group[=].element[+].code = #PathologicalStage.episodeEventReference</v>
      </c>
    </row>
    <row r="20" spans="2:7">
      <c r="B20" s="12" t="str">
        <f>IF('PathStage-ConceptMap-1'!S16=0,"//---END",'PathStage-ConceptMap-1'!S16)</f>
        <v>* group[=].element[=].display = ##34#Episode Event Reference##34#</v>
      </c>
    </row>
    <row r="21" spans="2:7">
      <c r="B21" s="12" t="str">
        <f>IF('PathStage-ConceptMap-1'!S17=0,"//---END",'PathStage-ConceptMap-1'!S17)</f>
        <v>* group[=].element[=].target.code = #Observation.</v>
      </c>
    </row>
    <row r="22" spans="2:7">
      <c r="B22" s="12" t="str">
        <f>IF('PathStage-ConceptMap-1'!S18=0,"//---END",'PathStage-ConceptMap-1'!S18)</f>
        <v>* group[=].element[=].target.display = ##34###34#</v>
      </c>
    </row>
    <row r="23" spans="2:7">
      <c r="B23" s="12" t="str">
        <f>IF('PathStage-ConceptMap-1'!S19=0,"//---END",'PathStage-ConceptMap-1'!S19)</f>
        <v>* group[=].element[=].target.equivalence = #relatedto</v>
      </c>
    </row>
    <row r="24" spans="2:7">
      <c r="B24" s="12" t="str">
        <f>IF('PathStage-ConceptMap-1'!S20=0,"//---END",'PathStage-ConceptMap-1'!S20)</f>
        <v>* group[=].element[=].target.comment = ##34#Condition.stage.assessment##34#</v>
      </c>
      <c r="G24" s="7"/>
    </row>
    <row r="25" spans="2:7">
      <c r="B25" s="12" t="str">
        <f>IF('PathStage-ConceptMap-1'!S21=0,"//---END",'PathStage-ConceptMap-1'!S21)</f>
        <v>* group[=].element[+].code = #PathologicalStage.pT</v>
      </c>
    </row>
    <row r="26" spans="2:7">
      <c r="B26" s="12" t="str">
        <f>IF('PathStage-ConceptMap-1'!S22=0,"//---END",'PathStage-ConceptMap-1'!S22)</f>
        <v>* group[=].element[=].display = ##34#pT##34#</v>
      </c>
    </row>
    <row r="27" spans="2:7">
      <c r="B27" s="12" t="str">
        <f>IF('PathStage-ConceptMap-1'!S23=0,"//---END",'PathStage-ConceptMap-1'!S23)</f>
        <v>* group[=].element[=].target.code = #Observation.hasMember:tnmPrimaryTumorCategory</v>
      </c>
    </row>
    <row r="28" spans="2:7">
      <c r="B28" s="12" t="str">
        <f>IF('PathStage-ConceptMap-1'!S24=0,"//---END",'PathStage-ConceptMap-1'!S24)</f>
        <v>* group[=].element[=].target.display = ##34###34#</v>
      </c>
    </row>
    <row r="29" spans="2:7">
      <c r="B29" s="12" t="str">
        <f>IF('PathStage-ConceptMap-1'!S25=0,"//---END",'PathStage-ConceptMap-1'!S25)</f>
        <v>* group[=].element[=].target.equivalence = #relatedto</v>
      </c>
    </row>
    <row r="30" spans="2:7">
      <c r="B30" s="12" t="str">
        <f>IF('PathStage-ConceptMap-1'!S26=0,"//---END",'PathStage-ConceptMap-1'!S26)</f>
        <v>* group[=].element[=].target.comment = ##34#where code = 21902-2	 'Stage group.pathology'##34#</v>
      </c>
    </row>
    <row r="31" spans="2:7">
      <c r="B31" s="12" t="str">
        <f>IF('PathStage-ConceptMap-1'!S27=0,"//---END",'PathStage-ConceptMap-1'!S27)</f>
        <v>* group[=].element[+].code = #PathologicalStage.pN</v>
      </c>
    </row>
    <row r="32" spans="2:7">
      <c r="B32" s="12" t="str">
        <f>IF('PathStage-ConceptMap-1'!S28=0,"//---END",'PathStage-ConceptMap-1'!S28)</f>
        <v>* group[=].element[=].display = ##34#pN##34#</v>
      </c>
    </row>
    <row r="33" spans="2:2">
      <c r="B33" s="12" t="str">
        <f>IF('PathStage-ConceptMap-1'!S29=0,"//---END",'PathStage-ConceptMap-1'!S29)</f>
        <v>* group[=].element[=].target.code = #Observation.hasMember:tnmRegionalNodesCategory</v>
      </c>
    </row>
    <row r="34" spans="2:2">
      <c r="B34" s="12" t="str">
        <f>IF('PathStage-ConceptMap-1'!S30=0,"//---END",'PathStage-ConceptMap-1'!S30)</f>
        <v>* group[=].element[=].target.display = ##34###34#</v>
      </c>
    </row>
    <row r="35" spans="2:2">
      <c r="B35" s="12" t="str">
        <f>IF('PathStage-ConceptMap-1'!S31=0,"//---END",'PathStage-ConceptMap-1'!S31)</f>
        <v>* group[=].element[=].target.equivalence = #relatedto</v>
      </c>
    </row>
    <row r="36" spans="2:2">
      <c r="B36" s="12" t="str">
        <f>IF('PathStage-ConceptMap-1'!S32=0,"//---END",'PathStage-ConceptMap-1'!S32)</f>
        <v>* group[=].element[=].target.comment = ##34#where code = 21902-2	 'Stage group.pathology'##34#</v>
      </c>
    </row>
    <row r="37" spans="2:2">
      <c r="B37" s="12" t="str">
        <f>IF('PathStage-ConceptMap-1'!S33=0,"//---END",'PathStage-ConceptMap-1'!S33)</f>
        <v>* group[=].element[+].code = #PathologicalStage.pM</v>
      </c>
    </row>
    <row r="38" spans="2:2">
      <c r="B38" s="12" t="str">
        <f>IF('PathStage-ConceptMap-1'!S34=0,"//---END",'PathStage-ConceptMap-1'!S34)</f>
        <v>* group[=].element[=].display = ##34#pM##34#</v>
      </c>
    </row>
    <row r="39" spans="2:2">
      <c r="B39" s="12" t="str">
        <f>IF('PathStage-ConceptMap-1'!S35=0,"//---END",'PathStage-ConceptMap-1'!S35)</f>
        <v>* group[=].element[=].target.code = #Observation.hasMember:tnmDistantMetastasesCategory</v>
      </c>
    </row>
    <row r="40" spans="2:2">
      <c r="B40" s="12" t="str">
        <f>IF('PathStage-ConceptMap-1'!S36=0,"//---END",'PathStage-ConceptMap-1'!S36)</f>
        <v>* group[=].element[=].target.display = ##34###34#</v>
      </c>
    </row>
    <row r="41" spans="2:2">
      <c r="B41" s="12" t="str">
        <f>IF('PathStage-ConceptMap-1'!S37=0,"//---END",'PathStage-ConceptMap-1'!S37)</f>
        <v>* group[=].element[=].target.equivalence = #equal</v>
      </c>
    </row>
    <row r="42" spans="2:2">
      <c r="B42" s="12" t="str">
        <f>IF('PathStage-ConceptMap-1'!S38=0,"//---END",'PathStage-ConceptMap-1'!S38)</f>
        <v>* group[=].element[=].target.comment = ##34#where code = 21902-2	 'Stage group.pathology'##34#</v>
      </c>
    </row>
    <row r="43" spans="2:2">
      <c r="B43" s="12" t="str">
        <f>IF('PathStage-ConceptMap-1'!S39=0,"//---END",'PathStage-ConceptMap-1'!S39)</f>
        <v>* group[=].element[+].code = #PathologicalStage.extranodalExtension</v>
      </c>
    </row>
    <row r="44" spans="2:2">
      <c r="B44" s="12" t="str">
        <f>IF('PathStage-ConceptMap-1'!S40=0,"//---END",'PathStage-ConceptMap-1'!S40)</f>
        <v>* group[=].element[=].display = ##34#Extranodal extension (ENE)##34#</v>
      </c>
    </row>
    <row r="45" spans="2:2">
      <c r="B45" s="12" t="str">
        <f>IF('PathStage-ConceptMap-1'!S41=0,"//---END",'PathStage-ConceptMap-1'!S41)</f>
        <v>* group[=].element[=].target.code = #Observation.</v>
      </c>
    </row>
    <row r="46" spans="2:2">
      <c r="B46" s="12" t="str">
        <f>IF('PathStage-ConceptMap-1'!S42=0,"//---END",'PathStage-ConceptMap-1'!S42)</f>
        <v>* group[=].element[=].target.display = ##34###34#</v>
      </c>
    </row>
    <row r="47" spans="2:2">
      <c r="B47" s="12" t="str">
        <f>IF('PathStage-ConceptMap-1'!S43=0,"//---END",'PathStage-ConceptMap-1'!S43)</f>
        <v>* group[=].element[=].target.equivalence = #relatedto</v>
      </c>
    </row>
    <row r="48" spans="2:2">
      <c r="B48" s="12" t="str">
        <f>IF('PathStage-ConceptMap-1'!S44=0,"//---END",'PathStage-ConceptMap-1'!S44)</f>
        <v>* group[=].element[=].target.comment = ##34#CLARIFY MAPPING##34#</v>
      </c>
    </row>
    <row r="49" spans="2:2">
      <c r="B49" s="12" t="str">
        <f>IF('PathStage-ConceptMap-1'!S45=0,"//---END",'PathStage-ConceptMap-1'!S45)</f>
        <v>* group[=].element[+].code = #PathologicalStage.extranodalExtent</v>
      </c>
    </row>
    <row r="50" spans="2:2">
      <c r="B50" s="12" t="str">
        <f>IF('PathStage-ConceptMap-1'!S46=0,"//---END",'PathStage-ConceptMap-1'!S46)</f>
        <v>* group[=].element[=].display = ##34#Extranodal Extent##34#</v>
      </c>
    </row>
    <row r="51" spans="2:2">
      <c r="B51" s="12" t="str">
        <f>IF('PathStage-ConceptMap-1'!S47=0,"//---END",'PathStage-ConceptMap-1'!S47)</f>
        <v>* group[=].element[=].target.code = #Observation.</v>
      </c>
    </row>
    <row r="52" spans="2:2">
      <c r="B52" s="12" t="str">
        <f>IF('PathStage-ConceptMap-1'!S48=0,"//---END",'PathStage-ConceptMap-1'!S48)</f>
        <v>* group[=].element[=].target.display = ##34###34#</v>
      </c>
    </row>
    <row r="53" spans="2:2">
      <c r="B53" s="12" t="str">
        <f>IF('PathStage-ConceptMap-1'!S49=0,"//---END",'PathStage-ConceptMap-1'!S49)</f>
        <v>* group[=].element[=].target.equivalence = #relatedto</v>
      </c>
    </row>
    <row r="54" spans="2:2">
      <c r="B54" s="12" t="str">
        <f>IF('PathStage-ConceptMap-1'!S50=0,"//---END",'PathStage-ConceptMap-1'!S50)</f>
        <v>* group[=].element[=].target.comment = ##34#CLARIFY MAPPING##34#</v>
      </c>
    </row>
    <row r="55" spans="2:2">
      <c r="B55" s="12" t="str">
        <f>IF('PathStage-ConceptMap-1'!S51=0,"//---END",'PathStage-ConceptMap-1'!S51)</f>
        <v>* group[=].element[+].code = #PathologicalStage.sentinelNode</v>
      </c>
    </row>
    <row r="56" spans="2:2">
      <c r="B56" s="12" t="str">
        <f>IF('PathStage-ConceptMap-1'!S52=0,"//---END",'PathStage-ConceptMap-1'!S52)</f>
        <v>* group[=].element[=].display = ##34#Sentinel node##34#</v>
      </c>
    </row>
    <row r="57" spans="2:2">
      <c r="B57" s="12" t="str">
        <f>IF('PathStage-ConceptMap-1'!S53=0,"//---END",'PathStage-ConceptMap-1'!S53)</f>
        <v>* group[=].element[=].target.code = #Observation.</v>
      </c>
    </row>
    <row r="58" spans="2:2">
      <c r="B58" s="12" t="str">
        <f>IF('PathStage-ConceptMap-1'!S54=0,"//---END",'PathStage-ConceptMap-1'!S54)</f>
        <v>* group[=].element[=].target.display = ##34###34#</v>
      </c>
    </row>
    <row r="59" spans="2:2">
      <c r="B59" s="12" t="str">
        <f>IF('PathStage-ConceptMap-1'!S55=0,"//---END",'PathStage-ConceptMap-1'!S55)</f>
        <v>* group[=].element[=].target.equivalence = #relatedto</v>
      </c>
    </row>
    <row r="60" spans="2:2">
      <c r="B60" s="12" t="str">
        <f>IF('PathStage-ConceptMap-1'!S56=0,"//---END",'PathStage-ConceptMap-1'!S56)</f>
        <v>* group[=].element[=].target.comment = ##34#CLARIFY MAPPING##34#</v>
      </c>
    </row>
    <row r="61" spans="2:2">
      <c r="B61" s="12" t="str">
        <f>IF('PathStage-ConceptMap-1'!S57=0,"//---END",'PathStage-ConceptMap-1'!S57)</f>
        <v>* group[=].element[+].code = #PathologicalStage.neckDissection</v>
      </c>
    </row>
    <row r="62" spans="2:2">
      <c r="B62" s="12" t="str">
        <f>IF('PathStage-ConceptMap-1'!S58=0,"//---END",'PathStage-ConceptMap-1'!S58)</f>
        <v>* group[=].element[=].display = ##34#Neck dissection##34#</v>
      </c>
    </row>
    <row r="63" spans="2:2">
      <c r="B63" s="12" t="str">
        <f>IF('PathStage-ConceptMap-1'!S59=0,"//---END",'PathStage-ConceptMap-1'!S59)</f>
        <v>* group[=].element[=].target.code = #Observation.</v>
      </c>
    </row>
    <row r="64" spans="2:2">
      <c r="B64" s="12" t="str">
        <f>IF('PathStage-ConceptMap-1'!S60=0,"//---END",'PathStage-ConceptMap-1'!S60)</f>
        <v>* group[=].element[=].target.display = ##34###34#</v>
      </c>
    </row>
    <row r="65" spans="2:2">
      <c r="B65" s="12" t="str">
        <f>IF('PathStage-ConceptMap-1'!S61=0,"//---END",'PathStage-ConceptMap-1'!S61)</f>
        <v>* group[=].element[=].target.equivalence = #relatedto</v>
      </c>
    </row>
    <row r="66" spans="2:2">
      <c r="B66" s="12" t="str">
        <f>IF('PathStage-ConceptMap-1'!S62=0,"//---END",'PathStage-ConceptMap-1'!S62)</f>
        <v>* group[=].element[=].target.comment = ##34#CLARIFY MAPPING##34#</v>
      </c>
    </row>
    <row r="67" spans="2:2">
      <c r="B67" s="12" t="str">
        <f>IF('PathStage-ConceptMap-1'!S63=0,"//---END",'PathStage-ConceptMap-1'!S63)</f>
        <v>* group[=].element[+].code = #PathologicalStage.pathologicalStaging</v>
      </c>
    </row>
    <row r="68" spans="2:2">
      <c r="B68" s="12" t="str">
        <f>IF('PathStage-ConceptMap-1'!S64=0,"//---END",'PathStage-ConceptMap-1'!S64)</f>
        <v>* group[=].element[=].display = ##34#Pathological staging##34#</v>
      </c>
    </row>
    <row r="69" spans="2:2">
      <c r="B69" s="12" t="str">
        <f>IF('PathStage-ConceptMap-1'!S65=0,"//---END",'PathStage-ConceptMap-1'!S65)</f>
        <v>* group[=].element[=].target.code = #Observation.valueCodeableConcept</v>
      </c>
    </row>
    <row r="70" spans="2:2">
      <c r="B70" s="12" t="str">
        <f>IF('PathStage-ConceptMap-1'!S66=0,"//---END",'PathStage-ConceptMap-1'!S66)</f>
        <v>* group[=].element[=].target.display = ##34###34#</v>
      </c>
    </row>
    <row r="71" spans="2:2">
      <c r="B71" s="12" t="str">
        <f>IF('PathStage-ConceptMap-1'!S67=0,"//---END",'PathStage-ConceptMap-1'!S67)</f>
        <v>* group[=].element[=].target.equivalence = #relatedto</v>
      </c>
    </row>
    <row r="72" spans="2:2">
      <c r="B72" s="12" t="str">
        <f>IF('PathStage-ConceptMap-1'!S68=0,"//---END",'PathStage-ConceptMap-1'!S68)</f>
        <v>* group[=].element[=].target.comment = ##34#where code = 21902-2	 'Stage group.pathology'##34#</v>
      </c>
    </row>
    <row r="73" spans="2:2">
      <c r="B73" s="12" t="str">
        <f>IF('PathStage-ConceptMap-1'!S69=0,"//---END",'PathStage-ConceptMap-1'!S69)</f>
        <v>* group[=].element[+].code = #PathologicalStage.ajccEdition</v>
      </c>
    </row>
    <row r="74" spans="2:2">
      <c r="B74" s="12" t="str">
        <f>IF('PathStage-ConceptMap-1'!S70=0,"//---END",'PathStage-ConceptMap-1'!S70)</f>
        <v>* group[=].element[=].display = ##34#Ajcc edition##34#</v>
      </c>
    </row>
    <row r="75" spans="2:2">
      <c r="B75" s="12" t="str">
        <f>IF('PathStage-ConceptMap-1'!S71=0,"//---END",'PathStage-ConceptMap-1'!S71)</f>
        <v>* group[=].element[=].target.code = #Observation.valueCodeableConcept.coding.system</v>
      </c>
    </row>
    <row r="76" spans="2:2">
      <c r="B76" s="12" t="str">
        <f>IF('PathStage-ConceptMap-1'!S72=0,"//---END",'PathStage-ConceptMap-1'!S72)</f>
        <v>* group[=].element[=].target.display = ##34###34#</v>
      </c>
    </row>
    <row r="77" spans="2:2">
      <c r="B77" s="12" t="str">
        <f>IF('PathStage-ConceptMap-1'!S73=0,"//---END",'PathStage-ConceptMap-1'!S73)</f>
        <v>* group[=].element[=].target.equivalence = #relatedto</v>
      </c>
    </row>
    <row r="78" spans="2:2" ht="29.5">
      <c r="B78" s="12" t="str">
        <f>IF('PathStage-ConceptMap-1'!S74=0,"//---END",'PathStage-ConceptMap-1'!S74)</f>
        <v>* group[=].element[=].target.comment = ##34#where code = 21902-2	 'Stage group.pathology'
a code system version can be specifed as part of the system##34#</v>
      </c>
    </row>
    <row r="79" spans="2:2">
      <c r="B79" s="12" t="str">
        <f>IF('PathStage-ConceptMap-1'!S75=0,"//---END",'PathStage-ConceptMap-1'!S75)</f>
        <v>* group[=].element[+].code = #PathologicalStage.softTissue</v>
      </c>
    </row>
    <row r="80" spans="2:2">
      <c r="B80" s="12" t="str">
        <f>IF('PathStage-ConceptMap-1'!S76=0,"//---END",'PathStage-ConceptMap-1'!S76)</f>
        <v>* group[=].element[=].display = ##34#Soft Tissue##34#</v>
      </c>
    </row>
    <row r="81" spans="2:2">
      <c r="B81" s="12" t="str">
        <f>IF('PathStage-ConceptMap-1'!S77=0,"//---END",'PathStage-ConceptMap-1'!S77)</f>
        <v>* group[=].element[=].target.code = #Observation.</v>
      </c>
    </row>
    <row r="82" spans="2:2">
      <c r="B82" s="12" t="str">
        <f>IF('PathStage-ConceptMap-1'!S78=0,"//---END",'PathStage-ConceptMap-1'!S78)</f>
        <v>* group[=].element[=].target.display = ##34###34#</v>
      </c>
    </row>
    <row r="83" spans="2:2">
      <c r="B83" s="12" t="str">
        <f>IF('PathStage-ConceptMap-1'!S79=0,"//---END",'PathStage-ConceptMap-1'!S79)</f>
        <v>* group[=].element[=].target.equivalence = #relatedto</v>
      </c>
    </row>
    <row r="84" spans="2:2">
      <c r="B84" s="12" t="str">
        <f>IF('PathStage-ConceptMap-1'!S80=0,"//---END",'PathStage-ConceptMap-1'!S80)</f>
        <v>* group[=].element[=].target.comment = ##34#CLARIFY HOW THIS DIFFERS FROM THE EQUIVALENT DATA IN EPISODE EVENT##34#</v>
      </c>
    </row>
    <row r="85" spans="2:2">
      <c r="B85" s="12" t="str">
        <f>IF('PathStage-ConceptMap-1'!S81=0,"//---END",'PathStage-ConceptMap-1'!S81)</f>
        <v>* group[=].element[+].code = #PathologicalStage.distantLymphNode</v>
      </c>
    </row>
    <row r="86" spans="2:2">
      <c r="B86" s="12" t="str">
        <f>IF('PathStage-ConceptMap-1'!S82=0,"//---END",'PathStage-ConceptMap-1'!S82)</f>
        <v>* group[=].element[=].display = ##34#distant lymph node##34#</v>
      </c>
    </row>
    <row r="87" spans="2:2">
      <c r="B87" s="12" t="str">
        <f>IF('PathStage-ConceptMap-1'!S83=0,"//---END",'PathStage-ConceptMap-1'!S83)</f>
        <v>* group[=].element[=].target.code = #Observation.</v>
      </c>
    </row>
    <row r="88" spans="2:2">
      <c r="B88" s="12" t="str">
        <f>IF('PathStage-ConceptMap-1'!S84=0,"//---END",'PathStage-ConceptMap-1'!S84)</f>
        <v>* group[=].element[=].target.display = ##34###34#</v>
      </c>
    </row>
    <row r="89" spans="2:2">
      <c r="B89" s="12" t="str">
        <f>IF('PathStage-ConceptMap-1'!S85=0,"//---END",'PathStage-ConceptMap-1'!S85)</f>
        <v>* group[=].element[=].target.equivalence = #relatedto</v>
      </c>
    </row>
    <row r="90" spans="2:2">
      <c r="B90" s="12" t="str">
        <f>IF('PathStage-ConceptMap-1'!S86=0,"//---END",'PathStage-ConceptMap-1'!S86)</f>
        <v>* group[=].element[=].target.comment = ##34#CLARIFY HOW THIS DIFFERS FROM THE EQUIVALENT DATA IN EPISODE EVENT##34#</v>
      </c>
    </row>
    <row r="91" spans="2:2">
      <c r="B91" s="12" t="str">
        <f>IF('PathStage-ConceptMap-1'!S87=0,"//---END",'PathStage-ConceptMap-1'!S87)</f>
        <v>* group[=].element[+].code = #PathologicalStage.lung</v>
      </c>
    </row>
    <row r="92" spans="2:2">
      <c r="B92" s="12" t="str">
        <f>IF('PathStage-ConceptMap-1'!S88=0,"//---END",'PathStage-ConceptMap-1'!S88)</f>
        <v>* group[=].element[=].display = ##34#lung##34#</v>
      </c>
    </row>
    <row r="93" spans="2:2">
      <c r="B93" s="12" t="str">
        <f>IF('PathStage-ConceptMap-1'!S89=0,"//---END",'PathStage-ConceptMap-1'!S89)</f>
        <v>* group[=].element[=].target.code = #Observation.</v>
      </c>
    </row>
    <row r="94" spans="2:2">
      <c r="B94" s="12" t="str">
        <f>IF('PathStage-ConceptMap-1'!S90=0,"//---END",'PathStage-ConceptMap-1'!S90)</f>
        <v>* group[=].element[=].target.display = ##34###34#</v>
      </c>
    </row>
    <row r="95" spans="2:2">
      <c r="B95" s="12" t="str">
        <f>IF('PathStage-ConceptMap-1'!S91=0,"//---END",'PathStage-ConceptMap-1'!S91)</f>
        <v>* group[=].element[=].target.equivalence = #relatedto</v>
      </c>
    </row>
    <row r="96" spans="2:2">
      <c r="B96" s="12" t="str">
        <f>IF('PathStage-ConceptMap-1'!S92=0,"//---END",'PathStage-ConceptMap-1'!S92)</f>
        <v>* group[=].element[=].target.comment = ##34#CLARIFY HOW THIS DIFFERS FROM THE EQUIVALENT DATA IN EPISODE EVENT##34#</v>
      </c>
    </row>
    <row r="97" spans="2:2">
      <c r="B97" s="12" t="str">
        <f>IF('PathStage-ConceptMap-1'!S93=0,"//---END",'PathStage-ConceptMap-1'!S93)</f>
        <v>* group[=].element[+].code = #PathologicalStage.bone</v>
      </c>
    </row>
    <row r="98" spans="2:2">
      <c r="B98" s="12" t="str">
        <f>IF('PathStage-ConceptMap-1'!S94=0,"//---END",'PathStage-ConceptMap-1'!S94)</f>
        <v>* group[=].element[=].display = ##34#bone##34#</v>
      </c>
    </row>
    <row r="99" spans="2:2">
      <c r="B99" s="12" t="str">
        <f>IF('PathStage-ConceptMap-1'!S95=0,"//---END",'PathStage-ConceptMap-1'!S95)</f>
        <v>* group[=].element[=].target.code = #Observation.</v>
      </c>
    </row>
    <row r="100" spans="2:2">
      <c r="B100" s="12" t="str">
        <f>IF('PathStage-ConceptMap-1'!S96=0,"//---END",'PathStage-ConceptMap-1'!S96)</f>
        <v>* group[=].element[=].target.display = ##34###34#</v>
      </c>
    </row>
    <row r="101" spans="2:2">
      <c r="B101" s="12" t="str">
        <f>IF('PathStage-ConceptMap-1'!S97=0,"//---END",'PathStage-ConceptMap-1'!S97)</f>
        <v>* group[=].element[=].target.equivalence = #relatedto</v>
      </c>
    </row>
    <row r="102" spans="2:2">
      <c r="B102" s="12" t="str">
        <f>IF('PathStage-ConceptMap-1'!S98=0,"//---END",'PathStage-ConceptMap-1'!S98)</f>
        <v>* group[=].element[=].target.comment = ##34#CLARIFY HOW THIS DIFFERS FROM THE EQUIVALENT DATA IN EPISODE EVENT##34#</v>
      </c>
    </row>
    <row r="103" spans="2:2">
      <c r="B103" s="12" t="str">
        <f>IF('PathStage-ConceptMap-1'!S99=0,"//---END",'PathStage-ConceptMap-1'!S99)</f>
        <v>* group[=].element[+].code = #PathologicalStage.liver</v>
      </c>
    </row>
    <row r="104" spans="2:2">
      <c r="B104" s="12" t="str">
        <f>IF('PathStage-ConceptMap-1'!S100=0,"//---END",'PathStage-ConceptMap-1'!S100)</f>
        <v>* group[=].element[=].display = ##34#liver##34#</v>
      </c>
    </row>
    <row r="105" spans="2:2">
      <c r="B105" s="12" t="str">
        <f>IF('PathStage-ConceptMap-1'!S101=0,"//---END",'PathStage-ConceptMap-1'!S101)</f>
        <v>* group[=].element[=].target.code = #Observation.</v>
      </c>
    </row>
    <row r="106" spans="2:2">
      <c r="B106" s="12" t="str">
        <f>IF('PathStage-ConceptMap-1'!S102=0,"//---END",'PathStage-ConceptMap-1'!S102)</f>
        <v>* group[=].element[=].target.display = ##34###34#</v>
      </c>
    </row>
    <row r="107" spans="2:2">
      <c r="B107" s="12" t="str">
        <f>IF('PathStage-ConceptMap-1'!S103=0,"//---END",'PathStage-ConceptMap-1'!S103)</f>
        <v>* group[=].element[=].target.equivalence = #relatedto</v>
      </c>
    </row>
    <row r="108" spans="2:2">
      <c r="B108" s="12" t="str">
        <f>IF('PathStage-ConceptMap-1'!S104=0,"//---END",'PathStage-ConceptMap-1'!S104)</f>
        <v>* group[=].element[=].target.comment = ##34#CLARIFY HOW THIS DIFFERS FROM THE EQUIVALENT DATA IN EPISODE EVENT##34#</v>
      </c>
    </row>
    <row r="109" spans="2:2">
      <c r="B109" s="12" t="str">
        <f>IF('PathStage-ConceptMap-1'!S105=0,"//---END",'PathStage-ConceptMap-1'!S105)</f>
        <v>* group[=].element[+].code = #PathologicalStage.pleura</v>
      </c>
    </row>
    <row r="110" spans="2:2">
      <c r="B110" s="12" t="str">
        <f>IF('PathStage-ConceptMap-1'!S106=0,"//---END",'PathStage-ConceptMap-1'!S106)</f>
        <v>* group[=].element[=].display = ##34#pleura##34#</v>
      </c>
    </row>
    <row r="111" spans="2:2">
      <c r="B111" s="12" t="str">
        <f>IF('PathStage-ConceptMap-1'!S107=0,"//---END",'PathStage-ConceptMap-1'!S107)</f>
        <v>* group[=].element[=].target.code = #Observation.</v>
      </c>
    </row>
    <row r="112" spans="2:2">
      <c r="B112" s="12" t="str">
        <f>IF('PathStage-ConceptMap-1'!S108=0,"//---END",'PathStage-ConceptMap-1'!S108)</f>
        <v>* group[=].element[=].target.display = ##34###34#</v>
      </c>
    </row>
    <row r="113" spans="2:2">
      <c r="B113" s="12" t="str">
        <f>IF('PathStage-ConceptMap-1'!S109=0,"//---END",'PathStage-ConceptMap-1'!S109)</f>
        <v>* group[=].element[=].target.equivalence = #relatedto</v>
      </c>
    </row>
    <row r="114" spans="2:2">
      <c r="B114" s="12" t="str">
        <f>IF('PathStage-ConceptMap-1'!S110=0,"//---END",'PathStage-ConceptMap-1'!S110)</f>
        <v>* group[=].element[=].target.comment = ##34#CLARIFY HOW THIS DIFFERS FROM THE EQUIVALENT DATA IN EPISODE EVENT##34#</v>
      </c>
    </row>
    <row r="115" spans="2:2">
      <c r="B115" s="12" t="str">
        <f>IF('PathStage-ConceptMap-1'!S111=0,"//---END",'PathStage-ConceptMap-1'!S111)</f>
        <v>* group[=].element[+].code = #PathologicalStage.peritoneum</v>
      </c>
    </row>
    <row r="116" spans="2:2">
      <c r="B116" s="12" t="str">
        <f>IF('PathStage-ConceptMap-1'!S112=0,"//---END",'PathStage-ConceptMap-1'!S112)</f>
        <v>* group[=].element[=].display = ##34#peritoneum##34#</v>
      </c>
    </row>
    <row r="117" spans="2:2">
      <c r="B117" s="12" t="str">
        <f>IF('PathStage-ConceptMap-1'!S113=0,"//---END",'PathStage-ConceptMap-1'!S113)</f>
        <v>* group[=].element[=].target.code = #Observation.</v>
      </c>
    </row>
    <row r="118" spans="2:2">
      <c r="B118" s="12" t="str">
        <f>IF('PathStage-ConceptMap-1'!S114=0,"//---END",'PathStage-ConceptMap-1'!S114)</f>
        <v>* group[=].element[=].target.display = ##34###34#</v>
      </c>
    </row>
    <row r="119" spans="2:2">
      <c r="B119" s="12" t="str">
        <f>IF('PathStage-ConceptMap-1'!S115=0,"//---END",'PathStage-ConceptMap-1'!S115)</f>
        <v>* group[=].element[=].target.equivalence = #relatedto</v>
      </c>
    </row>
    <row r="120" spans="2:2">
      <c r="B120" s="12" t="str">
        <f>IF('PathStage-ConceptMap-1'!S116=0,"//---END",'PathStage-ConceptMap-1'!S116)</f>
        <v>* group[=].element[=].target.comment = ##34#CLARIFY HOW THIS DIFFERS FROM THE EQUIVALENT DATA IN EPISODE EVENT##34#</v>
      </c>
    </row>
    <row r="121" spans="2:2">
      <c r="B121" s="12" t="str">
        <f>IF('PathStage-ConceptMap-1'!S117=0,"//---END",'PathStage-ConceptMap-1'!S117)</f>
        <v>* group[=].element[+].code = #PathologicalStage.brain</v>
      </c>
    </row>
    <row r="122" spans="2:2">
      <c r="B122" s="12" t="str">
        <f>IF('PathStage-ConceptMap-1'!S118=0,"//---END",'PathStage-ConceptMap-1'!S118)</f>
        <v>* group[=].element[=].display = ##34#brain##34#</v>
      </c>
    </row>
    <row r="123" spans="2:2">
      <c r="B123" s="12" t="str">
        <f>IF('PathStage-ConceptMap-1'!S119=0,"//---END",'PathStage-ConceptMap-1'!S119)</f>
        <v>* group[=].element[=].target.code = #Observation.</v>
      </c>
    </row>
    <row r="124" spans="2:2">
      <c r="B124" s="12" t="str">
        <f>IF('PathStage-ConceptMap-1'!S120=0,"//---END",'PathStage-ConceptMap-1'!S120)</f>
        <v>* group[=].element[=].target.display = ##34###34#</v>
      </c>
    </row>
    <row r="125" spans="2:2">
      <c r="B125" s="12" t="str">
        <f>IF('PathStage-ConceptMap-1'!S121=0,"//---END",'PathStage-ConceptMap-1'!S121)</f>
        <v>* group[=].element[=].target.equivalence = #relatedto</v>
      </c>
    </row>
    <row r="126" spans="2:2">
      <c r="B126" s="12" t="str">
        <f>IF('PathStage-ConceptMap-1'!S122=0,"//---END",'PathStage-ConceptMap-1'!S122)</f>
        <v>* group[=].element[=].target.comment = ##34#CLARIFY HOW THIS DIFFERS FROM THE EQUIVALENT DATA IN EPISODE EVENT##34#</v>
      </c>
    </row>
    <row r="127" spans="2:2">
      <c r="B127" s="12" t="str">
        <f>IF('PathStage-ConceptMap-1'!S123=0,"//---END",'PathStage-ConceptMap-1'!S123)</f>
        <v>* group[=].element[+].code = #PathologicalStage.otherViscera</v>
      </c>
    </row>
    <row r="128" spans="2:2">
      <c r="B128" s="12" t="str">
        <f>IF('PathStage-ConceptMap-1'!S124=0,"//---END",'PathStage-ConceptMap-1'!S124)</f>
        <v>* group[=].element[=].display = ##34#other viscera##34#</v>
      </c>
    </row>
    <row r="129" spans="2:2">
      <c r="B129" s="12" t="str">
        <f>IF('PathStage-ConceptMap-1'!S125=0,"//---END",'PathStage-ConceptMap-1'!S125)</f>
        <v>* group[=].element[=].target.code = #Observation.</v>
      </c>
    </row>
    <row r="130" spans="2:2">
      <c r="B130" s="12" t="str">
        <f>IF('PathStage-ConceptMap-1'!S126=0,"//---END",'PathStage-ConceptMap-1'!S126)</f>
        <v>* group[=].element[=].target.display = ##34###34#</v>
      </c>
    </row>
    <row r="131" spans="2:2">
      <c r="B131" s="12" t="str">
        <f>IF('PathStage-ConceptMap-1'!S127=0,"//---END",'PathStage-ConceptMap-1'!S127)</f>
        <v>* group[=].element[=].target.equivalence = #relatedto</v>
      </c>
    </row>
    <row r="132" spans="2:2">
      <c r="B132" s="12" t="str">
        <f>IF('PathStage-ConceptMap-1'!S128=0,"//---END",'PathStage-ConceptMap-1'!S128)</f>
        <v>* group[=].element[=].target.comment = ##34#CLARIFY HOW THIS DIFFERS FROM THE EQUIVALENT DATA IN EPISODE EVENT##34#</v>
      </c>
    </row>
    <row r="133" spans="2:2">
      <c r="B133" s="12" t="str">
        <f>IF('PathStage-ConceptMap-1'!S129=0,"//---END",'PathStage-ConceptMap-1'!S129)</f>
        <v>* group[=].element[+].code = #PathologicalStage.unknown</v>
      </c>
    </row>
    <row r="134" spans="2:2">
      <c r="B134" s="12" t="str">
        <f>IF('PathStage-ConceptMap-1'!S130=0,"//---END",'PathStage-ConceptMap-1'!S130)</f>
        <v>* group[=].element[=].display = ##34#unknown##34#</v>
      </c>
    </row>
    <row r="135" spans="2:2">
      <c r="B135" s="12" t="str">
        <f>IF('PathStage-ConceptMap-1'!S131=0,"//---END",'PathStage-ConceptMap-1'!S131)</f>
        <v>* group[=].element[=].target.code = #Observation.</v>
      </c>
    </row>
    <row r="136" spans="2:2">
      <c r="B136" s="12" t="str">
        <f>IF('PathStage-ConceptMap-1'!S132=0,"//---END",'PathStage-ConceptMap-1'!S132)</f>
        <v>* group[=].element[=].target.display = ##34###34#</v>
      </c>
    </row>
    <row r="137" spans="2:2">
      <c r="B137" s="12" t="str">
        <f>IF('PathStage-ConceptMap-1'!S133=0,"//---END",'PathStage-ConceptMap-1'!S133)</f>
        <v>* group[=].element[=].target.equivalence = #relatedto</v>
      </c>
    </row>
    <row r="138" spans="2:2">
      <c r="B138" s="12" t="str">
        <f>IF('PathStage-ConceptMap-1'!S134=0,"//---END",'PathStage-ConceptMap-1'!S134)</f>
        <v>* group[=].element[=].target.comment = ##34#CLARIFY HOW THIS DIFFERS FROM THE EQUIVALENT DATA IN EPISODE EVENT##34#</v>
      </c>
    </row>
    <row r="139" spans="2:2">
      <c r="B139" s="12" t="str">
        <f>IF('PathStage-ConceptMap-1'!S135=0,"//---END",'PathStage-ConceptMap-1'!S135)</f>
        <v>//---END</v>
      </c>
    </row>
    <row r="140" spans="2:2">
      <c r="B140" s="12" t="str">
        <f>IF('PathStage-ConceptMap-1'!S136=0,"//---END",'PathStage-ConceptMap-1'!S136)</f>
        <v>//---END</v>
      </c>
    </row>
    <row r="141" spans="2:2">
      <c r="B141" s="12" t="str">
        <f>IF('PathStage-ConceptMap-1'!S137=0,"//---END",'PathStage-ConceptMap-1'!S137)</f>
        <v>//---END</v>
      </c>
    </row>
    <row r="142" spans="2:2">
      <c r="B142" s="12"/>
    </row>
    <row r="143" spans="2:2">
      <c r="B143" s="12"/>
    </row>
    <row r="144" spans="2:2">
      <c r="B144" s="12"/>
    </row>
    <row r="145" spans="2:2">
      <c r="B145" s="12"/>
    </row>
    <row r="146" spans="2:2">
      <c r="B146" s="12"/>
    </row>
    <row r="148" spans="2:2">
      <c r="B148" s="131"/>
    </row>
    <row r="149" spans="2:2">
      <c r="B149" s="68" t="str">
        <f>"* group[+].source = ##34#"&amp;'PathStage-ConceptMap-2'!E6&amp;"##34#"</f>
        <v>* group[+].source = ##34#http://hl7.eu/fhir/ig/idea4rc/StructureDefinition/ClinicalStage##34#</v>
      </c>
    </row>
    <row r="150" spans="2:2">
      <c r="B150" s="132" t="str">
        <f>"* group[=].target = ##34#"&amp;'PathStage-ConceptMap-2'!E7&amp;"##34#"</f>
        <v>* group[=].target = ##34#http://hl7.eu/fhir/ig/idea4rc/StructureDefinition/mcode-tnm-primary-tumor-category##34#</v>
      </c>
    </row>
    <row r="151" spans="2:2">
      <c r="B151" s="133"/>
    </row>
    <row r="152" spans="2:2">
      <c r="B152" s="11" t="str">
        <f>IF('PathStage-ConceptMap-2'!S15=0,"//---END",'PathStage-ConceptMap-2'!S15)</f>
        <v>* group[=].element[+].code = #PathologicalStage.cT</v>
      </c>
    </row>
    <row r="153" spans="2:2">
      <c r="B153" s="11" t="str">
        <f>IF('PathStage-ConceptMap-2'!S16=0,"//---END",'PathStage-ConceptMap-2'!S16)</f>
        <v>* group[=].element[=].display = ##34#cT##34#</v>
      </c>
    </row>
    <row r="154" spans="2:2">
      <c r="B154" s="11" t="str">
        <f>IF('PathStage-ConceptMap-2'!S17=0,"//---END",'PathStage-ConceptMap-2'!S17)</f>
        <v>* group[=].element[=].target.code = #Observation.valueCodeableConcept</v>
      </c>
    </row>
    <row r="155" spans="2:2">
      <c r="B155" s="11" t="str">
        <f>IF('PathStage-ConceptMap-2'!S18=0,"//---END",'PathStage-ConceptMap-2'!S18)</f>
        <v>* group[=].element[=].target.display = ##34###34#</v>
      </c>
    </row>
    <row r="156" spans="2:2">
      <c r="B156" s="11" t="str">
        <f>IF('PathStage-ConceptMap-2'!S19=0,"//---END",'PathStage-ConceptMap-2'!S19)</f>
        <v>* group[=].element[=].target.equivalence = #relatedto</v>
      </c>
    </row>
    <row r="157" spans="2:2">
      <c r="B157" s="11" t="str">
        <f>IF('PathStage-ConceptMap-2'!S20=0,"//---END",'PathStage-ConceptMap-2'!S20)</f>
        <v>* group[=].element[=].target.comment = ##34#where code = 21902-2	 'Stage group.pathology'##34#</v>
      </c>
    </row>
    <row r="158" spans="2:2">
      <c r="B158" s="11" t="str">
        <f>IF('PathStage-ConceptMap-2'!S21=0,"//---END",'PathStage-ConceptMap-2'!S21)</f>
        <v>//---END</v>
      </c>
    </row>
    <row r="159" spans="2:2">
      <c r="B159" s="11" t="str">
        <f>IF('PathStage-ConceptMap-2'!S22=0,"//---END",'PathStage-ConceptMap-2'!S22)</f>
        <v>//---END</v>
      </c>
    </row>
    <row r="160" spans="2:2">
      <c r="B160" s="11" t="str">
        <f>IF('PathStage-ConceptMap-2'!S23=0,"//---END",'PathStage-ConceptMap-2'!S23)</f>
        <v>//---END</v>
      </c>
    </row>
    <row r="161" spans="2:7">
      <c r="B161" s="11" t="str">
        <f>IF('PathStage-ConceptMap-2'!S24=0,"//---END",'PathStage-ConceptMap-2'!S24)</f>
        <v>//---END</v>
      </c>
    </row>
    <row r="162" spans="2:7">
      <c r="B162" s="11" t="str">
        <f>IF('PathStage-ConceptMap-2'!S25=0,"//---END",'PathStage-ConceptMap-2'!S25)</f>
        <v>//---END</v>
      </c>
    </row>
    <row r="163" spans="2:7">
      <c r="B163" s="120"/>
      <c r="C163" s="7"/>
      <c r="D163" s="7"/>
      <c r="E163" s="7"/>
      <c r="F163" s="7"/>
      <c r="G163" s="7"/>
    </row>
    <row r="164" spans="2:7">
      <c r="B164" s="131"/>
      <c r="C164" s="7"/>
      <c r="D164" s="7"/>
      <c r="E164" s="7"/>
      <c r="F164" s="7"/>
      <c r="G164" s="7"/>
    </row>
    <row r="165" spans="2:7">
      <c r="B165" s="68" t="str">
        <f>"* group[+].source = ##34#"&amp;'PathStage-ConceptMap-3'!E6&amp;"##34#"</f>
        <v>* group[+].source = ##34#http://hl7.eu/fhir/ig/idea4rc/StructureDefinition/ClinicalStage##34#</v>
      </c>
      <c r="C165" s="7"/>
      <c r="D165" s="7"/>
      <c r="E165" s="7"/>
      <c r="F165" s="7"/>
      <c r="G165" s="7"/>
    </row>
    <row r="166" spans="2:7">
      <c r="B166" s="132" t="str">
        <f>"* group[=].target = ##34#"&amp;'PathStage-ConceptMap-3'!E7&amp;"##34#"</f>
        <v>* group[=].target = ##34#http://hl7.eu/fhir/ig/idea4rc/StructureDefinition/mcode-tnm-regional-nodes-category##34#</v>
      </c>
      <c r="C166" s="7"/>
      <c r="D166" s="7"/>
      <c r="E166" s="7"/>
      <c r="F166" s="7"/>
      <c r="G166" s="7"/>
    </row>
    <row r="167" spans="2:7">
      <c r="B167" s="133"/>
      <c r="C167" s="7"/>
      <c r="D167" s="7"/>
      <c r="E167" s="7"/>
      <c r="F167" s="7"/>
      <c r="G167" s="7"/>
    </row>
    <row r="168" spans="2:7">
      <c r="B168" s="120" t="str">
        <f>IF('PathStage-ConceptMap-3'!S15=0,"//---END",'PathStage-ConceptMap-3'!S15)</f>
        <v>* group[=].element[+].code = #PathologicalStage.cN</v>
      </c>
      <c r="C168" s="7"/>
      <c r="D168" s="7"/>
      <c r="E168" s="7"/>
      <c r="F168" s="7"/>
      <c r="G168" s="7"/>
    </row>
    <row r="169" spans="2:7">
      <c r="B169" s="120" t="str">
        <f>IF('PathStage-ConceptMap-3'!S16=0,"//---END",'PathStage-ConceptMap-3'!S16)</f>
        <v>* group[=].element[=].display = ##34#cN##34#</v>
      </c>
      <c r="C169" s="7"/>
      <c r="D169" s="7"/>
      <c r="E169" s="7"/>
      <c r="F169" s="7"/>
      <c r="G169" s="7"/>
    </row>
    <row r="170" spans="2:7">
      <c r="B170" s="120" t="str">
        <f>IF('PathStage-ConceptMap-3'!S17=0,"//---END",'PathStage-ConceptMap-3'!S17)</f>
        <v>* group[=].element[=].target.code = #Observation.valueCodeableConcept</v>
      </c>
      <c r="C170" s="7"/>
      <c r="D170" s="7"/>
      <c r="E170" s="7"/>
      <c r="F170" s="7"/>
      <c r="G170" s="7"/>
    </row>
    <row r="171" spans="2:7">
      <c r="B171" s="120" t="str">
        <f>IF('PathStage-ConceptMap-3'!S18=0,"//---END",'PathStage-ConceptMap-3'!S18)</f>
        <v>* group[=].element[=].target.display = ##34###34#</v>
      </c>
      <c r="C171" s="7"/>
      <c r="D171" s="7"/>
      <c r="E171" s="7"/>
      <c r="F171" s="7"/>
      <c r="G171" s="7"/>
    </row>
    <row r="172" spans="2:7">
      <c r="B172" s="120" t="str">
        <f>IF('PathStage-ConceptMap-3'!S19=0,"//---END",'PathStage-ConceptMap-3'!S19)</f>
        <v>* group[=].element[=].target.equivalence = #relatedto</v>
      </c>
      <c r="C172" s="7"/>
      <c r="D172" s="7"/>
      <c r="E172" s="7"/>
      <c r="F172" s="7"/>
      <c r="G172" s="7"/>
    </row>
    <row r="173" spans="2:7">
      <c r="B173" s="120" t="str">
        <f>IF('PathStage-ConceptMap-3'!S20=0,"//---END",'PathStage-ConceptMap-3'!S20)</f>
        <v>* group[=].element[=].target.comment = ##34#where code = 21902-2	 'Stage group.pathology'##34#</v>
      </c>
      <c r="C173" s="7"/>
      <c r="D173" s="7"/>
      <c r="E173" s="7"/>
      <c r="F173" s="7"/>
      <c r="G173" s="7"/>
    </row>
    <row r="174" spans="2:7">
      <c r="B174" s="120" t="str">
        <f>IF('PathStage-ConceptMap-3'!S21=0,"//---END",'PathStage-ConceptMap-3'!S21)</f>
        <v>//---END</v>
      </c>
      <c r="C174" s="7"/>
      <c r="D174" s="7"/>
      <c r="E174" s="7"/>
      <c r="F174" s="7"/>
      <c r="G174" s="7"/>
    </row>
    <row r="175" spans="2:7">
      <c r="B175" s="120" t="str">
        <f>IF('PathStage-ConceptMap-3'!S22=0,"//---END",'PathStage-ConceptMap-3'!S22)</f>
        <v>//---END</v>
      </c>
      <c r="C175" s="7"/>
      <c r="D175" s="7"/>
      <c r="E175" s="7"/>
      <c r="F175" s="7"/>
      <c r="G175" s="7"/>
    </row>
    <row r="176" spans="2:7">
      <c r="B176" s="120" t="str">
        <f>IF('PathStage-ConceptMap-3'!S23=0,"//---END",'PathStage-ConceptMap-3'!S23)</f>
        <v>//---END</v>
      </c>
      <c r="C176" s="7"/>
      <c r="D176" s="7"/>
      <c r="E176" s="7"/>
      <c r="F176" s="7"/>
      <c r="G176" s="7"/>
    </row>
    <row r="177" spans="2:7">
      <c r="B177" s="120" t="str">
        <f>IF('PathStage-ConceptMap-3'!S24=0,"//---END",'PathStage-ConceptMap-3'!S24)</f>
        <v>//---END</v>
      </c>
      <c r="C177" s="7"/>
      <c r="D177" s="7"/>
      <c r="E177" s="7"/>
      <c r="F177" s="7"/>
      <c r="G177" s="7"/>
    </row>
    <row r="178" spans="2:7">
      <c r="B178" s="120" t="str">
        <f>IF('PathStage-ConceptMap-3'!S25=0,"//---END",'PathStage-ConceptMap-3'!S25)</f>
        <v>//---END</v>
      </c>
      <c r="C178" s="7"/>
      <c r="D178" s="7"/>
      <c r="E178" s="7"/>
      <c r="F178" s="7"/>
      <c r="G178" s="7"/>
    </row>
    <row r="179" spans="2:7">
      <c r="B179" s="131"/>
      <c r="C179" s="7"/>
      <c r="D179" s="7"/>
      <c r="E179" s="7"/>
      <c r="F179" s="7"/>
      <c r="G179" s="7"/>
    </row>
    <row r="180" spans="2:7">
      <c r="B180" s="68" t="str">
        <f>"* group[+].source = ##34#"&amp;'PathStage-ConceptMap-4'!E6&amp;"##34#"</f>
        <v>* group[+].source = ##34#http://hl7.eu/fhir/ig/idea4rc/StructureDefinition/ClinicalStage##34#</v>
      </c>
      <c r="C180" s="7"/>
      <c r="D180" s="7"/>
      <c r="E180" s="7"/>
      <c r="F180" s="7"/>
      <c r="G180" s="7"/>
    </row>
    <row r="181" spans="2:7">
      <c r="B181" s="132" t="str">
        <f>"* group[=].target = ##34#"&amp;'PathStage-ConceptMap-4'!E7&amp;"##34#"</f>
        <v>* group[=].target = ##34#http://hl7.eu/fhir/ig/idea4rc/StructureDefinition/mcode-tnm-distant-metastases-category##34#</v>
      </c>
      <c r="C181" s="7"/>
      <c r="D181" s="7"/>
      <c r="E181" s="7"/>
      <c r="F181" s="7"/>
      <c r="G181" s="7"/>
    </row>
    <row r="182" spans="2:7">
      <c r="B182" s="133"/>
      <c r="C182" s="7"/>
      <c r="D182" s="7"/>
      <c r="E182" s="7"/>
      <c r="F182" s="7"/>
      <c r="G182" s="7"/>
    </row>
    <row r="183" spans="2:7">
      <c r="B183" s="7" t="str">
        <f>IF('PathStage-ConceptMap-4'!S15=0,"//---END",'PathStage-ConceptMap-4'!S15)</f>
        <v>* group[=].element[+].code = #PathologicalStage.cM</v>
      </c>
      <c r="C183" s="7"/>
      <c r="D183" s="7"/>
      <c r="E183" s="7"/>
      <c r="F183" s="7"/>
      <c r="G183" s="7"/>
    </row>
    <row r="184" spans="2:7">
      <c r="B184" s="7" t="str">
        <f>IF('PathStage-ConceptMap-4'!S16=0,"//---END",'PathStage-ConceptMap-4'!S16)</f>
        <v>* group[=].element[=].display = ##34#cM##34#</v>
      </c>
      <c r="C184" s="7"/>
      <c r="D184" s="7"/>
      <c r="E184" s="7"/>
      <c r="F184" s="7"/>
      <c r="G184" s="7"/>
    </row>
    <row r="185" spans="2:7">
      <c r="B185" s="7" t="str">
        <f>IF('PathStage-ConceptMap-4'!S17=0,"//---END",'PathStage-ConceptMap-4'!S17)</f>
        <v>* group[=].element[=].target.code = #Observation.valueCodeableConcept</v>
      </c>
      <c r="C185" s="7"/>
      <c r="D185" s="7"/>
      <c r="E185" s="7"/>
      <c r="F185" s="7"/>
      <c r="G185" s="7"/>
    </row>
    <row r="186" spans="2:7">
      <c r="B186" s="7" t="str">
        <f>IF('PathStage-ConceptMap-4'!S18=0,"//---END",'PathStage-ConceptMap-4'!S18)</f>
        <v>* group[=].element[=].target.display = ##34###34#</v>
      </c>
      <c r="C186" s="7"/>
      <c r="D186" s="7"/>
      <c r="E186" s="7"/>
      <c r="F186" s="7"/>
      <c r="G186" s="7"/>
    </row>
    <row r="187" spans="2:7">
      <c r="B187" s="7" t="str">
        <f>IF('PathStage-ConceptMap-4'!S19=0,"//---END",'PathStage-ConceptMap-4'!S19)</f>
        <v>* group[=].element[=].target.equivalence = #relatedto</v>
      </c>
      <c r="C187" s="7"/>
      <c r="D187" s="7"/>
      <c r="E187" s="7"/>
      <c r="F187" s="7"/>
      <c r="G187" s="7"/>
    </row>
    <row r="188" spans="2:7">
      <c r="B188" s="7" t="str">
        <f>IF('PathStage-ConceptMap-4'!S20=0,"//---END",'PathStage-ConceptMap-4'!S20)</f>
        <v/>
      </c>
      <c r="C188" s="7"/>
      <c r="D188" s="7"/>
      <c r="E188" s="7"/>
      <c r="F188" s="7"/>
      <c r="G188" s="7"/>
    </row>
    <row r="189" spans="2:7">
      <c r="B189" s="7" t="str">
        <f>IF('PathStage-ConceptMap-4'!S21=0,"//---END",'PathStage-ConceptMap-4'!S21)</f>
        <v>//---END</v>
      </c>
      <c r="C189" s="7"/>
      <c r="D189" s="7"/>
      <c r="E189" s="7"/>
      <c r="F189" s="7"/>
      <c r="G189" s="7"/>
    </row>
    <row r="190" spans="2:7">
      <c r="B190" s="7" t="str">
        <f>IF('PathStage-ConceptMap-4'!S22=0,"//---END",'PathStage-ConceptMap-4'!S22)</f>
        <v>//---END</v>
      </c>
      <c r="C190" s="7"/>
      <c r="D190" s="7"/>
      <c r="E190" s="7"/>
      <c r="F190" s="7"/>
      <c r="G190" s="7"/>
    </row>
    <row r="191" spans="2:7">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8" zoomScale="130" zoomScaleNormal="130" workbookViewId="0">
      <selection activeCell="B19" sqref="B19"/>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5.5" thickBot="1">
      <c r="J3" s="24" t="str">
        <f>J1</f>
        <v>//===================================================</v>
      </c>
      <c r="L3" s="24" t="str">
        <f>L1</f>
        <v>// -------------------------------------------------------------------------------</v>
      </c>
    </row>
    <row r="4" spans="1:12" ht="15.5" thickBot="1">
      <c r="A4" s="5" t="s">
        <v>11</v>
      </c>
      <c r="B4" s="45" t="s">
        <v>2134</v>
      </c>
      <c r="J4" s="16" t="str">
        <f>CONCATENATE("Logical: ",B4)</f>
        <v>Logical: SystemicTreatment</v>
      </c>
    </row>
    <row r="5" spans="1:12" ht="15.5" thickBot="1">
      <c r="A5" s="14" t="s">
        <v>16</v>
      </c>
      <c r="B5" s="45" t="s">
        <v>2134</v>
      </c>
      <c r="J5" s="16" t="str">
        <f>CONCATENATE("Id: ",B5)</f>
        <v>Id: SystemicTreatment</v>
      </c>
    </row>
    <row r="6" spans="1:12" ht="15.5" thickBot="1">
      <c r="A6" s="14" t="s">
        <v>10</v>
      </c>
      <c r="B6" s="45" t="s">
        <v>2135</v>
      </c>
      <c r="J6" s="17" t="str">
        <f>CONCATENATE("Title: ##34#",B6,"##34#")</f>
        <v>Title: ##34#Systemic Treatment##34#</v>
      </c>
    </row>
    <row r="7" spans="1:12">
      <c r="A7" s="26" t="s">
        <v>2</v>
      </c>
      <c r="B7" s="45" t="s">
        <v>2135</v>
      </c>
      <c r="C7" s="9" t="s">
        <v>3</v>
      </c>
      <c r="D7" s="1" t="s">
        <v>4</v>
      </c>
      <c r="E7" s="3" t="s">
        <v>5</v>
      </c>
      <c r="F7" s="3" t="s">
        <v>6</v>
      </c>
      <c r="G7" s="3" t="s">
        <v>7</v>
      </c>
      <c r="H7" s="105" t="s">
        <v>1610</v>
      </c>
      <c r="J7" s="17" t="str">
        <f>CONCATENATE("Description: "," ##334#",B7,"##334#",)</f>
        <v>Description:  ##334#Systemic Treatment##334#</v>
      </c>
    </row>
    <row r="8" spans="1:12" ht="59">
      <c r="A8" s="100">
        <v>0</v>
      </c>
      <c r="B8" s="12" t="s">
        <v>2012</v>
      </c>
      <c r="C8" s="12" t="s">
        <v>2136</v>
      </c>
      <c r="D8" s="12" t="s">
        <v>1910</v>
      </c>
      <c r="E8" s="11">
        <v>1</v>
      </c>
      <c r="F8" s="11">
        <v>1</v>
      </c>
      <c r="G8" s="57" t="s">
        <v>2089</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c r="A9" s="100">
        <v>1</v>
      </c>
      <c r="B9" s="12" t="s">
        <v>2137</v>
      </c>
      <c r="C9" s="12" t="s">
        <v>2138</v>
      </c>
      <c r="D9" s="12" t="s">
        <v>2139</v>
      </c>
      <c r="E9" s="11">
        <v>1</v>
      </c>
      <c r="F9" s="11">
        <v>1</v>
      </c>
      <c r="G9" s="11" t="s">
        <v>1786</v>
      </c>
      <c r="H9" s="12" t="s">
        <v>2140</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c r="A10" s="101">
        <v>2</v>
      </c>
      <c r="B10" s="12" t="s">
        <v>1667</v>
      </c>
      <c r="C10" s="12" t="s">
        <v>1654</v>
      </c>
      <c r="D10" s="12" t="s">
        <v>2141</v>
      </c>
      <c r="E10" s="11">
        <v>1</v>
      </c>
      <c r="F10" s="11">
        <v>1</v>
      </c>
      <c r="G10" s="12" t="s">
        <v>1786</v>
      </c>
      <c r="H10" s="12" t="s">
        <v>2142</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c r="A11" s="100">
        <v>3</v>
      </c>
      <c r="B11" s="12" t="s">
        <v>1668</v>
      </c>
      <c r="C11" s="12" t="s">
        <v>2143</v>
      </c>
      <c r="D11" s="12" t="s">
        <v>2144</v>
      </c>
      <c r="E11" s="11">
        <v>1</v>
      </c>
      <c r="F11" s="11">
        <v>1</v>
      </c>
      <c r="G11" s="12" t="s">
        <v>1786</v>
      </c>
      <c r="H11" s="12" t="s">
        <v>2145</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c r="A12" s="100">
        <v>4</v>
      </c>
      <c r="B12" s="12" t="s">
        <v>1669</v>
      </c>
      <c r="C12" s="12" t="s">
        <v>1655</v>
      </c>
      <c r="D12" s="12" t="s">
        <v>1656</v>
      </c>
      <c r="E12" s="11">
        <v>1</v>
      </c>
      <c r="F12" s="11">
        <v>1</v>
      </c>
      <c r="G12" s="11" t="s">
        <v>156</v>
      </c>
      <c r="H12" s="12"/>
      <c r="I12" s="25"/>
      <c r="J12" s="12" t="str">
        <f t="shared" si="0"/>
        <v>* startDateSystemicTreatment 1..1 date ##34#Start date systemic treatment##34# ##334#Specifies when systemic treatment begins##334#</v>
      </c>
      <c r="L12" s="12" t="str">
        <f t="shared" si="1"/>
        <v/>
      </c>
    </row>
    <row r="13" spans="1:12" ht="29.5">
      <c r="A13" s="100">
        <v>5</v>
      </c>
      <c r="B13" s="12" t="s">
        <v>1670</v>
      </c>
      <c r="C13" s="12" t="s">
        <v>1657</v>
      </c>
      <c r="D13" s="12" t="s">
        <v>1658</v>
      </c>
      <c r="E13" s="11">
        <v>1</v>
      </c>
      <c r="F13" s="11">
        <v>1</v>
      </c>
      <c r="G13" s="11" t="s">
        <v>156</v>
      </c>
      <c r="H13" s="12"/>
      <c r="I13" s="25"/>
      <c r="J13" s="12" t="str">
        <f t="shared" si="0"/>
        <v>* endDateSystemicTreatment 1..1 date ##34#End date systemic treatment##34# ##334#Specifies when systemic treatment ends##334#</v>
      </c>
      <c r="L13" s="12" t="str">
        <f t="shared" si="1"/>
        <v/>
      </c>
    </row>
    <row r="14" spans="1:12" ht="88.5">
      <c r="A14" s="100">
        <v>6</v>
      </c>
      <c r="B14" s="12" t="s">
        <v>1671</v>
      </c>
      <c r="C14" s="12" t="s">
        <v>2146</v>
      </c>
      <c r="D14" s="12" t="s">
        <v>2147</v>
      </c>
      <c r="E14" s="11">
        <v>0</v>
      </c>
      <c r="F14" s="12">
        <v>1</v>
      </c>
      <c r="G14" s="156" t="s">
        <v>2296</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c r="A15" s="101">
        <v>7</v>
      </c>
      <c r="B15" s="12" t="s">
        <v>1672</v>
      </c>
      <c r="C15" s="12" t="s">
        <v>1659</v>
      </c>
      <c r="D15" s="13" t="s">
        <v>1659</v>
      </c>
      <c r="E15" s="11">
        <v>0</v>
      </c>
      <c r="F15" s="11">
        <v>1</v>
      </c>
      <c r="G15" s="6" t="s">
        <v>1</v>
      </c>
      <c r="H15" s="12"/>
      <c r="I15" s="25"/>
      <c r="J15" s="12" t="str">
        <f t="shared" si="0"/>
        <v>* regimen 0..1 BackboneElement ##34#Regimen##34# ##334#Regimen##334#</v>
      </c>
      <c r="L15" s="12" t="str">
        <f t="shared" si="1"/>
        <v/>
      </c>
    </row>
    <row r="16" spans="1:12" ht="44.25">
      <c r="A16" s="101">
        <v>8</v>
      </c>
      <c r="B16" s="13" t="s">
        <v>2288</v>
      </c>
      <c r="C16" s="12" t="s">
        <v>1660</v>
      </c>
      <c r="D16" s="13" t="s">
        <v>1660</v>
      </c>
      <c r="E16" s="11">
        <v>1</v>
      </c>
      <c r="F16" s="11">
        <v>1</v>
      </c>
      <c r="G16" s="11" t="s">
        <v>1786</v>
      </c>
      <c r="H16" s="12" t="s">
        <v>2148</v>
      </c>
      <c r="I16" s="25"/>
      <c r="J16" s="12" t="str">
        <f t="shared" si="0"/>
        <v>* regimen.drugs1 1..1 CodeableConcept ##34#Drugs 1##34# ##334#Drugs 1##334#</v>
      </c>
      <c r="L16" s="12" t="str">
        <f t="shared" si="1"/>
        <v>* regimen.drugs1 ^comment = ##334#ATC list
Athena vocabulary 
ATC##334#</v>
      </c>
    </row>
    <row r="17" spans="1:13" ht="44.25">
      <c r="A17" s="101">
        <v>9</v>
      </c>
      <c r="B17" s="13" t="s">
        <v>2289</v>
      </c>
      <c r="C17" s="12" t="s">
        <v>1661</v>
      </c>
      <c r="D17" s="13" t="s">
        <v>1661</v>
      </c>
      <c r="E17" s="11">
        <v>1</v>
      </c>
      <c r="F17" s="11">
        <v>1</v>
      </c>
      <c r="G17" s="11" t="s">
        <v>1786</v>
      </c>
      <c r="H17" s="12" t="s">
        <v>2148</v>
      </c>
      <c r="I17" s="25"/>
      <c r="J17" s="12" t="str">
        <f t="shared" si="0"/>
        <v>* regimen.drugs2 1..1 CodeableConcept ##34#Drugs 2##34# ##334#Drugs 2##334#</v>
      </c>
      <c r="L17" s="12" t="str">
        <f t="shared" si="1"/>
        <v>* regimen.drugs2 ^comment = ##334#ATC list
Athena vocabulary 
ATC##334#</v>
      </c>
    </row>
    <row r="18" spans="1:13" ht="44.25">
      <c r="A18" s="101">
        <v>10</v>
      </c>
      <c r="B18" s="13" t="s">
        <v>2290</v>
      </c>
      <c r="C18" s="12" t="s">
        <v>1662</v>
      </c>
      <c r="D18" s="13" t="s">
        <v>1662</v>
      </c>
      <c r="E18" s="11">
        <v>1</v>
      </c>
      <c r="F18" s="11">
        <v>1</v>
      </c>
      <c r="G18" s="11" t="s">
        <v>1786</v>
      </c>
      <c r="H18" s="12" t="s">
        <v>2148</v>
      </c>
      <c r="J18" s="12" t="str">
        <f t="shared" si="0"/>
        <v>* regimen.drugs3 1..1 CodeableConcept ##34#Drugs 3##34# ##334#Drugs 3##334#</v>
      </c>
      <c r="L18" s="12" t="str">
        <f t="shared" si="1"/>
        <v>* regimen.drugs3 ^comment = ##334#ATC list
Athena vocabulary 
ATC##334#</v>
      </c>
    </row>
    <row r="19" spans="1:13" ht="44.25">
      <c r="A19" s="100">
        <v>11</v>
      </c>
      <c r="B19" s="13" t="s">
        <v>2291</v>
      </c>
      <c r="C19" s="12" t="s">
        <v>1665</v>
      </c>
      <c r="D19" s="12" t="s">
        <v>2149</v>
      </c>
      <c r="E19" s="11">
        <v>1</v>
      </c>
      <c r="F19" s="11">
        <v>1</v>
      </c>
      <c r="G19" s="11" t="s">
        <v>156</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c r="A20" s="100">
        <v>12</v>
      </c>
      <c r="B20" s="13" t="s">
        <v>2292</v>
      </c>
      <c r="C20" s="12" t="s">
        <v>1666</v>
      </c>
      <c r="D20" s="12" t="s">
        <v>2150</v>
      </c>
      <c r="E20" s="11">
        <v>1</v>
      </c>
      <c r="F20" s="11">
        <v>1</v>
      </c>
      <c r="G20" s="11" t="s">
        <v>156</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c r="A21" s="100">
        <v>13</v>
      </c>
      <c r="B21" s="12" t="s">
        <v>1673</v>
      </c>
      <c r="C21" s="12" t="s">
        <v>1663</v>
      </c>
      <c r="D21" s="12" t="s">
        <v>1664</v>
      </c>
      <c r="E21" s="11">
        <v>1</v>
      </c>
      <c r="F21" s="11">
        <v>1</v>
      </c>
      <c r="G21" s="11" t="s">
        <v>1786</v>
      </c>
      <c r="H21" s="12" t="s">
        <v>2151</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c r="A22" s="100">
        <v>14</v>
      </c>
      <c r="B22" s="12" t="s">
        <v>1674</v>
      </c>
      <c r="C22" s="12" t="s">
        <v>2152</v>
      </c>
      <c r="D22" s="12" t="s">
        <v>2153</v>
      </c>
      <c r="E22" s="11">
        <v>1</v>
      </c>
      <c r="F22" s="11">
        <v>1</v>
      </c>
      <c r="G22" s="11" t="s">
        <v>1786</v>
      </c>
      <c r="H22" s="12" t="s">
        <v>2154</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c r="A23" s="100"/>
      <c r="B23" s="12"/>
      <c r="C23" s="12"/>
      <c r="D23" s="12"/>
      <c r="E23" s="11"/>
      <c r="F23" s="11"/>
      <c r="G23" s="11"/>
      <c r="H23" s="12"/>
      <c r="J23" s="12" t="str">
        <f t="shared" si="0"/>
        <v>*  ..  ##34###34# ##334###334#</v>
      </c>
      <c r="L23" s="12" t="str">
        <f t="shared" si="1"/>
        <v>*  ..  ##34###34# ##334###334#</v>
      </c>
      <c r="M23"/>
    </row>
    <row r="24" spans="1:13">
      <c r="A24" s="100"/>
      <c r="B24" s="12"/>
      <c r="C24" s="12"/>
      <c r="D24" s="12"/>
      <c r="E24" s="11"/>
      <c r="F24" s="11"/>
      <c r="G24" s="11"/>
      <c r="H24" s="12"/>
      <c r="J24" s="12" t="str">
        <f t="shared" si="0"/>
        <v>*  ..  ##34###34# ##334###334#</v>
      </c>
      <c r="L24" s="12" t="str">
        <f t="shared" si="1"/>
        <v>*  ..  ##34###34# ##334###334#</v>
      </c>
      <c r="M24"/>
    </row>
    <row r="25" spans="1:13">
      <c r="A25" s="100"/>
      <c r="B25" s="12"/>
      <c r="C25" s="12"/>
      <c r="D25" s="12"/>
      <c r="E25" s="11"/>
      <c r="F25" s="11"/>
      <c r="G25" s="11"/>
      <c r="H25" s="12"/>
      <c r="J25" s="12" t="str">
        <f t="shared" si="0"/>
        <v>*  ..  ##34###34# ##334###334#</v>
      </c>
      <c r="L25" s="12" t="str">
        <f t="shared" si="1"/>
        <v>*  ..  ##34###34# ##334###334#</v>
      </c>
      <c r="M25"/>
    </row>
    <row r="26" spans="1:13">
      <c r="A26" s="100"/>
      <c r="B26" s="12"/>
      <c r="C26" s="12"/>
      <c r="D26" s="12"/>
      <c r="E26" s="11"/>
      <c r="F26" s="11"/>
      <c r="G26" s="11"/>
      <c r="H26" s="12"/>
      <c r="J26" s="12" t="str">
        <f t="shared" si="0"/>
        <v>*  ..  ##34###34# ##334###334#</v>
      </c>
      <c r="L26" s="12" t="str">
        <f t="shared" si="1"/>
        <v>*  ..  ##34###34# ##334###334#</v>
      </c>
      <c r="M26"/>
    </row>
    <row r="27" spans="1:13">
      <c r="A27" s="100"/>
      <c r="B27" s="12"/>
      <c r="C27" s="12"/>
      <c r="D27" s="12"/>
      <c r="E27" s="11"/>
      <c r="F27" s="11"/>
      <c r="G27" s="11"/>
      <c r="H27" s="12"/>
      <c r="J27" s="12" t="str">
        <f t="shared" si="0"/>
        <v>*  ..  ##34###34# ##334###334#</v>
      </c>
      <c r="L27" s="12" t="str">
        <f t="shared" si="1"/>
        <v>*  ..  ##34###34# ##334###334#</v>
      </c>
      <c r="M27"/>
    </row>
    <row r="31" spans="1:13">
      <c r="C31"/>
    </row>
    <row r="32" spans="1:13">
      <c r="C32"/>
    </row>
    <row r="33" spans="3:3">
      <c r="C33"/>
    </row>
    <row r="34" spans="3:3">
      <c r="C34"/>
    </row>
    <row r="35" spans="3:3">
      <c r="C35"/>
    </row>
    <row r="36" spans="3:3">
      <c r="C36"/>
    </row>
    <row r="37" spans="3:3">
      <c r="C37"/>
    </row>
  </sheetData>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cols>
    <col min="3" max="3" width="108.2265625" style="12" customWidth="1"/>
    <col min="7" max="7" width="29.54296875" customWidth="1"/>
    <col min="8" max="8" width="54.90625" customWidth="1"/>
  </cols>
  <sheetData>
    <row r="1" spans="3:7" ht="15.5" thickBot="1">
      <c r="C1" s="23" t="str">
        <f>SystemicTreatment!J1</f>
        <v>//===================================================</v>
      </c>
    </row>
    <row r="2" spans="3:7" ht="16.75" thickBot="1">
      <c r="C2" s="24" t="str">
        <f>SystemicTreatment!J2</f>
        <v>//  Logical Model</v>
      </c>
      <c r="G2" s="29" t="s">
        <v>2155</v>
      </c>
    </row>
    <row r="3" spans="3:7">
      <c r="C3" s="24" t="str">
        <f>SystemicTreatment!J3</f>
        <v>//===================================================</v>
      </c>
    </row>
    <row r="4" spans="3:7">
      <c r="C4" s="16" t="str">
        <f>SystemicTreatment!J4</f>
        <v>Logical: SystemicTreatment</v>
      </c>
    </row>
    <row r="5" spans="3:7">
      <c r="C5" s="16" t="str">
        <f>SystemicTreatment!J5</f>
        <v>Id: SystemicTreatment</v>
      </c>
    </row>
    <row r="6" spans="3:7">
      <c r="C6" s="16" t="str">
        <f>SystemicTreatment!J6</f>
        <v>Title: ##34#Systemic Treatment##34#</v>
      </c>
    </row>
    <row r="7" spans="3:7">
      <c r="C7" s="16" t="str">
        <f>SystemicTreatment!J7</f>
        <v>Description:  ##334#Systemic Treatment##334#</v>
      </c>
    </row>
    <row r="8" spans="3:7" ht="29.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c r="C12" s="12" t="str">
        <f>IF(SystemicTreatment!J12="*  ..  ##34###34# ##334###334#","//--- END",SystemicTreatment!J12)</f>
        <v>* startDateSystemicTreatment 1..1 date ##34#Start date systemic treatment##34# ##334#Specifies when systemic treatment begins##334#</v>
      </c>
    </row>
    <row r="13" spans="3:7" ht="29.5">
      <c r="C13" s="12" t="str">
        <f>IF(SystemicTreatment!J13="*  ..  ##34###34# ##334###334#","//--- END",SystemicTreatment!J13)</f>
        <v>* endDateSystemicTreatment 1..1 date ##34#End date systemic treatment##34# ##334#Specifies when systemic treatment ends##334#</v>
      </c>
    </row>
    <row r="14" spans="3:7" ht="59">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c r="C15" s="12" t="str">
        <f>IF(SystemicTreatment!J15="*  ..  ##34###34# ##334###334#","//--- END",SystemicTreatment!J15)</f>
        <v>* regimen 0..1 BackboneElement ##34#Regimen##34# ##334#Regimen##334#</v>
      </c>
    </row>
    <row r="16" spans="3:7">
      <c r="C16" s="12" t="str">
        <f>IF(SystemicTreatment!J16="*  ..  ##34###34# ##334###334#","//--- END",SystemicTreatment!J16)</f>
        <v>* regimen.drugs1 1..1 CodeableConcept ##34#Drugs 1##34# ##334#Drugs 1##334#</v>
      </c>
    </row>
    <row r="17" spans="3:3">
      <c r="C17" s="12" t="str">
        <f>IF(SystemicTreatment!J17="*  ..  ##34###34# ##334###334#","//--- END",SystemicTreatment!J17)</f>
        <v>* regimen.drugs2 1..1 CodeableConcept ##34#Drugs 2##34# ##334#Drugs 2##334#</v>
      </c>
    </row>
    <row r="18" spans="3:3">
      <c r="C18" s="12" t="str">
        <f>IF(SystemicTreatment!J18="*  ..  ##34###34# ##334###334#","//--- END",SystemicTreatment!J18)</f>
        <v>* regimen.drugs3 1..1 CodeableConcept ##34#Drugs 3##34# ##334#Drugs 3##334#</v>
      </c>
    </row>
    <row r="19" spans="3:3" ht="29.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c r="C21" s="12" t="str">
        <f>IF(SystemicTreatment!J21="*  ..  ##34###34# ##334###334#","//--- END",SystemicTreatment!J21)</f>
        <v>* reasonForEndOfTreatment 1..1 CodeableConcept ##34#Reason for end of treatment##34# ##334#Clarifies the reasons why the treatment ended or was interrupted##334#</v>
      </c>
    </row>
    <row r="22" spans="3:3" ht="59">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c r="C23" s="12" t="str">
        <f>IF(SystemicTreatment!J23="*  ..  ##34###34# ##334###334#","//--- END",SystemicTreatment!J23)</f>
        <v>//--- END</v>
      </c>
    </row>
    <row r="24" spans="3:3">
      <c r="C24" s="12" t="str">
        <f>IF(SystemicTreatment!J24="*  ..  ##34###34# ##334###334#","//--- END",SystemicTreatment!J24)</f>
        <v>//--- END</v>
      </c>
    </row>
    <row r="25" spans="3:3">
      <c r="C25" s="12" t="str">
        <f>IF(SystemicTreatment!J25="*  ..  ##34###34# ##334###334#","//--- END",SystemicTreatment!J25)</f>
        <v>//--- END</v>
      </c>
    </row>
    <row r="33" spans="3:3">
      <c r="C33" s="23" t="s">
        <v>1613</v>
      </c>
    </row>
    <row r="34" spans="3:3">
      <c r="C34" s="24" t="s">
        <v>1651</v>
      </c>
    </row>
    <row r="35" spans="3:3">
      <c r="C35" s="24" t="s">
        <v>1613</v>
      </c>
    </row>
    <row r="36" spans="3:3">
      <c r="C36" s="12" t="str">
        <f>IF(SystemicTreatment!L8="*  ..  ##34###34# ##334###334#","//--- END",SystemicTreatment!L8)</f>
        <v/>
      </c>
    </row>
    <row r="37" spans="3:3" ht="103.2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c r="C38" s="12" t="str">
        <f>IF(SystemicTreatment!L10="*  ..  ##34###34# ##334###334#","//--- END",SystemicTreatment!L10)</f>
        <v>* intent ^comment = ##334#Palliative; Curative; Unknwon
Palliative - 4179711
Curative - 
Unknown - 4129922##334#</v>
      </c>
    </row>
    <row r="39" spans="3:3" ht="88.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c r="C40" s="12" t="str">
        <f>IF(SystemicTreatment!L12="*  ..  ##34###34# ##334###334#","//--- END",SystemicTreatment!L12)</f>
        <v/>
      </c>
    </row>
    <row r="41" spans="3:3">
      <c r="C41" s="12" t="str">
        <f>IF(SystemicTreatment!L13="*  ..  ##34###34# ##334###334#","//--- END",SystemicTreatment!L13)</f>
        <v/>
      </c>
    </row>
    <row r="42" spans="3:3">
      <c r="C42" s="12" t="str">
        <f>IF(SystemicTreatment!L14="*  ..  ##34###34# ##334###334#","//--- END",SystemicTreatment!L14)</f>
        <v/>
      </c>
    </row>
    <row r="43" spans="3:3">
      <c r="C43" s="12" t="str">
        <f>IF(SystemicTreatment!L15="*  ..  ##34###34# ##334###334#","//--- END",SystemicTreatment!L15)</f>
        <v/>
      </c>
    </row>
    <row r="44" spans="3:3" ht="44.25">
      <c r="C44" s="12" t="str">
        <f>IF(SystemicTreatment!L16="*  ..  ##34###34# ##334###334#","//--- END",SystemicTreatment!L16)</f>
        <v>* regimen.drugs1 ^comment = ##334#ATC list
Athena vocabulary 
ATC##334#</v>
      </c>
    </row>
    <row r="45" spans="3:3" ht="44.25">
      <c r="C45" s="12" t="str">
        <f>IF(SystemicTreatment!L17="*  ..  ##34###34# ##334###334#","//--- END",SystemicTreatment!L17)</f>
        <v>* regimen.drugs2 ^comment = ##334#ATC list
Athena vocabulary 
ATC##334#</v>
      </c>
    </row>
    <row r="46" spans="3:3" ht="44.25">
      <c r="C46" s="12" t="str">
        <f>IF(SystemicTreatment!L18="*  ..  ##34###34# ##334###334#","//--- END",SystemicTreatment!L18)</f>
        <v>* regimen.drugs3 ^comment = ##334#ATC list
Athena vocabulary 
ATC##334#</v>
      </c>
    </row>
    <row r="47" spans="3:3">
      <c r="C47" s="12" t="str">
        <f>IF(SystemicTreatment!L19="*  ..  ##34###34# ##334###334#","//--- END",SystemicTreatment!L19)</f>
        <v/>
      </c>
    </row>
    <row r="48" spans="3:3">
      <c r="C48" s="12" t="str">
        <f>IF(SystemicTreatment!L20="*  ..  ##34###34# ##334###334#","//--- END",SystemicTreatment!L20)</f>
        <v/>
      </c>
    </row>
    <row r="49" spans="3:3" ht="132.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c r="C51" s="12" t="str">
        <f>IF(SystemicTreatment!L23="*  ..  ##34###34# ##334###334#","//--- END",SystemicTreatment!L23)</f>
        <v>//--- END</v>
      </c>
    </row>
    <row r="52" spans="3:3">
      <c r="C52" s="12" t="str">
        <f>IF(SystemicTreatment!L24="*  ..  ##34###34# ##334###334#","//--- END",SystemicTreatment!L24)</f>
        <v>//--- END</v>
      </c>
    </row>
    <row r="53" spans="3:3">
      <c r="C53" s="12" t="str">
        <f>IF(SystemicTreatment!L25="*  ..  ##34###34# ##334###334#","//--- END",SystemicTreatment!L25)</f>
        <v>//--- END</v>
      </c>
    </row>
    <row r="207" spans="3:3">
      <c r="C207" s="2"/>
    </row>
    <row r="208" spans="3:3">
      <c r="C208"/>
    </row>
    <row r="210" spans="3:3">
      <c r="C210" s="23"/>
    </row>
    <row r="211" spans="3:3">
      <c r="C211" s="24"/>
    </row>
    <row r="212" spans="3:3">
      <c r="C212" s="24"/>
    </row>
    <row r="219" spans="3:3">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2157</v>
      </c>
      <c r="J4" s="16" t="str">
        <f>CONCATENATE("Logical: ",B4)</f>
        <v>Logical: Surgery</v>
      </c>
    </row>
    <row r="5" spans="1:12" ht="15.5" thickBot="1">
      <c r="A5" s="14" t="s">
        <v>16</v>
      </c>
      <c r="B5" s="45" t="s">
        <v>2157</v>
      </c>
      <c r="J5" s="16" t="str">
        <f>CONCATENATE("Id: ",B5)</f>
        <v>Id: Surgery</v>
      </c>
    </row>
    <row r="6" spans="1:12" ht="15.5" thickBot="1">
      <c r="A6" s="14" t="s">
        <v>10</v>
      </c>
      <c r="B6" s="45" t="s">
        <v>2157</v>
      </c>
      <c r="J6" s="17" t="str">
        <f>CONCATENATE("Title: ##34#",B6,"##34#")</f>
        <v>Title: ##34#Surgery##34#</v>
      </c>
    </row>
    <row r="7" spans="1:12">
      <c r="A7" s="26" t="s">
        <v>2</v>
      </c>
      <c r="B7" s="157" t="s">
        <v>2157</v>
      </c>
      <c r="C7" s="9" t="s">
        <v>3</v>
      </c>
      <c r="D7" s="1" t="s">
        <v>4</v>
      </c>
      <c r="E7" s="3" t="s">
        <v>5</v>
      </c>
      <c r="F7" s="3" t="s">
        <v>6</v>
      </c>
      <c r="G7" s="3" t="s">
        <v>7</v>
      </c>
      <c r="H7" s="105" t="s">
        <v>1610</v>
      </c>
      <c r="J7" s="17" t="str">
        <f>CONCATENATE("Description: "," ##334#",B7,"##334#",)</f>
        <v>Description:  ##334#Surgery##334#</v>
      </c>
    </row>
    <row r="8" spans="1:12" ht="59">
      <c r="A8" s="100">
        <v>0</v>
      </c>
      <c r="B8" s="11" t="s">
        <v>2012</v>
      </c>
      <c r="C8" s="11" t="s">
        <v>2136</v>
      </c>
      <c r="D8" s="11" t="s">
        <v>1910</v>
      </c>
      <c r="E8" s="11">
        <v>1</v>
      </c>
      <c r="F8" s="11">
        <v>1</v>
      </c>
      <c r="G8" s="57" t="s">
        <v>2089</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2158</v>
      </c>
      <c r="C9" s="11" t="s">
        <v>2157</v>
      </c>
      <c r="D9" s="11" t="s">
        <v>2159</v>
      </c>
      <c r="E9" s="11">
        <v>1</v>
      </c>
      <c r="F9" s="11">
        <v>1</v>
      </c>
      <c r="G9" s="11" t="s">
        <v>1786</v>
      </c>
      <c r="H9" s="12" t="s">
        <v>2160</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c r="A10" s="100">
        <v>2</v>
      </c>
      <c r="B10" s="11" t="s">
        <v>2161</v>
      </c>
      <c r="C10" s="11" t="s">
        <v>2162</v>
      </c>
      <c r="D10" s="11" t="s">
        <v>2163</v>
      </c>
      <c r="E10" s="11">
        <v>1</v>
      </c>
      <c r="F10" s="11">
        <v>1</v>
      </c>
      <c r="G10" s="11" t="s">
        <v>156</v>
      </c>
      <c r="H10" s="12"/>
      <c r="I10" s="11"/>
      <c r="J10" s="12" t="str">
        <f t="shared" si="0"/>
        <v>* dateOfSurgery 1..1 date ##34#Date of surgery##34# ##334#Date of the surgery for primary tumor with or without neck surgery##334#</v>
      </c>
      <c r="L10" s="12" t="str">
        <f t="shared" si="1"/>
        <v/>
      </c>
    </row>
    <row r="11" spans="1:12" ht="73.75">
      <c r="A11" s="100">
        <v>3</v>
      </c>
      <c r="B11" s="11" t="s">
        <v>2164</v>
      </c>
      <c r="C11" s="11" t="s">
        <v>2165</v>
      </c>
      <c r="D11" s="11" t="s">
        <v>2166</v>
      </c>
      <c r="E11" s="11">
        <v>1</v>
      </c>
      <c r="F11" s="11">
        <v>1</v>
      </c>
      <c r="G11" s="11" t="s">
        <v>1786</v>
      </c>
      <c r="H11" s="12" t="s">
        <v>2167</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c r="A12" s="100">
        <v>4</v>
      </c>
      <c r="B12" s="11" t="s">
        <v>2168</v>
      </c>
      <c r="C12" s="11" t="s">
        <v>2169</v>
      </c>
      <c r="D12" s="11" t="s">
        <v>2170</v>
      </c>
      <c r="E12" s="11">
        <v>1</v>
      </c>
      <c r="F12" s="11">
        <v>1</v>
      </c>
      <c r="G12" s="11" t="s">
        <v>1786</v>
      </c>
      <c r="H12" s="12" t="s">
        <v>2171</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c r="A13" s="100">
        <v>5</v>
      </c>
      <c r="B13" s="11" t="s">
        <v>2172</v>
      </c>
      <c r="C13" s="11" t="s">
        <v>2173</v>
      </c>
      <c r="D13" s="11" t="s">
        <v>2174</v>
      </c>
      <c r="E13" s="11">
        <v>1</v>
      </c>
      <c r="F13" s="11">
        <v>1</v>
      </c>
      <c r="G13" s="11" t="s">
        <v>1786</v>
      </c>
      <c r="H13" s="12" t="s">
        <v>2175</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c r="A14" s="101">
        <v>6</v>
      </c>
      <c r="B14" s="11" t="s">
        <v>2176</v>
      </c>
      <c r="C14" s="11" t="s">
        <v>2177</v>
      </c>
      <c r="D14" s="11" t="s">
        <v>2178</v>
      </c>
      <c r="E14" s="11">
        <v>0</v>
      </c>
      <c r="F14" s="11">
        <v>1</v>
      </c>
      <c r="G14" s="11" t="s">
        <v>1786</v>
      </c>
      <c r="H14" s="12" t="s">
        <v>2179</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c r="A15" s="100">
        <v>7</v>
      </c>
      <c r="B15" s="11" t="s">
        <v>2180</v>
      </c>
      <c r="C15" s="11" t="s">
        <v>2181</v>
      </c>
      <c r="D15" s="11" t="s">
        <v>2182</v>
      </c>
      <c r="E15" s="11">
        <v>1</v>
      </c>
      <c r="F15" s="11">
        <v>1</v>
      </c>
      <c r="G15" s="11" t="s">
        <v>1786</v>
      </c>
      <c r="H15" s="12" t="s">
        <v>2183</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c r="A16" s="100">
        <v>8</v>
      </c>
      <c r="B16" s="11" t="s">
        <v>2184</v>
      </c>
      <c r="C16" s="11" t="s">
        <v>2185</v>
      </c>
      <c r="D16" s="11" t="s">
        <v>2186</v>
      </c>
      <c r="E16" s="11">
        <v>1</v>
      </c>
      <c r="F16" s="11">
        <v>1</v>
      </c>
      <c r="G16" s="11" t="s">
        <v>156</v>
      </c>
      <c r="H16" s="12"/>
      <c r="I16" s="11"/>
      <c r="J16" s="12" t="str">
        <f t="shared" si="0"/>
        <v>* dateOfNeckSurgey 1..1 date ##34#Date of Neck surgey##34# ##334#Date of the surgery on the neck##334#</v>
      </c>
      <c r="L16" s="12" t="str">
        <f t="shared" si="1"/>
        <v/>
      </c>
    </row>
    <row r="17" spans="1:13" ht="73.75">
      <c r="A17" s="100">
        <v>9</v>
      </c>
      <c r="B17" s="11" t="s">
        <v>2187</v>
      </c>
      <c r="C17" s="11" t="s">
        <v>2188</v>
      </c>
      <c r="D17" s="11" t="s">
        <v>2189</v>
      </c>
      <c r="E17" s="11">
        <v>1</v>
      </c>
      <c r="F17" s="11">
        <v>1</v>
      </c>
      <c r="G17" s="11" t="s">
        <v>1786</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c r="A18" s="100">
        <v>10</v>
      </c>
      <c r="B18" s="11" t="s">
        <v>2190</v>
      </c>
      <c r="C18" s="11" t="s">
        <v>2191</v>
      </c>
      <c r="D18" s="11" t="s">
        <v>2192</v>
      </c>
      <c r="E18" s="11">
        <v>1</v>
      </c>
      <c r="F18" s="11">
        <v>1</v>
      </c>
      <c r="G18" s="11" t="s">
        <v>1786</v>
      </c>
      <c r="H18" s="12" t="s">
        <v>2183</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c r="A19" s="100">
        <v>11</v>
      </c>
      <c r="B19" s="11" t="s">
        <v>2193</v>
      </c>
      <c r="C19" s="11" t="s">
        <v>2194</v>
      </c>
      <c r="D19" s="11" t="s">
        <v>2195</v>
      </c>
      <c r="E19" s="11">
        <v>1</v>
      </c>
      <c r="F19" s="11">
        <v>1</v>
      </c>
      <c r="G19" s="11" t="s">
        <v>156</v>
      </c>
      <c r="H19" s="12"/>
      <c r="I19" s="11"/>
      <c r="J19" s="12" t="str">
        <f t="shared" si="0"/>
        <v>* dateOfSurgeryOnM 1..1 date ##34#Date of surgery on M##34# ##334#Date of the surgery on the metastasis##334#</v>
      </c>
      <c r="L19" s="12" t="str">
        <f t="shared" si="1"/>
        <v/>
      </c>
    </row>
    <row r="20" spans="1:13" ht="29.5">
      <c r="A20" s="101">
        <v>12</v>
      </c>
      <c r="B20" s="6" t="s">
        <v>2295</v>
      </c>
      <c r="C20" s="6" t="s">
        <v>2293</v>
      </c>
      <c r="D20" s="6" t="s">
        <v>2294</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c r="A21" s="101">
        <v>13</v>
      </c>
      <c r="B21" s="57" t="s">
        <v>2325</v>
      </c>
      <c r="C21" s="11" t="s">
        <v>2196</v>
      </c>
      <c r="D21" s="11" t="s">
        <v>2197</v>
      </c>
      <c r="E21" s="11">
        <v>0</v>
      </c>
      <c r="F21" s="11">
        <v>1</v>
      </c>
      <c r="G21" s="11" t="s">
        <v>157</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c r="A22" s="101">
        <v>14</v>
      </c>
      <c r="B22" s="57" t="s">
        <v>2326</v>
      </c>
      <c r="C22" s="11" t="s">
        <v>2198</v>
      </c>
      <c r="D22" s="11" t="s">
        <v>2199</v>
      </c>
      <c r="E22" s="11">
        <v>0</v>
      </c>
      <c r="F22" s="11">
        <v>1</v>
      </c>
      <c r="G22" s="11" t="s">
        <v>157</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c r="A23" s="101">
        <v>15</v>
      </c>
      <c r="B23" s="57" t="s">
        <v>2327</v>
      </c>
      <c r="C23" s="11" t="s">
        <v>2200</v>
      </c>
      <c r="D23" s="11" t="s">
        <v>2201</v>
      </c>
      <c r="E23" s="11">
        <v>0</v>
      </c>
      <c r="F23" s="11">
        <v>1</v>
      </c>
      <c r="G23" s="11" t="s">
        <v>157</v>
      </c>
      <c r="H23" s="12"/>
      <c r="I23" s="11"/>
      <c r="J23" s="12" t="str">
        <f t="shared" si="0"/>
        <v>* siteOfSurgeryOnMetastasis.lung 0..1 boolean ##34#Site of surgery on metastasis_lung##34# ##334#Describes if site of surgery on metastasis  is lung##334#</v>
      </c>
      <c r="L23" s="12" t="str">
        <f t="shared" si="1"/>
        <v/>
      </c>
      <c r="M23"/>
    </row>
    <row r="24" spans="1:13" ht="44.25">
      <c r="A24" s="101">
        <v>16</v>
      </c>
      <c r="B24" s="57" t="s">
        <v>2331</v>
      </c>
      <c r="C24" s="11" t="s">
        <v>2202</v>
      </c>
      <c r="D24" s="11" t="s">
        <v>2203</v>
      </c>
      <c r="E24" s="11">
        <v>0</v>
      </c>
      <c r="F24" s="11">
        <v>1</v>
      </c>
      <c r="G24" s="11" t="s">
        <v>157</v>
      </c>
      <c r="H24" s="12"/>
      <c r="I24" s="11"/>
      <c r="J24" s="12" t="str">
        <f t="shared" si="0"/>
        <v>* siteOfSurgeryOnMetastasis.bone 0..1 boolean ##34#Site of surgery on metastasis_bone##34# ##334#Describes if site of surgery on metastasis  is bone##334#</v>
      </c>
      <c r="L24" s="12" t="str">
        <f t="shared" si="1"/>
        <v/>
      </c>
      <c r="M24"/>
    </row>
    <row r="25" spans="1:13" ht="44.25">
      <c r="A25" s="101">
        <v>17</v>
      </c>
      <c r="B25" s="57" t="s">
        <v>2328</v>
      </c>
      <c r="C25" s="11" t="s">
        <v>2204</v>
      </c>
      <c r="D25" s="11" t="s">
        <v>2205</v>
      </c>
      <c r="E25" s="11">
        <v>0</v>
      </c>
      <c r="F25" s="11">
        <v>1</v>
      </c>
      <c r="G25" s="11" t="s">
        <v>157</v>
      </c>
      <c r="H25" s="12"/>
      <c r="I25" s="11"/>
      <c r="J25" s="12" t="str">
        <f t="shared" si="0"/>
        <v>* siteOfSurgeryOnMetastasis.liver 0..1 boolean ##34#Site of surgery on metastasis_liver##34# ##334#Describes if site of surgery on metastasis  is liver##334#</v>
      </c>
      <c r="L25" s="12" t="str">
        <f t="shared" si="1"/>
        <v/>
      </c>
      <c r="M25"/>
    </row>
    <row r="26" spans="1:13" ht="44.25">
      <c r="A26" s="101">
        <v>18</v>
      </c>
      <c r="B26" s="57" t="s">
        <v>2329</v>
      </c>
      <c r="C26" s="11" t="s">
        <v>2206</v>
      </c>
      <c r="D26" s="11" t="s">
        <v>2207</v>
      </c>
      <c r="E26" s="11">
        <v>0</v>
      </c>
      <c r="F26" s="11">
        <v>1</v>
      </c>
      <c r="G26" s="11" t="s">
        <v>157</v>
      </c>
      <c r="H26" s="12"/>
      <c r="I26" s="11"/>
      <c r="J26" s="12" t="str">
        <f t="shared" si="0"/>
        <v>* siteOfSurgeryOnMetastasis.pleura 0..1 boolean ##34#Site of surgery on metastasis_pleura##34# ##334#Describes if site of surgery on metastasis  is pleura##334#</v>
      </c>
      <c r="L26" s="12" t="str">
        <f t="shared" si="1"/>
        <v/>
      </c>
      <c r="M26"/>
    </row>
    <row r="27" spans="1:13" ht="44.25">
      <c r="A27" s="101">
        <v>19</v>
      </c>
      <c r="B27" s="57" t="s">
        <v>2330</v>
      </c>
      <c r="C27" s="11" t="s">
        <v>2208</v>
      </c>
      <c r="D27" s="11" t="s">
        <v>2209</v>
      </c>
      <c r="E27" s="11">
        <v>0</v>
      </c>
      <c r="F27" s="11">
        <v>1</v>
      </c>
      <c r="G27" s="11" t="s">
        <v>157</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c r="A28" s="101">
        <v>20</v>
      </c>
      <c r="B28" s="57" t="s">
        <v>2332</v>
      </c>
      <c r="C28" s="11" t="s">
        <v>2210</v>
      </c>
      <c r="D28" s="11" t="s">
        <v>2211</v>
      </c>
      <c r="E28" s="11">
        <v>0</v>
      </c>
      <c r="F28" s="11">
        <v>1</v>
      </c>
      <c r="G28" s="11" t="s">
        <v>157</v>
      </c>
      <c r="H28" s="12"/>
      <c r="I28" s="11"/>
      <c r="J28" s="12" t="str">
        <f t="shared" si="0"/>
        <v>* siteOfSurgeryOnMetastasis.brain 0..1 boolean ##34#Site of surgery on metastasis_brain##34# ##334#Describes if site of surgery on metastasis  is brain##334#</v>
      </c>
      <c r="L28" s="12" t="str">
        <f t="shared" si="1"/>
        <v/>
      </c>
    </row>
    <row r="29" spans="1:13" ht="44.25">
      <c r="A29" s="101">
        <v>21</v>
      </c>
      <c r="B29" s="57" t="s">
        <v>2334</v>
      </c>
      <c r="C29" s="11" t="s">
        <v>2212</v>
      </c>
      <c r="D29" s="11" t="s">
        <v>2213</v>
      </c>
      <c r="E29" s="11">
        <v>0</v>
      </c>
      <c r="F29" s="11">
        <v>1</v>
      </c>
      <c r="G29" s="11" t="s">
        <v>157</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c r="A30" s="101">
        <v>22</v>
      </c>
      <c r="B30" s="57" t="s">
        <v>2333</v>
      </c>
      <c r="C30" s="11" t="s">
        <v>2214</v>
      </c>
      <c r="D30" s="11" t="s">
        <v>2215</v>
      </c>
      <c r="E30" s="11">
        <v>0</v>
      </c>
      <c r="F30" s="11">
        <v>1</v>
      </c>
      <c r="G30" s="11" t="s">
        <v>157</v>
      </c>
      <c r="H30" s="12"/>
      <c r="I30" s="11"/>
      <c r="J30" s="12" t="str">
        <f t="shared" si="0"/>
        <v>* siteOfSurgeryOnMetastasis.unknown 0..1 boolean ##34#Site of surgery on metastasis_unknown##34# ##334#Describes if site of surgery on metastasis  is unknown##334#</v>
      </c>
      <c r="L30" s="12" t="str">
        <f t="shared" si="1"/>
        <v/>
      </c>
    </row>
    <row r="31" spans="1:13" ht="132.75">
      <c r="A31" s="100">
        <v>23</v>
      </c>
      <c r="B31" s="11" t="s">
        <v>2216</v>
      </c>
      <c r="C31" s="11" t="s">
        <v>2217</v>
      </c>
      <c r="D31" s="11" t="s">
        <v>2218</v>
      </c>
      <c r="E31" s="11">
        <v>1</v>
      </c>
      <c r="F31" s="11">
        <v>1</v>
      </c>
      <c r="G31" s="11" t="s">
        <v>1786</v>
      </c>
      <c r="H31" s="12" t="s">
        <v>2219</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c r="A32" s="11"/>
      <c r="B32" s="11"/>
      <c r="C32" s="12"/>
      <c r="D32" s="11"/>
      <c r="E32" s="11"/>
      <c r="F32" s="11"/>
      <c r="G32" s="11"/>
      <c r="H32" s="12"/>
      <c r="I32" s="11"/>
      <c r="J32" s="12" t="str">
        <f t="shared" si="0"/>
        <v>*  ..  ##34###34# ##334###334#</v>
      </c>
      <c r="L32" s="12" t="str">
        <f t="shared" si="1"/>
        <v>*  ..  ##34###34# ##334###334#</v>
      </c>
    </row>
    <row r="33" spans="1:12">
      <c r="A33" s="11"/>
      <c r="B33" s="11"/>
      <c r="C33" s="12"/>
      <c r="D33" s="11"/>
      <c r="E33" s="11"/>
      <c r="F33" s="11"/>
      <c r="G33" s="11"/>
      <c r="H33" s="12"/>
      <c r="I33" s="11"/>
      <c r="J33" s="12" t="str">
        <f t="shared" si="0"/>
        <v>*  ..  ##34###34# ##334###334#</v>
      </c>
      <c r="L33" s="12" t="str">
        <f t="shared" si="1"/>
        <v>*  ..  ##34###34# ##334###334#</v>
      </c>
    </row>
    <row r="34" spans="1:12">
      <c r="A34" s="11"/>
      <c r="B34" s="11"/>
      <c r="C34" s="12"/>
      <c r="D34" s="11"/>
      <c r="E34" s="11"/>
      <c r="F34" s="11"/>
      <c r="G34" s="11"/>
      <c r="H34" s="12"/>
      <c r="I34" s="11"/>
      <c r="J34" s="12" t="str">
        <f t="shared" si="0"/>
        <v>*  ..  ##34###34# ##334###334#</v>
      </c>
      <c r="L34" s="12" t="str">
        <f t="shared" si="1"/>
        <v>*  ..  ##34###34# ##334###334#</v>
      </c>
    </row>
    <row r="35" spans="1:12">
      <c r="A35" s="11"/>
      <c r="B35" s="11"/>
      <c r="C35" s="12"/>
      <c r="D35" s="11"/>
      <c r="E35" s="11"/>
      <c r="F35" s="11"/>
      <c r="G35" s="11"/>
      <c r="H35" s="12"/>
      <c r="I35" s="11"/>
      <c r="J35" s="12" t="str">
        <f t="shared" si="0"/>
        <v>*  ..  ##34###34# ##334###334#</v>
      </c>
      <c r="L35" s="12" t="str">
        <f t="shared" si="1"/>
        <v>*  ..  ##34###34# ##334###334#</v>
      </c>
    </row>
    <row r="36" spans="1:12">
      <c r="J36" s="12" t="str">
        <f t="shared" si="0"/>
        <v>*  ..  ##34###34# ##334###334#</v>
      </c>
      <c r="L36" s="12" t="str">
        <f t="shared" si="1"/>
        <v>*  ..  ##34###34# ##334###334#</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cols>
    <col min="3" max="3" width="108.2265625" style="12" customWidth="1"/>
    <col min="7" max="7" width="29.54296875" customWidth="1"/>
    <col min="8" max="8" width="54.90625" customWidth="1"/>
  </cols>
  <sheetData>
    <row r="1" spans="3:7" ht="15.5" thickBot="1">
      <c r="C1" s="23" t="str">
        <f>Surgery!J1</f>
        <v>//===================================================</v>
      </c>
    </row>
    <row r="2" spans="3:7" ht="16.75" thickBot="1">
      <c r="C2" s="24" t="str">
        <f>Surgery!J2</f>
        <v>//  Logical Model</v>
      </c>
      <c r="G2" s="29" t="s">
        <v>2156</v>
      </c>
    </row>
    <row r="3" spans="3:7">
      <c r="C3" s="24" t="str">
        <f>Surgery!J3</f>
        <v>//===================================================</v>
      </c>
    </row>
    <row r="4" spans="3:7">
      <c r="C4" s="16" t="str">
        <f>Surgery!J4</f>
        <v>Logical: Surgery</v>
      </c>
    </row>
    <row r="5" spans="3:7">
      <c r="C5" s="16" t="str">
        <f>Surgery!J5</f>
        <v>Id: Surgery</v>
      </c>
    </row>
    <row r="6" spans="3:7">
      <c r="C6" s="16" t="str">
        <f>Surgery!J6</f>
        <v>Title: ##34#Surgery##34#</v>
      </c>
    </row>
    <row r="7" spans="3:7">
      <c r="C7" s="16" t="str">
        <f>Surgery!J7</f>
        <v>Description:  ##334#Surgery##334#</v>
      </c>
    </row>
    <row r="8" spans="3:7" ht="29.5">
      <c r="C8" s="12" t="str">
        <f>IF(Surgery!J8="*  ..  ##34###34# ##334###334#","//--- END",Surgery!J8)</f>
        <v>* episodeEventReference 1..1 http://hl7.eu/fhir/ig/idea4rc/StructureDefinition/EpisodeEvent ##34#Episode Event reference##34# ##334#EpisodeEvent element containing the data regarding the patient's cancer##334#</v>
      </c>
    </row>
    <row r="9" spans="3:7" ht="29.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c r="C10" s="12" t="str">
        <f>IF(Surgery!J10="*  ..  ##34###34# ##334###334#","//--- END",Surgery!J10)</f>
        <v>* dateOfSurgery 1..1 date ##34#Date of surgery##34# ##334#Date of the surgery for primary tumor with or without neck surgery##334#</v>
      </c>
    </row>
    <row r="11" spans="3:7" ht="44.2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c r="C14" s="12" t="str">
        <f>IF(Surgery!J14="*  ..  ##34###34# ##334###334#","//--- END",Surgery!J14)</f>
        <v>* reconstruction 0..1 CodeableConcept ##34#Reconstruction##34# ##334#Local flap / regional pedicled flap / free flap##334#</v>
      </c>
    </row>
    <row r="15" spans="3:7" ht="29.5">
      <c r="C15" s="12" t="str">
        <f>IF(Surgery!J15="*  ..  ##34###34# ##334###334#","//--- END",Surgery!J15)</f>
        <v>* neckSurgery 1..1 CodeableConcept ##34#Neck surgery##34# ##334#Describes whether a surgical procedure to treat and address the neck was performed or not.##334#</v>
      </c>
    </row>
    <row r="16" spans="3:7">
      <c r="C16" s="12" t="str">
        <f>IF(Surgery!J16="*  ..  ##34###34# ##334###334#","//--- END",Surgery!J16)</f>
        <v>* dateOfNeckSurgey 1..1 date ##34#Date of Neck surgey##34# ##334#Date of the surgery on the neck##334#</v>
      </c>
    </row>
    <row r="17" spans="3:3" ht="73.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c r="C18" s="12" t="str">
        <f>IF(Surgery!J18="*  ..  ##34###34# ##334###334#","//--- END",Surgery!J18)</f>
        <v>* surgeryOnM 1..1 CodeableConcept ##34#Surgery on M##34# ##334#Describes whether surgery is performed to treat the Metastasis##334#</v>
      </c>
    </row>
    <row r="19" spans="3:3">
      <c r="C19" s="12" t="str">
        <f>IF(Surgery!J19="*  ..  ##34###34# ##334###334#","//--- END",Surgery!J19)</f>
        <v>* dateOfSurgeryOnM 1..1 date ##34#Date of surgery on M##34# ##334#Date of the surgery on the metastasis##334#</v>
      </c>
    </row>
    <row r="20" spans="3:3" ht="29.5">
      <c r="C20" s="12" t="str">
        <f>IF(Surgery!J20="*  ..  ##34###34# ##334###334#","//--- END",Surgery!J20)</f>
        <v>* siteOfSurgeryOnMetastasis 1..1 BackboneElement ##34#Site of surgery on metastasis##34# ##334#Describes the site of surgery on metastasis##334#</v>
      </c>
    </row>
    <row r="21" spans="3:3" ht="29.5">
      <c r="C21" s="12" t="str">
        <f>IF(Surgery!J21="*  ..  ##34###34# ##334###334#","//--- END",Surgery!J21)</f>
        <v>* siteOfSurgeryOnMetastasis.softTissue 0..1 boolean ##34#Site of surgery on metastasis_soft tissue##34# ##334#Describes if site of surgery on metastasis  is soft tissue##334#</v>
      </c>
    </row>
    <row r="22" spans="3:3" ht="29.5">
      <c r="C22" s="12" t="str">
        <f>IF(Surgery!J22="*  ..  ##34###34# ##334###334#","//--- END",Surgery!J22)</f>
        <v>* siteOfSurgeryOnMetastasis.distantLymphNodes 0..1 boolean ##34#Site of surgery on metastasis_distant lymph nodes##34# ##334#Describes if site of surgery on metastasis  is dystan lymph node##334#</v>
      </c>
    </row>
    <row r="23" spans="3:3" ht="29.5">
      <c r="C23" s="12" t="str">
        <f>IF(Surgery!J23="*  ..  ##34###34# ##334###334#","//--- END",Surgery!J23)</f>
        <v>* siteOfSurgeryOnMetastasis.lung 0..1 boolean ##34#Site of surgery on metastasis_lung##34# ##334#Describes if site of surgery on metastasis  is lung##334#</v>
      </c>
    </row>
    <row r="24" spans="3:3" ht="29.5">
      <c r="C24" s="12" t="str">
        <f>IF(Surgery!J24="*  ..  ##34###34# ##334###334#","//--- END",Surgery!J24)</f>
        <v>* siteOfSurgeryOnMetastasis.bone 0..1 boolean ##34#Site of surgery on metastasis_bone##34# ##334#Describes if site of surgery on metastasis  is bone##334#</v>
      </c>
    </row>
    <row r="25" spans="3:3" ht="29.5">
      <c r="C25" s="12" t="str">
        <f>IF(Surgery!J25="*  ..  ##34###34# ##334###334#","//--- END",Surgery!J25)</f>
        <v>* siteOfSurgeryOnMetastasis.liver 0..1 boolean ##34#Site of surgery on metastasis_liver##34# ##334#Describes if site of surgery on metastasis  is liver##334#</v>
      </c>
    </row>
    <row r="26" spans="3:3" ht="29.5">
      <c r="C26" s="12" t="str">
        <f>IF(Surgery!J26="*  ..  ##34###34# ##334###334#","//--- END",Surgery!J26)</f>
        <v>* siteOfSurgeryOnMetastasis.pleura 0..1 boolean ##34#Site of surgery on metastasis_pleura##34# ##334#Describes if site of surgery on metastasis  is pleura##334#</v>
      </c>
    </row>
    <row r="27" spans="3:3" ht="29.5">
      <c r="C27" s="12" t="str">
        <f>IF(Surgery!J27="*  ..  ##34###34# ##334###334#","//--- END",Surgery!J27)</f>
        <v>* siteOfSurgeryOnMetastasis.peritoneum 0..1 boolean ##34#Site of surgery on metastasis_peritoneum##34# ##334#Describes if site of surgery on metastasis  is peritoneum##334#</v>
      </c>
    </row>
    <row r="28" spans="3:3" ht="29.5">
      <c r="C28" s="12" t="str">
        <f>IF(Surgery!J28="*  ..  ##34###34# ##334###334#","//--- END",Surgery!J28)</f>
        <v>* siteOfSurgeryOnMetastasis.brain 0..1 boolean ##34#Site of surgery on metastasis_brain##34# ##334#Describes if site of surgery on metastasis  is brain##334#</v>
      </c>
    </row>
    <row r="29" spans="3:3" ht="29.5">
      <c r="C29" s="12" t="str">
        <f>IF(Surgery!J29="*  ..  ##34###34# ##334###334#","//--- END",Surgery!J29)</f>
        <v>* siteOfSurgeryOnMetastasis.otherViscera 0..1 boolean ##34#Site of surgery on metastasis_other viscera##34# ##334#Describes if site of surgery on metastasis  is other viscera##334#</v>
      </c>
    </row>
    <row r="30" spans="3:3" ht="29.5">
      <c r="C30" s="12" t="str">
        <f>IF(Surgery!J30="*  ..  ##34###34# ##334###334#","//--- END",Surgery!J30)</f>
        <v>* siteOfSurgeryOnMetastasis.unknown 0..1 boolean ##34#Site of surgery on metastasis_unknown##34# ##334#Describes if site of surgery on metastasis  is unknown##334#</v>
      </c>
    </row>
    <row r="31" spans="3:3" ht="29.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c r="C32" s="12" t="str">
        <f>IF(Surgery!J32="*  ..  ##34###34# ##334###334#","//--- END",Surgery!J32)</f>
        <v>//--- END</v>
      </c>
    </row>
    <row r="33" spans="3:3">
      <c r="C33" s="12" t="str">
        <f>IF(Surgery!J33="*  ..  ##34###34# ##334###334#","//--- END",Surgery!J33)</f>
        <v>//--- END</v>
      </c>
    </row>
    <row r="34" spans="3:3">
      <c r="C34" s="12" t="str">
        <f>IF(Surgery!J34="*  ..  ##34###34# ##334###334#","//--- END",Surgery!J34)</f>
        <v>//--- END</v>
      </c>
    </row>
    <row r="35" spans="3:3">
      <c r="C35" s="12" t="str">
        <f>IF(Surgery!J35="*  ..  ##34###34# ##334###334#","//--- END",Surgery!J35)</f>
        <v>//--- END</v>
      </c>
    </row>
    <row r="36" spans="3:3">
      <c r="C36" s="12" t="str">
        <f>IF(Surgery!J36="*  ..  ##34###34# ##334###334#","//--- END",Surgery!J36)</f>
        <v>//--- END</v>
      </c>
    </row>
    <row r="38" spans="3:3">
      <c r="C38" s="23" t="s">
        <v>1613</v>
      </c>
    </row>
    <row r="39" spans="3:3">
      <c r="C39" s="24" t="s">
        <v>1651</v>
      </c>
    </row>
    <row r="40" spans="3:3">
      <c r="C40" s="24" t="s">
        <v>1613</v>
      </c>
    </row>
    <row r="41" spans="3:3">
      <c r="C41" s="12" t="str">
        <f>IF(Surgery!L8="*  ..  ##34###34# ##334###334#","//--- END",Surgery!L8)</f>
        <v/>
      </c>
    </row>
    <row r="42" spans="3:3" ht="29.5">
      <c r="C42" s="12" t="str">
        <f>IF(Surgery!L9="*  ..  ##34###34# ##334###334#","//--- END",Surgery!L9)</f>
        <v>* surgery ^comment = ##334#Yes done at the hospital; Yes done at a different hospital; Not Done; Unknown.
Custom##334#</v>
      </c>
    </row>
    <row r="43" spans="3:3">
      <c r="C43" s="12" t="str">
        <f>IF(Surgery!L10="*  ..  ##34###34# ##334###334#","//--- END",Surgery!L10)</f>
        <v/>
      </c>
    </row>
    <row r="44" spans="3:3" ht="59">
      <c r="C44" s="12" t="str">
        <f>IF(Surgery!L11="*  ..  ##34###34# ##334###334#","//--- END",Surgery!L11)</f>
        <v>* surgeryIntention ^comment = ##334#Palliative; Curative; Unknown
Palliative - 4179711
Curative - 
Unknown - 4129922##334#</v>
      </c>
    </row>
    <row r="45" spans="3:3" ht="132.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c r="C47" s="12" t="str">
        <f>IF(Surgery!L14="*  ..  ##34###34# ##334###334#","//--- END",Surgery!L14)</f>
        <v>* reconstruction ^comment = ##334#Yes, no, unknown
Yes - 4188539
No -  4188540
Unknown - 4129922##334#</v>
      </c>
    </row>
    <row r="48" spans="3:3" ht="59">
      <c r="C48" s="12" t="str">
        <f>IF(Surgery!L15="*  ..  ##34###34# ##334###334#","//--- END",Surgery!L15)</f>
        <v>* neckSurgery ^comment = ##334#Yes; No; Unknown.
Yes - 4188539
No -  4188540
Unknown - 4129922##334#</v>
      </c>
    </row>
    <row r="49" spans="3:3">
      <c r="C49" s="12" t="str">
        <f>IF(Surgery!L16="*  ..  ##34###34# ##334###334#","//--- END",Surgery!L16)</f>
        <v/>
      </c>
    </row>
    <row r="50" spans="3:3">
      <c r="C50" s="12" t="str">
        <f>IF(Surgery!L17="*  ..  ##34###34# ##334###334#","//--- END",Surgery!L17)</f>
        <v/>
      </c>
    </row>
    <row r="51" spans="3:3" ht="59">
      <c r="C51" s="12" t="str">
        <f>IF(Surgery!L18="*  ..  ##34###34# ##334###334#","//--- END",Surgery!L18)</f>
        <v>* surgeryOnM ^comment = ##334#Yes; No; Unknown.
Yes - 4188539
No -  4188540
Unknown - 4129922##334#</v>
      </c>
    </row>
    <row r="52" spans="3:3">
      <c r="C52" s="12" t="str">
        <f>IF(Surgery!L19="*  ..  ##34###34# ##334###334#","//--- END",Surgery!L19)</f>
        <v/>
      </c>
    </row>
    <row r="53" spans="3:3">
      <c r="C53" s="12" t="str">
        <f>IF(Surgery!L20="*  ..  ##34###34# ##334###334#","//--- END",Surgery!L20)</f>
        <v/>
      </c>
    </row>
    <row r="54" spans="3:3">
      <c r="C54" s="12" t="str">
        <f>IF(Surgery!L21="*  ..  ##34###34# ##334###334#","//--- END",Surgery!L21)</f>
        <v/>
      </c>
    </row>
    <row r="55" spans="3:3">
      <c r="C55" s="12" t="str">
        <f>IF(Surgery!L22="*  ..  ##34###34# ##334###334#","//--- END",Surgery!L22)</f>
        <v/>
      </c>
    </row>
    <row r="56" spans="3:3">
      <c r="C56" s="12" t="str">
        <f>IF(Surgery!L23="*  ..  ##34###34# ##334###334#","//--- END",Surgery!L23)</f>
        <v/>
      </c>
    </row>
    <row r="57" spans="3:3">
      <c r="C57" s="12" t="str">
        <f>IF(Surgery!L24="*  ..  ##34###34# ##334###334#","//--- END",Surgery!L24)</f>
        <v/>
      </c>
    </row>
    <row r="58" spans="3:3">
      <c r="C58" s="12" t="str">
        <f>IF(Surgery!L25="*  ..  ##34###34# ##334###334#","//--- END",Surgery!L25)</f>
        <v/>
      </c>
    </row>
    <row r="59" spans="3:3">
      <c r="C59" s="12" t="str">
        <f>IF(Surgery!L26="*  ..  ##34###34# ##334###334#","//--- END",Surgery!L26)</f>
        <v/>
      </c>
    </row>
    <row r="60" spans="3:3">
      <c r="C60" s="12" t="str">
        <f>IF(Surgery!L27="*  ..  ##34###34# ##334###334#","//--- END",Surgery!L27)</f>
        <v/>
      </c>
    </row>
    <row r="61" spans="3:3">
      <c r="C61" s="12" t="str">
        <f>IF(Surgery!L28="*  ..  ##34###34# ##334###334#","//--- END",Surgery!L28)</f>
        <v/>
      </c>
    </row>
    <row r="62" spans="3:3">
      <c r="C62" s="12" t="str">
        <f>IF(Surgery!L29="*  ..  ##34###34# ##334###334#","//--- END",Surgery!L29)</f>
        <v/>
      </c>
    </row>
    <row r="63" spans="3:3">
      <c r="C63" s="12" t="str">
        <f>IF(Surgery!L30="*  ..  ##34###34# ##334###334#","//--- END",Surgery!L30)</f>
        <v/>
      </c>
    </row>
    <row r="64" spans="3:3" ht="118">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c r="C65" s="12" t="str">
        <f>IF(Surgery!L32="*  ..  ##34###34# ##334###334#","//--- END",Surgery!L32)</f>
        <v>//--- END</v>
      </c>
    </row>
    <row r="66" spans="3:3">
      <c r="C66" s="12" t="str">
        <f>IF(Surgery!L33="*  ..  ##34###34# ##334###334#","//--- END",Surgery!L33)</f>
        <v>//--- END</v>
      </c>
    </row>
    <row r="67" spans="3:3">
      <c r="C67" s="12" t="str">
        <f>IF(Surgery!L34="*  ..  ##34###34# ##334###334#","//--- END",Surgery!L34)</f>
        <v>//--- END</v>
      </c>
    </row>
    <row r="211" spans="3:3">
      <c r="C211" s="2"/>
    </row>
    <row r="212" spans="3:3">
      <c r="C212"/>
    </row>
    <row r="214" spans="3:3">
      <c r="C214" s="23"/>
    </row>
    <row r="215" spans="3:3">
      <c r="C215" s="24"/>
    </row>
    <row r="216" spans="3:3">
      <c r="C216" s="24"/>
    </row>
    <row r="223" spans="3:3">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2298</v>
      </c>
      <c r="D3" s="62" t="s">
        <v>1791</v>
      </c>
      <c r="E3" s="118" t="str">
        <f>$C$1&amp;B14</f>
        <v>http://hl7.eu/fhir/ig/idea4rc/StructureDefinition/Surgery</v>
      </c>
    </row>
    <row r="4" spans="1:19">
      <c r="B4" s="62" t="s">
        <v>16</v>
      </c>
      <c r="C4" s="28" t="s">
        <v>2298</v>
      </c>
      <c r="D4" s="62" t="s">
        <v>1792</v>
      </c>
      <c r="E4" s="166" t="s">
        <v>2301</v>
      </c>
      <c r="F4" s="167"/>
      <c r="G4" s="167"/>
    </row>
    <row r="5" spans="1:19">
      <c r="B5" s="62" t="s">
        <v>10</v>
      </c>
      <c r="C5" s="7" t="s">
        <v>2299</v>
      </c>
      <c r="D5" s="62"/>
      <c r="E5" s="7"/>
    </row>
    <row r="6" spans="1:19">
      <c r="B6" s="62" t="s">
        <v>18</v>
      </c>
      <c r="C6" s="56"/>
      <c r="D6" s="62" t="s">
        <v>1793</v>
      </c>
      <c r="E6" s="166" t="str">
        <f>E3</f>
        <v>http://hl7.eu/fhir/ig/idea4rc/StructureDefinition/Surgery</v>
      </c>
      <c r="F6" s="167"/>
      <c r="G6" s="167"/>
    </row>
    <row r="7" spans="1:19">
      <c r="B7" s="62" t="s">
        <v>15</v>
      </c>
      <c r="C7" s="119"/>
      <c r="D7" s="62" t="s">
        <v>1794</v>
      </c>
      <c r="E7" s="166" t="str">
        <f>E4</f>
        <v>http://hl7.eu/fhir/ig/idea4rc/StructureDefinition/Procedure-surgery-eu-i4rc</v>
      </c>
      <c r="F7" s="167"/>
      <c r="G7" s="167"/>
    </row>
    <row r="8" spans="1:19" ht="45" thickBot="1">
      <c r="B8" s="62" t="s">
        <v>1795</v>
      </c>
      <c r="C8" s="7" t="s">
        <v>2299</v>
      </c>
      <c r="D8" s="62"/>
      <c r="E8" s="7"/>
      <c r="I8" s="12" t="s">
        <v>1402</v>
      </c>
      <c r="J8" s="12" t="s">
        <v>1403</v>
      </c>
      <c r="K8" s="12" t="s">
        <v>1404</v>
      </c>
      <c r="L8" s="12" t="s">
        <v>1405</v>
      </c>
      <c r="M8" s="11" t="s">
        <v>1406</v>
      </c>
      <c r="P8" s="49" t="s">
        <v>1441</v>
      </c>
      <c r="Q8" s="49">
        <v>6</v>
      </c>
    </row>
    <row r="9" spans="1:19" ht="15.5" thickBot="1">
      <c r="B9" s="62" t="s">
        <v>1796</v>
      </c>
      <c r="C9" s="12" t="s">
        <v>2300</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Surgery!B4</f>
        <v>Surgery</v>
      </c>
      <c r="C14" s="11"/>
      <c r="D14" s="4" t="s">
        <v>2302</v>
      </c>
      <c r="E14" s="6"/>
      <c r="F14" s="64"/>
      <c r="G14" s="64"/>
      <c r="I14" s="12"/>
      <c r="J14" s="11"/>
      <c r="K14" s="11"/>
      <c r="L14" s="11"/>
      <c r="M14" s="63"/>
      <c r="N14" s="66"/>
    </row>
    <row r="15" spans="1:19" ht="44.25">
      <c r="A15" s="59"/>
      <c r="B15" s="11" t="str">
        <f>Surgery!B8</f>
        <v>episodeEventReference</v>
      </c>
      <c r="C15" s="11" t="str">
        <f>Surgery!C8</f>
        <v>Episode Event reference</v>
      </c>
      <c r="D15" s="12" t="s">
        <v>2303</v>
      </c>
      <c r="E15" s="12"/>
      <c r="F15" s="64" t="s">
        <v>1407</v>
      </c>
      <c r="G15" s="124"/>
      <c r="I15" s="12" t="str">
        <f>"* group[=].element[+].code = #"&amp;$B$14&amp;"."&amp;B15</f>
        <v>* group[=].element[+].code = #Surgery.episodeEventReference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#Surgery.episodeEventReference</v>
      </c>
    </row>
    <row r="16" spans="1:19" ht="103.25">
      <c r="A16" s="59"/>
      <c r="B16" s="11" t="str">
        <f>Surgery!B9</f>
        <v>surgery</v>
      </c>
      <c r="C16" s="11" t="str">
        <f>Surgery!C9</f>
        <v>Surgery</v>
      </c>
      <c r="D16" s="12" t="s">
        <v>2317</v>
      </c>
      <c r="E16" s="12"/>
      <c r="F16" s="64" t="s">
        <v>1407</v>
      </c>
      <c r="G16" s="123" t="s">
        <v>2305</v>
      </c>
      <c r="I16" s="12" t="str">
        <f t="shared" ref="I16:I38" si="7">"* group[=].element[+].code = #"&amp;$B$14&amp;"."&amp;B16</f>
        <v>* group[=].element[+].code = #Surgery.surgery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c r="A17" s="59"/>
      <c r="B17" s="11" t="str">
        <f>Surgery!B10</f>
        <v>dateOfSurgery</v>
      </c>
      <c r="C17" s="11" t="str">
        <f>Surgery!C10</f>
        <v>Date of surgery</v>
      </c>
      <c r="D17" s="103" t="s">
        <v>2304</v>
      </c>
      <c r="E17" s="12"/>
      <c r="F17" s="64" t="s">
        <v>1430</v>
      </c>
      <c r="G17" s="124"/>
      <c r="H17" s="58"/>
      <c r="I17" s="12" t="str">
        <f t="shared" si="7"/>
        <v>* group[=].element[+].code = #Surgery.dateOfSurgery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c r="A18" s="59"/>
      <c r="B18" s="11" t="str">
        <f>Surgery!B11</f>
        <v>surgeryIntention</v>
      </c>
      <c r="C18" s="11" t="str">
        <f>Surgery!C11</f>
        <v>Surgery intention</v>
      </c>
      <c r="D18" s="12" t="s">
        <v>1442</v>
      </c>
      <c r="E18" s="12"/>
      <c r="F18" s="64" t="s">
        <v>1407</v>
      </c>
      <c r="G18" s="123" t="s">
        <v>2306</v>
      </c>
      <c r="H18" s="58"/>
      <c r="I18" s="12" t="str">
        <f t="shared" si="7"/>
        <v>* group[=].element[+].code = #Surgery.surgeryIntention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c r="A19" s="59"/>
      <c r="B19" s="11" t="str">
        <f>Surgery!B12</f>
        <v>typeOfSurgicalApproachOnTumour</v>
      </c>
      <c r="C19" s="11" t="str">
        <f>Surgery!C12</f>
        <v>Type of surgical approach on Tumour</v>
      </c>
      <c r="D19" s="12" t="s">
        <v>2307</v>
      </c>
      <c r="E19" s="12"/>
      <c r="F19" s="64" t="s">
        <v>1407</v>
      </c>
      <c r="G19" s="123" t="s">
        <v>2308</v>
      </c>
      <c r="H19" s="58"/>
      <c r="I19" s="12" t="str">
        <f t="shared" si="7"/>
        <v>* group[=].element[+].code = #Surgery.typeOfSurgicalApproachOnTumour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c r="A20" s="59"/>
      <c r="B20" s="11" t="str">
        <f>Surgery!B13</f>
        <v>marginsAfterSurgery</v>
      </c>
      <c r="C20" s="11" t="str">
        <f>Surgery!C13</f>
        <v>Margins after surgery</v>
      </c>
      <c r="D20" s="12" t="s">
        <v>2309</v>
      </c>
      <c r="E20" s="12"/>
      <c r="F20" s="64" t="s">
        <v>1407</v>
      </c>
      <c r="G20" s="124"/>
      <c r="H20" s="58"/>
      <c r="I20" s="12" t="str">
        <f t="shared" si="7"/>
        <v>* group[=].element[+].code = #Surgery.marginsAfterSurgery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c r="A21" s="59"/>
      <c r="B21" s="11" t="str">
        <f>Surgery!B14</f>
        <v>reconstruction</v>
      </c>
      <c r="C21" s="11" t="str">
        <f>Surgery!C14</f>
        <v>Reconstruction</v>
      </c>
      <c r="D21" s="12"/>
      <c r="E21" s="12"/>
      <c r="F21" s="64" t="s">
        <v>1407</v>
      </c>
      <c r="G21" s="123" t="s">
        <v>2310</v>
      </c>
      <c r="H21" s="58"/>
      <c r="I21" s="12" t="str">
        <f t="shared" si="7"/>
        <v>* group[=].element[+].code = #Surgery.reconstruction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#Surgery.surgery</v>
      </c>
    </row>
    <row r="22" spans="1:19" ht="59">
      <c r="A22" s="59"/>
      <c r="B22" s="11" t="str">
        <f>Surgery!B15</f>
        <v>neckSurgery</v>
      </c>
      <c r="C22" s="11" t="str">
        <f>Surgery!C15</f>
        <v>Neck surgery</v>
      </c>
      <c r="D22" s="12"/>
      <c r="E22" s="12"/>
      <c r="F22" s="64" t="s">
        <v>1407</v>
      </c>
      <c r="G22" s="124" t="s">
        <v>2311</v>
      </c>
      <c r="H22" s="58"/>
      <c r="I22" s="12" t="str">
        <f t="shared" si="7"/>
        <v>* group[=].element[+].code = #Surgery.neckSurgery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c r="A23" s="59"/>
      <c r="B23" s="11" t="str">
        <f>Surgery!B16</f>
        <v>dateOfNeckSurgey</v>
      </c>
      <c r="C23" s="11" t="str">
        <f>Surgery!C16</f>
        <v>Date of Neck surgey</v>
      </c>
      <c r="D23" s="12" t="s">
        <v>2304</v>
      </c>
      <c r="E23" s="11"/>
      <c r="F23" s="64" t="s">
        <v>1430</v>
      </c>
      <c r="G23" s="123" t="s">
        <v>2312</v>
      </c>
      <c r="H23" s="58"/>
      <c r="I23" s="12" t="str">
        <f t="shared" si="7"/>
        <v>* group[=].element[+].code = #Surgery.dateOfNeckSurgey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c r="A24" s="59"/>
      <c r="B24" s="11" t="str">
        <f>Surgery!B17</f>
        <v>lateralityOfTheDissection</v>
      </c>
      <c r="C24" s="11" t="str">
        <f>Surgery!C17</f>
        <v>Laterality of the dissection</v>
      </c>
      <c r="D24" s="12" t="s">
        <v>2313</v>
      </c>
      <c r="E24" s="11"/>
      <c r="F24" s="64" t="s">
        <v>1407</v>
      </c>
      <c r="G24" s="124"/>
      <c r="H24" s="58"/>
      <c r="I24" s="12" t="str">
        <f t="shared" si="7"/>
        <v>* group[=].element[+].code = #Surgery.lateralityOfTheDissection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c r="A25" s="59"/>
      <c r="B25" s="11" t="str">
        <f>Surgery!B18</f>
        <v>surgeryOnM</v>
      </c>
      <c r="C25" s="11" t="str">
        <f>Surgery!C18</f>
        <v>Surgery on M</v>
      </c>
      <c r="D25" s="12"/>
      <c r="E25" s="11"/>
      <c r="F25" s="64" t="s">
        <v>1407</v>
      </c>
      <c r="G25" s="124" t="s">
        <v>2314</v>
      </c>
      <c r="H25" s="58"/>
      <c r="I25" s="12" t="str">
        <f t="shared" si="7"/>
        <v>* group[=].element[+].code = #Surgery.surgeryOnM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c r="A26" s="59"/>
      <c r="B26" s="11" t="str">
        <f>Surgery!B19</f>
        <v>dateOfSurgeryOnM</v>
      </c>
      <c r="C26" s="11" t="str">
        <f>Surgery!C19</f>
        <v>Date of surgery on M</v>
      </c>
      <c r="D26" s="12"/>
      <c r="E26" s="12"/>
      <c r="F26" s="64" t="s">
        <v>1407</v>
      </c>
      <c r="G26" s="123" t="s">
        <v>2312</v>
      </c>
      <c r="H26" s="58"/>
      <c r="I26" s="12" t="str">
        <f t="shared" si="7"/>
        <v>* group[=].element[+].code = #Surgery.dateOfSurgeryOnM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c r="A27" s="59"/>
      <c r="B27" s="11" t="str">
        <f>Surgery!B20</f>
        <v>siteOfSurgeryOnMetastasis</v>
      </c>
      <c r="C27" s="11" t="str">
        <f>Surgery!C20</f>
        <v>Site of surgery on metastasis</v>
      </c>
      <c r="D27" s="12" t="s">
        <v>2097</v>
      </c>
      <c r="E27" s="12"/>
      <c r="F27" s="64" t="s">
        <v>1429</v>
      </c>
      <c r="G27" s="124"/>
      <c r="H27" s="58"/>
      <c r="I27" s="12" t="str">
        <f t="shared" si="7"/>
        <v>* group[=].element[+].code = #Surgery.siteOfSurgeryOnMetastasis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#Surgery.dateOfSurgery</v>
      </c>
    </row>
    <row r="28" spans="1:19" ht="44.25">
      <c r="B28" s="11" t="str">
        <f>Surgery!B21</f>
        <v>siteOfSurgeryOnMetastasis.softTissue</v>
      </c>
      <c r="C28" s="11" t="str">
        <f>Surgery!C21</f>
        <v>Site of surgery on metastasis_soft tissue</v>
      </c>
      <c r="D28" s="12" t="s">
        <v>2097</v>
      </c>
      <c r="E28" s="12"/>
      <c r="F28" s="64" t="s">
        <v>1429</v>
      </c>
      <c r="G28" s="124"/>
      <c r="H28" s="58"/>
      <c r="I28" s="12" t="str">
        <f t="shared" si="7"/>
        <v>* group[=].element[+].code = #Surgery.siteOfSurgeryOnMetastasis.softTissue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c r="B29" s="11" t="str">
        <f>Surgery!B22</f>
        <v>siteOfSurgeryOnMetastasis.distantLymphNodes</v>
      </c>
      <c r="C29" s="11" t="str">
        <f>Surgery!C22</f>
        <v>Site of surgery on metastasis_distant lymph nodes</v>
      </c>
      <c r="D29" s="12" t="s">
        <v>2097</v>
      </c>
      <c r="E29" s="12"/>
      <c r="F29" s="64" t="s">
        <v>1429</v>
      </c>
      <c r="G29" s="124"/>
      <c r="H29" s="58"/>
      <c r="I29" s="12" t="str">
        <f t="shared" si="7"/>
        <v>* group[=].element[+].code = #Surgery.siteOfSurgeryOnMetastasis.distantLymphNodes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c r="B30" s="11" t="str">
        <f>Surgery!B23</f>
        <v>siteOfSurgeryOnMetastasis.lung</v>
      </c>
      <c r="C30" s="11" t="str">
        <f>Surgery!C23</f>
        <v>Site of surgery on metastasis_lung</v>
      </c>
      <c r="D30" s="12" t="s">
        <v>2097</v>
      </c>
      <c r="E30" s="12"/>
      <c r="F30" s="64" t="s">
        <v>1429</v>
      </c>
      <c r="G30" s="124"/>
      <c r="H30" s="58"/>
      <c r="I30" s="12" t="str">
        <f t="shared" si="7"/>
        <v>* group[=].element[+].code = #Surgery.siteOfSurgeryOnMetastasis.lung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c r="B31" s="11" t="str">
        <f>Surgery!B24</f>
        <v>siteOfSurgeryOnMetastasis.bone</v>
      </c>
      <c r="C31" s="11" t="str">
        <f>Surgery!C24</f>
        <v>Site of surgery on metastasis_bone</v>
      </c>
      <c r="D31" s="12" t="s">
        <v>2097</v>
      </c>
      <c r="E31" s="12"/>
      <c r="F31" s="64" t="s">
        <v>1429</v>
      </c>
      <c r="G31" s="124"/>
      <c r="H31" s="58"/>
      <c r="I31" s="12" t="str">
        <f t="shared" si="7"/>
        <v>* group[=].element[+].code = #Surgery.siteOfSurgeryOnMetastasis.bone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c r="B32" s="11" t="str">
        <f>Surgery!B25</f>
        <v>siteOfSurgeryOnMetastasis.liver</v>
      </c>
      <c r="C32" s="11" t="str">
        <f>Surgery!C25</f>
        <v>Site of surgery on metastasis_liver</v>
      </c>
      <c r="D32" s="12" t="s">
        <v>2097</v>
      </c>
      <c r="E32" s="12"/>
      <c r="F32" s="64" t="s">
        <v>1429</v>
      </c>
      <c r="G32" s="124"/>
      <c r="H32" s="58"/>
      <c r="I32" s="12" t="str">
        <f t="shared" si="7"/>
        <v>* group[=].element[+].code = #Surgery.siteOfSurgeryOnMetastasis.liver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c r="B33" s="11" t="str">
        <f>Surgery!B26</f>
        <v>siteOfSurgeryOnMetastasis.pleura</v>
      </c>
      <c r="C33" s="11" t="str">
        <f>Surgery!C26</f>
        <v>Site of surgery on metastasis_pleura</v>
      </c>
      <c r="D33" s="12" t="s">
        <v>2097</v>
      </c>
      <c r="E33" s="12"/>
      <c r="F33" s="64" t="s">
        <v>1429</v>
      </c>
      <c r="G33" s="64"/>
      <c r="H33" s="58"/>
      <c r="I33" s="12" t="str">
        <f t="shared" si="7"/>
        <v>* group[=].element[+].code = #Surgery.siteOfSurgeryOnMetastasis.pleura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#Surgery.surgeryIntention</v>
      </c>
    </row>
    <row r="34" spans="1:19" ht="44.25">
      <c r="B34" s="11" t="str">
        <f>Surgery!B27</f>
        <v>siteOfSurgeryOnMetastasis.peritoneum</v>
      </c>
      <c r="C34" s="11" t="str">
        <f>Surgery!C27</f>
        <v>Site of surgery on metastasis_peritoneum</v>
      </c>
      <c r="D34" s="12" t="s">
        <v>2097</v>
      </c>
      <c r="E34" s="12"/>
      <c r="F34" s="64" t="s">
        <v>1429</v>
      </c>
      <c r="G34" s="64"/>
      <c r="H34" s="58"/>
      <c r="I34" s="12" t="str">
        <f t="shared" si="7"/>
        <v>* group[=].element[+].code = #Surgery.siteOfSurgeryOnMetastasis.peritoneum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c r="B35" s="11" t="str">
        <f>Surgery!B28</f>
        <v>siteOfSurgeryOnMetastasis.brain</v>
      </c>
      <c r="C35" s="11" t="str">
        <f>Surgery!C28</f>
        <v>Site of surgery on metastasis_brain</v>
      </c>
      <c r="D35" s="12" t="s">
        <v>2097</v>
      </c>
      <c r="E35" s="12"/>
      <c r="F35" s="64" t="s">
        <v>1429</v>
      </c>
      <c r="G35" s="64"/>
      <c r="H35" s="58"/>
      <c r="I35" s="12" t="str">
        <f t="shared" si="7"/>
        <v>* group[=].element[+].code = #Surgery.siteOfSurgeryOnMetastasis.brain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c r="B36" s="11" t="str">
        <f>Surgery!B29</f>
        <v>siteOfSurgeryOnMetastasis.otherViscera</v>
      </c>
      <c r="C36" s="11" t="str">
        <f>Surgery!C29</f>
        <v>Site of surgery on metastasis_other viscera</v>
      </c>
      <c r="D36" s="12" t="s">
        <v>2097</v>
      </c>
      <c r="E36" s="12"/>
      <c r="F36" s="64" t="s">
        <v>1429</v>
      </c>
      <c r="G36" s="64"/>
      <c r="H36" s="58"/>
      <c r="I36" s="12" t="str">
        <f t="shared" si="7"/>
        <v>* group[=].element[+].code = #Surgery.siteOfSurgeryOnMetastasis.otherViscera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c r="B37" s="11" t="str">
        <f>Surgery!B30</f>
        <v>siteOfSurgeryOnMetastasis.unknown</v>
      </c>
      <c r="C37" s="11" t="str">
        <f>Surgery!C30</f>
        <v>Site of surgery on metastasis_unknown</v>
      </c>
      <c r="D37" s="12" t="s">
        <v>2097</v>
      </c>
      <c r="E37" s="12"/>
      <c r="F37" s="64" t="s">
        <v>1429</v>
      </c>
      <c r="G37" s="64"/>
      <c r="H37" s="58"/>
      <c r="I37" s="12" t="str">
        <f t="shared" si="7"/>
        <v>* group[=].element[+].code = #Surgery.siteOfSurgeryOnMetastasis.unknown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c r="B38" s="11" t="str">
        <f>Surgery!B31</f>
        <v>surgicalComplicationsClavienDindoClassification</v>
      </c>
      <c r="C38" s="11" t="str">
        <f>Surgery!C31</f>
        <v>Surgical complications (Clavien-Dindo Classification)</v>
      </c>
      <c r="D38" s="12" t="s">
        <v>2315</v>
      </c>
      <c r="E38" s="12"/>
      <c r="F38" s="64" t="s">
        <v>1429</v>
      </c>
      <c r="G38" s="64"/>
      <c r="H38" s="58"/>
      <c r="I38" s="12" t="str">
        <f t="shared" si="7"/>
        <v>* group[=].element[+].code = #Surgery.surgicalComplicationsClavienDindoClassification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c r="B39" s="11"/>
      <c r="C39" s="11"/>
      <c r="D39" s="12"/>
      <c r="E39" s="12"/>
      <c r="F39" s="64"/>
      <c r="G39" s="64"/>
      <c r="H39" s="58"/>
      <c r="I39" s="12"/>
      <c r="J39" s="12"/>
      <c r="K39" s="12"/>
      <c r="L39" s="12"/>
      <c r="M39" s="12"/>
      <c r="N39" s="12" t="str">
        <f t="shared" si="17"/>
        <v/>
      </c>
      <c r="P39" s="11">
        <v>25</v>
      </c>
      <c r="Q39" s="11">
        <f t="shared" si="5"/>
        <v>4</v>
      </c>
      <c r="R39" s="11">
        <f t="shared" si="6"/>
        <v>1</v>
      </c>
      <c r="S39" s="12" t="str" cm="1">
        <f t="array" ref="S39">INDEX('Surgery-ConceptMap-1'!$I$15:$N$124,Q39+1,R39)</f>
        <v>* group[=].element[+].code = #Surgery.typeOfSurgicalApproachOnTumour</v>
      </c>
    </row>
    <row r="40" spans="1:19" s="2" customFormat="1">
      <c r="A40"/>
      <c r="B40" s="11"/>
      <c r="C40" s="11"/>
      <c r="D40" s="12"/>
      <c r="E40" s="12"/>
      <c r="F40" s="64"/>
      <c r="G40" s="58"/>
      <c r="H40" s="58"/>
      <c r="J40"/>
      <c r="K40" s="58"/>
      <c r="L40" s="58"/>
      <c r="M40" s="66"/>
      <c r="N40" s="66"/>
      <c r="P40" s="11">
        <v>26</v>
      </c>
      <c r="Q40" s="11">
        <f t="shared" si="5"/>
        <v>4</v>
      </c>
      <c r="R40" s="11">
        <f t="shared" si="6"/>
        <v>2</v>
      </c>
      <c r="S40" s="12" t="str" cm="1">
        <f t="array" ref="S40">INDEX('Surgery-ConceptMap-1'!$I$15:$N$124,Q40+1,R40)</f>
        <v>* group[=].element[=].display = ##34#Type of surgical approach on Tumour##34#</v>
      </c>
    </row>
    <row r="41" spans="1:19" s="2" customFormat="1" ht="29.5">
      <c r="A41"/>
      <c r="B41" s="11"/>
      <c r="C41" s="11"/>
      <c r="D41" s="12"/>
      <c r="F41" s="58"/>
      <c r="G41" s="58"/>
      <c r="H41" s="58"/>
      <c r="J41"/>
      <c r="K41" s="58"/>
      <c r="L41" s="58"/>
      <c r="M41" s="66"/>
      <c r="N41" s="66"/>
      <c r="P41" s="11">
        <v>27</v>
      </c>
      <c r="Q41" s="11">
        <f t="shared" si="5"/>
        <v>4</v>
      </c>
      <c r="R41" s="11">
        <f t="shared" si="6"/>
        <v>3</v>
      </c>
      <c r="S41" s="12" t="str" cm="1">
        <f t="array" ref="S41">INDEX('Surgery-ConceptMap-1'!$I$15:$N$124,Q41+1,R41)</f>
        <v>* group[=].element[=].target.code = #Procedure.extension:procedure-approachBodyStructure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INDEX('Surgery-ConceptMap-1'!$I$15:$N$124,Q42+1,R42)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INDEX('Surgery-ConceptMap-1'!$I$15:$N$124,Q43+1,R43)</f>
        <v>* group[=].element[=].target.equivalence = #relatedto</v>
      </c>
    </row>
    <row r="44" spans="1:19" s="2" customFormat="1" ht="29.5">
      <c r="A44"/>
      <c r="B44" s="11"/>
      <c r="C44" s="11"/>
      <c r="F44" s="58"/>
      <c r="G44" s="58"/>
      <c r="H44" s="58"/>
      <c r="J44" s="58"/>
      <c r="K44" s="58"/>
      <c r="L44" s="58"/>
      <c r="M44" s="66"/>
      <c r="N44" s="66"/>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c r="B45" s="11"/>
      <c r="C45" s="11"/>
      <c r="P45" s="11">
        <v>31</v>
      </c>
      <c r="Q45" s="11">
        <f t="shared" si="5"/>
        <v>5</v>
      </c>
      <c r="R45" s="11">
        <f t="shared" si="6"/>
        <v>1</v>
      </c>
      <c r="S45" s="12" t="str" cm="1">
        <f t="array" ref="S45">INDEX('Surgery-ConceptMap-1'!$I$15:$N$124,Q45+1,R45)</f>
        <v>* group[=].element[+].code = #Surgery.marginsAfterSurgery</v>
      </c>
    </row>
    <row r="46" spans="1:19">
      <c r="B46" s="11"/>
      <c r="C46" s="11"/>
      <c r="P46" s="11">
        <v>32</v>
      </c>
      <c r="Q46" s="11">
        <f t="shared" si="5"/>
        <v>5</v>
      </c>
      <c r="R46" s="11">
        <f t="shared" si="6"/>
        <v>2</v>
      </c>
      <c r="S46" s="12" t="str" cm="1">
        <f t="array" ref="S46">INDEX('Surgery-ConceptMap-1'!$I$15:$N$124,Q46+1,R46)</f>
        <v>* group[=].element[=].display = ##34#Margins after surgery##34#</v>
      </c>
    </row>
    <row r="47" spans="1:19">
      <c r="P47" s="11">
        <v>33</v>
      </c>
      <c r="Q47" s="11">
        <f t="shared" si="5"/>
        <v>5</v>
      </c>
      <c r="R47" s="11">
        <f t="shared" si="6"/>
        <v>3</v>
      </c>
      <c r="S47" s="12" t="str" cm="1">
        <f t="array" ref="S47">INDEX('Surgery-ConceptMap-1'!$I$15:$N$124,Q47+1,R47)</f>
        <v>* group[=].element[=].target.code = #Procedure.outcome</v>
      </c>
    </row>
    <row r="48" spans="1:19">
      <c r="P48" s="11">
        <v>34</v>
      </c>
      <c r="Q48" s="11">
        <f t="shared" si="5"/>
        <v>5</v>
      </c>
      <c r="R48" s="11">
        <f t="shared" si="6"/>
        <v>4</v>
      </c>
      <c r="S48" s="12" t="str" cm="1">
        <f t="array" ref="S48">INDEX('Surgery-ConceptMap-1'!$I$15:$N$124,Q48+1,R48)</f>
        <v>* group[=].element[=].target.display = ##34###34#</v>
      </c>
    </row>
    <row r="49" spans="16:19">
      <c r="P49" s="11">
        <v>35</v>
      </c>
      <c r="Q49" s="11">
        <f t="shared" si="5"/>
        <v>5</v>
      </c>
      <c r="R49" s="11">
        <f t="shared" si="6"/>
        <v>5</v>
      </c>
      <c r="S49" s="12" t="str" cm="1">
        <f t="array" ref="S49">INDEX('Surgery-ConceptMap-1'!$I$15:$N$124,Q49+1,R49)</f>
        <v>* group[=].element[=].target.equivalence = #relatedto</v>
      </c>
    </row>
    <row r="50" spans="16:19">
      <c r="P50" s="11">
        <v>36</v>
      </c>
      <c r="Q50" s="11">
        <f t="shared" si="5"/>
        <v>5</v>
      </c>
      <c r="R50" s="11">
        <f t="shared" si="6"/>
        <v>6</v>
      </c>
      <c r="S50" s="12" t="str" cm="1">
        <f t="array" ref="S50">INDEX('Surgery-ConceptMap-1'!$I$15:$N$124,Q50+1,R50)</f>
        <v/>
      </c>
    </row>
    <row r="51" spans="16:19">
      <c r="P51" s="11">
        <v>37</v>
      </c>
      <c r="Q51" s="11">
        <f t="shared" si="5"/>
        <v>6</v>
      </c>
      <c r="R51" s="11">
        <f t="shared" si="6"/>
        <v>1</v>
      </c>
      <c r="S51" s="12" t="str" cm="1">
        <f t="array" ref="S51">INDEX('Surgery-ConceptMap-1'!$I$15:$N$124,Q51+1,R51)</f>
        <v>* group[=].element[+].code = #Surgery.reconstruction</v>
      </c>
    </row>
    <row r="52" spans="16:19">
      <c r="P52" s="11">
        <v>38</v>
      </c>
      <c r="Q52" s="11">
        <f t="shared" si="5"/>
        <v>6</v>
      </c>
      <c r="R52" s="11">
        <f t="shared" si="6"/>
        <v>2</v>
      </c>
      <c r="S52" s="12" t="str" cm="1">
        <f t="array" ref="S52">INDEX('Surgery-ConceptMap-1'!$I$15:$N$124,Q52+1,R52)</f>
        <v>* group[=].element[=].display = ##34#Reconstruction##34#</v>
      </c>
    </row>
    <row r="53" spans="16:19">
      <c r="P53" s="11">
        <v>39</v>
      </c>
      <c r="Q53" s="11">
        <f t="shared" si="5"/>
        <v>6</v>
      </c>
      <c r="R53" s="11">
        <f t="shared" si="6"/>
        <v>3</v>
      </c>
      <c r="S53" s="12" t="str" cm="1">
        <f t="array" ref="S53">INDEX('Surgery-ConceptMap-1'!$I$15:$N$124,Q53+1,R53)</f>
        <v>* group[=].element[=].target.code = #Procedure.</v>
      </c>
    </row>
    <row r="54" spans="16:19">
      <c r="P54" s="11">
        <v>40</v>
      </c>
      <c r="Q54" s="11">
        <f t="shared" si="5"/>
        <v>6</v>
      </c>
      <c r="R54" s="11">
        <f t="shared" si="6"/>
        <v>4</v>
      </c>
      <c r="S54" s="12" t="str" cm="1">
        <f t="array" ref="S54">INDEX('Surgery-ConceptMap-1'!$I$15:$N$124,Q54+1,R54)</f>
        <v>* group[=].element[=].target.display = ##34###34#</v>
      </c>
    </row>
    <row r="55" spans="16:19">
      <c r="P55" s="11">
        <v>41</v>
      </c>
      <c r="Q55" s="11">
        <f t="shared" si="5"/>
        <v>6</v>
      </c>
      <c r="R55" s="11">
        <f t="shared" si="6"/>
        <v>5</v>
      </c>
      <c r="S55" s="12" t="str" cm="1">
        <f t="array" ref="S55">INDEX('Surgery-ConceptMap-1'!$I$15:$N$124,Q55+1,R55)</f>
        <v>* group[=].element[=].target.equivalence = #relatedto</v>
      </c>
    </row>
    <row r="56" spans="16:19">
      <c r="P56" s="11">
        <v>42</v>
      </c>
      <c r="Q56" s="11">
        <f t="shared" si="5"/>
        <v>6</v>
      </c>
      <c r="R56" s="11">
        <f t="shared" si="6"/>
        <v>6</v>
      </c>
      <c r="S56" s="12" t="str" cm="1">
        <f t="array" ref="S56">INDEX('Surgery-ConceptMap-1'!$I$15:$N$124,Q56+1,R56)</f>
        <v>* group[=].element[=].target.comment = ##34#TO BE ANALIZED##34#</v>
      </c>
    </row>
    <row r="57" spans="16:19">
      <c r="P57" s="11">
        <v>43</v>
      </c>
      <c r="Q57" s="11">
        <f t="shared" si="5"/>
        <v>7</v>
      </c>
      <c r="R57" s="11">
        <f t="shared" si="6"/>
        <v>1</v>
      </c>
      <c r="S57" s="12" t="str" cm="1">
        <f t="array" ref="S57">INDEX('Surgery-ConceptMap-1'!$I$15:$N$124,Q57+1,R57)</f>
        <v>* group[=].element[+].code = #Surgery.neckSurgery</v>
      </c>
    </row>
    <row r="58" spans="16:19">
      <c r="P58" s="11">
        <v>44</v>
      </c>
      <c r="Q58" s="11">
        <f t="shared" si="5"/>
        <v>7</v>
      </c>
      <c r="R58" s="11">
        <f t="shared" si="6"/>
        <v>2</v>
      </c>
      <c r="S58" s="12" t="str" cm="1">
        <f t="array" ref="S58">INDEX('Surgery-ConceptMap-1'!$I$15:$N$124,Q58+1,R58)</f>
        <v>* group[=].element[=].display = ##34#Neck surgery##34#</v>
      </c>
    </row>
    <row r="59" spans="16:19">
      <c r="P59" s="11">
        <v>45</v>
      </c>
      <c r="Q59" s="11">
        <f t="shared" si="5"/>
        <v>7</v>
      </c>
      <c r="R59" s="11">
        <f t="shared" si="6"/>
        <v>3</v>
      </c>
      <c r="S59" s="12" t="str" cm="1">
        <f t="array" ref="S59">INDEX('Surgery-ConceptMap-1'!$I$15:$N$124,Q59+1,R59)</f>
        <v>* group[=].element[=].target.code = #Procedure.</v>
      </c>
    </row>
    <row r="60" spans="16:19">
      <c r="P60" s="11">
        <v>46</v>
      </c>
      <c r="Q60" s="11">
        <f t="shared" si="5"/>
        <v>7</v>
      </c>
      <c r="R60" s="11">
        <f t="shared" si="6"/>
        <v>4</v>
      </c>
      <c r="S60" s="12" t="str" cm="1">
        <f t="array" ref="S60">INDEX('Surgery-ConceptMap-1'!$I$15:$N$124,Q60+1,R60)</f>
        <v>* group[=].element[=].target.display = ##34###34#</v>
      </c>
    </row>
    <row r="61" spans="16:19">
      <c r="P61" s="11">
        <v>47</v>
      </c>
      <c r="Q61" s="11">
        <f t="shared" si="5"/>
        <v>7</v>
      </c>
      <c r="R61" s="11">
        <f t="shared" si="6"/>
        <v>5</v>
      </c>
      <c r="S61" s="12" t="str" cm="1">
        <f t="array" ref="S61">INDEX('Surgery-ConceptMap-1'!$I$15:$N$124,Q61+1,R61)</f>
        <v>* group[=].element[=].target.equivalence = #relatedto</v>
      </c>
    </row>
    <row r="62" spans="16:19" ht="29.5">
      <c r="P62" s="11">
        <v>48</v>
      </c>
      <c r="Q62" s="11">
        <f t="shared" si="5"/>
        <v>7</v>
      </c>
      <c r="R62" s="11">
        <f t="shared" si="6"/>
        <v>6</v>
      </c>
      <c r="S62" s="12" t="str" cm="1">
        <f t="array" ref="S62">INDEX('Surgery-ConceptMap-1'!$I$15:$N$124,Q62+1,R62)</f>
        <v>* group[=].element[=].target.comment = ##34#a surgical proceudre exists with bodySite = neck##34#</v>
      </c>
    </row>
    <row r="63" spans="16:19">
      <c r="P63" s="11">
        <v>49</v>
      </c>
      <c r="Q63" s="11">
        <f t="shared" si="5"/>
        <v>8</v>
      </c>
      <c r="R63" s="11">
        <f t="shared" si="6"/>
        <v>1</v>
      </c>
      <c r="S63" s="12" t="str" cm="1">
        <f t="array" ref="S63">INDEX('Surgery-ConceptMap-1'!$I$15:$N$124,Q63+1,R63)</f>
        <v>* group[=].element[+].code = #Surgery.dateOfNeckSurgey</v>
      </c>
    </row>
    <row r="64" spans="16:19">
      <c r="P64" s="11">
        <v>50</v>
      </c>
      <c r="Q64" s="11">
        <f t="shared" si="5"/>
        <v>8</v>
      </c>
      <c r="R64" s="11">
        <f t="shared" si="6"/>
        <v>2</v>
      </c>
      <c r="S64" s="12" t="str" cm="1">
        <f t="array" ref="S64">INDEX('Surgery-ConceptMap-1'!$I$15:$N$124,Q64+1,R64)</f>
        <v>* group[=].element[=].display = ##34#Date of Neck surgey##34#</v>
      </c>
    </row>
    <row r="65" spans="16:19">
      <c r="P65" s="11">
        <v>51</v>
      </c>
      <c r="Q65" s="11">
        <f t="shared" si="5"/>
        <v>8</v>
      </c>
      <c r="R65" s="11">
        <f t="shared" si="6"/>
        <v>3</v>
      </c>
      <c r="S65" s="12" t="str" cm="1">
        <f t="array" ref="S65">INDEX('Surgery-ConceptMap-1'!$I$15:$N$124,Q65+1,R65)</f>
        <v>* group[=].element[=].target.code = #Procedure. performedDateTime</v>
      </c>
    </row>
    <row r="66" spans="16:19">
      <c r="P66" s="11">
        <v>52</v>
      </c>
      <c r="Q66" s="11">
        <f t="shared" si="5"/>
        <v>8</v>
      </c>
      <c r="R66" s="11">
        <f t="shared" si="6"/>
        <v>4</v>
      </c>
      <c r="S66" s="12" t="str" cm="1">
        <f t="array" ref="S66">INDEX('Surgery-ConceptMap-1'!$I$15:$N$124,Q66+1,R66)</f>
        <v>* group[=].element[=].target.display = ##34###34#</v>
      </c>
    </row>
    <row r="67" spans="16:19">
      <c r="P67" s="11">
        <v>53</v>
      </c>
      <c r="Q67" s="11">
        <f t="shared" si="5"/>
        <v>8</v>
      </c>
      <c r="R67" s="11">
        <f t="shared" si="6"/>
        <v>5</v>
      </c>
      <c r="S67" s="12" t="str" cm="1">
        <f t="array" ref="S67">INDEX('Surgery-ConceptMap-1'!$I$15:$N$124,Q67+1,R67)</f>
        <v>* group[=].element[=].target.equivalence = #equal</v>
      </c>
    </row>
    <row r="68" spans="16:19" ht="29.5">
      <c r="P68" s="11">
        <v>54</v>
      </c>
      <c r="Q68" s="11">
        <f t="shared" si="5"/>
        <v>8</v>
      </c>
      <c r="R68" s="11">
        <f t="shared" si="6"/>
        <v>6</v>
      </c>
      <c r="S68" s="12" t="str" cm="1">
        <f t="array" ref="S68">INDEX('Surgery-ConceptMap-1'!$I$15:$N$124,Q68+1,R68)</f>
        <v>* group[=].element[=].target.comment = ##34#how this differs fomr the dateOfSurgery ?##34#</v>
      </c>
    </row>
    <row r="69" spans="16:19">
      <c r="P69" s="11">
        <v>55</v>
      </c>
      <c r="Q69" s="11">
        <f t="shared" si="5"/>
        <v>9</v>
      </c>
      <c r="R69" s="11">
        <f t="shared" si="6"/>
        <v>1</v>
      </c>
      <c r="S69" s="12" t="str" cm="1">
        <f t="array" ref="S69">INDEX('Surgery-ConceptMap-1'!$I$15:$N$124,Q69+1,R69)</f>
        <v>* group[=].element[+].code = #Surgery.lateralityOfTheDissection</v>
      </c>
    </row>
    <row r="70" spans="16:19">
      <c r="P70" s="11">
        <v>56</v>
      </c>
      <c r="Q70" s="11">
        <f t="shared" si="5"/>
        <v>9</v>
      </c>
      <c r="R70" s="11">
        <f t="shared" si="6"/>
        <v>2</v>
      </c>
      <c r="S70" s="12" t="str" cm="1">
        <f t="array" ref="S70">INDEX('Surgery-ConceptMap-1'!$I$15:$N$124,Q70+1,R70)</f>
        <v>* group[=].element[=].display = ##34#Laterality of the dissection##34#</v>
      </c>
    </row>
    <row r="71" spans="16:19">
      <c r="P71" s="11">
        <v>57</v>
      </c>
      <c r="Q71" s="11">
        <f t="shared" si="5"/>
        <v>9</v>
      </c>
      <c r="R71" s="11">
        <f t="shared" si="6"/>
        <v>3</v>
      </c>
      <c r="S71" s="12" t="str" cm="1">
        <f t="array" ref="S71">INDEX('Surgery-ConceptMap-1'!$I$15:$N$124,Q71+1,R71)</f>
        <v>* group[=].element[=].target.code = #Procedure.bodySite.extension:laterality</v>
      </c>
    </row>
    <row r="72" spans="16:19">
      <c r="P72" s="11">
        <v>58</v>
      </c>
      <c r="Q72" s="11">
        <f t="shared" si="5"/>
        <v>9</v>
      </c>
      <c r="R72" s="11">
        <f t="shared" si="6"/>
        <v>4</v>
      </c>
      <c r="S72" s="12" t="str" cm="1">
        <f t="array" ref="S72">INDEX('Surgery-ConceptMap-1'!$I$15:$N$124,Q72+1,R72)</f>
        <v>* group[=].element[=].target.display = ##34###34#</v>
      </c>
    </row>
    <row r="73" spans="16:19">
      <c r="P73" s="11">
        <v>59</v>
      </c>
      <c r="Q73" s="11">
        <f t="shared" si="5"/>
        <v>9</v>
      </c>
      <c r="R73" s="11">
        <f t="shared" si="6"/>
        <v>5</v>
      </c>
      <c r="S73" s="12" t="str" cm="1">
        <f t="array" ref="S73">INDEX('Surgery-ConceptMap-1'!$I$15:$N$124,Q73+1,R73)</f>
        <v>* group[=].element[=].target.equivalence = #relatedto</v>
      </c>
    </row>
    <row r="74" spans="16:19">
      <c r="P74" s="11">
        <v>60</v>
      </c>
      <c r="Q74" s="11">
        <f t="shared" si="5"/>
        <v>9</v>
      </c>
      <c r="R74" s="11">
        <f t="shared" si="6"/>
        <v>6</v>
      </c>
      <c r="S74" s="12" t="str" cm="1">
        <f t="array" ref="S74">INDEX('Surgery-ConceptMap-1'!$I$15:$N$124,Q74+1,R74)</f>
        <v/>
      </c>
    </row>
    <row r="75" spans="16:19">
      <c r="P75" s="11">
        <v>61</v>
      </c>
      <c r="Q75" s="11">
        <f t="shared" si="5"/>
        <v>10</v>
      </c>
      <c r="R75" s="11">
        <f t="shared" si="6"/>
        <v>1</v>
      </c>
      <c r="S75" s="12" t="str" cm="1">
        <f t="array" ref="S75">INDEX('Surgery-ConceptMap-1'!$I$15:$N$124,Q75+1,R75)</f>
        <v>* group[=].element[+].code = #Surgery.surgeryOnM</v>
      </c>
    </row>
    <row r="76" spans="16:19">
      <c r="P76" s="11">
        <v>62</v>
      </c>
      <c r="Q76" s="11">
        <f t="shared" si="5"/>
        <v>10</v>
      </c>
      <c r="R76" s="11">
        <f t="shared" si="6"/>
        <v>2</v>
      </c>
      <c r="S76" s="12" t="str" cm="1">
        <f t="array" ref="S76">INDEX('Surgery-ConceptMap-1'!$I$15:$N$124,Q76+1,R76)</f>
        <v>* group[=].element[=].display = ##34#Surgery on M##34#</v>
      </c>
    </row>
    <row r="77" spans="16:19">
      <c r="P77" s="11">
        <v>63</v>
      </c>
      <c r="Q77" s="11">
        <f t="shared" si="5"/>
        <v>10</v>
      </c>
      <c r="R77" s="11">
        <f t="shared" si="6"/>
        <v>3</v>
      </c>
      <c r="S77" s="12" t="str" cm="1">
        <f t="array" ref="S77">INDEX('Surgery-ConceptMap-1'!$I$15:$N$124,Q77+1,R77)</f>
        <v>* group[=].element[=].target.code = #Procedure.</v>
      </c>
    </row>
    <row r="78" spans="16:19">
      <c r="P78" s="11">
        <v>64</v>
      </c>
      <c r="Q78" s="11">
        <f t="shared" si="5"/>
        <v>10</v>
      </c>
      <c r="R78" s="11">
        <f t="shared" si="6"/>
        <v>4</v>
      </c>
      <c r="S78" s="12" t="str" cm="1">
        <f t="array" ref="S78">INDEX('Surgery-ConceptMap-1'!$I$15:$N$124,Q78+1,R78)</f>
        <v>* group[=].element[=].target.display = ##34###34#</v>
      </c>
    </row>
    <row r="79" spans="16:19">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c r="P81" s="11">
        <v>67</v>
      </c>
      <c r="Q81" s="11">
        <f t="shared" si="18"/>
        <v>11</v>
      </c>
      <c r="R81" s="11">
        <f t="shared" si="19"/>
        <v>1</v>
      </c>
      <c r="S81" s="12" t="str" cm="1">
        <f t="array" ref="S81">INDEX('Surgery-ConceptMap-1'!$I$15:$N$124,Q81+1,R81)</f>
        <v>* group[=].element[+].code = #Surgery.dateOfSurgeryOnM</v>
      </c>
    </row>
    <row r="82" spans="16:19">
      <c r="P82" s="11">
        <v>68</v>
      </c>
      <c r="Q82" s="11">
        <f t="shared" si="18"/>
        <v>11</v>
      </c>
      <c r="R82" s="11">
        <f t="shared" si="19"/>
        <v>2</v>
      </c>
      <c r="S82" s="12" t="str" cm="1">
        <f t="array" ref="S82">INDEX('Surgery-ConceptMap-1'!$I$15:$N$124,Q82+1,R82)</f>
        <v>* group[=].element[=].display = ##34#Date of surgery on M##34#</v>
      </c>
    </row>
    <row r="83" spans="16:19">
      <c r="P83" s="11">
        <v>69</v>
      </c>
      <c r="Q83" s="11">
        <f t="shared" si="18"/>
        <v>11</v>
      </c>
      <c r="R83" s="11">
        <f t="shared" si="19"/>
        <v>3</v>
      </c>
      <c r="S83" s="12" t="str" cm="1">
        <f t="array" ref="S83">INDEX('Surgery-ConceptMap-1'!$I$15:$N$124,Q83+1,R83)</f>
        <v>* group[=].element[=].target.code = #Procedure.</v>
      </c>
    </row>
    <row r="84" spans="16:19">
      <c r="P84" s="11">
        <v>70</v>
      </c>
      <c r="Q84" s="11">
        <f t="shared" si="18"/>
        <v>11</v>
      </c>
      <c r="R84" s="11">
        <f t="shared" si="19"/>
        <v>4</v>
      </c>
      <c r="S84" s="12" t="str" cm="1">
        <f t="array" ref="S84">INDEX('Surgery-ConceptMap-1'!$I$15:$N$124,Q84+1,R84)</f>
        <v>* group[=].element[=].target.display = ##34###34#</v>
      </c>
    </row>
    <row r="85" spans="16:19">
      <c r="P85" s="11">
        <v>71</v>
      </c>
      <c r="Q85" s="11">
        <f t="shared" si="18"/>
        <v>11</v>
      </c>
      <c r="R85" s="11">
        <f t="shared" si="19"/>
        <v>5</v>
      </c>
      <c r="S85" s="12" t="str" cm="1">
        <f t="array" ref="S85">INDEX('Surgery-ConceptMap-1'!$I$15:$N$124,Q85+1,R85)</f>
        <v>* group[=].element[=].target.equivalence = #relatedto</v>
      </c>
    </row>
    <row r="86" spans="16:19" ht="29.5">
      <c r="P86" s="11">
        <v>72</v>
      </c>
      <c r="Q86" s="11">
        <f t="shared" si="18"/>
        <v>11</v>
      </c>
      <c r="R86" s="11">
        <f t="shared" si="19"/>
        <v>6</v>
      </c>
      <c r="S86" s="12" t="str" cm="1">
        <f t="array" ref="S86">INDEX('Surgery-ConceptMap-1'!$I$15:$N$124,Q86+1,R86)</f>
        <v>* group[=].element[=].target.comment = ##34#how this differs fomr the dateOfSurgery ?##34#</v>
      </c>
    </row>
    <row r="87" spans="16:19">
      <c r="P87" s="11">
        <v>73</v>
      </c>
      <c r="Q87" s="11">
        <f t="shared" si="18"/>
        <v>12</v>
      </c>
      <c r="R87" s="11">
        <f t="shared" si="19"/>
        <v>1</v>
      </c>
      <c r="S87" s="12" t="str" cm="1">
        <f t="array" ref="S87">INDEX('Surgery-ConceptMap-1'!$I$15:$N$124,Q87+1,R87)</f>
        <v>* group[=].element[+].code = #Surgery.siteOfSurgeryOnMetastasis</v>
      </c>
    </row>
    <row r="88" spans="16:19">
      <c r="P88" s="11">
        <v>74</v>
      </c>
      <c r="Q88" s="11">
        <f t="shared" si="18"/>
        <v>12</v>
      </c>
      <c r="R88" s="11">
        <f t="shared" si="19"/>
        <v>2</v>
      </c>
      <c r="S88" s="12" t="str" cm="1">
        <f t="array" ref="S88">INDEX('Surgery-ConceptMap-1'!$I$15:$N$124,Q88+1,R88)</f>
        <v>* group[=].element[=].display = ##34#Site of surgery on metastasis##34#</v>
      </c>
    </row>
    <row r="89" spans="16:19">
      <c r="P89" s="11">
        <v>75</v>
      </c>
      <c r="Q89" s="11">
        <f t="shared" si="18"/>
        <v>12</v>
      </c>
      <c r="R89" s="11">
        <f t="shared" si="19"/>
        <v>3</v>
      </c>
      <c r="S89" s="12" t="str" cm="1">
        <f t="array" ref="S89">INDEX('Surgery-ConceptMap-1'!$I$15:$N$124,Q89+1,R89)</f>
        <v>* group[=].element[=].target.code = #Procedure.bodySite</v>
      </c>
    </row>
    <row r="90" spans="16:19">
      <c r="P90" s="11">
        <v>76</v>
      </c>
      <c r="Q90" s="11">
        <f t="shared" si="18"/>
        <v>12</v>
      </c>
      <c r="R90" s="11">
        <f t="shared" si="19"/>
        <v>4</v>
      </c>
      <c r="S90" s="12" t="str" cm="1">
        <f t="array" ref="S90">INDEX('Surgery-ConceptMap-1'!$I$15:$N$124,Q90+1,R90)</f>
        <v>* group[=].element[=].target.display = ##34###34#</v>
      </c>
    </row>
    <row r="91" spans="16:19">
      <c r="P91" s="11">
        <v>77</v>
      </c>
      <c r="Q91" s="11">
        <f t="shared" si="18"/>
        <v>12</v>
      </c>
      <c r="R91" s="11">
        <f t="shared" si="19"/>
        <v>5</v>
      </c>
      <c r="S91" s="12" t="str" cm="1">
        <f t="array" ref="S91">INDEX('Surgery-ConceptMap-1'!$I$15:$N$124,Q91+1,R91)</f>
        <v>* group[=].element[=].target.equivalence = #equivalent</v>
      </c>
    </row>
    <row r="92" spans="16:19">
      <c r="P92" s="11">
        <v>78</v>
      </c>
      <c r="Q92" s="11">
        <f t="shared" si="18"/>
        <v>12</v>
      </c>
      <c r="R92" s="11">
        <f t="shared" si="19"/>
        <v>6</v>
      </c>
      <c r="S92" s="12" t="str" cm="1">
        <f t="array" ref="S92">INDEX('Surgery-ConceptMap-1'!$I$15:$N$124,Q92+1,R92)</f>
        <v/>
      </c>
    </row>
    <row r="93" spans="16:19">
      <c r="P93" s="11">
        <v>79</v>
      </c>
      <c r="Q93" s="11">
        <f t="shared" si="18"/>
        <v>13</v>
      </c>
      <c r="R93" s="11">
        <f t="shared" si="19"/>
        <v>1</v>
      </c>
      <c r="S93" s="12" t="str" cm="1">
        <f t="array" ref="S93">INDEX('Surgery-ConceptMap-1'!$I$15:$N$124,Q93+1,R93)</f>
        <v>* group[=].element[+].code = #Surgery.siteOfSurgeryOnMetastasis.softTissue</v>
      </c>
    </row>
    <row r="94" spans="16:19">
      <c r="P94" s="11">
        <v>80</v>
      </c>
      <c r="Q94" s="11">
        <f t="shared" si="18"/>
        <v>13</v>
      </c>
      <c r="R94" s="11">
        <f t="shared" si="19"/>
        <v>2</v>
      </c>
      <c r="S94" s="12" t="str" cm="1">
        <f t="array" ref="S94">INDEX('Surgery-ConceptMap-1'!$I$15:$N$124,Q94+1,R94)</f>
        <v>* group[=].element[=].display = ##34#Site of surgery on metastasis_soft tissue##34#</v>
      </c>
    </row>
    <row r="95" spans="16:19">
      <c r="P95" s="11">
        <v>81</v>
      </c>
      <c r="Q95" s="11">
        <f t="shared" si="18"/>
        <v>13</v>
      </c>
      <c r="R95" s="11">
        <f t="shared" si="19"/>
        <v>3</v>
      </c>
      <c r="S95" s="12" t="str" cm="1">
        <f t="array" ref="S95">INDEX('Surgery-ConceptMap-1'!$I$15:$N$124,Q95+1,R95)</f>
        <v>* group[=].element[=].target.code = #Procedure.bodySite</v>
      </c>
    </row>
    <row r="96" spans="16:19">
      <c r="P96" s="11">
        <v>82</v>
      </c>
      <c r="Q96" s="11">
        <f t="shared" si="18"/>
        <v>13</v>
      </c>
      <c r="R96" s="11">
        <f t="shared" si="19"/>
        <v>4</v>
      </c>
      <c r="S96" s="12" t="str" cm="1">
        <f t="array" ref="S96">INDEX('Surgery-ConceptMap-1'!$I$15:$N$124,Q96+1,R96)</f>
        <v>* group[=].element[=].target.display = ##34###34#</v>
      </c>
    </row>
    <row r="97" spans="16:19">
      <c r="P97" s="11">
        <v>83</v>
      </c>
      <c r="Q97" s="11">
        <f t="shared" si="18"/>
        <v>13</v>
      </c>
      <c r="R97" s="11">
        <f t="shared" si="19"/>
        <v>5</v>
      </c>
      <c r="S97" s="12" t="str" cm="1">
        <f t="array" ref="S97">INDEX('Surgery-ConceptMap-1'!$I$15:$N$124,Q97+1,R97)</f>
        <v>* group[=].element[=].target.equivalence = #equivalent</v>
      </c>
    </row>
    <row r="98" spans="16:19">
      <c r="P98" s="11">
        <v>84</v>
      </c>
      <c r="Q98" s="11">
        <f t="shared" si="18"/>
        <v>13</v>
      </c>
      <c r="R98" s="11">
        <f t="shared" si="19"/>
        <v>6</v>
      </c>
      <c r="S98" s="12" t="str" cm="1">
        <f t="array" ref="S98">INDEX('Surgery-ConceptMap-1'!$I$15:$N$124,Q98+1,R98)</f>
        <v/>
      </c>
    </row>
    <row r="99" spans="16:19" ht="29.5">
      <c r="P99" s="11">
        <v>85</v>
      </c>
      <c r="Q99" s="11">
        <f t="shared" si="18"/>
        <v>14</v>
      </c>
      <c r="R99" s="11">
        <f t="shared" si="19"/>
        <v>1</v>
      </c>
      <c r="S99" s="12" t="str" cm="1">
        <f t="array" ref="S99">INDEX('Surgery-ConceptMap-1'!$I$15:$N$124,Q99+1,R99)</f>
        <v>* group[=].element[+].code = #Surgery.siteOfSurgeryOnMetastasis.distantLymphNodes</v>
      </c>
    </row>
    <row r="100" spans="16:19" ht="29.5">
      <c r="P100" s="11">
        <v>86</v>
      </c>
      <c r="Q100" s="11">
        <f t="shared" si="18"/>
        <v>14</v>
      </c>
      <c r="R100" s="11">
        <f t="shared" si="19"/>
        <v>2</v>
      </c>
      <c r="S100" s="12" t="str" cm="1">
        <f t="array" ref="S100">INDEX('Surgery-ConceptMap-1'!$I$15:$N$124,Q100+1,R100)</f>
        <v>* group[=].element[=].display = ##34#Site of surgery on metastasis_distant lymph nodes##34#</v>
      </c>
    </row>
    <row r="101" spans="16:19">
      <c r="P101" s="11">
        <v>87</v>
      </c>
      <c r="Q101" s="11">
        <f t="shared" si="18"/>
        <v>14</v>
      </c>
      <c r="R101" s="11">
        <f t="shared" si="19"/>
        <v>3</v>
      </c>
      <c r="S101" s="12" t="str" cm="1">
        <f t="array" ref="S101">INDEX('Surgery-ConceptMap-1'!$I$15:$N$124,Q101+1,R101)</f>
        <v>* group[=].element[=].target.code = #Procedure.bodySite</v>
      </c>
    </row>
    <row r="102" spans="16:19">
      <c r="P102" s="11">
        <v>88</v>
      </c>
      <c r="Q102" s="11">
        <f t="shared" si="18"/>
        <v>14</v>
      </c>
      <c r="R102" s="11">
        <f t="shared" si="19"/>
        <v>4</v>
      </c>
      <c r="S102" s="12" t="str" cm="1">
        <f t="array" ref="S102">INDEX('Surgery-ConceptMap-1'!$I$15:$N$124,Q102+1,R102)</f>
        <v>* group[=].element[=].target.display = ##34###34#</v>
      </c>
    </row>
    <row r="103" spans="16:19">
      <c r="P103" s="11">
        <v>89</v>
      </c>
      <c r="Q103" s="11">
        <f t="shared" si="18"/>
        <v>14</v>
      </c>
      <c r="R103" s="11">
        <f t="shared" si="19"/>
        <v>5</v>
      </c>
      <c r="S103" s="12" t="str" cm="1">
        <f t="array" ref="S103">INDEX('Surgery-ConceptMap-1'!$I$15:$N$124,Q103+1,R103)</f>
        <v>* group[=].element[=].target.equivalence = #equivalent</v>
      </c>
    </row>
    <row r="104" spans="16:19">
      <c r="P104" s="11">
        <v>90</v>
      </c>
      <c r="Q104" s="11">
        <f t="shared" si="18"/>
        <v>14</v>
      </c>
      <c r="R104" s="11">
        <f t="shared" si="19"/>
        <v>6</v>
      </c>
      <c r="S104" s="12" t="str" cm="1">
        <f t="array" ref="S104">INDEX('Surgery-ConceptMap-1'!$I$15:$N$124,Q104+1,R104)</f>
        <v/>
      </c>
    </row>
    <row r="105" spans="16:19">
      <c r="P105" s="11">
        <v>91</v>
      </c>
      <c r="Q105" s="11">
        <f t="shared" si="18"/>
        <v>15</v>
      </c>
      <c r="R105" s="11">
        <f t="shared" si="19"/>
        <v>1</v>
      </c>
      <c r="S105" s="12" t="str" cm="1">
        <f t="array" ref="S105">INDEX('Surgery-ConceptMap-1'!$I$15:$N$124,Q105+1,R105)</f>
        <v>* group[=].element[+].code = #Surgery.siteOfSurgeryOnMetastasis.lung</v>
      </c>
    </row>
    <row r="106" spans="16:19">
      <c r="P106" s="11">
        <v>92</v>
      </c>
      <c r="Q106" s="11">
        <f t="shared" si="18"/>
        <v>15</v>
      </c>
      <c r="R106" s="11">
        <f t="shared" si="19"/>
        <v>2</v>
      </c>
      <c r="S106" s="12" t="str" cm="1">
        <f t="array" ref="S106">INDEX('Surgery-ConceptMap-1'!$I$15:$N$124,Q106+1,R106)</f>
        <v>* group[=].element[=].display = ##34#Site of surgery on metastasis_lung##34#</v>
      </c>
    </row>
    <row r="107" spans="16:19">
      <c r="P107" s="11">
        <v>93</v>
      </c>
      <c r="Q107" s="11">
        <f t="shared" si="18"/>
        <v>15</v>
      </c>
      <c r="R107" s="11">
        <f t="shared" si="19"/>
        <v>3</v>
      </c>
      <c r="S107" s="12" t="str" cm="1">
        <f t="array" ref="S107">INDEX('Surgery-ConceptMap-1'!$I$15:$N$124,Q107+1,R107)</f>
        <v>* group[=].element[=].target.code = #Procedure.bodySite</v>
      </c>
    </row>
    <row r="108" spans="16:19">
      <c r="P108" s="11">
        <v>94</v>
      </c>
      <c r="Q108" s="11">
        <f t="shared" si="18"/>
        <v>15</v>
      </c>
      <c r="R108" s="11">
        <f t="shared" si="19"/>
        <v>4</v>
      </c>
      <c r="S108" s="12" t="str" cm="1">
        <f t="array" ref="S108">INDEX('Surgery-ConceptMap-1'!$I$15:$N$124,Q108+1,R108)</f>
        <v>* group[=].element[=].target.display = ##34###34#</v>
      </c>
    </row>
    <row r="109" spans="16:19">
      <c r="P109" s="11">
        <v>95</v>
      </c>
      <c r="Q109" s="11">
        <f t="shared" si="18"/>
        <v>15</v>
      </c>
      <c r="R109" s="11">
        <f t="shared" si="19"/>
        <v>5</v>
      </c>
      <c r="S109" s="12" t="str" cm="1">
        <f t="array" ref="S109">INDEX('Surgery-ConceptMap-1'!$I$15:$N$124,Q109+1,R109)</f>
        <v>* group[=].element[=].target.equivalence = #equivalent</v>
      </c>
    </row>
    <row r="110" spans="16:19">
      <c r="P110" s="11">
        <v>96</v>
      </c>
      <c r="Q110" s="11">
        <f t="shared" si="18"/>
        <v>15</v>
      </c>
      <c r="R110" s="11">
        <f t="shared" si="19"/>
        <v>6</v>
      </c>
      <c r="S110" s="12" t="str" cm="1">
        <f t="array" ref="S110">INDEX('Surgery-ConceptMap-1'!$I$15:$N$124,Q110+1,R110)</f>
        <v/>
      </c>
    </row>
    <row r="111" spans="16:19">
      <c r="P111" s="11">
        <v>97</v>
      </c>
      <c r="Q111" s="11">
        <f t="shared" si="18"/>
        <v>16</v>
      </c>
      <c r="R111" s="11">
        <f t="shared" si="19"/>
        <v>1</v>
      </c>
      <c r="S111" s="12" t="str" cm="1">
        <f t="array" ref="S111">INDEX('Surgery-ConceptMap-1'!$I$15:$N$124,Q111+1,R111)</f>
        <v>* group[=].element[+].code = #Surgery.siteOfSurgeryOnMetastasis.bone</v>
      </c>
    </row>
    <row r="112" spans="16:19">
      <c r="P112" s="11">
        <v>98</v>
      </c>
      <c r="Q112" s="11">
        <f t="shared" si="18"/>
        <v>16</v>
      </c>
      <c r="R112" s="11">
        <f t="shared" si="19"/>
        <v>2</v>
      </c>
      <c r="S112" s="12" t="str" cm="1">
        <f t="array" ref="S112">INDEX('Surgery-ConceptMap-1'!$I$15:$N$124,Q112+1,R112)</f>
        <v>* group[=].element[=].display = ##34#Site of surgery on metastasis_bone##34#</v>
      </c>
    </row>
    <row r="113" spans="16:19">
      <c r="P113" s="11">
        <v>99</v>
      </c>
      <c r="Q113" s="11">
        <f t="shared" si="18"/>
        <v>16</v>
      </c>
      <c r="R113" s="11">
        <f t="shared" si="19"/>
        <v>3</v>
      </c>
      <c r="S113" s="12" t="str" cm="1">
        <f t="array" ref="S113">INDEX('Surgery-ConceptMap-1'!$I$15:$N$124,Q113+1,R113)</f>
        <v>* group[=].element[=].target.code = #Procedure.bodySite</v>
      </c>
    </row>
    <row r="114" spans="16:19">
      <c r="P114" s="11">
        <v>100</v>
      </c>
      <c r="Q114" s="11">
        <f t="shared" si="18"/>
        <v>16</v>
      </c>
      <c r="R114" s="11">
        <f t="shared" si="19"/>
        <v>4</v>
      </c>
      <c r="S114" s="12" t="str" cm="1">
        <f t="array" ref="S114">INDEX('Surgery-ConceptMap-1'!$I$15:$N$124,Q114+1,R114)</f>
        <v>* group[=].element[=].target.display = ##34###34#</v>
      </c>
    </row>
    <row r="115" spans="16:19">
      <c r="P115" s="11">
        <v>101</v>
      </c>
      <c r="Q115" s="11">
        <f t="shared" si="18"/>
        <v>16</v>
      </c>
      <c r="R115" s="11">
        <f t="shared" si="19"/>
        <v>5</v>
      </c>
      <c r="S115" s="12" t="str" cm="1">
        <f t="array" ref="S115">INDEX('Surgery-ConceptMap-1'!$I$15:$N$124,Q115+1,R115)</f>
        <v>* group[=].element[=].target.equivalence = #equivalent</v>
      </c>
    </row>
    <row r="116" spans="16:19">
      <c r="P116" s="11">
        <v>102</v>
      </c>
      <c r="Q116" s="11">
        <f t="shared" si="18"/>
        <v>16</v>
      </c>
      <c r="R116" s="11">
        <f t="shared" si="19"/>
        <v>6</v>
      </c>
      <c r="S116" s="12" t="str" cm="1">
        <f t="array" ref="S116">INDEX('Surgery-ConceptMap-1'!$I$15:$N$124,Q116+1,R116)</f>
        <v/>
      </c>
    </row>
    <row r="117" spans="16:19">
      <c r="P117" s="11">
        <v>103</v>
      </c>
      <c r="Q117" s="11">
        <f t="shared" si="18"/>
        <v>17</v>
      </c>
      <c r="R117" s="11">
        <f t="shared" si="19"/>
        <v>1</v>
      </c>
      <c r="S117" s="12" t="str" cm="1">
        <f t="array" ref="S117">INDEX('Surgery-ConceptMap-1'!$I$15:$N$124,Q117+1,R117)</f>
        <v>* group[=].element[+].code = #Surgery.siteOfSurgeryOnMetastasis.liver</v>
      </c>
    </row>
    <row r="118" spans="16:19">
      <c r="P118" s="11">
        <v>104</v>
      </c>
      <c r="Q118" s="11">
        <f t="shared" si="18"/>
        <v>17</v>
      </c>
      <c r="R118" s="11">
        <f t="shared" si="19"/>
        <v>2</v>
      </c>
      <c r="S118" s="12" t="str" cm="1">
        <f t="array" ref="S118">INDEX('Surgery-ConceptMap-1'!$I$15:$N$124,Q118+1,R118)</f>
        <v>* group[=].element[=].display = ##34#Site of surgery on metastasis_liver##34#</v>
      </c>
    </row>
    <row r="119" spans="16:19">
      <c r="P119" s="11">
        <v>105</v>
      </c>
      <c r="Q119" s="11">
        <f t="shared" si="18"/>
        <v>17</v>
      </c>
      <c r="R119" s="11">
        <f t="shared" si="19"/>
        <v>3</v>
      </c>
      <c r="S119" s="12" t="str" cm="1">
        <f t="array" ref="S119">INDEX('Surgery-ConceptMap-1'!$I$15:$N$124,Q119+1,R119)</f>
        <v>* group[=].element[=].target.code = #Procedure.bodySite</v>
      </c>
    </row>
    <row r="120" spans="16:19">
      <c r="P120" s="11">
        <v>106</v>
      </c>
      <c r="Q120" s="11">
        <f t="shared" si="18"/>
        <v>17</v>
      </c>
      <c r="R120" s="11">
        <f t="shared" si="19"/>
        <v>4</v>
      </c>
      <c r="S120" s="12" t="str" cm="1">
        <f t="array" ref="S120">INDEX('Surgery-ConceptMap-1'!$I$15:$N$124,Q120+1,R120)</f>
        <v>* group[=].element[=].target.display = ##34###34#</v>
      </c>
    </row>
    <row r="121" spans="16:19">
      <c r="P121" s="11">
        <v>107</v>
      </c>
      <c r="Q121" s="11">
        <f t="shared" si="18"/>
        <v>17</v>
      </c>
      <c r="R121" s="11">
        <f t="shared" si="19"/>
        <v>5</v>
      </c>
      <c r="S121" s="12" t="str" cm="1">
        <f t="array" ref="S121">INDEX('Surgery-ConceptMap-1'!$I$15:$N$124,Q121+1,R121)</f>
        <v>* group[=].element[=].target.equivalence = #equivalent</v>
      </c>
    </row>
    <row r="122" spans="16:19">
      <c r="P122" s="11">
        <v>108</v>
      </c>
      <c r="Q122" s="11">
        <f t="shared" si="18"/>
        <v>17</v>
      </c>
      <c r="R122" s="11">
        <f t="shared" si="19"/>
        <v>6</v>
      </c>
      <c r="S122" s="12" t="str" cm="1">
        <f t="array" ref="S122">INDEX('Surgery-ConceptMap-1'!$I$15:$N$124,Q122+1,R122)</f>
        <v/>
      </c>
    </row>
    <row r="123" spans="16:19">
      <c r="P123" s="11">
        <v>109</v>
      </c>
      <c r="Q123" s="11">
        <f t="shared" si="18"/>
        <v>18</v>
      </c>
      <c r="R123" s="11">
        <f t="shared" si="19"/>
        <v>1</v>
      </c>
      <c r="S123" s="12" t="str" cm="1">
        <f t="array" ref="S123">INDEX('Surgery-ConceptMap-1'!$I$15:$N$124,Q123+1,R123)</f>
        <v>* group[=].element[+].code = #Surgery.siteOfSurgeryOnMetastasis.pleura</v>
      </c>
    </row>
    <row r="124" spans="16:19">
      <c r="P124" s="11">
        <v>110</v>
      </c>
      <c r="Q124" s="11">
        <f t="shared" si="18"/>
        <v>18</v>
      </c>
      <c r="R124" s="11">
        <f t="shared" si="19"/>
        <v>2</v>
      </c>
      <c r="S124" s="12" t="str" cm="1">
        <f t="array" ref="S124">INDEX('Surgery-ConceptMap-1'!$I$15:$N$124,Q124+1,R124)</f>
        <v>* group[=].element[=].display = ##34#Site of surgery on metastasis_pleura##34#</v>
      </c>
    </row>
    <row r="125" spans="16:19">
      <c r="P125" s="11">
        <v>111</v>
      </c>
      <c r="Q125" s="11">
        <f t="shared" si="18"/>
        <v>18</v>
      </c>
      <c r="R125" s="11">
        <f t="shared" si="19"/>
        <v>3</v>
      </c>
      <c r="S125" s="12" t="str" cm="1">
        <f t="array" ref="S125">INDEX('Surgery-ConceptMap-1'!$I$15:$N$124,Q125+1,R125)</f>
        <v>* group[=].element[=].target.code = #Procedure.bodySite</v>
      </c>
    </row>
    <row r="126" spans="16:19">
      <c r="P126" s="11">
        <v>112</v>
      </c>
      <c r="Q126" s="11">
        <f t="shared" si="18"/>
        <v>18</v>
      </c>
      <c r="R126" s="11">
        <f t="shared" si="19"/>
        <v>4</v>
      </c>
      <c r="S126" s="12" t="str" cm="1">
        <f t="array" ref="S126">INDEX('Surgery-ConceptMap-1'!$I$15:$N$124,Q126+1,R126)</f>
        <v>* group[=].element[=].target.display = ##34###34#</v>
      </c>
    </row>
    <row r="127" spans="16:19">
      <c r="P127" s="11">
        <v>113</v>
      </c>
      <c r="Q127" s="11">
        <f t="shared" si="18"/>
        <v>18</v>
      </c>
      <c r="R127" s="11">
        <f t="shared" si="19"/>
        <v>5</v>
      </c>
      <c r="S127" s="12" t="str" cm="1">
        <f t="array" ref="S127">INDEX('Surgery-ConceptMap-1'!$I$15:$N$124,Q127+1,R127)</f>
        <v>* group[=].element[=].target.equivalence = #equivalent</v>
      </c>
    </row>
    <row r="128" spans="16:19">
      <c r="P128" s="11">
        <v>114</v>
      </c>
      <c r="Q128" s="11">
        <f t="shared" si="18"/>
        <v>18</v>
      </c>
      <c r="R128" s="11">
        <f t="shared" si="19"/>
        <v>6</v>
      </c>
      <c r="S128" s="12" t="str" cm="1">
        <f t="array" ref="S128">INDEX('Surgery-ConceptMap-1'!$I$15:$N$124,Q128+1,R128)</f>
        <v/>
      </c>
    </row>
    <row r="129" spans="16:19">
      <c r="P129" s="11">
        <v>115</v>
      </c>
      <c r="Q129" s="11">
        <f t="shared" si="18"/>
        <v>19</v>
      </c>
      <c r="R129" s="11">
        <f t="shared" si="19"/>
        <v>1</v>
      </c>
      <c r="S129" s="12" t="str" cm="1">
        <f t="array" ref="S129">INDEX('Surgery-ConceptMap-1'!$I$15:$N$124,Q129+1,R129)</f>
        <v>* group[=].element[+].code = #Surgery.siteOfSurgeryOnMetastasis.peritoneum</v>
      </c>
    </row>
    <row r="130" spans="16:19" ht="29.5">
      <c r="P130" s="11">
        <v>116</v>
      </c>
      <c r="Q130" s="11">
        <f t="shared" si="18"/>
        <v>19</v>
      </c>
      <c r="R130" s="11">
        <f t="shared" si="19"/>
        <v>2</v>
      </c>
      <c r="S130" s="12" t="str" cm="1">
        <f t="array" ref="S130">INDEX('Surgery-ConceptMap-1'!$I$15:$N$124,Q130+1,R130)</f>
        <v>* group[=].element[=].display = ##34#Site of surgery on metastasis_peritoneum##34#</v>
      </c>
    </row>
    <row r="131" spans="16:19">
      <c r="P131" s="11">
        <v>117</v>
      </c>
      <c r="Q131" s="11">
        <f t="shared" si="18"/>
        <v>19</v>
      </c>
      <c r="R131" s="11">
        <f t="shared" si="19"/>
        <v>3</v>
      </c>
      <c r="S131" s="12" t="str" cm="1">
        <f t="array" ref="S131">INDEX('Surgery-ConceptMap-1'!$I$15:$N$124,Q131+1,R131)</f>
        <v>* group[=].element[=].target.code = #Procedure.bodySite</v>
      </c>
    </row>
    <row r="132" spans="16:19">
      <c r="P132" s="11">
        <v>118</v>
      </c>
      <c r="Q132" s="11">
        <f t="shared" si="18"/>
        <v>19</v>
      </c>
      <c r="R132" s="11">
        <f t="shared" si="19"/>
        <v>4</v>
      </c>
      <c r="S132" s="12" t="str" cm="1">
        <f t="array" ref="S132">INDEX('Surgery-ConceptMap-1'!$I$15:$N$124,Q132+1,R132)</f>
        <v>* group[=].element[=].target.display = ##34###34#</v>
      </c>
    </row>
    <row r="133" spans="16:19">
      <c r="P133" s="11">
        <v>119</v>
      </c>
      <c r="Q133" s="11">
        <f t="shared" si="18"/>
        <v>19</v>
      </c>
      <c r="R133" s="11">
        <f t="shared" si="19"/>
        <v>5</v>
      </c>
      <c r="S133" s="12" t="str" cm="1">
        <f t="array" ref="S133">INDEX('Surgery-ConceptMap-1'!$I$15:$N$124,Q133+1,R133)</f>
        <v>* group[=].element[=].target.equivalence = #equivalent</v>
      </c>
    </row>
    <row r="134" spans="16:19">
      <c r="P134" s="11">
        <v>120</v>
      </c>
      <c r="Q134" s="11">
        <f t="shared" si="18"/>
        <v>19</v>
      </c>
      <c r="R134" s="11">
        <f t="shared" si="19"/>
        <v>6</v>
      </c>
      <c r="S134" s="12" t="str" cm="1">
        <f t="array" ref="S134">INDEX('Surgery-ConceptMap-1'!$I$15:$N$124,Q134+1,R134)</f>
        <v/>
      </c>
    </row>
    <row r="135" spans="16:19">
      <c r="P135" s="11">
        <v>121</v>
      </c>
      <c r="Q135" s="11">
        <f t="shared" si="18"/>
        <v>20</v>
      </c>
      <c r="R135" s="11">
        <f t="shared" si="19"/>
        <v>1</v>
      </c>
      <c r="S135" s="12" t="str" cm="1">
        <f t="array" ref="S135">INDEX('Surgery-ConceptMap-1'!$I$15:$N$124,Q135+1,R135)</f>
        <v>* group[=].element[+].code = #Surgery.siteOfSurgeryOnMetastasis.brain</v>
      </c>
    </row>
    <row r="136" spans="16:19">
      <c r="P136" s="11">
        <v>122</v>
      </c>
      <c r="Q136" s="11">
        <f t="shared" si="18"/>
        <v>20</v>
      </c>
      <c r="R136" s="11">
        <f t="shared" si="19"/>
        <v>2</v>
      </c>
      <c r="S136" s="12" t="str" cm="1">
        <f t="array" ref="S136">INDEX('Surgery-ConceptMap-1'!$I$15:$N$124,Q136+1,R136)</f>
        <v>* group[=].element[=].display = ##34#Site of surgery on metastasis_brain##34#</v>
      </c>
    </row>
    <row r="137" spans="16:19">
      <c r="P137" s="11">
        <v>123</v>
      </c>
      <c r="Q137" s="11">
        <f t="shared" si="18"/>
        <v>20</v>
      </c>
      <c r="R137" s="11">
        <f t="shared" si="19"/>
        <v>3</v>
      </c>
      <c r="S137" s="12" t="str" cm="1">
        <f t="array" ref="S137">INDEX('Surgery-ConceptMap-1'!$I$15:$N$124,Q137+1,R137)</f>
        <v>* group[=].element[=].target.code = #Procedure.bodySite</v>
      </c>
    </row>
    <row r="138" spans="16:19">
      <c r="P138" s="11">
        <v>124</v>
      </c>
      <c r="Q138" s="11">
        <f t="shared" si="18"/>
        <v>20</v>
      </c>
      <c r="R138" s="11">
        <f t="shared" si="19"/>
        <v>4</v>
      </c>
      <c r="S138" s="12" t="str" cm="1">
        <f t="array" ref="S138">INDEX('Surgery-ConceptMap-1'!$I$15:$N$124,Q138+1,R138)</f>
        <v>* group[=].element[=].target.display = ##34###34#</v>
      </c>
    </row>
    <row r="139" spans="16:19">
      <c r="P139" s="11">
        <v>125</v>
      </c>
      <c r="Q139" s="11">
        <f t="shared" si="18"/>
        <v>20</v>
      </c>
      <c r="R139" s="11">
        <f t="shared" si="19"/>
        <v>5</v>
      </c>
      <c r="S139" s="12" t="str" cm="1">
        <f t="array" ref="S139">INDEX('Surgery-ConceptMap-1'!$I$15:$N$124,Q139+1,R139)</f>
        <v>* group[=].element[=].target.equivalence = #equivalent</v>
      </c>
    </row>
    <row r="140" spans="16:19">
      <c r="P140" s="11">
        <v>126</v>
      </c>
      <c r="Q140" s="11">
        <f t="shared" si="18"/>
        <v>20</v>
      </c>
      <c r="R140" s="11">
        <f t="shared" si="19"/>
        <v>6</v>
      </c>
      <c r="S140" s="12" t="str" cm="1">
        <f t="array" ref="S140">INDEX('Surgery-ConceptMap-1'!$I$15:$N$124,Q140+1,R140)</f>
        <v/>
      </c>
    </row>
    <row r="141" spans="16:19">
      <c r="P141" s="11">
        <v>127</v>
      </c>
      <c r="Q141" s="11">
        <f t="shared" si="18"/>
        <v>21</v>
      </c>
      <c r="R141" s="11">
        <f t="shared" si="19"/>
        <v>1</v>
      </c>
      <c r="S141" s="12" t="str" cm="1">
        <f t="array" ref="S141">INDEX('Surgery-ConceptMap-1'!$I$15:$N$124,Q141+1,R141)</f>
        <v>* group[=].element[+].code = #Surgery.siteOfSurgeryOnMetastasis.otherViscera</v>
      </c>
    </row>
    <row r="142" spans="16:19" ht="29.5">
      <c r="P142" s="11">
        <v>128</v>
      </c>
      <c r="Q142" s="11">
        <f t="shared" si="18"/>
        <v>21</v>
      </c>
      <c r="R142" s="11">
        <f t="shared" si="19"/>
        <v>2</v>
      </c>
      <c r="S142" s="12" t="str" cm="1">
        <f t="array" ref="S142">INDEX('Surgery-ConceptMap-1'!$I$15:$N$124,Q142+1,R142)</f>
        <v>* group[=].element[=].display = ##34#Site of surgery on metastasis_other viscera##34#</v>
      </c>
    </row>
    <row r="143" spans="16:19">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c r="P144" s="11">
        <v>130</v>
      </c>
      <c r="Q144" s="11">
        <f t="shared" si="20"/>
        <v>21</v>
      </c>
      <c r="R144" s="11">
        <f t="shared" si="21"/>
        <v>4</v>
      </c>
      <c r="S144" s="12" t="str" cm="1">
        <f t="array" ref="S144">INDEX('Surgery-ConceptMap-1'!$I$15:$N$124,Q144+1,R144)</f>
        <v>* group[=].element[=].target.display = ##34###34#</v>
      </c>
    </row>
    <row r="145" spans="16:19">
      <c r="P145" s="11">
        <v>131</v>
      </c>
      <c r="Q145" s="11">
        <f t="shared" si="20"/>
        <v>21</v>
      </c>
      <c r="R145" s="11">
        <f t="shared" si="21"/>
        <v>5</v>
      </c>
      <c r="S145" s="12" t="str" cm="1">
        <f t="array" ref="S145">INDEX('Surgery-ConceptMap-1'!$I$15:$N$124,Q145+1,R145)</f>
        <v>* group[=].element[=].target.equivalence = #equivalent</v>
      </c>
    </row>
    <row r="146" spans="16:19">
      <c r="P146" s="11">
        <v>132</v>
      </c>
      <c r="Q146" s="11">
        <f t="shared" si="20"/>
        <v>21</v>
      </c>
      <c r="R146" s="11">
        <f t="shared" si="21"/>
        <v>6</v>
      </c>
      <c r="S146" s="12" t="str" cm="1">
        <f t="array" ref="S146">INDEX('Surgery-ConceptMap-1'!$I$15:$N$124,Q146+1,R146)</f>
        <v/>
      </c>
    </row>
    <row r="147" spans="16:19">
      <c r="P147" s="11">
        <v>133</v>
      </c>
      <c r="Q147" s="11">
        <f t="shared" si="20"/>
        <v>22</v>
      </c>
      <c r="R147" s="11">
        <f t="shared" si="21"/>
        <v>1</v>
      </c>
      <c r="S147" s="12" t="str" cm="1">
        <f t="array" ref="S147">INDEX('Surgery-ConceptMap-1'!$I$15:$N$124,Q147+1,R147)</f>
        <v>* group[=].element[+].code = #Surgery.siteOfSurgeryOnMetastasis.unknown</v>
      </c>
    </row>
    <row r="148" spans="16:19">
      <c r="P148" s="11">
        <v>134</v>
      </c>
      <c r="Q148" s="11">
        <f t="shared" si="20"/>
        <v>22</v>
      </c>
      <c r="R148" s="11">
        <f t="shared" si="21"/>
        <v>2</v>
      </c>
      <c r="S148" s="12" t="str" cm="1">
        <f t="array" ref="S148">INDEX('Surgery-ConceptMap-1'!$I$15:$N$124,Q148+1,R148)</f>
        <v>* group[=].element[=].display = ##34#Site of surgery on metastasis_unknown##34#</v>
      </c>
    </row>
    <row r="149" spans="16:19">
      <c r="P149" s="11">
        <v>135</v>
      </c>
      <c r="Q149" s="11">
        <f t="shared" si="20"/>
        <v>22</v>
      </c>
      <c r="R149" s="11">
        <f t="shared" si="21"/>
        <v>3</v>
      </c>
      <c r="S149" s="12" t="str" cm="1">
        <f t="array" ref="S149">INDEX('Surgery-ConceptMap-1'!$I$15:$N$124,Q149+1,R149)</f>
        <v>* group[=].element[=].target.code = #Procedure.bodySite</v>
      </c>
    </row>
    <row r="150" spans="16:19">
      <c r="P150" s="11">
        <v>136</v>
      </c>
      <c r="Q150" s="11">
        <f t="shared" si="20"/>
        <v>22</v>
      </c>
      <c r="R150" s="11">
        <f t="shared" si="21"/>
        <v>4</v>
      </c>
      <c r="S150" s="12" t="str" cm="1">
        <f t="array" ref="S150">INDEX('Surgery-ConceptMap-1'!$I$15:$N$124,Q150+1,R150)</f>
        <v>* group[=].element[=].target.display = ##34###34#</v>
      </c>
    </row>
    <row r="151" spans="16:19">
      <c r="P151" s="11">
        <v>137</v>
      </c>
      <c r="Q151" s="11">
        <f t="shared" si="20"/>
        <v>22</v>
      </c>
      <c r="R151" s="11">
        <f t="shared" si="21"/>
        <v>5</v>
      </c>
      <c r="S151" s="12" t="str" cm="1">
        <f t="array" ref="S151">INDEX('Surgery-ConceptMap-1'!$I$15:$N$124,Q151+1,R151)</f>
        <v>* group[=].element[=].target.equivalence = #equivalent</v>
      </c>
    </row>
    <row r="152" spans="16:19">
      <c r="P152" s="11">
        <v>138</v>
      </c>
      <c r="Q152" s="11">
        <f t="shared" si="20"/>
        <v>22</v>
      </c>
      <c r="R152" s="11">
        <f t="shared" si="21"/>
        <v>6</v>
      </c>
      <c r="S152" s="12" t="str" cm="1">
        <f t="array" ref="S152">INDEX('Surgery-ConceptMap-1'!$I$15:$N$124,Q152+1,R152)</f>
        <v/>
      </c>
    </row>
    <row r="153" spans="16:19" ht="29.5">
      <c r="P153" s="11">
        <v>139</v>
      </c>
      <c r="Q153" s="11">
        <f t="shared" si="20"/>
        <v>23</v>
      </c>
      <c r="R153" s="11">
        <f t="shared" si="21"/>
        <v>1</v>
      </c>
      <c r="S153" s="12" t="str" cm="1">
        <f t="array" ref="S153">INDEX('Surgery-ConceptMap-1'!$I$15:$N$124,Q153+1,R153)</f>
        <v>* group[=].element[+].code = #Surgery.surgicalComplicationsClavienDindoClassification</v>
      </c>
    </row>
    <row r="154" spans="16:19" ht="29.5">
      <c r="P154" s="11">
        <v>140</v>
      </c>
      <c r="Q154" s="11">
        <f t="shared" si="20"/>
        <v>23</v>
      </c>
      <c r="R154" s="11">
        <f t="shared" si="21"/>
        <v>2</v>
      </c>
      <c r="S154" s="12" t="str" cm="1">
        <f t="array" ref="S154">INDEX('Surgery-ConceptMap-1'!$I$15:$N$124,Q154+1,R154)</f>
        <v>* group[=].element[=].display = ##34#Surgical complications (Clavien-Dindo Classification)##34#</v>
      </c>
    </row>
    <row r="155" spans="16:19">
      <c r="P155" s="11">
        <v>141</v>
      </c>
      <c r="Q155" s="11">
        <f t="shared" si="20"/>
        <v>23</v>
      </c>
      <c r="R155" s="11">
        <f t="shared" si="21"/>
        <v>3</v>
      </c>
      <c r="S155" s="12" t="str" cm="1">
        <f t="array" ref="S155">INDEX('Surgery-ConceptMap-1'!$I$15:$N$124,Q155+1,R155)</f>
        <v>* group[=].element[=].target.code = #Procedure.complication</v>
      </c>
    </row>
    <row r="156" spans="16:19">
      <c r="P156" s="11">
        <v>142</v>
      </c>
      <c r="Q156" s="11">
        <f t="shared" si="20"/>
        <v>23</v>
      </c>
      <c r="R156" s="11">
        <f t="shared" si="21"/>
        <v>4</v>
      </c>
      <c r="S156" s="12" t="str" cm="1">
        <f t="array" ref="S156">INDEX('Surgery-ConceptMap-1'!$I$15:$N$124,Q156+1,R156)</f>
        <v>* group[=].element[=].target.display = ##34###34#</v>
      </c>
    </row>
    <row r="157" spans="16:19">
      <c r="P157" s="11">
        <v>143</v>
      </c>
      <c r="Q157" s="11">
        <f t="shared" si="20"/>
        <v>23</v>
      </c>
      <c r="R157" s="11">
        <f t="shared" si="21"/>
        <v>5</v>
      </c>
      <c r="S157" s="12" t="str" cm="1">
        <f t="array" ref="S157">INDEX('Surgery-ConceptMap-1'!$I$15:$N$124,Q157+1,R157)</f>
        <v>* group[=].element[=].target.equivalence = #equivalent</v>
      </c>
    </row>
    <row r="158" spans="16:19">
      <c r="P158" s="11">
        <v>144</v>
      </c>
      <c r="Q158" s="11">
        <f t="shared" si="20"/>
        <v>23</v>
      </c>
      <c r="R158" s="11">
        <f t="shared" si="21"/>
        <v>6</v>
      </c>
      <c r="S158" s="12" t="str" cm="1">
        <f t="array" ref="S158">INDEX('Surgery-ConceptMap-1'!$I$15:$N$124,Q158+1,R158)</f>
        <v/>
      </c>
    </row>
    <row r="159" spans="16:19">
      <c r="P159" s="11">
        <v>145</v>
      </c>
      <c r="Q159" s="11">
        <f t="shared" si="20"/>
        <v>24</v>
      </c>
      <c r="R159" s="11">
        <f t="shared" si="21"/>
        <v>1</v>
      </c>
      <c r="S159" s="12" cm="1">
        <f t="array" ref="S159">INDEX('Surgery-ConceptMap-1'!$I$15:$N$124,Q159+1,R159)</f>
        <v>0</v>
      </c>
    </row>
    <row r="160" spans="16:19">
      <c r="P160" s="11">
        <v>146</v>
      </c>
      <c r="Q160" s="11">
        <f t="shared" si="20"/>
        <v>24</v>
      </c>
      <c r="R160" s="11">
        <f t="shared" si="21"/>
        <v>2</v>
      </c>
      <c r="S160" s="12" cm="1">
        <f t="array" ref="S160">INDEX('Surgery-ConceptMap-1'!$I$15:$N$124,Q160+1,R160)</f>
        <v>0</v>
      </c>
    </row>
    <row r="161" spans="16:19">
      <c r="P161" s="11">
        <v>147</v>
      </c>
      <c r="Q161" s="11">
        <f t="shared" si="20"/>
        <v>24</v>
      </c>
      <c r="R161" s="11">
        <f t="shared" si="21"/>
        <v>3</v>
      </c>
      <c r="S161" s="12" cm="1">
        <f t="array" ref="S161">INDEX('Surgery-ConceptMap-1'!$I$15:$N$124,Q161+1,R161)</f>
        <v>0</v>
      </c>
    </row>
    <row r="162" spans="16:19">
      <c r="P162" s="11">
        <v>148</v>
      </c>
      <c r="Q162" s="11">
        <f t="shared" si="20"/>
        <v>24</v>
      </c>
      <c r="R162" s="11">
        <f t="shared" si="21"/>
        <v>4</v>
      </c>
      <c r="S162" s="12" cm="1">
        <f t="array" ref="S162">INDEX('Surgery-ConceptMap-1'!$I$15:$N$124,Q162+1,R162)</f>
        <v>0</v>
      </c>
    </row>
    <row r="163" spans="16:19">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abSelected="1" workbookViewId="0">
      <selection activeCell="D17" sqref="D17"/>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2316</v>
      </c>
    </row>
    <row r="3" spans="2:7">
      <c r="B3" s="24" t="s">
        <v>20</v>
      </c>
    </row>
    <row r="4" spans="2:7">
      <c r="B4" s="65" t="str">
        <f>"Instance: "&amp;'Surgery-ConceptMap-1'!C4</f>
        <v>Instance: surgery2FHIR</v>
      </c>
    </row>
    <row r="5" spans="2:7">
      <c r="B5" s="65" t="s">
        <v>1447</v>
      </c>
    </row>
    <row r="6" spans="2:7">
      <c r="B6" s="65" t="s">
        <v>1438</v>
      </c>
    </row>
    <row r="7" spans="2:7">
      <c r="B7" s="65" t="s">
        <v>1798</v>
      </c>
    </row>
    <row r="8" spans="2:7">
      <c r="B8" s="65" t="str">
        <f>"* name = ##34#"&amp;'Surgery-ConceptMap-1'!C3&amp;"##34#"</f>
        <v>* name = ##34#surgery2FHIR##34#</v>
      </c>
    </row>
    <row r="9" spans="2:7">
      <c r="B9" s="65" t="str">
        <f>"* title = ##34#"&amp;'Surgery-ConceptMap-1'!C5&amp;"##34#"</f>
        <v>* title = ##34#Surgery Model to this guide Map##34#</v>
      </c>
    </row>
    <row r="10" spans="2:7">
      <c r="B10" s="65" t="s">
        <v>1439</v>
      </c>
    </row>
    <row r="11" spans="2:7">
      <c r="B11" s="65" t="s">
        <v>1440</v>
      </c>
    </row>
    <row r="12" spans="2:7">
      <c r="B12" s="65" t="str">
        <f>"* description = ##34#"&amp;'Surgery-ConceptMap-1'!C8&amp;"##34#"</f>
        <v>* description = ##34#Surgery Model to this guide Map##34#</v>
      </c>
    </row>
    <row r="13" spans="2:7">
      <c r="B13" s="65" t="str">
        <f>"* purpose = ##34#"&amp;'Surgery-ConceptMap-1'!C9&amp;"##34#"</f>
        <v>* purpose = ##34#It shows how the Surgery model is mapped into this guide##34#</v>
      </c>
    </row>
    <row r="14" spans="2:7">
      <c r="B14" s="69" t="str">
        <f>"* sourceUri = ##34#"&amp;'Surgery-ConceptMap-1'!E3&amp;"##34#"</f>
        <v>* sourceUri = ##34#http://hl7.eu/fhir/ig/idea4rc/StructureDefinition/Surgery##34#</v>
      </c>
    </row>
    <row r="15" spans="2:7">
      <c r="B15" s="69" t="str">
        <f>"* targetUri = ##34#"&amp;'Surgery-ConceptMap-1'!E4&amp;"##34#"</f>
        <v>* targetUri = ##34#http://hl7.eu/fhir/ig/idea4rc/StructureDefinition/Procedure-surgery-eu-i4rc##34#</v>
      </c>
    </row>
    <row r="16" spans="2:7">
      <c r="B16" s="68" t="str">
        <f>"* group[+].source = ##34#"&amp;'Surgery-ConceptMap-1'!E6&amp;"##34#"</f>
        <v>* group[+].source = ##34#http://hl7.eu/fhir/ig/idea4rc/StructureDefinition/Surgery##34#</v>
      </c>
    </row>
    <row r="17" spans="2:7">
      <c r="B17" s="68" t="str">
        <f>"* group[=].target = ##34#"&amp;'Surgery-ConceptMap-1'!E7&amp;"##34#"</f>
        <v>* group[=].target = ##34#http://hl7.eu/fhir/ig/idea4rc/StructureDefinition/Procedure-surgery-eu-i4rc##34#</v>
      </c>
    </row>
    <row r="18" spans="2:7">
      <c r="B18" s="122"/>
    </row>
    <row r="19" spans="2:7">
      <c r="B19" s="12" t="str">
        <f>IF('Surgery-ConceptMap-1'!S15=0,"//---END",'Surgery-ConceptMap-1'!S15)</f>
        <v>* group[=].element[+].code = #Surgery.episodeEventReference</v>
      </c>
    </row>
    <row r="20" spans="2:7">
      <c r="B20" s="12" t="str">
        <f>IF('Surgery-ConceptMap-1'!S16=0,"//---END",'Surgery-ConceptMap-1'!S16)</f>
        <v>* group[=].element[=].display = ##34#Episode Event reference##34#</v>
      </c>
    </row>
    <row r="21" spans="2:7">
      <c r="B21" s="12" t="str">
        <f>IF('Surgery-ConceptMap-1'!S17=0,"//---END",'Surgery-ConceptMap-1'!S17)</f>
        <v>* group[=].element[=].target.code = #Procedure.reasonReference</v>
      </c>
    </row>
    <row r="22" spans="2:7">
      <c r="B22" s="12" t="str">
        <f>IF('Surgery-ConceptMap-1'!S18=0,"//---END",'Surgery-ConceptMap-1'!S18)</f>
        <v>* group[=].element[=].target.display = ##34###34#</v>
      </c>
    </row>
    <row r="23" spans="2:7">
      <c r="B23" s="12" t="str">
        <f>IF('Surgery-ConceptMap-1'!S19=0,"//---END",'Surgery-ConceptMap-1'!S19)</f>
        <v>* group[=].element[=].target.equivalence = #relatedto</v>
      </c>
    </row>
    <row r="24" spans="2:7">
      <c r="B24" s="12" t="str">
        <f>IF('Surgery-ConceptMap-1'!S20=0,"//---END",'Surgery-ConceptMap-1'!S20)</f>
        <v/>
      </c>
      <c r="G24" s="7"/>
    </row>
    <row r="25" spans="2:7">
      <c r="B25" s="12" t="str">
        <f>IF('Surgery-ConceptMap-1'!S21=0,"//---END",'Surgery-ConceptMap-1'!S21)</f>
        <v>* group[=].element[+].code = #Surgery.surgery</v>
      </c>
    </row>
    <row r="26" spans="2:7">
      <c r="B26" s="12" t="str">
        <f>IF('Surgery-ConceptMap-1'!S22=0,"//---END",'Surgery-ConceptMap-1'!S22)</f>
        <v>* group[=].element[=].display = ##34#Surgery##34#</v>
      </c>
    </row>
    <row r="27" spans="2:7">
      <c r="B27" s="12" t="str">
        <f>IF('Surgery-ConceptMap-1'!S23=0,"//---END",'Surgery-ConceptMap-1'!S23)</f>
        <v>* group[=].element[=].target.code = #Procedure.extension:ProcedureCategoryR5</v>
      </c>
    </row>
    <row r="28" spans="2:7">
      <c r="B28" s="12" t="str">
        <f>IF('Surgery-ConceptMap-1'!S24=0,"//---END",'Surgery-ConceptMap-1'!S24)</f>
        <v>* group[=].element[=].target.display = ##34###34#</v>
      </c>
    </row>
    <row r="29" spans="2:7">
      <c r="B29" s="12" t="str">
        <f>IF('Surgery-ConceptMap-1'!S25=0,"//---END",'Surgery-ConceptMap-1'!S25)</f>
        <v>* group[=].element[=].target.equivalence = #relatedto</v>
      </c>
    </row>
    <row r="30" spans="2:7" ht="29.5">
      <c r="B30" s="12" t="str">
        <f>IF('Surgery-ConceptMap-1'!S26=0,"//---END",'Surgery-ConceptMap-1'!S26)</f>
        <v>* group[=].element[=].target.comment = ##34#to be analyzed: add a slice to the category.coding or derive this from a combination of elements or use other cathegories (R5 extension)##34#</v>
      </c>
    </row>
    <row r="31" spans="2:7">
      <c r="B31" s="12" t="str">
        <f>IF('Surgery-ConceptMap-1'!S27=0,"//---END",'Surgery-ConceptMap-1'!S27)</f>
        <v>* group[=].element[+].code = #Surgery.dateOfSurgery</v>
      </c>
    </row>
    <row r="32" spans="2:7">
      <c r="B32" s="12" t="str">
        <f>IF('Surgery-ConceptMap-1'!S28=0,"//---END",'Surgery-ConceptMap-1'!S28)</f>
        <v>* group[=].element[=].display = ##34#Date of surgery##34#</v>
      </c>
    </row>
    <row r="33" spans="2:2">
      <c r="B33" s="12" t="str">
        <f>IF('Surgery-ConceptMap-1'!S29=0,"//---END",'Surgery-ConceptMap-1'!S29)</f>
        <v>* group[=].element[=].target.code = #Procedure. performedDateTime</v>
      </c>
    </row>
    <row r="34" spans="2:2">
      <c r="B34" s="12" t="str">
        <f>IF('Surgery-ConceptMap-1'!S30=0,"//---END",'Surgery-ConceptMap-1'!S30)</f>
        <v>* group[=].element[=].target.display = ##34###34#</v>
      </c>
    </row>
    <row r="35" spans="2:2">
      <c r="B35" s="12" t="str">
        <f>IF('Surgery-ConceptMap-1'!S31=0,"//---END",'Surgery-ConceptMap-1'!S31)</f>
        <v>* group[=].element[=].target.equivalence = #equal</v>
      </c>
    </row>
    <row r="36" spans="2:2">
      <c r="B36" s="12" t="str">
        <f>IF('Surgery-ConceptMap-1'!S32=0,"//---END",'Surgery-ConceptMap-1'!S32)</f>
        <v/>
      </c>
    </row>
    <row r="37" spans="2:2">
      <c r="B37" s="12" t="str">
        <f>IF('Surgery-ConceptMap-1'!S33=0,"//---END",'Surgery-ConceptMap-1'!S33)</f>
        <v>* group[=].element[+].code = #Surgery.surgeryIntention</v>
      </c>
    </row>
    <row r="38" spans="2:2">
      <c r="B38" s="12" t="str">
        <f>IF('Surgery-ConceptMap-1'!S34=0,"//---END",'Surgery-ConceptMap-1'!S34)</f>
        <v>* group[=].element[=].display = ##34#Surgery intention##34#</v>
      </c>
    </row>
    <row r="39" spans="2:2">
      <c r="B39" s="12" t="str">
        <f>IF('Surgery-ConceptMap-1'!S35=0,"//---END",'Surgery-ConceptMap-1'!S35)</f>
        <v>* group[=].element[=].target.code = #Procedure.code</v>
      </c>
    </row>
    <row r="40" spans="2:2">
      <c r="B40" s="12" t="str">
        <f>IF('Surgery-ConceptMap-1'!S36=0,"//---END",'Surgery-ConceptMap-1'!S36)</f>
        <v>* group[=].element[=].target.display = ##34###34#</v>
      </c>
    </row>
    <row r="41" spans="2:2">
      <c r="B41" s="12" t="str">
        <f>IF('Surgery-ConceptMap-1'!S37=0,"//---END",'Surgery-ConceptMap-1'!S37)</f>
        <v>* group[=].element[=].target.equivalence = #relatedto</v>
      </c>
    </row>
    <row r="42" spans="2:2" ht="29.5">
      <c r="B42" s="12" t="str">
        <f>IF('Surgery-ConceptMap-1'!S38=0,"//---END",'Surgery-ConceptMap-1'!S38)</f>
        <v>* group[=].element[=].target.comment = ##34#to be analized: add a slice to code or consider to define an extension for this (or cathegories (R5 extension)) ?##34#</v>
      </c>
    </row>
    <row r="43" spans="2:2">
      <c r="B43" s="12" t="str">
        <f>IF('Surgery-ConceptMap-1'!S39=0,"//---END",'Surgery-ConceptMap-1'!S39)</f>
        <v>* group[=].element[+].code = #Surgery.typeOfSurgicalApproachOnTumour</v>
      </c>
    </row>
    <row r="44" spans="2:2">
      <c r="B44" s="12" t="str">
        <f>IF('Surgery-ConceptMap-1'!S40=0,"//---END",'Surgery-ConceptMap-1'!S40)</f>
        <v>* group[=].element[=].display = ##34#Type of surgical approach on Tumour##34#</v>
      </c>
    </row>
    <row r="45" spans="2:2">
      <c r="B45" s="12" t="str">
        <f>IF('Surgery-ConceptMap-1'!S41=0,"//---END",'Surgery-ConceptMap-1'!S41)</f>
        <v>* group[=].element[=].target.code = #Procedure.extension:procedure-approachBodyStructure</v>
      </c>
    </row>
    <row r="46" spans="2:2">
      <c r="B46" s="12" t="str">
        <f>IF('Surgery-ConceptMap-1'!S42=0,"//---END",'Surgery-ConceptMap-1'!S42)</f>
        <v>* group[=].element[=].target.display = ##34###34#</v>
      </c>
    </row>
    <row r="47" spans="2:2">
      <c r="B47" s="12" t="str">
        <f>IF('Surgery-ConceptMap-1'!S43=0,"//---END",'Surgery-ConceptMap-1'!S43)</f>
        <v>* group[=].element[=].target.equivalence = #relatedto</v>
      </c>
    </row>
    <row r="48" spans="2:2">
      <c r="B48" s="12" t="str">
        <f>IF('Surgery-ConceptMap-1'!S44=0,"//---END",'Surgery-ConceptMap-1'!S44)</f>
        <v>* group[=].element[=].target.comment = ##34#to be analized: the traget is a bodyStructure.. Maybe too much for justconveying a code ?##34#</v>
      </c>
    </row>
    <row r="49" spans="2:2">
      <c r="B49" s="12" t="str">
        <f>IF('Surgery-ConceptMap-1'!S45=0,"//---END",'Surgery-ConceptMap-1'!S45)</f>
        <v>* group[=].element[+].code = #Surgery.marginsAfterSurgery</v>
      </c>
    </row>
    <row r="50" spans="2:2">
      <c r="B50" s="12" t="str">
        <f>IF('Surgery-ConceptMap-1'!S46=0,"//---END",'Surgery-ConceptMap-1'!S46)</f>
        <v>* group[=].element[=].display = ##34#Margins after surgery##34#</v>
      </c>
    </row>
    <row r="51" spans="2:2">
      <c r="B51" s="12" t="str">
        <f>IF('Surgery-ConceptMap-1'!S47=0,"//---END",'Surgery-ConceptMap-1'!S47)</f>
        <v>* group[=].element[=].target.code = #Procedure.outcome</v>
      </c>
    </row>
    <row r="52" spans="2:2">
      <c r="B52" s="12" t="str">
        <f>IF('Surgery-ConceptMap-1'!S48=0,"//---END",'Surgery-ConceptMap-1'!S48)</f>
        <v>* group[=].element[=].target.display = ##34###34#</v>
      </c>
    </row>
    <row r="53" spans="2:2">
      <c r="B53" s="12" t="str">
        <f>IF('Surgery-ConceptMap-1'!S49=0,"//---END",'Surgery-ConceptMap-1'!S49)</f>
        <v>* group[=].element[=].target.equivalence = #relatedto</v>
      </c>
    </row>
    <row r="54" spans="2:2">
      <c r="B54" s="12" t="str">
        <f>IF('Surgery-ConceptMap-1'!S50=0,"//---END",'Surgery-ConceptMap-1'!S50)</f>
        <v/>
      </c>
    </row>
    <row r="55" spans="2:2">
      <c r="B55" s="12" t="str">
        <f>IF('Surgery-ConceptMap-1'!S51=0,"//---END",'Surgery-ConceptMap-1'!S51)</f>
        <v>* group[=].element[+].code = #Surgery.reconstruction</v>
      </c>
    </row>
    <row r="56" spans="2:2">
      <c r="B56" s="12" t="str">
        <f>IF('Surgery-ConceptMap-1'!S52=0,"//---END",'Surgery-ConceptMap-1'!S52)</f>
        <v>* group[=].element[=].display = ##34#Reconstruction##34#</v>
      </c>
    </row>
    <row r="57" spans="2:2">
      <c r="B57" s="12" t="str">
        <f>IF('Surgery-ConceptMap-1'!S53=0,"//---END",'Surgery-ConceptMap-1'!S53)</f>
        <v>* group[=].element[=].target.code = #Procedure.</v>
      </c>
    </row>
    <row r="58" spans="2:2">
      <c r="B58" s="12" t="str">
        <f>IF('Surgery-ConceptMap-1'!S54=0,"//---END",'Surgery-ConceptMap-1'!S54)</f>
        <v>* group[=].element[=].target.display = ##34###34#</v>
      </c>
    </row>
    <row r="59" spans="2:2">
      <c r="B59" s="12" t="str">
        <f>IF('Surgery-ConceptMap-1'!S55=0,"//---END",'Surgery-ConceptMap-1'!S55)</f>
        <v>* group[=].element[=].target.equivalence = #relatedto</v>
      </c>
    </row>
    <row r="60" spans="2:2">
      <c r="B60" s="12" t="str">
        <f>IF('Surgery-ConceptMap-1'!S56=0,"//---END",'Surgery-ConceptMap-1'!S56)</f>
        <v>* group[=].element[=].target.comment = ##34#TO BE ANALIZED##34#</v>
      </c>
    </row>
    <row r="61" spans="2:2">
      <c r="B61" s="12" t="str">
        <f>IF('Surgery-ConceptMap-1'!S57=0,"//---END",'Surgery-ConceptMap-1'!S57)</f>
        <v>* group[=].element[+].code = #Surgery.neckSurgery</v>
      </c>
    </row>
    <row r="62" spans="2:2">
      <c r="B62" s="12" t="str">
        <f>IF('Surgery-ConceptMap-1'!S58=0,"//---END",'Surgery-ConceptMap-1'!S58)</f>
        <v>* group[=].element[=].display = ##34#Neck surgery##34#</v>
      </c>
    </row>
    <row r="63" spans="2:2">
      <c r="B63" s="12" t="str">
        <f>IF('Surgery-ConceptMap-1'!S59=0,"//---END",'Surgery-ConceptMap-1'!S59)</f>
        <v>* group[=].element[=].target.code = #Procedure.</v>
      </c>
    </row>
    <row r="64" spans="2:2">
      <c r="B64" s="12" t="str">
        <f>IF('Surgery-ConceptMap-1'!S60=0,"//---END",'Surgery-ConceptMap-1'!S60)</f>
        <v>* group[=].element[=].target.display = ##34###34#</v>
      </c>
    </row>
    <row r="65" spans="2:2">
      <c r="B65" s="12" t="str">
        <f>IF('Surgery-ConceptMap-1'!S61=0,"//---END",'Surgery-ConceptMap-1'!S61)</f>
        <v>* group[=].element[=].target.equivalence = #relatedto</v>
      </c>
    </row>
    <row r="66" spans="2:2">
      <c r="B66" s="12" t="str">
        <f>IF('Surgery-ConceptMap-1'!S62=0,"//---END",'Surgery-ConceptMap-1'!S62)</f>
        <v>* group[=].element[=].target.comment = ##34#a surgical proceudre exists with bodySite = neck##34#</v>
      </c>
    </row>
    <row r="67" spans="2:2">
      <c r="B67" s="12" t="str">
        <f>IF('Surgery-ConceptMap-1'!S63=0,"//---END",'Surgery-ConceptMap-1'!S63)</f>
        <v>* group[=].element[+].code = #Surgery.dateOfNeckSurgey</v>
      </c>
    </row>
    <row r="68" spans="2:2">
      <c r="B68" s="12" t="str">
        <f>IF('Surgery-ConceptMap-1'!S64=0,"//---END",'Surgery-ConceptMap-1'!S64)</f>
        <v>* group[=].element[=].display = ##34#Date of Neck surgey##34#</v>
      </c>
    </row>
    <row r="69" spans="2:2">
      <c r="B69" s="12" t="str">
        <f>IF('Surgery-ConceptMap-1'!S65=0,"//---END",'Surgery-ConceptMap-1'!S65)</f>
        <v>* group[=].element[=].target.code = #Procedure. performedDateTime</v>
      </c>
    </row>
    <row r="70" spans="2:2">
      <c r="B70" s="12" t="str">
        <f>IF('Surgery-ConceptMap-1'!S66=0,"//---END",'Surgery-ConceptMap-1'!S66)</f>
        <v>* group[=].element[=].target.display = ##34###34#</v>
      </c>
    </row>
    <row r="71" spans="2:2">
      <c r="B71" s="12" t="str">
        <f>IF('Surgery-ConceptMap-1'!S67=0,"//---END",'Surgery-ConceptMap-1'!S67)</f>
        <v>* group[=].element[=].target.equivalence = #equal</v>
      </c>
    </row>
    <row r="72" spans="2:2">
      <c r="B72" s="12" t="str">
        <f>IF('Surgery-ConceptMap-1'!S68=0,"//---END",'Surgery-ConceptMap-1'!S68)</f>
        <v>* group[=].element[=].target.comment = ##34#how this differs fomr the dateOfSurgery ?##34#</v>
      </c>
    </row>
    <row r="73" spans="2:2">
      <c r="B73" s="12" t="str">
        <f>IF('Surgery-ConceptMap-1'!S69=0,"//---END",'Surgery-ConceptMap-1'!S69)</f>
        <v>* group[=].element[+].code = #Surgery.lateralityOfTheDissection</v>
      </c>
    </row>
    <row r="74" spans="2:2">
      <c r="B74" s="12" t="str">
        <f>IF('Surgery-ConceptMap-1'!S70=0,"//---END",'Surgery-ConceptMap-1'!S70)</f>
        <v>* group[=].element[=].display = ##34#Laterality of the dissection##34#</v>
      </c>
    </row>
    <row r="75" spans="2:2">
      <c r="B75" s="12" t="str">
        <f>IF('Surgery-ConceptMap-1'!S71=0,"//---END",'Surgery-ConceptMap-1'!S71)</f>
        <v>* group[=].element[=].target.code = #Procedure.bodySite.extension:laterality</v>
      </c>
    </row>
    <row r="76" spans="2:2">
      <c r="B76" s="12" t="str">
        <f>IF('Surgery-ConceptMap-1'!S72=0,"//---END",'Surgery-ConceptMap-1'!S72)</f>
        <v>* group[=].element[=].target.display = ##34###34#</v>
      </c>
    </row>
    <row r="77" spans="2:2">
      <c r="B77" s="12" t="str">
        <f>IF('Surgery-ConceptMap-1'!S73=0,"//---END",'Surgery-ConceptMap-1'!S73)</f>
        <v>* group[=].element[=].target.equivalence = #relatedto</v>
      </c>
    </row>
    <row r="78" spans="2:2">
      <c r="B78" s="12" t="str">
        <f>IF('Surgery-ConceptMap-1'!S74=0,"//---END",'Surgery-ConceptMap-1'!S74)</f>
        <v/>
      </c>
    </row>
    <row r="79" spans="2:2">
      <c r="B79" s="12" t="str">
        <f>IF('Surgery-ConceptMap-1'!S75=0,"//---END",'Surgery-ConceptMap-1'!S75)</f>
        <v>* group[=].element[+].code = #Surgery.surgeryOnM</v>
      </c>
    </row>
    <row r="80" spans="2:2">
      <c r="B80" s="12" t="str">
        <f>IF('Surgery-ConceptMap-1'!S76=0,"//---END",'Surgery-ConceptMap-1'!S76)</f>
        <v>* group[=].element[=].display = ##34#Surgery on M##34#</v>
      </c>
    </row>
    <row r="81" spans="2:2">
      <c r="B81" s="12" t="str">
        <f>IF('Surgery-ConceptMap-1'!S77=0,"//---END",'Surgery-ConceptMap-1'!S77)</f>
        <v>* group[=].element[=].target.code = #Procedure.</v>
      </c>
    </row>
    <row r="82" spans="2:2">
      <c r="B82" s="12" t="str">
        <f>IF('Surgery-ConceptMap-1'!S78=0,"//---END",'Surgery-ConceptMap-1'!S78)</f>
        <v>* group[=].element[=].target.display = ##34###34#</v>
      </c>
    </row>
    <row r="83" spans="2:2">
      <c r="B83" s="12" t="str">
        <f>IF('Surgery-ConceptMap-1'!S79=0,"//---END",'Surgery-ConceptMap-1'!S79)</f>
        <v>* group[=].element[=].target.equivalence = #relatedto</v>
      </c>
    </row>
    <row r="84" spans="2:2" ht="44.25">
      <c r="B84" s="12" t="str">
        <f>IF('Surgery-ConceptMap-1'!S80=0,"//---END",'Surgery-ConceptMap-1'!S80)</f>
        <v>* group[=].element[=].target.comment = ##34#TO BE ANALYZED:
a surgical proceudre exists with resonReference the metstatic condition
or a surgical proceudre exists with  reasonCode = metastatis##34#</v>
      </c>
    </row>
    <row r="85" spans="2:2">
      <c r="B85" s="12" t="str">
        <f>IF('Surgery-ConceptMap-1'!S81=0,"//---END",'Surgery-ConceptMap-1'!S81)</f>
        <v>* group[=].element[+].code = #Surgery.dateOfSurgeryOnM</v>
      </c>
    </row>
    <row r="86" spans="2:2">
      <c r="B86" s="12" t="str">
        <f>IF('Surgery-ConceptMap-1'!S82=0,"//---END",'Surgery-ConceptMap-1'!S82)</f>
        <v>* group[=].element[=].display = ##34#Date of surgery on M##34#</v>
      </c>
    </row>
    <row r="87" spans="2:2">
      <c r="B87" s="12" t="str">
        <f>IF('Surgery-ConceptMap-1'!S83=0,"//---END",'Surgery-ConceptMap-1'!S83)</f>
        <v>* group[=].element[=].target.code = #Procedure.</v>
      </c>
    </row>
    <row r="88" spans="2:2">
      <c r="B88" s="12" t="str">
        <f>IF('Surgery-ConceptMap-1'!S84=0,"//---END",'Surgery-ConceptMap-1'!S84)</f>
        <v>* group[=].element[=].target.display = ##34###34#</v>
      </c>
    </row>
    <row r="89" spans="2:2">
      <c r="B89" s="12" t="str">
        <f>IF('Surgery-ConceptMap-1'!S85=0,"//---END",'Surgery-ConceptMap-1'!S85)</f>
        <v>* group[=].element[=].target.equivalence = #relatedto</v>
      </c>
    </row>
    <row r="90" spans="2:2">
      <c r="B90" s="12" t="str">
        <f>IF('Surgery-ConceptMap-1'!S86=0,"//---END",'Surgery-ConceptMap-1'!S86)</f>
        <v>* group[=].element[=].target.comment = ##34#how this differs fomr the dateOfSurgery ?##34#</v>
      </c>
    </row>
    <row r="91" spans="2:2">
      <c r="B91" s="12" t="str">
        <f>IF('Surgery-ConceptMap-1'!S87=0,"//---END",'Surgery-ConceptMap-1'!S87)</f>
        <v>* group[=].element[+].code = #Surgery.siteOfSurgeryOnMetastasis</v>
      </c>
    </row>
    <row r="92" spans="2:2">
      <c r="B92" s="12" t="str">
        <f>IF('Surgery-ConceptMap-1'!S88=0,"//---END",'Surgery-ConceptMap-1'!S88)</f>
        <v>* group[=].element[=].display = ##34#Site of surgery on metastasis##34#</v>
      </c>
    </row>
    <row r="93" spans="2:2">
      <c r="B93" s="12" t="str">
        <f>IF('Surgery-ConceptMap-1'!S89=0,"//---END",'Surgery-ConceptMap-1'!S89)</f>
        <v>* group[=].element[=].target.code = #Procedure.bodySite</v>
      </c>
    </row>
    <row r="94" spans="2:2">
      <c r="B94" s="12" t="str">
        <f>IF('Surgery-ConceptMap-1'!S90=0,"//---END",'Surgery-ConceptMap-1'!S90)</f>
        <v>* group[=].element[=].target.display = ##34###34#</v>
      </c>
    </row>
    <row r="95" spans="2:2">
      <c r="B95" s="12" t="str">
        <f>IF('Surgery-ConceptMap-1'!S91=0,"//---END",'Surgery-ConceptMap-1'!S91)</f>
        <v>* group[=].element[=].target.equivalence = #equivalent</v>
      </c>
    </row>
    <row r="96" spans="2:2">
      <c r="B96" s="12" t="str">
        <f>IF('Surgery-ConceptMap-1'!S92=0,"//---END",'Surgery-ConceptMap-1'!S92)</f>
        <v/>
      </c>
    </row>
    <row r="97" spans="2:2">
      <c r="B97" s="12" t="str">
        <f>IF('Surgery-ConceptMap-1'!S93=0,"//---END",'Surgery-ConceptMap-1'!S93)</f>
        <v>* group[=].element[+].code = #Surgery.siteOfSurgeryOnMetastasis.softTissue</v>
      </c>
    </row>
    <row r="98" spans="2:2">
      <c r="B98" s="12" t="str">
        <f>IF('Surgery-ConceptMap-1'!S94=0,"//---END",'Surgery-ConceptMap-1'!S94)</f>
        <v>* group[=].element[=].display = ##34#Site of surgery on metastasis_soft tissue##34#</v>
      </c>
    </row>
    <row r="99" spans="2:2">
      <c r="B99" s="12" t="str">
        <f>IF('Surgery-ConceptMap-1'!S95=0,"//---END",'Surgery-ConceptMap-1'!S95)</f>
        <v>* group[=].element[=].target.code = #Procedure.bodySite</v>
      </c>
    </row>
    <row r="100" spans="2:2">
      <c r="B100" s="12" t="str">
        <f>IF('Surgery-ConceptMap-1'!S96=0,"//---END",'Surgery-ConceptMap-1'!S96)</f>
        <v>* group[=].element[=].target.display = ##34###34#</v>
      </c>
    </row>
    <row r="101" spans="2:2">
      <c r="B101" s="12" t="str">
        <f>IF('Surgery-ConceptMap-1'!S97=0,"//---END",'Surgery-ConceptMap-1'!S97)</f>
        <v>* group[=].element[=].target.equivalence = #equivalent</v>
      </c>
    </row>
    <row r="102" spans="2:2">
      <c r="B102" s="12" t="str">
        <f>IF('Surgery-ConceptMap-1'!S98=0,"//---END",'Surgery-ConceptMap-1'!S98)</f>
        <v/>
      </c>
    </row>
    <row r="103" spans="2:2">
      <c r="B103" s="12" t="str">
        <f>IF('Surgery-ConceptMap-1'!S99=0,"//---END",'Surgery-ConceptMap-1'!S99)</f>
        <v>* group[=].element[+].code = #Surgery.siteOfSurgeryOnMetastasis.distantLymphNodes</v>
      </c>
    </row>
    <row r="104" spans="2:2">
      <c r="B104" s="12" t="str">
        <f>IF('Surgery-ConceptMap-1'!S100=0,"//---END",'Surgery-ConceptMap-1'!S100)</f>
        <v>* group[=].element[=].display = ##34#Site of surgery on metastasis_distant lymph nodes##34#</v>
      </c>
    </row>
    <row r="105" spans="2:2">
      <c r="B105" s="12" t="str">
        <f>IF('Surgery-ConceptMap-1'!S101=0,"//---END",'Surgery-ConceptMap-1'!S101)</f>
        <v>* group[=].element[=].target.code = #Procedure.bodySite</v>
      </c>
    </row>
    <row r="106" spans="2:2">
      <c r="B106" s="12" t="str">
        <f>IF('Surgery-ConceptMap-1'!S102=0,"//---END",'Surgery-ConceptMap-1'!S102)</f>
        <v>* group[=].element[=].target.display = ##34###34#</v>
      </c>
    </row>
    <row r="107" spans="2:2">
      <c r="B107" s="12" t="str">
        <f>IF('Surgery-ConceptMap-1'!S103=0,"//---END",'Surgery-ConceptMap-1'!S103)</f>
        <v>* group[=].element[=].target.equivalence = #equivalent</v>
      </c>
    </row>
    <row r="108" spans="2:2">
      <c r="B108" s="12" t="str">
        <f>IF('Surgery-ConceptMap-1'!S104=0,"//---END",'Surgery-ConceptMap-1'!S104)</f>
        <v/>
      </c>
    </row>
    <row r="109" spans="2:2">
      <c r="B109" s="12" t="str">
        <f>IF('Surgery-ConceptMap-1'!S105=0,"//---END",'Surgery-ConceptMap-1'!S105)</f>
        <v>* group[=].element[+].code = #Surgery.siteOfSurgeryOnMetastasis.lung</v>
      </c>
    </row>
    <row r="110" spans="2:2">
      <c r="B110" s="12" t="str">
        <f>IF('Surgery-ConceptMap-1'!S106=0,"//---END",'Surgery-ConceptMap-1'!S106)</f>
        <v>* group[=].element[=].display = ##34#Site of surgery on metastasis_lung##34#</v>
      </c>
    </row>
    <row r="111" spans="2:2">
      <c r="B111" s="12" t="str">
        <f>IF('Surgery-ConceptMap-1'!S107=0,"//---END",'Surgery-ConceptMap-1'!S107)</f>
        <v>* group[=].element[=].target.code = #Procedure.bodySite</v>
      </c>
    </row>
    <row r="112" spans="2:2">
      <c r="B112" s="12" t="str">
        <f>IF('Surgery-ConceptMap-1'!S108=0,"//---END",'Surgery-ConceptMap-1'!S108)</f>
        <v>* group[=].element[=].target.display = ##34###34#</v>
      </c>
    </row>
    <row r="113" spans="2:2">
      <c r="B113" s="12" t="str">
        <f>IF('Surgery-ConceptMap-1'!S109=0,"//---END",'Surgery-ConceptMap-1'!S109)</f>
        <v>* group[=].element[=].target.equivalence = #equivalent</v>
      </c>
    </row>
    <row r="114" spans="2:2">
      <c r="B114" s="12" t="str">
        <f>IF('Surgery-ConceptMap-1'!S110=0,"//---END",'Surgery-ConceptMap-1'!S110)</f>
        <v/>
      </c>
    </row>
    <row r="115" spans="2:2">
      <c r="B115" s="12" t="str">
        <f>IF('Surgery-ConceptMap-1'!S111=0,"//---END",'Surgery-ConceptMap-1'!S111)</f>
        <v>* group[=].element[+].code = #Surgery.siteOfSurgeryOnMetastasis.bone</v>
      </c>
    </row>
    <row r="116" spans="2:2">
      <c r="B116" s="12" t="str">
        <f>IF('Surgery-ConceptMap-1'!S112=0,"//---END",'Surgery-ConceptMap-1'!S112)</f>
        <v>* group[=].element[=].display = ##34#Site of surgery on metastasis_bone##34#</v>
      </c>
    </row>
    <row r="117" spans="2:2">
      <c r="B117" s="12" t="str">
        <f>IF('Surgery-ConceptMap-1'!S113=0,"//---END",'Surgery-ConceptMap-1'!S113)</f>
        <v>* group[=].element[=].target.code = #Procedure.bodySite</v>
      </c>
    </row>
    <row r="118" spans="2:2">
      <c r="B118" s="12" t="str">
        <f>IF('Surgery-ConceptMap-1'!S114=0,"//---END",'Surgery-ConceptMap-1'!S114)</f>
        <v>* group[=].element[=].target.display = ##34###34#</v>
      </c>
    </row>
    <row r="119" spans="2:2">
      <c r="B119" s="12" t="str">
        <f>IF('Surgery-ConceptMap-1'!S115=0,"//---END",'Surgery-ConceptMap-1'!S115)</f>
        <v>* group[=].element[=].target.equivalence = #equivalent</v>
      </c>
    </row>
    <row r="120" spans="2:2">
      <c r="B120" s="12" t="str">
        <f>IF('Surgery-ConceptMap-1'!S116=0,"//---END",'Surgery-ConceptMap-1'!S116)</f>
        <v/>
      </c>
    </row>
    <row r="121" spans="2:2">
      <c r="B121" s="12" t="str">
        <f>IF('Surgery-ConceptMap-1'!S117=0,"//---END",'Surgery-ConceptMap-1'!S117)</f>
        <v>* group[=].element[+].code = #Surgery.siteOfSurgeryOnMetastasis.liver</v>
      </c>
    </row>
    <row r="122" spans="2:2">
      <c r="B122" s="12" t="str">
        <f>IF('Surgery-ConceptMap-1'!S118=0,"//---END",'Surgery-ConceptMap-1'!S118)</f>
        <v>* group[=].element[=].display = ##34#Site of surgery on metastasis_liver##34#</v>
      </c>
    </row>
    <row r="123" spans="2:2">
      <c r="B123" s="12" t="str">
        <f>IF('Surgery-ConceptMap-1'!S119=0,"//---END",'Surgery-ConceptMap-1'!S119)</f>
        <v>* group[=].element[=].target.code = #Procedure.bodySite</v>
      </c>
    </row>
    <row r="124" spans="2:2">
      <c r="B124" s="12" t="str">
        <f>IF('Surgery-ConceptMap-1'!S120=0,"//---END",'Surgery-ConceptMap-1'!S120)</f>
        <v>* group[=].element[=].target.display = ##34###34#</v>
      </c>
    </row>
    <row r="125" spans="2:2">
      <c r="B125" s="12" t="str">
        <f>IF('Surgery-ConceptMap-1'!S121=0,"//---END",'Surgery-ConceptMap-1'!S121)</f>
        <v>* group[=].element[=].target.equivalence = #equivalent</v>
      </c>
    </row>
    <row r="126" spans="2:2">
      <c r="B126" s="12" t="str">
        <f>IF('Surgery-ConceptMap-1'!S122=0,"//---END",'Surgery-ConceptMap-1'!S122)</f>
        <v/>
      </c>
    </row>
    <row r="127" spans="2:2">
      <c r="B127" s="12" t="str">
        <f>IF('Surgery-ConceptMap-1'!S123=0,"//---END",'Surgery-ConceptMap-1'!S123)</f>
        <v>* group[=].element[+].code = #Surgery.siteOfSurgeryOnMetastasis.pleura</v>
      </c>
    </row>
    <row r="128" spans="2:2">
      <c r="B128" s="12" t="str">
        <f>IF('Surgery-ConceptMap-1'!S124=0,"//---END",'Surgery-ConceptMap-1'!S124)</f>
        <v>* group[=].element[=].display = ##34#Site of surgery on metastasis_pleura##34#</v>
      </c>
    </row>
    <row r="129" spans="2:2">
      <c r="B129" s="12" t="str">
        <f>IF('Surgery-ConceptMap-1'!S125=0,"//---END",'Surgery-ConceptMap-1'!S125)</f>
        <v>* group[=].element[=].target.code = #Procedure.bodySite</v>
      </c>
    </row>
    <row r="130" spans="2:2">
      <c r="B130" s="12" t="str">
        <f>IF('Surgery-ConceptMap-1'!S126=0,"//---END",'Surgery-ConceptMap-1'!S126)</f>
        <v>* group[=].element[=].target.display = ##34###34#</v>
      </c>
    </row>
    <row r="131" spans="2:2">
      <c r="B131" s="12" t="str">
        <f>IF('Surgery-ConceptMap-1'!S127=0,"//---END",'Surgery-ConceptMap-1'!S127)</f>
        <v>* group[=].element[=].target.equivalence = #equivalent</v>
      </c>
    </row>
    <row r="132" spans="2:2">
      <c r="B132" s="12" t="str">
        <f>IF('Surgery-ConceptMap-1'!S128=0,"//---END",'Surgery-ConceptMap-1'!S128)</f>
        <v/>
      </c>
    </row>
    <row r="133" spans="2:2">
      <c r="B133" s="12" t="str">
        <f>IF('Surgery-ConceptMap-1'!S129=0,"//---END",'Surgery-ConceptMap-1'!S129)</f>
        <v>* group[=].element[+].code = #Surgery.siteOfSurgeryOnMetastasis.peritoneum</v>
      </c>
    </row>
    <row r="134" spans="2:2">
      <c r="B134" s="12" t="str">
        <f>IF('Surgery-ConceptMap-1'!S130=0,"//---END",'Surgery-ConceptMap-1'!S130)</f>
        <v>* group[=].element[=].display = ##34#Site of surgery on metastasis_peritoneum##34#</v>
      </c>
    </row>
    <row r="135" spans="2:2">
      <c r="B135" s="12" t="str">
        <f>IF('Surgery-ConceptMap-1'!S131=0,"//---END",'Surgery-ConceptMap-1'!S131)</f>
        <v>* group[=].element[=].target.code = #Procedure.bodySite</v>
      </c>
    </row>
    <row r="136" spans="2:2">
      <c r="B136" s="12" t="str">
        <f>IF('Surgery-ConceptMap-1'!S132=0,"//---END",'Surgery-ConceptMap-1'!S132)</f>
        <v>* group[=].element[=].target.display = ##34###34#</v>
      </c>
    </row>
    <row r="137" spans="2:2">
      <c r="B137" s="12" t="str">
        <f>IF('Surgery-ConceptMap-1'!S133=0,"//---END",'Surgery-ConceptMap-1'!S133)</f>
        <v>* group[=].element[=].target.equivalence = #equivalent</v>
      </c>
    </row>
    <row r="138" spans="2:2">
      <c r="B138" s="12" t="str">
        <f>IF('Surgery-ConceptMap-1'!S134=0,"//---END",'Surgery-ConceptMap-1'!S134)</f>
        <v/>
      </c>
    </row>
    <row r="139" spans="2:2">
      <c r="B139" s="12" t="str">
        <f>IF('Surgery-ConceptMap-1'!S135=0,"//---END",'Surgery-ConceptMap-1'!S135)</f>
        <v>* group[=].element[+].code = #Surgery.siteOfSurgeryOnMetastasis.brain</v>
      </c>
    </row>
    <row r="140" spans="2:2">
      <c r="B140" s="12" t="str">
        <f>IF('Surgery-ConceptMap-1'!S136=0,"//---END",'Surgery-ConceptMap-1'!S136)</f>
        <v>* group[=].element[=].display = ##34#Site of surgery on metastasis_brain##34#</v>
      </c>
    </row>
    <row r="141" spans="2:2">
      <c r="B141" s="12" t="str">
        <f>IF('Surgery-ConceptMap-1'!S137=0,"//---END",'Surgery-ConceptMap-1'!S137)</f>
        <v>* group[=].element[=].target.code = #Procedure.bodySite</v>
      </c>
    </row>
    <row r="142" spans="2:2">
      <c r="B142" s="12" t="str">
        <f>IF('Surgery-ConceptMap-1'!S138=0,"//---END",'Surgery-ConceptMap-1'!S138)</f>
        <v>* group[=].element[=].target.display = ##34###34#</v>
      </c>
    </row>
    <row r="143" spans="2:2">
      <c r="B143" s="12" t="str">
        <f>IF('Surgery-ConceptMap-1'!S139=0,"//---END",'Surgery-ConceptMap-1'!S139)</f>
        <v>* group[=].element[=].target.equivalence = #equivalent</v>
      </c>
    </row>
    <row r="144" spans="2:2">
      <c r="B144" s="12" t="str">
        <f>IF('Surgery-ConceptMap-1'!S140=0,"//---END",'Surgery-ConceptMap-1'!S140)</f>
        <v/>
      </c>
    </row>
    <row r="145" spans="2:2">
      <c r="B145" s="12" t="str">
        <f>IF('Surgery-ConceptMap-1'!S141=0,"//---END",'Surgery-ConceptMap-1'!S141)</f>
        <v>* group[=].element[+].code = #Surgery.siteOfSurgeryOnMetastasis.otherViscera</v>
      </c>
    </row>
    <row r="146" spans="2:2">
      <c r="B146" s="12" t="str">
        <f>IF('Surgery-ConceptMap-1'!S142=0,"//---END",'Surgery-ConceptMap-1'!S142)</f>
        <v>* group[=].element[=].display = ##34#Site of surgery on metastasis_other viscera##34#</v>
      </c>
    </row>
    <row r="147" spans="2:2">
      <c r="B147" s="12" t="str">
        <f>IF('Surgery-ConceptMap-1'!S143=0,"//---END",'Surgery-ConceptMap-1'!S143)</f>
        <v>* group[=].element[=].target.code = #Procedure.bodySite</v>
      </c>
    </row>
    <row r="148" spans="2:2">
      <c r="B148" s="12" t="str">
        <f>IF('Surgery-ConceptMap-1'!S144=0,"//---END",'Surgery-ConceptMap-1'!S144)</f>
        <v>* group[=].element[=].target.display = ##34###34#</v>
      </c>
    </row>
    <row r="149" spans="2:2">
      <c r="B149" s="12" t="str">
        <f>IF('Surgery-ConceptMap-1'!S145=0,"//---END",'Surgery-ConceptMap-1'!S145)</f>
        <v>* group[=].element[=].target.equivalence = #equivalent</v>
      </c>
    </row>
    <row r="150" spans="2:2">
      <c r="B150" s="12" t="str">
        <f>IF('Surgery-ConceptMap-1'!S146=0,"//---END",'Surgery-ConceptMap-1'!S146)</f>
        <v/>
      </c>
    </row>
    <row r="151" spans="2:2">
      <c r="B151" s="12" t="str">
        <f>IF('Surgery-ConceptMap-1'!S147=0,"//---END",'Surgery-ConceptMap-1'!S147)</f>
        <v>* group[=].element[+].code = #Surgery.siteOfSurgeryOnMetastasis.unknown</v>
      </c>
    </row>
    <row r="152" spans="2:2">
      <c r="B152" s="12" t="str">
        <f>IF('Surgery-ConceptMap-1'!S148=0,"//---END",'Surgery-ConceptMap-1'!S148)</f>
        <v>* group[=].element[=].display = ##34#Site of surgery on metastasis_unknown##34#</v>
      </c>
    </row>
    <row r="153" spans="2:2">
      <c r="B153" s="12" t="str">
        <f>IF('Surgery-ConceptMap-1'!S149=0,"//---END",'Surgery-ConceptMap-1'!S149)</f>
        <v>* group[=].element[=].target.code = #Procedure.bodySite</v>
      </c>
    </row>
    <row r="154" spans="2:2">
      <c r="B154" s="12" t="str">
        <f>IF('Surgery-ConceptMap-1'!S150=0,"//---END",'Surgery-ConceptMap-1'!S150)</f>
        <v>* group[=].element[=].target.display = ##34###34#</v>
      </c>
    </row>
    <row r="155" spans="2:2">
      <c r="B155" s="12" t="str">
        <f>IF('Surgery-ConceptMap-1'!S151=0,"//---END",'Surgery-ConceptMap-1'!S151)</f>
        <v>* group[=].element[=].target.equivalence = #equivalent</v>
      </c>
    </row>
    <row r="156" spans="2:2">
      <c r="B156" s="12" t="str">
        <f>IF('Surgery-ConceptMap-1'!S152=0,"//---END",'Surgery-ConceptMap-1'!S152)</f>
        <v/>
      </c>
    </row>
    <row r="157" spans="2:2">
      <c r="B157" s="12" t="str">
        <f>IF('Surgery-ConceptMap-1'!S153=0,"//---END",'Surgery-ConceptMap-1'!S153)</f>
        <v>* group[=].element[+].code = #Surgery.surgicalComplicationsClavienDindoClassification</v>
      </c>
    </row>
    <row r="158" spans="2:2">
      <c r="B158" s="12" t="str">
        <f>IF('Surgery-ConceptMap-1'!S154=0,"//---END",'Surgery-ConceptMap-1'!S154)</f>
        <v>* group[=].element[=].display = ##34#Surgical complications (Clavien-Dindo Classification)##34#</v>
      </c>
    </row>
    <row r="159" spans="2:2">
      <c r="B159" s="12" t="str">
        <f>IF('Surgery-ConceptMap-1'!S155=0,"//---END",'Surgery-ConceptMap-1'!S155)</f>
        <v>* group[=].element[=].target.code = #Procedure.complication</v>
      </c>
    </row>
    <row r="160" spans="2:2">
      <c r="B160" s="12" t="str">
        <f>IF('Surgery-ConceptMap-1'!S156=0,"//---END",'Surgery-ConceptMap-1'!S156)</f>
        <v>* group[=].element[=].target.display = ##34###34#</v>
      </c>
    </row>
    <row r="161" spans="2:2">
      <c r="B161" s="12" t="str">
        <f>IF('Surgery-ConceptMap-1'!S157=0,"//---END",'Surgery-ConceptMap-1'!S157)</f>
        <v>* group[=].element[=].target.equivalence = #equivalent</v>
      </c>
    </row>
    <row r="162" spans="2:2">
      <c r="B162" s="12" t="str">
        <f>IF('Surgery-ConceptMap-1'!S158=0,"//---END",'Surgery-ConceptMap-1'!S158)</f>
        <v/>
      </c>
    </row>
    <row r="163" spans="2:2">
      <c r="B163" s="12" t="str">
        <f>IF('Surgery-ConceptMap-1'!S159=0,"//---END",'Surgery-ConceptMap-1'!S159)</f>
        <v>//---END</v>
      </c>
    </row>
    <row r="164" spans="2:2">
      <c r="B164" s="12" t="str">
        <f>IF('Surgery-ConceptMap-1'!S160=0,"//---END",'Surgery-ConceptMap-1'!S160)</f>
        <v>//---END</v>
      </c>
    </row>
    <row r="165" spans="2:2">
      <c r="B165" s="12" t="str">
        <f>IF('Surgery-ConceptMap-1'!S161=0,"//---END",'Surgery-ConceptMap-1'!S161)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topLeftCell="A16" zoomScaleNormal="100" workbookViewId="0">
      <selection activeCell="B22" sqref="B22"/>
    </sheetView>
  </sheetViews>
  <sheetFormatPr defaultRowHeight="14.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1612</v>
      </c>
      <c r="L1" s="23" t="s">
        <v>20</v>
      </c>
    </row>
    <row r="2" spans="1:12">
      <c r="J2" s="24" t="s">
        <v>19</v>
      </c>
      <c r="L2" s="24" t="s">
        <v>1611</v>
      </c>
    </row>
    <row r="3" spans="1:12" ht="17.75" customHeight="1" thickBot="1">
      <c r="J3" s="24" t="str">
        <f>J1</f>
        <v>//===================================================</v>
      </c>
      <c r="L3" s="24" t="str">
        <f>L1</f>
        <v>// -------------------------------------------------------------------------------</v>
      </c>
    </row>
    <row r="4" spans="1:12" ht="15.5" thickBot="1">
      <c r="A4" s="5" t="s">
        <v>11</v>
      </c>
      <c r="B4" s="45" t="s">
        <v>2221</v>
      </c>
      <c r="J4" s="16" t="str">
        <f>CONCATENATE("Logical: ",B4)</f>
        <v>Logical: Radiotherapy</v>
      </c>
    </row>
    <row r="5" spans="1:12" ht="15.5" thickBot="1">
      <c r="A5" s="14" t="s">
        <v>16</v>
      </c>
      <c r="B5" s="45" t="s">
        <v>2221</v>
      </c>
      <c r="J5" s="16" t="str">
        <f>CONCATENATE("Id: ",B5)</f>
        <v>Id: Radiotherapy</v>
      </c>
    </row>
    <row r="6" spans="1:12" ht="15.5" thickBot="1">
      <c r="A6" s="14" t="s">
        <v>10</v>
      </c>
      <c r="B6" s="45" t="s">
        <v>2221</v>
      </c>
      <c r="J6" s="17" t="str">
        <f>CONCATENATE("Title: ##34#",B6,"##34#")</f>
        <v>Title: ##34#Radiotherapy##34#</v>
      </c>
    </row>
    <row r="7" spans="1:12">
      <c r="A7" s="26" t="s">
        <v>2</v>
      </c>
      <c r="B7" s="45" t="s">
        <v>2221</v>
      </c>
      <c r="C7" s="9" t="s">
        <v>3</v>
      </c>
      <c r="D7" s="1" t="s">
        <v>4</v>
      </c>
      <c r="E7" s="3" t="s">
        <v>5</v>
      </c>
      <c r="F7" s="3" t="s">
        <v>6</v>
      </c>
      <c r="G7" s="3" t="s">
        <v>7</v>
      </c>
      <c r="H7" s="105" t="s">
        <v>1610</v>
      </c>
      <c r="J7" s="17" t="str">
        <f>CONCATENATE("Description: "," ##334#",B7,"##334#",)</f>
        <v>Description:  ##334#Radiotherapy##334#</v>
      </c>
    </row>
    <row r="8" spans="1:12" ht="59">
      <c r="A8" s="100">
        <v>0</v>
      </c>
      <c r="B8" s="11" t="s">
        <v>2012</v>
      </c>
      <c r="C8" s="11" t="s">
        <v>2136</v>
      </c>
      <c r="D8" s="11" t="s">
        <v>1910</v>
      </c>
      <c r="E8" s="11">
        <v>1</v>
      </c>
      <c r="F8" s="11">
        <v>1</v>
      </c>
      <c r="G8" s="57" t="s">
        <v>2089</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c r="A9" s="101">
        <v>1</v>
      </c>
      <c r="B9" s="11" t="s">
        <v>2220</v>
      </c>
      <c r="C9" s="11" t="s">
        <v>2221</v>
      </c>
      <c r="D9" s="11" t="s">
        <v>2222</v>
      </c>
      <c r="E9" s="11">
        <v>1</v>
      </c>
      <c r="F9" s="11">
        <v>1</v>
      </c>
      <c r="G9" s="11" t="s">
        <v>1786</v>
      </c>
      <c r="H9" s="12" t="s">
        <v>2160</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c r="A10" s="100">
        <v>2</v>
      </c>
      <c r="B10" s="11" t="s">
        <v>1667</v>
      </c>
      <c r="C10" s="11" t="s">
        <v>1654</v>
      </c>
      <c r="D10" s="11" t="s">
        <v>2223</v>
      </c>
      <c r="E10" s="11">
        <v>1</v>
      </c>
      <c r="F10" s="11">
        <v>1</v>
      </c>
      <c r="G10" s="11" t="s">
        <v>1786</v>
      </c>
      <c r="H10" s="12" t="s">
        <v>2142</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c r="A11" s="100">
        <v>3</v>
      </c>
      <c r="B11" s="11" t="s">
        <v>1668</v>
      </c>
      <c r="C11" s="11" t="s">
        <v>2143</v>
      </c>
      <c r="D11" s="11" t="s">
        <v>2224</v>
      </c>
      <c r="E11" s="11">
        <v>0</v>
      </c>
      <c r="F11" s="11">
        <v>1</v>
      </c>
      <c r="G11" s="11" t="s">
        <v>1786</v>
      </c>
      <c r="H11" s="12" t="s">
        <v>2225</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c r="A12" s="100">
        <v>4</v>
      </c>
      <c r="B12" s="11" t="s">
        <v>2226</v>
      </c>
      <c r="C12" s="11" t="s">
        <v>2227</v>
      </c>
      <c r="D12" s="11" t="s">
        <v>2228</v>
      </c>
      <c r="E12" s="11">
        <v>1</v>
      </c>
      <c r="F12" s="11">
        <v>1</v>
      </c>
      <c r="G12" s="11" t="s">
        <v>1786</v>
      </c>
      <c r="H12" s="12" t="s">
        <v>2229</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c r="A13" s="158">
        <v>5</v>
      </c>
      <c r="B13" s="11" t="s">
        <v>2230</v>
      </c>
      <c r="C13" s="11" t="s">
        <v>2231</v>
      </c>
      <c r="D13" s="6" t="s">
        <v>2231</v>
      </c>
      <c r="E13" s="11">
        <v>0</v>
      </c>
      <c r="F13" s="11">
        <v>1</v>
      </c>
      <c r="G13" s="11" t="s">
        <v>0</v>
      </c>
      <c r="H13" s="12"/>
      <c r="I13" s="25"/>
      <c r="J13" s="12" t="str">
        <f t="shared" si="1"/>
        <v>* otherSpecify 0..1 string ##34#Other; specify##34# ##334#Other; specify##334#</v>
      </c>
      <c r="L13" s="12" t="str">
        <f t="shared" si="2"/>
        <v/>
      </c>
    </row>
    <row r="14" spans="1:12" ht="236">
      <c r="A14" s="101">
        <v>6</v>
      </c>
      <c r="B14" s="11" t="s">
        <v>2232</v>
      </c>
      <c r="C14" s="11" t="s">
        <v>2233</v>
      </c>
      <c r="D14" s="11" t="s">
        <v>2234</v>
      </c>
      <c r="E14" s="11">
        <v>1</v>
      </c>
      <c r="F14" s="11">
        <v>1</v>
      </c>
      <c r="G14" s="11" t="s">
        <v>1786</v>
      </c>
      <c r="H14" s="12" t="s">
        <v>2235</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c r="A15" s="100">
        <v>7</v>
      </c>
      <c r="B15" s="11" t="s">
        <v>2236</v>
      </c>
      <c r="C15" s="11" t="s">
        <v>2237</v>
      </c>
      <c r="D15" s="11" t="s">
        <v>2238</v>
      </c>
      <c r="E15" s="11">
        <v>1</v>
      </c>
      <c r="F15" s="11">
        <v>1</v>
      </c>
      <c r="G15" s="57" t="s">
        <v>2296</v>
      </c>
      <c r="H15" s="12"/>
      <c r="I15" s="25"/>
      <c r="J15" s="12" t="str">
        <f t="shared" si="1"/>
        <v>* totalDoseTdGy 1..1 decimal ##34#Total Dose (TD) Gy##34# ##334#Refers to the total dose delivered to the patient in Gy##334#</v>
      </c>
      <c r="L15" s="12" t="str">
        <f t="shared" si="2"/>
        <v/>
      </c>
    </row>
    <row r="16" spans="1:12" ht="29.5">
      <c r="A16" s="100">
        <v>8</v>
      </c>
      <c r="B16" s="11" t="s">
        <v>2239</v>
      </c>
      <c r="C16" s="11" t="s">
        <v>2240</v>
      </c>
      <c r="D16" s="11" t="s">
        <v>2241</v>
      </c>
      <c r="E16" s="11">
        <v>1</v>
      </c>
      <c r="F16" s="11">
        <v>1</v>
      </c>
      <c r="G16" s="57" t="s">
        <v>2296</v>
      </c>
      <c r="H16" s="12"/>
      <c r="I16" s="25"/>
      <c r="J16" s="12" t="str">
        <f t="shared" si="1"/>
        <v>* fractionSizeFs 1..1 decimal ##34#Fraction Size (FS)##34# ##334#Refers to the Dose per fraction delivered to the patient.##334#</v>
      </c>
      <c r="L16" s="12" t="str">
        <f t="shared" si="2"/>
        <v/>
      </c>
    </row>
    <row r="17" spans="1:13" ht="29.5">
      <c r="A17" s="100">
        <v>9</v>
      </c>
      <c r="B17" s="11" t="s">
        <v>2242</v>
      </c>
      <c r="C17" s="11" t="s">
        <v>2243</v>
      </c>
      <c r="D17" s="11" t="s">
        <v>2244</v>
      </c>
      <c r="E17" s="11">
        <v>1</v>
      </c>
      <c r="F17" s="11">
        <v>1</v>
      </c>
      <c r="G17" s="57" t="s">
        <v>2296</v>
      </c>
      <c r="H17" s="12"/>
      <c r="I17" s="25"/>
      <c r="J17" s="12" t="str">
        <f t="shared" si="1"/>
        <v>* numberOfFractions 1..1 decimal ##34#Number of fractions##34# ##334#Refers to the total number of fractions delivered to the patient##334#</v>
      </c>
      <c r="L17" s="12" t="str">
        <f t="shared" si="2"/>
        <v/>
      </c>
    </row>
    <row r="18" spans="1:13" ht="59">
      <c r="A18" s="101">
        <v>10</v>
      </c>
      <c r="B18" s="11" t="s">
        <v>2245</v>
      </c>
      <c r="C18" s="11" t="s">
        <v>2246</v>
      </c>
      <c r="D18" s="11" t="s">
        <v>2247</v>
      </c>
      <c r="E18" s="11">
        <v>0</v>
      </c>
      <c r="F18" s="11">
        <v>1</v>
      </c>
      <c r="G18" s="11" t="s">
        <v>1786</v>
      </c>
      <c r="H18" s="12" t="s">
        <v>2183</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c r="A19" s="100">
        <v>11</v>
      </c>
      <c r="B19" s="11" t="s">
        <v>2248</v>
      </c>
      <c r="C19" s="11" t="s">
        <v>2249</v>
      </c>
      <c r="D19" s="11" t="s">
        <v>2250</v>
      </c>
      <c r="E19" s="11">
        <v>0</v>
      </c>
      <c r="F19" s="11">
        <v>1</v>
      </c>
      <c r="G19" s="11" t="s">
        <v>1786</v>
      </c>
      <c r="H19" s="12" t="s">
        <v>2183</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c r="A20" s="100">
        <v>12</v>
      </c>
      <c r="B20" s="11" t="s">
        <v>2251</v>
      </c>
      <c r="C20" s="11" t="s">
        <v>2252</v>
      </c>
      <c r="D20" s="11" t="s">
        <v>2253</v>
      </c>
      <c r="E20" s="11">
        <v>1</v>
      </c>
      <c r="F20" s="11">
        <v>1</v>
      </c>
      <c r="G20" s="11" t="s">
        <v>156</v>
      </c>
      <c r="H20" s="12"/>
      <c r="J20" s="12" t="str">
        <f t="shared" si="1"/>
        <v>* startDate 1..1 date ##34#Start date##34# ##334#Date when  the first radiation treatment was delivered##334#</v>
      </c>
      <c r="L20" s="12" t="str">
        <f t="shared" si="2"/>
        <v/>
      </c>
    </row>
    <row r="21" spans="1:13" ht="29.5">
      <c r="A21" s="100">
        <v>13</v>
      </c>
      <c r="B21" s="11" t="s">
        <v>2254</v>
      </c>
      <c r="C21" s="11" t="s">
        <v>2255</v>
      </c>
      <c r="D21" s="11" t="s">
        <v>2256</v>
      </c>
      <c r="E21" s="11">
        <v>1</v>
      </c>
      <c r="F21" s="11">
        <v>1</v>
      </c>
      <c r="G21" s="11" t="s">
        <v>156</v>
      </c>
      <c r="H21" s="12"/>
      <c r="J21" s="12" t="str">
        <f t="shared" si="1"/>
        <v>* endDate 1..1 date ##34#End  date##34# ##334#Date when the last radiation treatment ended##334#</v>
      </c>
      <c r="L21" s="12" t="str">
        <f t="shared" si="2"/>
        <v/>
      </c>
      <c r="M21"/>
    </row>
    <row r="22" spans="1:13" ht="59">
      <c r="A22" s="100">
        <v>14</v>
      </c>
      <c r="B22" s="11" t="s">
        <v>2257</v>
      </c>
      <c r="C22" s="11" t="s">
        <v>2258</v>
      </c>
      <c r="D22" s="11" t="s">
        <v>2259</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c r="A23" s="101">
        <v>15</v>
      </c>
      <c r="B23" s="57" t="s">
        <v>2278</v>
      </c>
      <c r="C23" s="11" t="s">
        <v>2260</v>
      </c>
      <c r="D23" s="155" t="s">
        <v>2260</v>
      </c>
      <c r="E23" s="11">
        <v>0</v>
      </c>
      <c r="F23" s="11">
        <v>1</v>
      </c>
      <c r="G23" s="11" t="s">
        <v>157</v>
      </c>
      <c r="H23" s="12"/>
      <c r="J23" s="12" t="str">
        <f t="shared" si="1"/>
        <v>* treatmentSites.primary 0..1 boolean ##34#Primary##34# ##334#Primary##334#</v>
      </c>
      <c r="L23" s="12" t="str">
        <f t="shared" si="2"/>
        <v/>
      </c>
      <c r="M23"/>
    </row>
    <row r="24" spans="1:13">
      <c r="A24" s="100">
        <v>16</v>
      </c>
      <c r="B24" s="57" t="s">
        <v>2279</v>
      </c>
      <c r="C24" s="11" t="s">
        <v>2261</v>
      </c>
      <c r="D24" s="155" t="s">
        <v>2261</v>
      </c>
      <c r="E24" s="11">
        <v>0</v>
      </c>
      <c r="F24" s="11">
        <v>1</v>
      </c>
      <c r="G24" s="11" t="s">
        <v>157</v>
      </c>
      <c r="H24" s="12"/>
      <c r="J24" s="12" t="str">
        <f t="shared" si="1"/>
        <v>* treatmentSites.neck 0..1 boolean ##34#Neck##34# ##334#Neck##334#</v>
      </c>
      <c r="L24" s="12" t="str">
        <f t="shared" si="2"/>
        <v/>
      </c>
      <c r="M24"/>
    </row>
    <row r="25" spans="1:13" ht="29.5">
      <c r="A25" s="101">
        <v>17</v>
      </c>
      <c r="B25" s="57" t="s">
        <v>2280</v>
      </c>
      <c r="C25" s="11" t="s">
        <v>2262</v>
      </c>
      <c r="D25" s="155" t="s">
        <v>2262</v>
      </c>
      <c r="E25" s="11">
        <v>1</v>
      </c>
      <c r="F25" s="11">
        <v>1</v>
      </c>
      <c r="G25" s="11" t="s">
        <v>157</v>
      </c>
      <c r="H25" s="12"/>
      <c r="J25" s="12" t="str">
        <f t="shared" si="1"/>
        <v>* treatmentSites.primaryAndIpsilateralNeck 1..1 boolean ##34#Primary and Ipsilateral Neck##34# ##334#Primary and Ipsilateral Neck##334#</v>
      </c>
      <c r="L25" s="12" t="str">
        <f t="shared" si="2"/>
        <v/>
      </c>
      <c r="M25"/>
    </row>
    <row r="26" spans="1:13" ht="29.5">
      <c r="A26" s="101">
        <v>18</v>
      </c>
      <c r="B26" s="57" t="s">
        <v>2281</v>
      </c>
      <c r="C26" s="11" t="s">
        <v>2263</v>
      </c>
      <c r="D26" s="155" t="s">
        <v>2263</v>
      </c>
      <c r="E26" s="11">
        <v>1</v>
      </c>
      <c r="F26" s="11">
        <v>1</v>
      </c>
      <c r="G26" s="11" t="s">
        <v>157</v>
      </c>
      <c r="H26" s="12"/>
      <c r="J26" s="12" t="str">
        <f t="shared" si="1"/>
        <v>* treatmentSites.primaryAndBilateralNeck 1..1 boolean ##34#Primary and Bilateral Neck##34# ##334#Primary and Bilateral Neck##334#</v>
      </c>
      <c r="L26" s="12" t="str">
        <f t="shared" si="2"/>
        <v/>
      </c>
      <c r="M26"/>
    </row>
    <row r="27" spans="1:13" ht="29.5">
      <c r="A27" s="101">
        <v>19</v>
      </c>
      <c r="B27" s="57" t="s">
        <v>2282</v>
      </c>
      <c r="C27" s="11" t="s">
        <v>2264</v>
      </c>
      <c r="D27" s="155" t="s">
        <v>2264</v>
      </c>
      <c r="E27" s="11">
        <v>1</v>
      </c>
      <c r="F27" s="11">
        <v>1</v>
      </c>
      <c r="G27" s="11" t="s">
        <v>157</v>
      </c>
      <c r="H27" s="12"/>
      <c r="J27" s="12" t="str">
        <f t="shared" si="1"/>
        <v>* treatmentSites.distantMetastasis 1..1 boolean ##34#Distant Metastasis##34# ##334#Distant Metastasis##334#</v>
      </c>
      <c r="L27" s="12" t="str">
        <f t="shared" si="2"/>
        <v/>
      </c>
      <c r="M27"/>
    </row>
    <row r="28" spans="1:13" ht="44.25">
      <c r="A28" s="100">
        <v>20</v>
      </c>
      <c r="B28" s="11" t="s">
        <v>2265</v>
      </c>
      <c r="C28" s="11" t="s">
        <v>2266</v>
      </c>
      <c r="D28" s="11" t="s">
        <v>2267</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c r="A29" s="100">
        <v>21</v>
      </c>
      <c r="B29" s="57" t="s">
        <v>2283</v>
      </c>
      <c r="C29" s="11" t="s">
        <v>2268</v>
      </c>
      <c r="D29" s="155" t="s">
        <v>2268</v>
      </c>
      <c r="E29" s="11">
        <v>0</v>
      </c>
      <c r="F29" s="11">
        <v>1</v>
      </c>
      <c r="G29" s="11" t="s">
        <v>157</v>
      </c>
      <c r="H29" s="12"/>
      <c r="J29" s="12" t="str">
        <f t="shared" si="1"/>
        <v>* metastaticTreatmentSites.lung 0..1 boolean ##34#Lung
##34# ##334#Lung
##334#</v>
      </c>
      <c r="L29" s="12" t="str">
        <f t="shared" si="2"/>
        <v/>
      </c>
    </row>
    <row r="30" spans="1:13" ht="44.25">
      <c r="A30" s="100">
        <v>22</v>
      </c>
      <c r="B30" s="57" t="s">
        <v>2284</v>
      </c>
      <c r="C30" s="11" t="s">
        <v>2270</v>
      </c>
      <c r="D30" s="155" t="s">
        <v>2270</v>
      </c>
      <c r="E30" s="11">
        <v>0</v>
      </c>
      <c r="F30" s="11">
        <v>1</v>
      </c>
      <c r="G30" s="11" t="s">
        <v>157</v>
      </c>
      <c r="H30" s="12"/>
      <c r="J30" s="12" t="str">
        <f t="shared" si="1"/>
        <v>* metastaticTreatmentSites.mediastinum 0..1 boolean ##34#Mediastinum
##34# ##334#Mediastinum
##334#</v>
      </c>
      <c r="L30" s="12" t="str">
        <f t="shared" si="2"/>
        <v/>
      </c>
    </row>
    <row r="31" spans="1:13" ht="44.25">
      <c r="A31" s="11">
        <v>23</v>
      </c>
      <c r="B31" s="57" t="s">
        <v>2285</v>
      </c>
      <c r="C31" s="12" t="s">
        <v>2271</v>
      </c>
      <c r="D31" s="13" t="s">
        <v>2271</v>
      </c>
      <c r="E31" s="11">
        <v>0</v>
      </c>
      <c r="F31" s="11">
        <v>1</v>
      </c>
      <c r="G31" s="11" t="s">
        <v>157</v>
      </c>
      <c r="H31" s="12"/>
      <c r="J31" s="12" t="str">
        <f t="shared" si="1"/>
        <v>* metastaticTreatmentSites.bone 0..1 boolean ##34#Bone
##34# ##334#Bone
##334#</v>
      </c>
      <c r="L31" s="12" t="str">
        <f t="shared" si="2"/>
        <v/>
      </c>
    </row>
    <row r="32" spans="1:13" ht="44.25">
      <c r="A32" s="11">
        <v>24</v>
      </c>
      <c r="B32" s="57" t="s">
        <v>2286</v>
      </c>
      <c r="C32" s="12" t="s">
        <v>2272</v>
      </c>
      <c r="D32" s="13" t="s">
        <v>2272</v>
      </c>
      <c r="E32" s="11">
        <v>0</v>
      </c>
      <c r="F32" s="11">
        <v>1</v>
      </c>
      <c r="G32" s="11" t="s">
        <v>157</v>
      </c>
      <c r="H32" s="12"/>
      <c r="J32" s="12" t="str">
        <f t="shared" si="1"/>
        <v>* metastaticTreatmentSites.softTissue 0..1 boolean ##34#Soft Tissue
##34# ##334#Soft Tissue
##334#</v>
      </c>
      <c r="L32" s="12" t="str">
        <f t="shared" si="2"/>
        <v/>
      </c>
    </row>
    <row r="33" spans="1:12" ht="44.25">
      <c r="A33" s="11">
        <v>25</v>
      </c>
      <c r="B33" s="57" t="s">
        <v>2287</v>
      </c>
      <c r="C33" s="12" t="s">
        <v>2273</v>
      </c>
      <c r="D33" s="13" t="s">
        <v>2273</v>
      </c>
      <c r="E33" s="11">
        <v>0</v>
      </c>
      <c r="F33" s="11">
        <v>1</v>
      </c>
      <c r="G33" s="11" t="s">
        <v>157</v>
      </c>
      <c r="H33" s="12"/>
      <c r="J33" s="12" t="str">
        <f t="shared" si="1"/>
        <v>* metastaticTreatmentSites.liver 0..1 boolean ##34#Liver
##34# ##334#Liver
##334#</v>
      </c>
      <c r="L33" s="12" t="str">
        <f t="shared" si="2"/>
        <v/>
      </c>
    </row>
    <row r="34" spans="1:12" ht="147.5">
      <c r="A34" s="11">
        <v>26</v>
      </c>
      <c r="B34" s="11" t="s">
        <v>2274</v>
      </c>
      <c r="C34" s="12" t="s">
        <v>2275</v>
      </c>
      <c r="D34" s="11" t="s">
        <v>2276</v>
      </c>
      <c r="E34" s="11">
        <v>1</v>
      </c>
      <c r="F34" s="11">
        <v>1</v>
      </c>
      <c r="G34" s="11" t="s">
        <v>1786</v>
      </c>
      <c r="H34" s="12" t="s">
        <v>2277</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c r="J35" s="12" t="str">
        <f t="shared" si="1"/>
        <v>*  ..  ##34###34# ##334###334#</v>
      </c>
      <c r="L35" s="12" t="str">
        <f t="shared" si="2"/>
        <v>*  ..  ##34###34# ##334###334#</v>
      </c>
    </row>
    <row r="36" spans="1:12">
      <c r="J36" s="12" t="str">
        <f t="shared" si="1"/>
        <v>*  ..  ##34###34# ##334###334#</v>
      </c>
      <c r="L36" s="12" t="str">
        <f t="shared" si="2"/>
        <v>*  ..  ##34###34# ##334###334#</v>
      </c>
    </row>
    <row r="37" spans="1:12">
      <c r="J37" s="12" t="str">
        <f t="shared" si="1"/>
        <v>*  ..  ##34###34# ##334###334#</v>
      </c>
      <c r="L37" s="12" t="str">
        <f t="shared" si="2"/>
        <v>*  ..  ##34###34# ##334###334#</v>
      </c>
    </row>
    <row r="38" spans="1:12">
      <c r="J38" s="12" t="str">
        <f t="shared" si="1"/>
        <v>*  ..  ##34###34# ##334###334#</v>
      </c>
      <c r="L38" s="12" t="str">
        <f t="shared" si="2"/>
        <v>*  ..  ##34###34# ##334###334#</v>
      </c>
    </row>
    <row r="39" spans="1:12">
      <c r="J39" s="12" t="str">
        <f t="shared" si="1"/>
        <v>*  ..  ##34###34# ##334###334#</v>
      </c>
      <c r="L39" s="12" t="str">
        <f t="shared" si="2"/>
        <v>*  ..  ##34###34# ##334###334#</v>
      </c>
    </row>
    <row r="43" spans="1:12">
      <c r="B43" s="11" t="s">
        <v>1628</v>
      </c>
      <c r="C43" s="2" t="str">
        <f>$B$29&amp;"."&amp;B43</f>
        <v>metastaticTreatmentSites.lung.lung</v>
      </c>
    </row>
    <row r="44" spans="1:12">
      <c r="B44" s="11" t="s">
        <v>2269</v>
      </c>
      <c r="C44" s="2" t="str">
        <f t="shared" ref="C44:C47" si="3">$B$29&amp;"."&amp;B44</f>
        <v>metastaticTreatmentSites.lung.mediastinum</v>
      </c>
    </row>
    <row r="45" spans="1:12">
      <c r="B45" s="11" t="s">
        <v>1630</v>
      </c>
      <c r="C45" s="2" t="str">
        <f t="shared" si="3"/>
        <v>metastaticTreatmentSites.lung.bone</v>
      </c>
    </row>
    <row r="46" spans="1:12">
      <c r="B46" s="11" t="s">
        <v>1648</v>
      </c>
      <c r="C46" s="2" t="str">
        <f t="shared" si="3"/>
        <v>metastaticTreatmentSites.lung.softTissue</v>
      </c>
    </row>
    <row r="47" spans="1:12">
      <c r="B47" s="11" t="s">
        <v>1632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topLeftCell="C1" workbookViewId="0">
      <selection activeCell="C51" sqref="C51:C81"/>
    </sheetView>
  </sheetViews>
  <sheetFormatPr defaultRowHeight="14.75"/>
  <cols>
    <col min="3" max="3" width="108.2265625" style="12" customWidth="1"/>
    <col min="7" max="7" width="29.54296875" customWidth="1"/>
    <col min="8" max="8" width="54.90625" customWidth="1"/>
  </cols>
  <sheetData>
    <row r="1" spans="3:7" ht="15.5" thickBot="1">
      <c r="C1" s="23" t="str">
        <f>Radiotherapy!J1</f>
        <v>//===================================================</v>
      </c>
    </row>
    <row r="2" spans="3:7" ht="16.75" thickBot="1">
      <c r="C2" s="24" t="str">
        <f>Radiotherapy!J2</f>
        <v>//  Logical Model</v>
      </c>
      <c r="G2" s="29" t="s">
        <v>2297</v>
      </c>
    </row>
    <row r="3" spans="3:7">
      <c r="C3" s="24" t="str">
        <f>Radiotherapy!J3</f>
        <v>//===================================================</v>
      </c>
    </row>
    <row r="4" spans="3:7">
      <c r="C4" s="16" t="str">
        <f>Radiotherapy!J4</f>
        <v>Logical: Radiotherapy</v>
      </c>
    </row>
    <row r="5" spans="3:7">
      <c r="C5" s="16" t="str">
        <f>Radiotherapy!J5</f>
        <v>Id: Radiotherapy</v>
      </c>
    </row>
    <row r="6" spans="3:7">
      <c r="C6" s="16" t="str">
        <f>Radiotherapy!J6</f>
        <v>Title: ##34#Radiotherapy##34#</v>
      </c>
    </row>
    <row r="7" spans="3:7">
      <c r="C7" s="16" t="str">
        <f>Radiotherapy!J7</f>
        <v>Description:  ##334#Radiotherapy##334#</v>
      </c>
    </row>
    <row r="8" spans="3:7" ht="29.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c r="C10" s="12" t="str">
        <f>IF(Radiotherapy!J10="*  ..  ##34###34# ##334###334#","//--- END",Radiotherapy!J10)</f>
        <v>* intent 1..1 CodeableConcept ##34#Intent##34# ##334#Radiotherapy intent refers to whether the intention of treatment is to cure the patient or to treat symptoms and palliate##334#</v>
      </c>
    </row>
    <row r="11" spans="3:7" ht="29.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c r="C13" s="12" t="str">
        <f>IF(Radiotherapy!J13="*  ..  ##34###34# ##334###334#","//--- END",Radiotherapy!J13)</f>
        <v>* otherSpecify 0..1 string ##34#Other; specify##34# ##334#Other; specify##334#</v>
      </c>
    </row>
    <row r="14" spans="3:7" ht="29.5">
      <c r="C14" s="12" t="str">
        <f>IF(Radiotherapy!J14="*  ..  ##34###34# ##334###334#","//--- END",Radiotherapy!J14)</f>
        <v>* treatmentTechnique 1..1 CodeableConcept ##34#Treatment technique##34# ##334#Refers to the type of radiotherapy treatment delivered##334#</v>
      </c>
    </row>
    <row r="15" spans="3:7" ht="29.5">
      <c r="C15" s="12" t="str">
        <f>IF(Radiotherapy!J15="*  ..  ##34###34# ##334###334#","//--- END",Radiotherapy!J15)</f>
        <v>* totalDoseTdGy 1..1 decimal ##34#Total Dose (TD) Gy##34# ##334#Refers to the total dose delivered to the patient in Gy##334#</v>
      </c>
    </row>
    <row r="16" spans="3:7" ht="29.5">
      <c r="C16" s="12" t="str">
        <f>IF(Radiotherapy!J16="*  ..  ##34###34# ##334###334#","//--- END",Radiotherapy!J16)</f>
        <v>* fractionSizeFs 1..1 decimal ##34#Fraction Size (FS)##34# ##334#Refers to the Dose per fraction delivered to the patient.##334#</v>
      </c>
    </row>
    <row r="17" spans="3:3" ht="29.5">
      <c r="C17" s="12" t="str">
        <f>IF(Radiotherapy!J17="*  ..  ##34###34# ##334###334#","//--- END",Radiotherapy!J17)</f>
        <v>* numberOfFractions 1..1 decimal ##34#Number of fractions##34# ##334#Refers to the total number of fractions delivered to the patient##334#</v>
      </c>
    </row>
    <row r="18" spans="3:3" ht="44.2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c r="C20" s="12" t="str">
        <f>IF(Radiotherapy!J20="*  ..  ##34###34# ##334###334#","//--- END",Radiotherapy!J20)</f>
        <v>* startDate 1..1 date ##34#Start date##34# ##334#Date when  the first radiation treatment was delivered##334#</v>
      </c>
    </row>
    <row r="21" spans="3:3">
      <c r="C21" s="12" t="str">
        <f>IF(Radiotherapy!J21="*  ..  ##34###34# ##334###334#","//--- END",Radiotherapy!J21)</f>
        <v>* endDate 1..1 date ##34#End  date##34# ##334#Date when the last radiation treatment ended##334#</v>
      </c>
    </row>
    <row r="22" spans="3:3" ht="44.2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c r="C23" s="12" t="str">
        <f>IF(Radiotherapy!J23="*  ..  ##34###34# ##334###334#","//--- END",Radiotherapy!J23)</f>
        <v>* treatmentSites.primary 0..1 boolean ##34#Primary##34# ##334#Primary##334#</v>
      </c>
    </row>
    <row r="24" spans="3:3">
      <c r="C24" s="12" t="str">
        <f>IF(Radiotherapy!J24="*  ..  ##34###34# ##334###334#","//--- END",Radiotherapy!J24)</f>
        <v>* treatmentSites.neck 0..1 boolean ##34#Neck##34# ##334#Neck##334#</v>
      </c>
    </row>
    <row r="25" spans="3:3" ht="29.5">
      <c r="C25" s="12" t="str">
        <f>IF(Radiotherapy!J25="*  ..  ##34###34# ##334###334#","//--- END",Radiotherapy!J25)</f>
        <v>* treatmentSites.primaryAndIpsilateralNeck 1..1 boolean ##34#Primary and Ipsilateral Neck##34# ##334#Primary and Ipsilateral Neck##334#</v>
      </c>
    </row>
    <row r="26" spans="3:3" ht="29.5">
      <c r="C26" s="12" t="str">
        <f>IF(Radiotherapy!J26="*  ..  ##34###34# ##334###334#","//--- END",Radiotherapy!J26)</f>
        <v>* treatmentSites.primaryAndBilateralNeck 1..1 boolean ##34#Primary and Bilateral Neck##34# ##334#Primary and Bilateral Neck##334#</v>
      </c>
    </row>
    <row r="27" spans="3:3">
      <c r="C27" s="12" t="str">
        <f>IF(Radiotherapy!J27="*  ..  ##34###34# ##334###334#","//--- END",Radiotherapy!J27)</f>
        <v>* treatmentSites.distantMetastasis 1..1 boolean ##34#Distant Metastasis##34# ##334#Distant Metastasis##334#</v>
      </c>
    </row>
    <row r="28" spans="3:3" ht="29.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c r="C29" s="12" t="str">
        <f>IF(Radiotherapy!J29="*  ..  ##34###34# ##334###334#","//--- END",Radiotherapy!J29)</f>
        <v>* metastaticTreatmentSites.lung 0..1 boolean ##34#Lung
##34# ##334#Lung
##334#</v>
      </c>
    </row>
    <row r="30" spans="3:3" ht="44.25">
      <c r="C30" s="12" t="str">
        <f>IF(Radiotherapy!J30="*  ..  ##34###34# ##334###334#","//--- END",Radiotherapy!J30)</f>
        <v>* metastaticTreatmentSites.mediastinum 0..1 boolean ##34#Mediastinum
##34# ##334#Mediastinum
##334#</v>
      </c>
    </row>
    <row r="31" spans="3:3" ht="44.25">
      <c r="C31" s="12" t="str">
        <f>IF(Radiotherapy!J31="*  ..  ##34###34# ##334###334#","//--- END",Radiotherapy!J31)</f>
        <v>* metastaticTreatmentSites.bone 0..1 boolean ##34#Bone
##34# ##334#Bone
##334#</v>
      </c>
    </row>
    <row r="32" spans="3:3" ht="44.25">
      <c r="C32" s="12" t="str">
        <f>IF(Radiotherapy!J32="*  ..  ##34###34# ##334###334#","//--- END",Radiotherapy!J32)</f>
        <v>* metastaticTreatmentSites.softTissue 0..1 boolean ##34#Soft Tissue
##34# ##334#Soft Tissue
##334#</v>
      </c>
    </row>
    <row r="33" spans="3:3" ht="44.25">
      <c r="C33" s="12" t="str">
        <f>IF(Radiotherapy!J33="*  ..  ##34###34# ##334###334#","//--- END",Radiotherapy!J33)</f>
        <v>* metastaticTreatmentSites.liver 0..1 boolean ##34#Liver
##34# ##334#Liver
##334#</v>
      </c>
    </row>
    <row r="34" spans="3:3" ht="59">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c r="C35" s="12" t="str">
        <f>IF(Radiotherapy!J35="*  ..  ##34###34# ##334###334#","//--- END",Radiotherapy!J35)</f>
        <v>//--- END</v>
      </c>
    </row>
    <row r="36" spans="3:3">
      <c r="C36" s="12" t="str">
        <f>IF(Radiotherapy!J36="*  ..  ##34###34# ##334###334#","//--- END",Radiotherapy!J36)</f>
        <v>//--- END</v>
      </c>
    </row>
    <row r="37" spans="3:3">
      <c r="C37" s="12" t="str">
        <f>IF(Radiotherapy!J37="*  ..  ##34###34# ##334###334#","//--- END",Radiotherapy!J37)</f>
        <v>//--- END</v>
      </c>
    </row>
    <row r="38" spans="3:3">
      <c r="C38" s="12" t="str">
        <f>IF(Radiotherapy!J38="*  ..  ##34###34# ##334###334#","//--- END",Radiotherapy!J38)</f>
        <v>//--- END</v>
      </c>
    </row>
    <row r="48" spans="3:3">
      <c r="C48" s="23" t="s">
        <v>1613</v>
      </c>
    </row>
    <row r="49" spans="3:3">
      <c r="C49" s="24" t="s">
        <v>1651</v>
      </c>
    </row>
    <row r="50" spans="3:3">
      <c r="C50" s="24" t="s">
        <v>1613</v>
      </c>
    </row>
    <row r="51" spans="3:3">
      <c r="C51" s="12" t="str">
        <f>IF(Radiotherapy!L8="*  ..  ##34###34# ##334###334#","//--- END",Radiotherapy!L8)</f>
        <v/>
      </c>
    </row>
    <row r="52" spans="3:3" ht="29.5">
      <c r="C52" s="12" t="str">
        <f>IF(Radiotherapy!L9="*  ..  ##34###34# ##334###334#","//--- END",Radiotherapy!L9)</f>
        <v>* radiotherapy ^comment = ##334#Yes done at the hospital; Yes done at a different hospital; Not Done; Unknown.
Custom##334#</v>
      </c>
    </row>
    <row r="53" spans="3:3" ht="59">
      <c r="C53" s="12" t="str">
        <f>IF(Radiotherapy!L10="*  ..  ##34###34# ##334###334#","//--- END",Radiotherapy!L10)</f>
        <v>* intent ^comment = ##334#Palliative; Curative; Unknwon
Palliative - 4179711
Curative - 
Unknown - 4129922##334#</v>
      </c>
    </row>
    <row r="54" spans="3:3" ht="14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c r="C56" s="12" t="str">
        <f>IF(Radiotherapy!L13="*  ..  ##34###34# ##334###334#","//--- END",Radiotherapy!L13)</f>
        <v/>
      </c>
    </row>
    <row r="57" spans="3:3" ht="206.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c r="C58" s="12" t="str">
        <f>IF(Radiotherapy!L15="*  ..  ##34###34# ##334###334#","//--- END",Radiotherapy!L15)</f>
        <v/>
      </c>
    </row>
    <row r="59" spans="3:3">
      <c r="C59" s="12" t="str">
        <f>IF(Radiotherapy!L16="*  ..  ##34###34# ##334###334#","//--- END",Radiotherapy!L16)</f>
        <v/>
      </c>
    </row>
    <row r="60" spans="3:3">
      <c r="C60" s="12" t="str">
        <f>IF(Radiotherapy!L17="*  ..  ##34###34# ##334###334#","//--- END",Radiotherapy!L17)</f>
        <v/>
      </c>
    </row>
    <row r="61" spans="3:3" ht="59">
      <c r="C61" s="12" t="str">
        <f>IF(Radiotherapy!L18="*  ..  ##34###34# ##334###334#","//--- END",Radiotherapy!L18)</f>
        <v>* adaptiveRt ^comment = ##334#Yes; No; Unknown.
Yes - 4188539
No -  4188540
Unknown - 4129922##334#</v>
      </c>
    </row>
    <row r="62" spans="3:3" ht="59">
      <c r="C62" s="12" t="str">
        <f>IF(Radiotherapy!L19="*  ..  ##34###34# ##334###334#","//--- END",Radiotherapy!L19)</f>
        <v>* igrtImageGuideRadiotherapy ^comment = ##334#Yes; No; Unknown.
Yes - 4188539
No -  4188540
Unknown - 4129922##334#</v>
      </c>
    </row>
    <row r="63" spans="3:3">
      <c r="C63" s="12" t="str">
        <f>IF(Radiotherapy!L20="*  ..  ##34###34# ##334###334#","//--- END",Radiotherapy!L20)</f>
        <v/>
      </c>
    </row>
    <row r="64" spans="3:3">
      <c r="C64" s="12" t="str">
        <f>IF(Radiotherapy!L21="*  ..  ##34###34# ##334###334#","//--- END",Radiotherapy!L21)</f>
        <v/>
      </c>
    </row>
    <row r="65" spans="3:3">
      <c r="C65" s="12" t="str">
        <f>IF(Radiotherapy!L22="*  ..  ##34###34# ##334###334#","//--- END",Radiotherapy!L22)</f>
        <v/>
      </c>
    </row>
    <row r="66" spans="3:3">
      <c r="C66" s="12" t="str">
        <f>IF(Radiotherapy!L23="*  ..  ##34###34# ##334###334#","//--- END",Radiotherapy!L23)</f>
        <v/>
      </c>
    </row>
    <row r="67" spans="3:3">
      <c r="C67" s="12" t="str">
        <f>IF(Radiotherapy!L24="*  ..  ##34###34# ##334###334#","//--- END",Radiotherapy!L24)</f>
        <v/>
      </c>
    </row>
    <row r="68" spans="3:3">
      <c r="C68" s="12" t="str">
        <f>IF(Radiotherapy!L25="*  ..  ##34###34# ##334###334#","//--- END",Radiotherapy!L25)</f>
        <v/>
      </c>
    </row>
    <row r="69" spans="3:3">
      <c r="C69" s="12" t="str">
        <f>IF(Radiotherapy!L26="*  ..  ##34###34# ##334###334#","//--- END",Radiotherapy!L26)</f>
        <v/>
      </c>
    </row>
    <row r="70" spans="3:3">
      <c r="C70" s="12" t="str">
        <f>IF(Radiotherapy!L27="*  ..  ##34###34# ##334###334#","//--- END",Radiotherapy!L27)</f>
        <v/>
      </c>
    </row>
    <row r="71" spans="3:3">
      <c r="C71" s="12" t="str">
        <f>IF(Radiotherapy!L28="*  ..  ##34###34# ##334###334#","//--- END",Radiotherapy!L28)</f>
        <v/>
      </c>
    </row>
    <row r="72" spans="3:3">
      <c r="C72" s="12" t="str">
        <f>IF(Radiotherapy!L29="*  ..  ##34###34# ##334###334#","//--- END",Radiotherapy!L29)</f>
        <v/>
      </c>
    </row>
    <row r="73" spans="3:3">
      <c r="C73" s="12" t="str">
        <f>IF(Radiotherapy!L30="*  ..  ##34###34# ##334###334#","//--- END",Radiotherapy!L30)</f>
        <v/>
      </c>
    </row>
    <row r="74" spans="3:3">
      <c r="C74" s="12" t="str">
        <f>IF(Radiotherapy!L31="*  ..  ##34###34# ##334###334#","//--- END",Radiotherapy!L31)</f>
        <v/>
      </c>
    </row>
    <row r="75" spans="3:3">
      <c r="C75" s="12" t="str">
        <f>IF(Radiotherapy!L32="*  ..  ##34###34# ##334###334#","//--- END",Radiotherapy!L32)</f>
        <v/>
      </c>
    </row>
    <row r="76" spans="3:3">
      <c r="C76" s="12" t="str">
        <f>IF(Radiotherapy!L33="*  ..  ##34###34# ##334###334#","//--- END",Radiotherapy!L33)</f>
        <v/>
      </c>
    </row>
    <row r="77" spans="3:3" ht="132.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c r="C78" s="12" t="str">
        <f>IF(Radiotherapy!L35="*  ..  ##34###34# ##334###334#","//--- END",Radiotherapy!L35)</f>
        <v>//--- END</v>
      </c>
    </row>
    <row r="79" spans="3:3">
      <c r="C79" s="12" t="str">
        <f>IF(Radiotherapy!L36="*  ..  ##34###34# ##334###334#","//--- END",Radiotherapy!L36)</f>
        <v>//--- END</v>
      </c>
    </row>
    <row r="80" spans="3:3">
      <c r="C80" s="12" t="str">
        <f>IF(Radiotherapy!L37="*  ..  ##34###34# ##334###334#","//--- END",Radiotherapy!L37)</f>
        <v>//--- END</v>
      </c>
    </row>
    <row r="81" spans="3:3">
      <c r="C81" s="12" t="str">
        <f>IF(Radiotherapy!L38="*  ..  ##34###34# ##334###334#","//--- END",Radiotherapy!L38)</f>
        <v>//--- END</v>
      </c>
    </row>
    <row r="222" spans="3:3">
      <c r="C222" s="2"/>
    </row>
    <row r="223" spans="3:3">
      <c r="C223"/>
    </row>
    <row r="225" spans="3:3">
      <c r="C225" s="23"/>
    </row>
    <row r="226" spans="3:3">
      <c r="C226" s="24"/>
    </row>
    <row r="227" spans="3:3">
      <c r="C227" s="24"/>
    </row>
    <row r="234" spans="3:3">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63"/>
  <sheetViews>
    <sheetView workbookViewId="0">
      <selection activeCell="D20" sqref="D20"/>
    </sheetView>
  </sheetViews>
  <sheetFormatPr defaultRowHeight="14.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18" t="s">
        <v>1803</v>
      </c>
    </row>
    <row r="2" spans="1:19" ht="15.5" thickBot="1"/>
    <row r="3" spans="1:19" ht="15.5" thickBot="1">
      <c r="B3" s="62" t="s">
        <v>17</v>
      </c>
      <c r="C3" s="28" t="s">
        <v>2318</v>
      </c>
      <c r="D3" s="62" t="s">
        <v>1791</v>
      </c>
      <c r="E3" s="118" t="str">
        <f>$C$1&amp;B14</f>
        <v>http://hl7.eu/fhir/ig/idea4rc/StructureDefinition/Radiotherapy</v>
      </c>
    </row>
    <row r="4" spans="1:19">
      <c r="B4" s="62" t="s">
        <v>16</v>
      </c>
      <c r="C4" s="28" t="s">
        <v>2318</v>
      </c>
      <c r="D4" s="62" t="s">
        <v>1792</v>
      </c>
      <c r="E4" s="166" t="s">
        <v>2321</v>
      </c>
      <c r="F4" s="167"/>
      <c r="G4" s="167"/>
    </row>
    <row r="5" spans="1:19">
      <c r="B5" s="62" t="s">
        <v>10</v>
      </c>
      <c r="C5" s="7" t="s">
        <v>2319</v>
      </c>
      <c r="D5" s="62"/>
      <c r="E5" s="7"/>
    </row>
    <row r="6" spans="1:19">
      <c r="B6" s="62" t="s">
        <v>18</v>
      </c>
      <c r="C6" s="56"/>
      <c r="D6" s="62" t="s">
        <v>1793</v>
      </c>
      <c r="E6" s="166" t="str">
        <f>E3</f>
        <v>http://hl7.eu/fhir/ig/idea4rc/StructureDefinition/Radiotherapy</v>
      </c>
      <c r="F6" s="167"/>
      <c r="G6" s="167"/>
    </row>
    <row r="7" spans="1:19">
      <c r="B7" s="62" t="s">
        <v>15</v>
      </c>
      <c r="C7" s="119"/>
      <c r="D7" s="62" t="s">
        <v>1794</v>
      </c>
      <c r="E7" s="166" t="s">
        <v>2321</v>
      </c>
      <c r="F7" s="167"/>
      <c r="G7" s="167"/>
    </row>
    <row r="8" spans="1:19" ht="45" thickBot="1">
      <c r="B8" s="62" t="s">
        <v>1795</v>
      </c>
      <c r="C8" s="7" t="s">
        <v>2319</v>
      </c>
      <c r="D8" s="62"/>
      <c r="E8" s="7"/>
      <c r="I8" s="12" t="s">
        <v>1402</v>
      </c>
      <c r="J8" s="12" t="s">
        <v>1403</v>
      </c>
      <c r="K8" s="12" t="s">
        <v>1404</v>
      </c>
      <c r="L8" s="12" t="s">
        <v>1405</v>
      </c>
      <c r="M8" s="11" t="s">
        <v>1406</v>
      </c>
      <c r="P8" s="49" t="s">
        <v>1441</v>
      </c>
      <c r="Q8" s="49">
        <v>6</v>
      </c>
    </row>
    <row r="9" spans="1:19" ht="30.25" thickBot="1">
      <c r="B9" s="62" t="s">
        <v>1796</v>
      </c>
      <c r="C9" s="12" t="s">
        <v>2320</v>
      </c>
      <c r="D9" s="151"/>
      <c r="E9" s="168"/>
      <c r="F9" s="169"/>
      <c r="G9" s="170"/>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1610</v>
      </c>
    </row>
    <row r="12" spans="1:19">
      <c r="E12" s="56"/>
      <c r="I12" s="12"/>
      <c r="J12" s="11"/>
      <c r="K12" s="11"/>
      <c r="L12" s="11"/>
      <c r="M12" s="11"/>
    </row>
    <row r="13" spans="1:19">
      <c r="D13" s="12"/>
      <c r="E13" s="11"/>
      <c r="F13" s="63" t="s">
        <v>1437</v>
      </c>
      <c r="G13" s="66" t="s">
        <v>1610</v>
      </c>
      <c r="H13" s="66"/>
      <c r="I13" s="12"/>
      <c r="J13" s="11"/>
      <c r="K13" s="63"/>
      <c r="L13" s="63"/>
      <c r="M13" s="63"/>
      <c r="N13" s="66"/>
    </row>
    <row r="14" spans="1:19">
      <c r="A14" s="59"/>
      <c r="B14" s="4" t="str">
        <f>Radiotherapy!B4</f>
        <v>Radiotherapy</v>
      </c>
      <c r="C14" s="11"/>
      <c r="D14" s="4" t="s">
        <v>2302</v>
      </c>
      <c r="E14" s="6"/>
      <c r="F14" s="64"/>
      <c r="G14" s="64"/>
      <c r="I14" s="12"/>
      <c r="J14" s="11"/>
      <c r="K14" s="11"/>
      <c r="L14" s="11"/>
      <c r="M14" s="63"/>
      <c r="N14" s="66"/>
    </row>
    <row r="15" spans="1:19" ht="44.25">
      <c r="A15" s="59"/>
      <c r="B15" s="11" t="str">
        <f>Radiotherapy!B8</f>
        <v>episodeEventReference</v>
      </c>
      <c r="C15" s="11" t="str">
        <f>Radiotherapy!C8</f>
        <v>Episode Event reference</v>
      </c>
      <c r="D15" s="12" t="s">
        <v>2303</v>
      </c>
      <c r="E15" s="12"/>
      <c r="F15" s="64" t="s">
        <v>1407</v>
      </c>
      <c r="G15" s="124"/>
      <c r="I15" s="12" t="str">
        <f>"* group[=].element[+].code = #"&amp;$B$14&amp;"."&amp;B15</f>
        <v>* group[=].element[+].code = #Radiotherapy.episodeEventReference</v>
      </c>
      <c r="J15" s="12" t="str">
        <f t="shared" ref="J15:J38" si="0">"* group[=].element[=].display = ##34#"&amp;C15&amp;"##34#"</f>
        <v>* group[=].element[=].display = ##34#Episode Event reference##34#</v>
      </c>
      <c r="K15" s="12" t="str">
        <f t="shared" ref="K15:K38" si="1">IF(F15="unmatched","//-- unmatched","* group[=].element[=].target.code = #"&amp;$D$14&amp;"."&amp;D15)</f>
        <v>* group[=].element[=].target.code = #Procedure.reasonReference</v>
      </c>
      <c r="L15" s="12" t="str">
        <f t="shared" ref="L15:L38" si="2">IF(F15="unmatched","//-- unmatched","* group[=].element[=].target.display = ##34#"&amp;E15&amp;"##34#")</f>
        <v>* group[=].element[=].target.display = ##34###34#</v>
      </c>
      <c r="M15" s="12" t="str">
        <f t="shared" ref="M15:M38" si="3">"* group[=].element[=].target.equivalence = #"&amp;F15</f>
        <v>* group[=].element[=].target.equivalence = #relatedto</v>
      </c>
      <c r="N15" s="12" t="str">
        <f t="shared" ref="N15:N39" si="4">IF(G15&lt;&gt;"",CONCATENATE("* group[=].element[=].target.comment = ","##34#",G15,"##34#"),"")</f>
        <v/>
      </c>
      <c r="P15" s="11">
        <v>1</v>
      </c>
      <c r="Q15" s="11">
        <f t="shared" ref="Q15:Q78" si="5">IF(MOD(P15,$Q$8)=0,P15/$Q$8-1,INT(P15/$Q$8))</f>
        <v>0</v>
      </c>
      <c r="R15" s="11">
        <f t="shared" ref="R15:R78" si="6">IF(MOD(P15,$Q$8)=0,$Q$8,MOD(P15,$Q$8))</f>
        <v>1</v>
      </c>
      <c r="S15" s="12" t="str" cm="1">
        <f t="array" ref="S15">INDEX('Radiotherapy-ConceptMap-1'!$I$15:$N$124,Q15+1,R15)</f>
        <v>* group[=].element[+].code = #Radiotherapy.episodeEventReference</v>
      </c>
    </row>
    <row r="16" spans="1:19" ht="88.5">
      <c r="A16" s="59"/>
      <c r="B16" s="11" t="str">
        <f>Radiotherapy!B9</f>
        <v>radiotherapy</v>
      </c>
      <c r="C16" s="11" t="str">
        <f>Radiotherapy!C9</f>
        <v>Radiotherapy</v>
      </c>
      <c r="D16" s="12" t="s">
        <v>2317</v>
      </c>
      <c r="E16" s="12"/>
      <c r="F16" s="64" t="s">
        <v>1407</v>
      </c>
      <c r="G16" s="123" t="s">
        <v>2322</v>
      </c>
      <c r="I16" s="12" t="str">
        <f t="shared" ref="I16:I38" si="7">"* group[=].element[+].code = #"&amp;$B$14&amp;"."&amp;B16</f>
        <v>* group[=].element[+].code = #Radiotherapy.radiotherapy</v>
      </c>
      <c r="J16" s="12" t="str">
        <f t="shared" si="0"/>
        <v>* group[=].element[=].display = ##34#Radiotherapy##34#</v>
      </c>
      <c r="K16" s="12" t="str">
        <f t="shared" si="1"/>
        <v>* group[=].element[=].target.code = #Procedure.extension:ProcedureCategoryR5</v>
      </c>
      <c r="L16" s="12" t="str">
        <f t="shared" si="2"/>
        <v>* group[=].element[=].target.display = ##34###34#</v>
      </c>
      <c r="M16" s="12" t="str">
        <f t="shared" si="3"/>
        <v>* group[=].element[=].target.equivalence = #relatedto</v>
      </c>
      <c r="N16" s="12" t="str">
        <f t="shared" si="4"/>
        <v>* group[=].element[=].target.comment = ##34#to be analyzed: derive this from a combination of elements or use other cathegories (R5 extension)##34#</v>
      </c>
      <c r="P16" s="11">
        <v>2</v>
      </c>
      <c r="Q16" s="11">
        <f t="shared" si="5"/>
        <v>0</v>
      </c>
      <c r="R16" s="11">
        <f t="shared" si="6"/>
        <v>2</v>
      </c>
      <c r="S16" s="12" t="str" cm="1">
        <f t="array" ref="S16">INDEX('Radiotherapy-ConceptMap-1'!$I$15:$N$124,Q16+1,R16)</f>
        <v>* group[=].element[=].display = ##34#Episode Event reference##34#</v>
      </c>
    </row>
    <row r="17" spans="1:19" ht="59" customHeight="1">
      <c r="A17" s="59"/>
      <c r="B17" s="11" t="str">
        <f>Radiotherapy!B10</f>
        <v>intent</v>
      </c>
      <c r="C17" s="11" t="str">
        <f>Radiotherapy!C10</f>
        <v>Intent</v>
      </c>
      <c r="D17" s="12" t="s">
        <v>1442</v>
      </c>
      <c r="E17" s="12"/>
      <c r="F17" s="64" t="s">
        <v>1407</v>
      </c>
      <c r="G17" s="123" t="s">
        <v>2306</v>
      </c>
      <c r="H17" s="58"/>
      <c r="I17" s="12" t="str">
        <f t="shared" si="7"/>
        <v>* group[=].element[+].code = #Radiotherapy.intent</v>
      </c>
      <c r="J17" s="12" t="str">
        <f t="shared" si="0"/>
        <v>* group[=].element[=].display = ##34#Intent##34#</v>
      </c>
      <c r="K17" s="12" t="str">
        <f t="shared" si="1"/>
        <v>* group[=].element[=].target.code = #Procedure.code</v>
      </c>
      <c r="L17" s="12" t="str">
        <f t="shared" si="2"/>
        <v>* group[=].element[=].target.display = ##34###34#</v>
      </c>
      <c r="M17" s="12" t="str">
        <f t="shared" si="3"/>
        <v>* group[=].element[=].target.equivalence = #relatedto</v>
      </c>
      <c r="N17" s="12" t="str">
        <f t="shared" si="4"/>
        <v>* group[=].element[=].target.comment = ##34#to be analized: add a slice to code or consider to define an extension for this (or cathegories (R5 extension)) ?##34#</v>
      </c>
      <c r="P17" s="11">
        <v>3</v>
      </c>
      <c r="Q17" s="11">
        <f t="shared" si="5"/>
        <v>0</v>
      </c>
      <c r="R17" s="11">
        <f t="shared" si="6"/>
        <v>3</v>
      </c>
      <c r="S17" s="12" t="str" cm="1">
        <f t="array" ref="S17">INDEX('Radiotherapy-ConceptMap-1'!$I$15:$N$124,Q17+1,R17)</f>
        <v>* group[=].element[=].target.code = #Procedure.reasonReference</v>
      </c>
    </row>
    <row r="18" spans="1:19" ht="88.5">
      <c r="A18" s="59"/>
      <c r="B18" s="11" t="str">
        <f>Radiotherapy!B11</f>
        <v>setting</v>
      </c>
      <c r="C18" s="11" t="str">
        <f>Radiotherapy!C11</f>
        <v>Setting</v>
      </c>
      <c r="D18" s="12" t="s">
        <v>2317</v>
      </c>
      <c r="E18" s="12"/>
      <c r="F18" s="64" t="s">
        <v>1407</v>
      </c>
      <c r="G18" s="123" t="s">
        <v>2322</v>
      </c>
      <c r="H18" s="58"/>
      <c r="I18" s="12" t="str">
        <f t="shared" si="7"/>
        <v>* group[=].element[+].code = #Radiotherapy.setting</v>
      </c>
      <c r="J18" s="12" t="str">
        <f t="shared" si="0"/>
        <v>* group[=].element[=].display = ##34#Setting##34#</v>
      </c>
      <c r="K18" s="12" t="str">
        <f t="shared" si="1"/>
        <v>* group[=].element[=].target.code = #Procedure.extension:ProcedureCategoryR5</v>
      </c>
      <c r="L18" s="12" t="str">
        <f t="shared" si="2"/>
        <v>* group[=].element[=].target.display = ##34###34#</v>
      </c>
      <c r="M18" s="12" t="str">
        <f t="shared" si="3"/>
        <v>* group[=].element[=].target.equivalence = #relatedto</v>
      </c>
      <c r="N18" s="12" t="str">
        <f t="shared" si="4"/>
        <v>* group[=].element[=].target.comment = ##34#to be analyzed: derive this from a combination of elements or use other cathegories (R5 extension)##34#</v>
      </c>
      <c r="P18" s="11">
        <v>4</v>
      </c>
      <c r="Q18" s="11">
        <f t="shared" si="5"/>
        <v>0</v>
      </c>
      <c r="R18" s="11">
        <f t="shared" si="6"/>
        <v>4</v>
      </c>
      <c r="S18" s="12" t="str" cm="1">
        <f t="array" ref="S18">INDEX('Radiotherapy-ConceptMap-1'!$I$15:$N$124,Q18+1,R18)</f>
        <v>* group[=].element[=].target.display = ##34###34#</v>
      </c>
    </row>
    <row r="19" spans="1:19" ht="44.25">
      <c r="A19" s="59"/>
      <c r="B19" s="11" t="str">
        <f>Radiotherapy!B12</f>
        <v>beamQuality</v>
      </c>
      <c r="C19" s="11" t="str">
        <f>Radiotherapy!C12</f>
        <v>Beam quality</v>
      </c>
      <c r="D19" s="12" t="s">
        <v>1442</v>
      </c>
      <c r="E19" s="12"/>
      <c r="F19" s="64" t="s">
        <v>1407</v>
      </c>
      <c r="G19" s="124"/>
      <c r="H19" s="58"/>
      <c r="I19" s="12" t="str">
        <f t="shared" si="7"/>
        <v>* group[=].element[+].code = #Radiotherapy.beamQuality</v>
      </c>
      <c r="J19" s="12" t="str">
        <f t="shared" si="0"/>
        <v>* group[=].element[=].display = ##34#Beam quality##34#</v>
      </c>
      <c r="K19" s="12" t="str">
        <f t="shared" si="1"/>
        <v>* group[=].element[=].target.code = #Procedure.code</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INDEX('Radiotherapy-ConceptMap-1'!$I$15:$N$124,Q19+1,R19)</f>
        <v>* group[=].element[=].target.equivalence = #relatedto</v>
      </c>
    </row>
    <row r="20" spans="1:19" ht="44.25">
      <c r="A20" s="59"/>
      <c r="B20" s="11" t="str">
        <f>Radiotherapy!B13</f>
        <v>otherSpecify</v>
      </c>
      <c r="C20" s="11" t="str">
        <f>Radiotherapy!C13</f>
        <v>Other; specify</v>
      </c>
      <c r="D20" s="12"/>
      <c r="E20" s="12"/>
      <c r="F20" s="64" t="s">
        <v>1407</v>
      </c>
      <c r="G20" s="124"/>
      <c r="H20" s="58"/>
      <c r="I20" s="12" t="str">
        <f t="shared" si="7"/>
        <v>* group[=].element[+].code = #Radiotherapy.otherSpecify</v>
      </c>
      <c r="J20" s="12" t="str">
        <f t="shared" si="0"/>
        <v>* group[=].element[=].display = ##34#Other; specify##34#</v>
      </c>
      <c r="K20" s="12" t="str">
        <f t="shared" si="1"/>
        <v>* group[=].element[=].target.code = #Procedure.</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INDEX('Radiotherapy-ConceptMap-1'!$I$15:$N$124,Q20+1,R20)</f>
        <v/>
      </c>
    </row>
    <row r="21" spans="1:19" ht="44.25">
      <c r="A21" s="59"/>
      <c r="B21" s="11" t="str">
        <f>Radiotherapy!B14</f>
        <v>treatmentTechnique</v>
      </c>
      <c r="C21" s="11" t="str">
        <f>Radiotherapy!C14</f>
        <v>Treatment technique</v>
      </c>
      <c r="D21" s="12"/>
      <c r="E21" s="12"/>
      <c r="F21" s="64" t="s">
        <v>1407</v>
      </c>
      <c r="G21" s="124"/>
      <c r="H21" s="58"/>
      <c r="I21" s="12" t="str">
        <f t="shared" si="7"/>
        <v>* group[=].element[+].code = #Radiotherapy.treatmentTechnique</v>
      </c>
      <c r="J21" s="12" t="str">
        <f t="shared" si="0"/>
        <v>* group[=].element[=].display = ##34#Treatment technique##34#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INDEX('Radiotherapy-ConceptMap-1'!$I$15:$N$124,Q21+1,R21)</f>
        <v>* group[=].element[+].code = #Radiotherapy.radiotherapy</v>
      </c>
    </row>
    <row r="22" spans="1:19" ht="44.25">
      <c r="A22" s="59"/>
      <c r="B22" s="11" t="str">
        <f>Radiotherapy!B15</f>
        <v>totalDoseTdGy</v>
      </c>
      <c r="C22" s="11" t="str">
        <f>Radiotherapy!C15</f>
        <v>Total Dose (TD) Gy</v>
      </c>
      <c r="D22" s="12"/>
      <c r="E22" s="12"/>
      <c r="F22" s="64" t="s">
        <v>1407</v>
      </c>
      <c r="G22" s="124"/>
      <c r="H22" s="58"/>
      <c r="I22" s="12" t="str">
        <f t="shared" si="7"/>
        <v>* group[=].element[+].code = #Radiotherapy.totalDoseTdGy</v>
      </c>
      <c r="J22" s="12" t="str">
        <f t="shared" si="0"/>
        <v>* group[=].element[=].display = ##34#Total Dose (TD) Gy##34#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INDEX('Radiotherapy-ConceptMap-1'!$I$15:$N$124,Q22+1,R22)</f>
        <v>* group[=].element[=].display = ##34#Radiotherapy##34#</v>
      </c>
    </row>
    <row r="23" spans="1:19" ht="44.25">
      <c r="A23" s="59"/>
      <c r="B23" s="11" t="str">
        <f>Radiotherapy!B16</f>
        <v>fractionSizeFs</v>
      </c>
      <c r="C23" s="11" t="str">
        <f>Radiotherapy!C16</f>
        <v>Fraction Size (FS)</v>
      </c>
      <c r="D23" s="12"/>
      <c r="E23" s="11"/>
      <c r="F23" s="64" t="s">
        <v>1430</v>
      </c>
      <c r="G23" s="124"/>
      <c r="H23" s="58"/>
      <c r="I23" s="12" t="str">
        <f t="shared" si="7"/>
        <v>* group[=].element[+].code = #Radiotherapy.fractionSizeFs</v>
      </c>
      <c r="J23" s="12" t="str">
        <f t="shared" si="0"/>
        <v>* group[=].element[=].display = ##34#Fraction Size (FS)##34#</v>
      </c>
      <c r="K23" s="12" t="str">
        <f t="shared" si="1"/>
        <v>* group[=].element[=].target.code = #Procedure.</v>
      </c>
      <c r="L23" s="12" t="str">
        <f t="shared" si="2"/>
        <v>* group[=].element[=].target.display = ##34###34#</v>
      </c>
      <c r="M23" s="12" t="str">
        <f t="shared" si="3"/>
        <v>* group[=].element[=].target.equivalence = #equal</v>
      </c>
      <c r="N23" s="12" t="str">
        <f t="shared" si="4"/>
        <v/>
      </c>
      <c r="P23" s="11">
        <v>9</v>
      </c>
      <c r="Q23" s="11">
        <f t="shared" si="5"/>
        <v>1</v>
      </c>
      <c r="R23" s="11">
        <f t="shared" si="6"/>
        <v>3</v>
      </c>
      <c r="S23" s="12" t="str" cm="1">
        <f t="array" ref="S23">INDEX('Radiotherapy-ConceptMap-1'!$I$15:$N$124,Q23+1,R23)</f>
        <v>* group[=].element[=].target.code = #Procedure.extension:ProcedureCategoryR5</v>
      </c>
    </row>
    <row r="24" spans="1:19" ht="29.5" customHeight="1">
      <c r="A24" s="59"/>
      <c r="B24" s="11" t="str">
        <f>Radiotherapy!B17</f>
        <v>numberOfFractions</v>
      </c>
      <c r="C24" s="11" t="str">
        <f>Radiotherapy!C17</f>
        <v>Number of fractions</v>
      </c>
      <c r="D24" s="12"/>
      <c r="E24" s="11"/>
      <c r="F24" s="64" t="s">
        <v>1407</v>
      </c>
      <c r="G24" s="124"/>
      <c r="H24" s="58"/>
      <c r="I24" s="12" t="str">
        <f t="shared" si="7"/>
        <v>* group[=].element[+].code = #Radiotherapy.numberOfFractions</v>
      </c>
      <c r="J24" s="12" t="str">
        <f t="shared" si="0"/>
        <v>* group[=].element[=].display = ##34#Number of fractions##34#</v>
      </c>
      <c r="K24" s="12" t="str">
        <f t="shared" si="1"/>
        <v>* group[=].element[=].target.code = #Procedure.</v>
      </c>
      <c r="L24" s="12" t="str">
        <f t="shared" si="2"/>
        <v>* group[=].element[=].target.display = ##34###34#</v>
      </c>
      <c r="M24" s="12" t="str">
        <f t="shared" si="3"/>
        <v>* group[=].element[=].target.equivalence = #relatedto</v>
      </c>
      <c r="N24" s="12" t="str">
        <f t="shared" si="4"/>
        <v/>
      </c>
      <c r="P24" s="11">
        <v>10</v>
      </c>
      <c r="Q24" s="11">
        <f t="shared" si="5"/>
        <v>1</v>
      </c>
      <c r="R24" s="11">
        <f t="shared" si="6"/>
        <v>4</v>
      </c>
      <c r="S24" s="12" t="str" cm="1">
        <f t="array" ref="S24">INDEX('Radiotherapy-ConceptMap-1'!$I$15:$N$124,Q24+1,R24)</f>
        <v>* group[=].element[=].target.display = ##34###34#</v>
      </c>
    </row>
    <row r="25" spans="1:19" ht="44.25">
      <c r="A25" s="59"/>
      <c r="B25" s="11" t="str">
        <f>Radiotherapy!B18</f>
        <v>adaptiveRt</v>
      </c>
      <c r="C25" s="11" t="str">
        <f>Radiotherapy!C18</f>
        <v>Adaptive RT</v>
      </c>
      <c r="D25" s="12"/>
      <c r="E25" s="11"/>
      <c r="F25" s="64" t="s">
        <v>1407</v>
      </c>
      <c r="G25" s="124"/>
      <c r="H25" s="58"/>
      <c r="I25" s="12" t="str">
        <f t="shared" si="7"/>
        <v>* group[=].element[+].code = #Radiotherapy.adaptiveRt</v>
      </c>
      <c r="J25" s="12" t="str">
        <f t="shared" si="0"/>
        <v>* group[=].element[=].display = ##34#Adaptive RT##34#</v>
      </c>
      <c r="K25" s="12" t="str">
        <f t="shared" si="1"/>
        <v>* group[=].element[=].target.code = #Procedure.</v>
      </c>
      <c r="L25" s="12" t="str">
        <f t="shared" si="2"/>
        <v>* group[=].element[=].target.display = ##34###34#</v>
      </c>
      <c r="M25" s="12" t="str">
        <f t="shared" si="3"/>
        <v>* group[=].element[=].target.equivalence = #relatedto</v>
      </c>
      <c r="N25" s="12" t="str">
        <f t="shared" si="4"/>
        <v/>
      </c>
      <c r="P25" s="11">
        <v>11</v>
      </c>
      <c r="Q25" s="11">
        <f t="shared" si="5"/>
        <v>1</v>
      </c>
      <c r="R25" s="11">
        <f t="shared" si="6"/>
        <v>5</v>
      </c>
      <c r="S25" s="12" t="str" cm="1">
        <f t="array" ref="S25">INDEX('Radiotherapy-ConceptMap-1'!$I$15:$N$124,Q25+1,R25)</f>
        <v>* group[=].element[=].target.equivalence = #relatedto</v>
      </c>
    </row>
    <row r="26" spans="1:19" ht="44.25">
      <c r="A26" s="59"/>
      <c r="B26" s="11" t="str">
        <f>Radiotherapy!B19</f>
        <v>igrtImageGuideRadiotherapy</v>
      </c>
      <c r="C26" s="11" t="str">
        <f>Radiotherapy!C19</f>
        <v>IGRT  (image guide radiotherapy)</v>
      </c>
      <c r="D26" s="12"/>
      <c r="E26" s="12"/>
      <c r="F26" s="64" t="s">
        <v>1407</v>
      </c>
      <c r="G26" s="124"/>
      <c r="H26" s="58"/>
      <c r="I26" s="12" t="str">
        <f t="shared" si="7"/>
        <v>* group[=].element[+].code = #Radiotherapy.igrtImageGuideRadiotherapy</v>
      </c>
      <c r="J26" s="12" t="str">
        <f t="shared" si="0"/>
        <v>* group[=].element[=].display = ##34#IGRT  (image guide radiotherapy)##34#</v>
      </c>
      <c r="K26" s="12" t="str">
        <f t="shared" si="1"/>
        <v>* group[=].element[=].target.code = #Procedure.</v>
      </c>
      <c r="L26" s="12" t="str">
        <f t="shared" si="2"/>
        <v>* group[=].element[=].target.display = ##34###34#</v>
      </c>
      <c r="M26" s="12" t="str">
        <f t="shared" si="3"/>
        <v>* group[=].element[=].target.equivalence = #relatedto</v>
      </c>
      <c r="N26" s="12" t="str">
        <f t="shared" si="4"/>
        <v/>
      </c>
      <c r="P26" s="11">
        <v>12</v>
      </c>
      <c r="Q26" s="11">
        <f t="shared" si="5"/>
        <v>1</v>
      </c>
      <c r="R26" s="11">
        <f t="shared" si="6"/>
        <v>6</v>
      </c>
      <c r="S26" s="12" t="str" cm="1">
        <f t="array" ref="S26">INDEX('Radiotherapy-ConceptMap-1'!$I$15:$N$124,Q26+1,R26)</f>
        <v>* group[=].element[=].target.comment = ##34#to be analyzed: derive this from a combination of elements or use other cathegories (R5 extension)##34#</v>
      </c>
    </row>
    <row r="27" spans="1:19" ht="44.25">
      <c r="A27" s="59"/>
      <c r="B27" s="11" t="str">
        <f>Radiotherapy!B20</f>
        <v>startDate</v>
      </c>
      <c r="C27" s="11" t="str">
        <f>Radiotherapy!C20</f>
        <v>Start date</v>
      </c>
      <c r="D27" s="12"/>
      <c r="E27" s="12"/>
      <c r="F27" s="64" t="s">
        <v>1429</v>
      </c>
      <c r="G27" s="124"/>
      <c r="H27" s="58"/>
      <c r="I27" s="12" t="str">
        <f t="shared" si="7"/>
        <v>* group[=].element[+].code = #Radiotherapy.startDate</v>
      </c>
      <c r="J27" s="12" t="str">
        <f t="shared" si="0"/>
        <v>* group[=].element[=].display = ##34#Start date##34#</v>
      </c>
      <c r="K27" s="12" t="str">
        <f t="shared" si="1"/>
        <v>* group[=].element[=].target.code = #Procedure.</v>
      </c>
      <c r="L27" s="12" t="str">
        <f t="shared" si="2"/>
        <v>* group[=].element[=].target.display = ##34###34#</v>
      </c>
      <c r="M27" s="12" t="str">
        <f t="shared" si="3"/>
        <v>* group[=].element[=].target.equivalence = #equivalent</v>
      </c>
      <c r="N27" s="12" t="str">
        <f t="shared" si="4"/>
        <v/>
      </c>
      <c r="P27" s="11">
        <v>13</v>
      </c>
      <c r="Q27" s="11">
        <f t="shared" si="5"/>
        <v>2</v>
      </c>
      <c r="R27" s="11">
        <f t="shared" si="6"/>
        <v>1</v>
      </c>
      <c r="S27" s="12" t="str" cm="1">
        <f t="array" ref="S27">INDEX('Radiotherapy-ConceptMap-1'!$I$15:$N$124,Q27+1,R27)</f>
        <v>* group[=].element[+].code = #Radiotherapy.intent</v>
      </c>
    </row>
    <row r="28" spans="1:19" ht="44.25">
      <c r="B28" s="11" t="str">
        <f>Radiotherapy!B21</f>
        <v>endDate</v>
      </c>
      <c r="C28" s="11" t="str">
        <f>Radiotherapy!C21</f>
        <v>End  date</v>
      </c>
      <c r="D28" s="12"/>
      <c r="E28" s="12"/>
      <c r="F28" s="64" t="s">
        <v>1429</v>
      </c>
      <c r="G28" s="124"/>
      <c r="H28" s="58"/>
      <c r="I28" s="12" t="str">
        <f t="shared" si="7"/>
        <v>* group[=].element[+].code = #Radiotherapy.endDate</v>
      </c>
      <c r="J28" s="12" t="str">
        <f t="shared" si="0"/>
        <v>* group[=].element[=].display = ##34#End  date##34#</v>
      </c>
      <c r="K28" s="12" t="str">
        <f t="shared" si="1"/>
        <v>* group[=].element[=].target.code = #Procedure.</v>
      </c>
      <c r="L28" s="12" t="str">
        <f t="shared" si="2"/>
        <v>* group[=].element[=].target.display = ##34###34#</v>
      </c>
      <c r="M28" s="12" t="str">
        <f t="shared" si="3"/>
        <v>* group[=].element[=].target.equivalence = #equivalent</v>
      </c>
      <c r="N28" s="12" t="str">
        <f t="shared" si="4"/>
        <v/>
      </c>
      <c r="P28" s="11">
        <v>14</v>
      </c>
      <c r="Q28" s="11">
        <f t="shared" si="5"/>
        <v>2</v>
      </c>
      <c r="R28" s="11">
        <f t="shared" si="6"/>
        <v>2</v>
      </c>
      <c r="S28" s="12" t="str" cm="1">
        <f t="array" ref="S28">INDEX('Radiotherapy-ConceptMap-1'!$I$15:$N$124,Q28+1,R28)</f>
        <v>* group[=].element[=].display = ##34#Intent##34#</v>
      </c>
    </row>
    <row r="29" spans="1:19" ht="44.25">
      <c r="B29" s="11" t="str">
        <f>Radiotherapy!B22</f>
        <v>treatmentSites</v>
      </c>
      <c r="C29" s="11" t="str">
        <f>Radiotherapy!C22</f>
        <v>Treatment Sites:</v>
      </c>
      <c r="D29" s="12"/>
      <c r="E29" s="12"/>
      <c r="F29" s="64" t="s">
        <v>1429</v>
      </c>
      <c r="G29" s="124"/>
      <c r="H29" s="58"/>
      <c r="I29" s="12" t="str">
        <f t="shared" si="7"/>
        <v>* group[=].element[+].code = #Radiotherapy.treatmentSites</v>
      </c>
      <c r="J29" s="12" t="str">
        <f t="shared" si="0"/>
        <v>* group[=].element[=].display = ##34#Treatment Sites:##34#</v>
      </c>
      <c r="K29" s="12" t="str">
        <f t="shared" si="1"/>
        <v>* group[=].element[=].target.code = #Procedure.</v>
      </c>
      <c r="L29" s="12" t="str">
        <f t="shared" si="2"/>
        <v>* group[=].element[=].target.display = ##34###34#</v>
      </c>
      <c r="M29" s="12" t="str">
        <f t="shared" si="3"/>
        <v>* group[=].element[=].target.equivalence = #equivalent</v>
      </c>
      <c r="N29" s="12" t="str">
        <f t="shared" si="4"/>
        <v/>
      </c>
      <c r="P29" s="11">
        <v>15</v>
      </c>
      <c r="Q29" s="11">
        <f t="shared" si="5"/>
        <v>2</v>
      </c>
      <c r="R29" s="11">
        <f t="shared" si="6"/>
        <v>3</v>
      </c>
      <c r="S29" s="12" t="str" cm="1">
        <f t="array" ref="S29">INDEX('Radiotherapy-ConceptMap-1'!$I$15:$N$124,Q29+1,R29)</f>
        <v>* group[=].element[=].target.code = #Procedure.code</v>
      </c>
    </row>
    <row r="30" spans="1:19" ht="44.25">
      <c r="B30" s="11" t="str">
        <f>Radiotherapy!B23</f>
        <v>treatmentSites.primary</v>
      </c>
      <c r="C30" s="11" t="str">
        <f>Radiotherapy!C23</f>
        <v>Primary</v>
      </c>
      <c r="D30" s="12"/>
      <c r="E30" s="12"/>
      <c r="F30" s="64" t="s">
        <v>1429</v>
      </c>
      <c r="G30" s="124"/>
      <c r="H30" s="58"/>
      <c r="I30" s="12" t="str">
        <f t="shared" si="7"/>
        <v>* group[=].element[+].code = #Radiotherapy.treatmentSites.primary</v>
      </c>
      <c r="J30" s="12" t="str">
        <f t="shared" si="0"/>
        <v>* group[=].element[=].display = ##34#Primary##34#</v>
      </c>
      <c r="K30" s="12" t="str">
        <f t="shared" si="1"/>
        <v>* group[=].element[=].target.code = #Procedure.</v>
      </c>
      <c r="L30" s="12" t="str">
        <f t="shared" si="2"/>
        <v>* group[=].element[=].target.display = ##34###34#</v>
      </c>
      <c r="M30" s="12" t="str">
        <f t="shared" si="3"/>
        <v>* group[=].element[=].target.equivalence = #equivalent</v>
      </c>
      <c r="N30" s="12" t="str">
        <f t="shared" si="4"/>
        <v/>
      </c>
      <c r="P30" s="11">
        <v>16</v>
      </c>
      <c r="Q30" s="11">
        <f t="shared" si="5"/>
        <v>2</v>
      </c>
      <c r="R30" s="11">
        <f t="shared" si="6"/>
        <v>4</v>
      </c>
      <c r="S30" s="12" t="str" cm="1">
        <f t="array" ref="S30">INDEX('Radiotherapy-ConceptMap-1'!$I$15:$N$124,Q30+1,R30)</f>
        <v>* group[=].element[=].target.display = ##34###34#</v>
      </c>
    </row>
    <row r="31" spans="1:19" ht="44.25">
      <c r="B31" s="11" t="str">
        <f>Radiotherapy!B24</f>
        <v>treatmentSites.neck</v>
      </c>
      <c r="C31" s="11" t="str">
        <f>Radiotherapy!C24</f>
        <v>Neck</v>
      </c>
      <c r="D31" s="12"/>
      <c r="E31" s="12"/>
      <c r="F31" s="64" t="s">
        <v>1429</v>
      </c>
      <c r="G31" s="124"/>
      <c r="H31" s="58"/>
      <c r="I31" s="12" t="str">
        <f t="shared" si="7"/>
        <v>* group[=].element[+].code = #Radiotherapy.treatmentSites.neck</v>
      </c>
      <c r="J31" s="12" t="str">
        <f t="shared" si="0"/>
        <v>* group[=].element[=].display = ##34#Neck##34#</v>
      </c>
      <c r="K31" s="12" t="str">
        <f t="shared" si="1"/>
        <v>* group[=].element[=].target.code = #Procedure.</v>
      </c>
      <c r="L31" s="12" t="str">
        <f t="shared" si="2"/>
        <v>* group[=].element[=].target.display = ##34###34#</v>
      </c>
      <c r="M31" s="12" t="str">
        <f t="shared" si="3"/>
        <v>* group[=].element[=].target.equivalence = #equivalent</v>
      </c>
      <c r="N31" s="12" t="str">
        <f t="shared" si="4"/>
        <v/>
      </c>
      <c r="P31" s="11">
        <v>17</v>
      </c>
      <c r="Q31" s="11">
        <f t="shared" si="5"/>
        <v>2</v>
      </c>
      <c r="R31" s="11">
        <f t="shared" si="6"/>
        <v>5</v>
      </c>
      <c r="S31" s="12" t="str" cm="1">
        <f t="array" ref="S31">INDEX('Radiotherapy-ConceptMap-1'!$I$15:$N$124,Q31+1,R31)</f>
        <v>* group[=].element[=].target.equivalence = #relatedto</v>
      </c>
    </row>
    <row r="32" spans="1:19" ht="44.25">
      <c r="B32" s="11" t="str">
        <f>Radiotherapy!B25</f>
        <v>treatmentSites.primaryAndIpsilateralNeck</v>
      </c>
      <c r="C32" s="11" t="str">
        <f>Radiotherapy!C25</f>
        <v>Primary and Ipsilateral Neck</v>
      </c>
      <c r="D32" s="12"/>
      <c r="E32" s="12"/>
      <c r="F32" s="64" t="s">
        <v>1429</v>
      </c>
      <c r="G32" s="124"/>
      <c r="H32" s="58"/>
      <c r="I32" s="12" t="str">
        <f t="shared" si="7"/>
        <v>* group[=].element[+].code = #Radiotherapy.treatmentSites.primaryAndIpsilateralNeck</v>
      </c>
      <c r="J32" s="12" t="str">
        <f t="shared" si="0"/>
        <v>* group[=].element[=].display = ##34#Primary and Ipsilateral Neck##34#</v>
      </c>
      <c r="K32" s="12" t="str">
        <f t="shared" si="1"/>
        <v>* group[=].element[=].target.code = #Procedure.</v>
      </c>
      <c r="L32" s="12" t="str">
        <f t="shared" si="2"/>
        <v>* group[=].element[=].target.display = ##34###34#</v>
      </c>
      <c r="M32" s="12" t="str">
        <f t="shared" si="3"/>
        <v>* group[=].element[=].target.equivalence = #equivalent</v>
      </c>
      <c r="N32" s="12" t="str">
        <f t="shared" si="4"/>
        <v/>
      </c>
      <c r="P32" s="11">
        <v>18</v>
      </c>
      <c r="Q32" s="11">
        <f t="shared" si="5"/>
        <v>2</v>
      </c>
      <c r="R32" s="11">
        <f t="shared" si="6"/>
        <v>6</v>
      </c>
      <c r="S32" s="12" t="str" cm="1">
        <f t="array" ref="S32">INDEX('Radiotherapy-ConceptMap-1'!$I$15:$N$124,Q32+1,R32)</f>
        <v>* group[=].element[=].target.comment = ##34#to be analized: add a slice to code or consider to define an extension for this (or cathegories (R5 extension)) ?##34#</v>
      </c>
    </row>
    <row r="33" spans="1:19" ht="44.25">
      <c r="B33" s="11" t="str">
        <f>Radiotherapy!B26</f>
        <v>treatmentSites.primaryAndBilateralNeck</v>
      </c>
      <c r="C33" s="11" t="str">
        <f>Radiotherapy!C26</f>
        <v>Primary and Bilateral Neck</v>
      </c>
      <c r="D33" s="12"/>
      <c r="E33" s="12"/>
      <c r="F33" s="64" t="s">
        <v>1429</v>
      </c>
      <c r="G33" s="124"/>
      <c r="H33" s="58"/>
      <c r="I33" s="12" t="str">
        <f t="shared" si="7"/>
        <v>* group[=].element[+].code = #Radiotherapy.treatmentSites.primaryAndBilateralNeck</v>
      </c>
      <c r="J33" s="12" t="str">
        <f t="shared" si="0"/>
        <v>* group[=].element[=].display = ##34#Primary and Bilateral Neck##34#</v>
      </c>
      <c r="K33" s="12" t="str">
        <f t="shared" si="1"/>
        <v>* group[=].element[=].target.code = #Procedure.</v>
      </c>
      <c r="L33" s="12" t="str">
        <f t="shared" si="2"/>
        <v>* group[=].element[=].target.display = ##34###34#</v>
      </c>
      <c r="M33" s="12" t="str">
        <f t="shared" si="3"/>
        <v>* group[=].element[=].target.equivalence = #equivalent</v>
      </c>
      <c r="N33" s="12" t="str">
        <f t="shared" si="4"/>
        <v/>
      </c>
      <c r="P33" s="11">
        <v>19</v>
      </c>
      <c r="Q33" s="11">
        <f t="shared" si="5"/>
        <v>3</v>
      </c>
      <c r="R33" s="11">
        <f t="shared" si="6"/>
        <v>1</v>
      </c>
      <c r="S33" s="12" t="str" cm="1">
        <f t="array" ref="S33">INDEX('Radiotherapy-ConceptMap-1'!$I$15:$N$124,Q33+1,R33)</f>
        <v>* group[=].element[+].code = #Radiotherapy.setting</v>
      </c>
    </row>
    <row r="34" spans="1:19" ht="44.25">
      <c r="B34" s="11" t="str">
        <f>Radiotherapy!B27</f>
        <v>treatmentSites.distantMetastasis</v>
      </c>
      <c r="C34" s="11" t="str">
        <f>Radiotherapy!C27</f>
        <v>Distant Metastasis</v>
      </c>
      <c r="D34" s="12"/>
      <c r="E34" s="12"/>
      <c r="F34" s="64" t="s">
        <v>1429</v>
      </c>
      <c r="G34" s="64"/>
      <c r="H34" s="58"/>
      <c r="I34" s="12" t="str">
        <f t="shared" si="7"/>
        <v>* group[=].element[+].code = #Radiotherapy.treatmentSites.distantMetastasis</v>
      </c>
      <c r="J34" s="12" t="str">
        <f t="shared" si="0"/>
        <v>* group[=].element[=].display = ##34#Distant Metastasis##34#</v>
      </c>
      <c r="K34" s="12" t="str">
        <f t="shared" si="1"/>
        <v>* group[=].element[=].target.code = #Procedure.</v>
      </c>
      <c r="L34" s="12" t="str">
        <f t="shared" si="2"/>
        <v>* group[=].element[=].target.display = ##34###34#</v>
      </c>
      <c r="M34" s="12" t="str">
        <f t="shared" si="3"/>
        <v>* group[=].element[=].target.equivalence = #equivalent</v>
      </c>
      <c r="N34" s="12" t="str">
        <f t="shared" si="4"/>
        <v/>
      </c>
      <c r="P34" s="11">
        <v>20</v>
      </c>
      <c r="Q34" s="11">
        <f t="shared" si="5"/>
        <v>3</v>
      </c>
      <c r="R34" s="11">
        <f t="shared" si="6"/>
        <v>2</v>
      </c>
      <c r="S34" s="12" t="str" cm="1">
        <f t="array" ref="S34">INDEX('Radiotherapy-ConceptMap-1'!$I$15:$N$124,Q34+1,R34)</f>
        <v>* group[=].element[=].display = ##34#Setting##34#</v>
      </c>
    </row>
    <row r="35" spans="1:19" ht="44.25">
      <c r="B35" s="11" t="str">
        <f>Radiotherapy!B28</f>
        <v>metastaticTreatmentSites</v>
      </c>
      <c r="C35" s="11" t="str">
        <f>Radiotherapy!C28</f>
        <v>Metastatic Treatment Sites:</v>
      </c>
      <c r="D35" s="12"/>
      <c r="E35" s="12"/>
      <c r="F35" s="64" t="s">
        <v>1429</v>
      </c>
      <c r="G35" s="64"/>
      <c r="H35" s="58"/>
      <c r="I35" s="12" t="str">
        <f t="shared" si="7"/>
        <v>* group[=].element[+].code = #Radiotherapy.metastaticTreatmentSites</v>
      </c>
      <c r="J35" s="12" t="str">
        <f t="shared" si="0"/>
        <v>* group[=].element[=].display = ##34#Metastatic Treatment Sites:##34#</v>
      </c>
      <c r="K35" s="12" t="str">
        <f t="shared" si="1"/>
        <v>* group[=].element[=].target.code = #Procedure.</v>
      </c>
      <c r="L35" s="12" t="str">
        <f t="shared" si="2"/>
        <v>* group[=].element[=].target.display = ##34###34#</v>
      </c>
      <c r="M35" s="12" t="str">
        <f t="shared" si="3"/>
        <v>* group[=].element[=].target.equivalence = #equivalent</v>
      </c>
      <c r="N35" s="12" t="str">
        <f t="shared" si="4"/>
        <v/>
      </c>
      <c r="P35" s="11">
        <v>21</v>
      </c>
      <c r="Q35" s="11">
        <f t="shared" si="5"/>
        <v>3</v>
      </c>
      <c r="R35" s="11">
        <f t="shared" si="6"/>
        <v>3</v>
      </c>
      <c r="S35" s="12" t="str" cm="1">
        <f t="array" ref="S35">INDEX('Radiotherapy-ConceptMap-1'!$I$15:$N$124,Q35+1,R35)</f>
        <v>* group[=].element[=].target.code = #Procedure.extension:ProcedureCategoryR5</v>
      </c>
    </row>
    <row r="36" spans="1:19" ht="44.25">
      <c r="B36" s="11" t="str">
        <f>Radiotherapy!B29</f>
        <v>metastaticTreatmentSites.lung</v>
      </c>
      <c r="C36" s="11" t="str">
        <f>Radiotherapy!C29</f>
        <v xml:space="preserve">Lung
</v>
      </c>
      <c r="D36" s="12"/>
      <c r="E36" s="12"/>
      <c r="F36" s="64" t="s">
        <v>1429</v>
      </c>
      <c r="G36" s="64"/>
      <c r="H36" s="58"/>
      <c r="I36" s="12" t="str">
        <f t="shared" si="7"/>
        <v>* group[=].element[+].code = #Radiotherapy.metastaticTreatmentSites.lung</v>
      </c>
      <c r="J36" s="12" t="str">
        <f t="shared" si="0"/>
        <v>* group[=].element[=].display = ##34#Lung
##34#</v>
      </c>
      <c r="K36" s="12" t="str">
        <f t="shared" si="1"/>
        <v>* group[=].element[=].target.code = #Procedure.</v>
      </c>
      <c r="L36" s="12" t="str">
        <f t="shared" si="2"/>
        <v>* group[=].element[=].target.display = ##34###34#</v>
      </c>
      <c r="M36" s="12" t="str">
        <f t="shared" si="3"/>
        <v>* group[=].element[=].target.equivalence = #equivalent</v>
      </c>
      <c r="N36" s="12" t="str">
        <f t="shared" si="4"/>
        <v/>
      </c>
      <c r="P36" s="11">
        <v>22</v>
      </c>
      <c r="Q36" s="11">
        <f t="shared" si="5"/>
        <v>3</v>
      </c>
      <c r="R36" s="11">
        <f t="shared" si="6"/>
        <v>4</v>
      </c>
      <c r="S36" s="12" t="str" cm="1">
        <f t="array" ref="S36">INDEX('Radiotherapy-ConceptMap-1'!$I$15:$N$124,Q36+1,R36)</f>
        <v>* group[=].element[=].target.display = ##34###34#</v>
      </c>
    </row>
    <row r="37" spans="1:19" ht="44.25">
      <c r="B37" s="11" t="str">
        <f>Radiotherapy!B30</f>
        <v>metastaticTreatmentSites.mediastinum</v>
      </c>
      <c r="C37" s="11" t="str">
        <f>Radiotherapy!C30</f>
        <v xml:space="preserve">Mediastinum
</v>
      </c>
      <c r="D37" s="12"/>
      <c r="E37" s="12"/>
      <c r="F37" s="64" t="s">
        <v>1429</v>
      </c>
      <c r="G37" s="64"/>
      <c r="H37" s="58"/>
      <c r="I37" s="12" t="str">
        <f t="shared" si="7"/>
        <v>* group[=].element[+].code = #Radiotherapy.metastaticTreatmentSites.mediastinum</v>
      </c>
      <c r="J37" s="12" t="str">
        <f t="shared" si="0"/>
        <v>* group[=].element[=].display = ##34#Mediastinum
##34#</v>
      </c>
      <c r="K37" s="12" t="str">
        <f t="shared" si="1"/>
        <v>* group[=].element[=].target.code = #Procedure.</v>
      </c>
      <c r="L37" s="12" t="str">
        <f t="shared" si="2"/>
        <v>* group[=].element[=].target.display = ##34###34#</v>
      </c>
      <c r="M37" s="12" t="str">
        <f t="shared" si="3"/>
        <v>* group[=].element[=].target.equivalence = #equivalent</v>
      </c>
      <c r="N37" s="12" t="str">
        <f t="shared" si="4"/>
        <v/>
      </c>
      <c r="P37" s="11">
        <v>23</v>
      </c>
      <c r="Q37" s="11">
        <f t="shared" si="5"/>
        <v>3</v>
      </c>
      <c r="R37" s="11">
        <f t="shared" si="6"/>
        <v>5</v>
      </c>
      <c r="S37" s="12" t="str" cm="1">
        <f t="array" ref="S37">INDEX('Radiotherapy-ConceptMap-1'!$I$15:$N$124,Q37+1,R37)</f>
        <v>* group[=].element[=].target.equivalence = #relatedto</v>
      </c>
    </row>
    <row r="38" spans="1:19" ht="14.75" customHeight="1">
      <c r="B38" s="11" t="str">
        <f>Radiotherapy!B31</f>
        <v>metastaticTreatmentSites.bone</v>
      </c>
      <c r="C38" s="11" t="str">
        <f>Radiotherapy!C31</f>
        <v xml:space="preserve">Bone
</v>
      </c>
      <c r="D38" s="12"/>
      <c r="E38" s="12"/>
      <c r="F38" s="64" t="s">
        <v>1429</v>
      </c>
      <c r="G38" s="64"/>
      <c r="H38" s="58"/>
      <c r="I38" s="12" t="str">
        <f t="shared" si="7"/>
        <v>* group[=].element[+].code = #Radiotherapy.metastaticTreatmentSites.bone</v>
      </c>
      <c r="J38" s="12" t="str">
        <f t="shared" si="0"/>
        <v>* group[=].element[=].display = ##34#Bone
##34#</v>
      </c>
      <c r="K38" s="12" t="str">
        <f t="shared" si="1"/>
        <v>* group[=].element[=].target.code = #Procedure.</v>
      </c>
      <c r="L38" s="12" t="str">
        <f t="shared" si="2"/>
        <v>* group[=].element[=].target.display = ##34###34#</v>
      </c>
      <c r="M38" s="12" t="str">
        <f t="shared" si="3"/>
        <v>* group[=].element[=].target.equivalence = #equivalent</v>
      </c>
      <c r="N38" s="12" t="str">
        <f t="shared" si="4"/>
        <v/>
      </c>
      <c r="P38" s="11">
        <v>24</v>
      </c>
      <c r="Q38" s="11">
        <f t="shared" si="5"/>
        <v>3</v>
      </c>
      <c r="R38" s="11">
        <f t="shared" si="6"/>
        <v>6</v>
      </c>
      <c r="S38" s="12" t="str" cm="1">
        <f t="array" ref="S38">INDEX('Radiotherapy-ConceptMap-1'!$I$15:$N$124,Q38+1,R38)</f>
        <v>* group[=].element[=].target.comment = ##34#to be analyzed: derive this from a combination of elements or use other cathegories (R5 extension)##34#</v>
      </c>
    </row>
    <row r="39" spans="1:19">
      <c r="B39" s="11" t="str">
        <f>Radiotherapy!B32</f>
        <v>metastaticTreatmentSites.softTissue</v>
      </c>
      <c r="C39" s="11" t="str">
        <f>Radiotherapy!C32</f>
        <v xml:space="preserve">Soft Tissue
</v>
      </c>
      <c r="D39" s="12"/>
      <c r="E39" s="12"/>
      <c r="F39" s="64"/>
      <c r="G39" s="64"/>
      <c r="H39" s="58"/>
      <c r="I39" s="12"/>
      <c r="J39" s="12"/>
      <c r="K39" s="12"/>
      <c r="L39" s="12"/>
      <c r="M39" s="12"/>
      <c r="N39" s="12" t="str">
        <f t="shared" si="4"/>
        <v/>
      </c>
      <c r="P39" s="11">
        <v>25</v>
      </c>
      <c r="Q39" s="11">
        <f t="shared" si="5"/>
        <v>4</v>
      </c>
      <c r="R39" s="11">
        <f t="shared" si="6"/>
        <v>1</v>
      </c>
      <c r="S39" s="12" t="str" cm="1">
        <f t="array" ref="S39">INDEX('Radiotherapy-ConceptMap-1'!$I$15:$N$124,Q39+1,R39)</f>
        <v>* group[=].element[+].code = #Radiotherapy.beamQuality</v>
      </c>
    </row>
    <row r="40" spans="1:19" s="2" customFormat="1">
      <c r="A40"/>
      <c r="B40" s="11" t="str">
        <f>Radiotherapy!B33</f>
        <v>metastaticTreatmentSites.liver</v>
      </c>
      <c r="C40" s="11" t="str">
        <f>Radiotherapy!C33</f>
        <v xml:space="preserve">Liver
</v>
      </c>
      <c r="D40" s="12"/>
      <c r="E40" s="12"/>
      <c r="F40" s="64"/>
      <c r="G40" s="58"/>
      <c r="H40" s="58"/>
      <c r="J40"/>
      <c r="K40" s="58"/>
      <c r="L40" s="58"/>
      <c r="M40" s="66"/>
      <c r="N40" s="66"/>
      <c r="P40" s="11">
        <v>26</v>
      </c>
      <c r="Q40" s="11">
        <f t="shared" si="5"/>
        <v>4</v>
      </c>
      <c r="R40" s="11">
        <f t="shared" si="6"/>
        <v>2</v>
      </c>
      <c r="S40" s="12" t="str" cm="1">
        <f t="array" ref="S40">INDEX('Radiotherapy-ConceptMap-1'!$I$15:$N$124,Q40+1,R40)</f>
        <v>* group[=].element[=].display = ##34#Beam quality##34#</v>
      </c>
    </row>
    <row r="41" spans="1:19" s="2" customFormat="1">
      <c r="A41"/>
      <c r="B41" s="11" t="str">
        <f>Radiotherapy!B34</f>
        <v>treatmentCompletedAsPlanned</v>
      </c>
      <c r="C41" s="11" t="str">
        <f>Radiotherapy!C34</f>
        <v>Treatment Completed as Planned?</v>
      </c>
      <c r="D41" s="12"/>
      <c r="F41" s="58"/>
      <c r="G41" s="58"/>
      <c r="H41" s="58"/>
      <c r="J41"/>
      <c r="K41" s="58"/>
      <c r="L41" s="58"/>
      <c r="M41" s="66"/>
      <c r="N41" s="66"/>
      <c r="P41" s="11">
        <v>27</v>
      </c>
      <c r="Q41" s="11">
        <f t="shared" si="5"/>
        <v>4</v>
      </c>
      <c r="R41" s="11">
        <f t="shared" si="6"/>
        <v>3</v>
      </c>
      <c r="S41" s="12" t="str" cm="1">
        <f t="array" ref="S41">INDEX('Radiotherapy-ConceptMap-1'!$I$15:$N$124,Q41+1,R41)</f>
        <v>* group[=].element[=].target.code = #Procedure.code</v>
      </c>
    </row>
    <row r="42" spans="1:19" s="2" customFormat="1">
      <c r="A42"/>
      <c r="B42" s="11"/>
      <c r="C42" s="11"/>
      <c r="D42" s="12"/>
      <c r="F42" s="58"/>
      <c r="G42" s="58"/>
      <c r="H42" s="58"/>
      <c r="J42"/>
      <c r="K42" s="58"/>
      <c r="L42" s="58"/>
      <c r="M42" s="66"/>
      <c r="N42" s="66"/>
      <c r="P42" s="11">
        <v>28</v>
      </c>
      <c r="Q42" s="11">
        <f t="shared" si="5"/>
        <v>4</v>
      </c>
      <c r="R42" s="11">
        <f t="shared" si="6"/>
        <v>4</v>
      </c>
      <c r="S42" s="12" t="str" cm="1">
        <f t="array" ref="S42">INDEX('Radiotherapy-ConceptMap-1'!$I$15:$N$124,Q42+1,R42)</f>
        <v>* group[=].element[=].target.display = ##34###34#</v>
      </c>
    </row>
    <row r="43" spans="1:19" s="2" customFormat="1">
      <c r="A43"/>
      <c r="B43" s="11"/>
      <c r="C43" s="11"/>
      <c r="D43" s="12"/>
      <c r="F43" s="58"/>
      <c r="G43" s="58"/>
      <c r="H43" s="58"/>
      <c r="J43" s="58"/>
      <c r="K43" s="58"/>
      <c r="L43" s="58"/>
      <c r="M43" s="66"/>
      <c r="N43" s="66"/>
      <c r="P43" s="11">
        <v>29</v>
      </c>
      <c r="Q43" s="11">
        <f t="shared" si="5"/>
        <v>4</v>
      </c>
      <c r="R43" s="11">
        <f t="shared" si="6"/>
        <v>5</v>
      </c>
      <c r="S43" s="12" t="str" cm="1">
        <f t="array" ref="S43">INDEX('Radiotherapy-ConceptMap-1'!$I$15:$N$124,Q43+1,R43)</f>
        <v>* group[=].element[=].target.equivalence = #relatedto</v>
      </c>
    </row>
    <row r="44" spans="1:19" s="2" customFormat="1">
      <c r="A44"/>
      <c r="B44" s="11"/>
      <c r="C44" s="11"/>
      <c r="F44" s="58"/>
      <c r="G44" s="58"/>
      <c r="H44" s="58"/>
      <c r="J44" s="58"/>
      <c r="K44" s="58"/>
      <c r="L44" s="58"/>
      <c r="M44" s="66"/>
      <c r="N44" s="66"/>
      <c r="P44" s="11">
        <v>30</v>
      </c>
      <c r="Q44" s="11">
        <f t="shared" si="5"/>
        <v>4</v>
      </c>
      <c r="R44" s="11">
        <f t="shared" si="6"/>
        <v>6</v>
      </c>
      <c r="S44" s="12" t="str" cm="1">
        <f t="array" ref="S44">INDEX('Radiotherapy-ConceptMap-1'!$I$15:$N$124,Q44+1,R44)</f>
        <v/>
      </c>
    </row>
    <row r="45" spans="1:19">
      <c r="B45" s="11"/>
      <c r="C45" s="11"/>
      <c r="P45" s="11">
        <v>31</v>
      </c>
      <c r="Q45" s="11">
        <f t="shared" si="5"/>
        <v>5</v>
      </c>
      <c r="R45" s="11">
        <f t="shared" si="6"/>
        <v>1</v>
      </c>
      <c r="S45" s="12" t="str" cm="1">
        <f t="array" ref="S45">INDEX('Radiotherapy-ConceptMap-1'!$I$15:$N$124,Q45+1,R45)</f>
        <v>* group[=].element[+].code = #Radiotherapy.otherSpecify</v>
      </c>
    </row>
    <row r="46" spans="1:19">
      <c r="B46" s="11"/>
      <c r="C46" s="11"/>
      <c r="P46" s="11">
        <v>32</v>
      </c>
      <c r="Q46" s="11">
        <f t="shared" si="5"/>
        <v>5</v>
      </c>
      <c r="R46" s="11">
        <f t="shared" si="6"/>
        <v>2</v>
      </c>
      <c r="S46" s="12" t="str" cm="1">
        <f t="array" ref="S46">INDEX('Radiotherapy-ConceptMap-1'!$I$15:$N$124,Q46+1,R46)</f>
        <v>* group[=].element[=].display = ##34#Other; specify##34#</v>
      </c>
    </row>
    <row r="47" spans="1:19">
      <c r="P47" s="11">
        <v>33</v>
      </c>
      <c r="Q47" s="11">
        <f t="shared" si="5"/>
        <v>5</v>
      </c>
      <c r="R47" s="11">
        <f t="shared" si="6"/>
        <v>3</v>
      </c>
      <c r="S47" s="12" t="str" cm="1">
        <f t="array" ref="S47">INDEX('Radiotherapy-ConceptMap-1'!$I$15:$N$124,Q47+1,R47)</f>
        <v>* group[=].element[=].target.code = #Procedure.</v>
      </c>
    </row>
    <row r="48" spans="1:19">
      <c r="P48" s="11">
        <v>34</v>
      </c>
      <c r="Q48" s="11">
        <f t="shared" si="5"/>
        <v>5</v>
      </c>
      <c r="R48" s="11">
        <f t="shared" si="6"/>
        <v>4</v>
      </c>
      <c r="S48" s="12" t="str" cm="1">
        <f t="array" ref="S48">INDEX('Radiotherapy-ConceptMap-1'!$I$15:$N$124,Q48+1,R48)</f>
        <v>* group[=].element[=].target.display = ##34###34#</v>
      </c>
    </row>
    <row r="49" spans="16:19">
      <c r="P49" s="11">
        <v>35</v>
      </c>
      <c r="Q49" s="11">
        <f t="shared" si="5"/>
        <v>5</v>
      </c>
      <c r="R49" s="11">
        <f t="shared" si="6"/>
        <v>5</v>
      </c>
      <c r="S49" s="12" t="str" cm="1">
        <f t="array" ref="S49">INDEX('Radiotherapy-ConceptMap-1'!$I$15:$N$124,Q49+1,R49)</f>
        <v>* group[=].element[=].target.equivalence = #relatedto</v>
      </c>
    </row>
    <row r="50" spans="16:19">
      <c r="P50" s="11">
        <v>36</v>
      </c>
      <c r="Q50" s="11">
        <f t="shared" si="5"/>
        <v>5</v>
      </c>
      <c r="R50" s="11">
        <f t="shared" si="6"/>
        <v>6</v>
      </c>
      <c r="S50" s="12" t="str" cm="1">
        <f t="array" ref="S50">INDEX('Radiotherapy-ConceptMap-1'!$I$15:$N$124,Q50+1,R50)</f>
        <v/>
      </c>
    </row>
    <row r="51" spans="16:19">
      <c r="P51" s="11">
        <v>37</v>
      </c>
      <c r="Q51" s="11">
        <f t="shared" si="5"/>
        <v>6</v>
      </c>
      <c r="R51" s="11">
        <f t="shared" si="6"/>
        <v>1</v>
      </c>
      <c r="S51" s="12" t="str" cm="1">
        <f t="array" ref="S51">INDEX('Radiotherapy-ConceptMap-1'!$I$15:$N$124,Q51+1,R51)</f>
        <v>* group[=].element[+].code = #Radiotherapy.treatmentTechnique</v>
      </c>
    </row>
    <row r="52" spans="16:19">
      <c r="P52" s="11">
        <v>38</v>
      </c>
      <c r="Q52" s="11">
        <f t="shared" si="5"/>
        <v>6</v>
      </c>
      <c r="R52" s="11">
        <f t="shared" si="6"/>
        <v>2</v>
      </c>
      <c r="S52" s="12" t="str" cm="1">
        <f t="array" ref="S52">INDEX('Radiotherapy-ConceptMap-1'!$I$15:$N$124,Q52+1,R52)</f>
        <v>* group[=].element[=].display = ##34#Treatment technique##34#</v>
      </c>
    </row>
    <row r="53" spans="16:19">
      <c r="P53" s="11">
        <v>39</v>
      </c>
      <c r="Q53" s="11">
        <f t="shared" si="5"/>
        <v>6</v>
      </c>
      <c r="R53" s="11">
        <f t="shared" si="6"/>
        <v>3</v>
      </c>
      <c r="S53" s="12" t="str" cm="1">
        <f t="array" ref="S53">INDEX('Radiotherapy-ConceptMap-1'!$I$15:$N$124,Q53+1,R53)</f>
        <v>* group[=].element[=].target.code = #Procedure.</v>
      </c>
    </row>
    <row r="54" spans="16:19">
      <c r="P54" s="11">
        <v>40</v>
      </c>
      <c r="Q54" s="11">
        <f t="shared" si="5"/>
        <v>6</v>
      </c>
      <c r="R54" s="11">
        <f t="shared" si="6"/>
        <v>4</v>
      </c>
      <c r="S54" s="12" t="str" cm="1">
        <f t="array" ref="S54">INDEX('Radiotherapy-ConceptMap-1'!$I$15:$N$124,Q54+1,R54)</f>
        <v>* group[=].element[=].target.display = ##34###34#</v>
      </c>
    </row>
    <row r="55" spans="16:19">
      <c r="P55" s="11">
        <v>41</v>
      </c>
      <c r="Q55" s="11">
        <f t="shared" si="5"/>
        <v>6</v>
      </c>
      <c r="R55" s="11">
        <f t="shared" si="6"/>
        <v>5</v>
      </c>
      <c r="S55" s="12" t="str" cm="1">
        <f t="array" ref="S55">INDEX('Radiotherapy-ConceptMap-1'!$I$15:$N$124,Q55+1,R55)</f>
        <v>* group[=].element[=].target.equivalence = #relatedto</v>
      </c>
    </row>
    <row r="56" spans="16:19">
      <c r="P56" s="11">
        <v>42</v>
      </c>
      <c r="Q56" s="11">
        <f t="shared" si="5"/>
        <v>6</v>
      </c>
      <c r="R56" s="11">
        <f t="shared" si="6"/>
        <v>6</v>
      </c>
      <c r="S56" s="12" t="str" cm="1">
        <f t="array" ref="S56">INDEX('Radiotherapy-ConceptMap-1'!$I$15:$N$124,Q56+1,R56)</f>
        <v/>
      </c>
    </row>
    <row r="57" spans="16:19">
      <c r="P57" s="11">
        <v>43</v>
      </c>
      <c r="Q57" s="11">
        <f t="shared" si="5"/>
        <v>7</v>
      </c>
      <c r="R57" s="11">
        <f t="shared" si="6"/>
        <v>1</v>
      </c>
      <c r="S57" s="12" t="str" cm="1">
        <f t="array" ref="S57">INDEX('Radiotherapy-ConceptMap-1'!$I$15:$N$124,Q57+1,R57)</f>
        <v>* group[=].element[+].code = #Radiotherapy.totalDoseTdGy</v>
      </c>
    </row>
    <row r="58" spans="16:19">
      <c r="P58" s="11">
        <v>44</v>
      </c>
      <c r="Q58" s="11">
        <f t="shared" si="5"/>
        <v>7</v>
      </c>
      <c r="R58" s="11">
        <f t="shared" si="6"/>
        <v>2</v>
      </c>
      <c r="S58" s="12" t="str" cm="1">
        <f t="array" ref="S58">INDEX('Radiotherapy-ConceptMap-1'!$I$15:$N$124,Q58+1,R58)</f>
        <v>* group[=].element[=].display = ##34#Total Dose (TD) Gy##34#</v>
      </c>
    </row>
    <row r="59" spans="16:19">
      <c r="P59" s="11">
        <v>45</v>
      </c>
      <c r="Q59" s="11">
        <f t="shared" si="5"/>
        <v>7</v>
      </c>
      <c r="R59" s="11">
        <f t="shared" si="6"/>
        <v>3</v>
      </c>
      <c r="S59" s="12" t="str" cm="1">
        <f t="array" ref="S59">INDEX('Radiotherapy-ConceptMap-1'!$I$15:$N$124,Q59+1,R59)</f>
        <v>* group[=].element[=].target.code = #Procedure.</v>
      </c>
    </row>
    <row r="60" spans="16:19">
      <c r="P60" s="11">
        <v>46</v>
      </c>
      <c r="Q60" s="11">
        <f t="shared" si="5"/>
        <v>7</v>
      </c>
      <c r="R60" s="11">
        <f t="shared" si="6"/>
        <v>4</v>
      </c>
      <c r="S60" s="12" t="str" cm="1">
        <f t="array" ref="S60">INDEX('Radiotherapy-ConceptMap-1'!$I$15:$N$124,Q60+1,R60)</f>
        <v>* group[=].element[=].target.display = ##34###34#</v>
      </c>
    </row>
    <row r="61" spans="16:19">
      <c r="P61" s="11">
        <v>47</v>
      </c>
      <c r="Q61" s="11">
        <f t="shared" si="5"/>
        <v>7</v>
      </c>
      <c r="R61" s="11">
        <f t="shared" si="6"/>
        <v>5</v>
      </c>
      <c r="S61" s="12" t="str" cm="1">
        <f t="array" ref="S61">INDEX('Radiotherapy-ConceptMap-1'!$I$15:$N$124,Q61+1,R61)</f>
        <v>* group[=].element[=].target.equivalence = #relatedto</v>
      </c>
    </row>
    <row r="62" spans="16:19">
      <c r="P62" s="11">
        <v>48</v>
      </c>
      <c r="Q62" s="11">
        <f t="shared" si="5"/>
        <v>7</v>
      </c>
      <c r="R62" s="11">
        <f t="shared" si="6"/>
        <v>6</v>
      </c>
      <c r="S62" s="12" t="str" cm="1">
        <f t="array" ref="S62">INDEX('Radiotherapy-ConceptMap-1'!$I$15:$N$124,Q62+1,R62)</f>
        <v/>
      </c>
    </row>
    <row r="63" spans="16:19">
      <c r="P63" s="11">
        <v>49</v>
      </c>
      <c r="Q63" s="11">
        <f t="shared" si="5"/>
        <v>8</v>
      </c>
      <c r="R63" s="11">
        <f t="shared" si="6"/>
        <v>1</v>
      </c>
      <c r="S63" s="12" t="str" cm="1">
        <f t="array" ref="S63">INDEX('Radiotherapy-ConceptMap-1'!$I$15:$N$124,Q63+1,R63)</f>
        <v>* group[=].element[+].code = #Radiotherapy.fractionSizeFs</v>
      </c>
    </row>
    <row r="64" spans="16:19">
      <c r="P64" s="11">
        <v>50</v>
      </c>
      <c r="Q64" s="11">
        <f t="shared" si="5"/>
        <v>8</v>
      </c>
      <c r="R64" s="11">
        <f t="shared" si="6"/>
        <v>2</v>
      </c>
      <c r="S64" s="12" t="str" cm="1">
        <f t="array" ref="S64">INDEX('Radiotherapy-ConceptMap-1'!$I$15:$N$124,Q64+1,R64)</f>
        <v>* group[=].element[=].display = ##34#Fraction Size (FS)##34#</v>
      </c>
    </row>
    <row r="65" spans="16:19">
      <c r="P65" s="11">
        <v>51</v>
      </c>
      <c r="Q65" s="11">
        <f t="shared" si="5"/>
        <v>8</v>
      </c>
      <c r="R65" s="11">
        <f t="shared" si="6"/>
        <v>3</v>
      </c>
      <c r="S65" s="12" t="str" cm="1">
        <f t="array" ref="S65">INDEX('Radiotherapy-ConceptMap-1'!$I$15:$N$124,Q65+1,R65)</f>
        <v>* group[=].element[=].target.code = #Procedure.</v>
      </c>
    </row>
    <row r="66" spans="16:19">
      <c r="P66" s="11">
        <v>52</v>
      </c>
      <c r="Q66" s="11">
        <f t="shared" si="5"/>
        <v>8</v>
      </c>
      <c r="R66" s="11">
        <f t="shared" si="6"/>
        <v>4</v>
      </c>
      <c r="S66" s="12" t="str" cm="1">
        <f t="array" ref="S66">INDEX('Radiotherapy-ConceptMap-1'!$I$15:$N$124,Q66+1,R66)</f>
        <v>* group[=].element[=].target.display = ##34###34#</v>
      </c>
    </row>
    <row r="67" spans="16:19">
      <c r="P67" s="11">
        <v>53</v>
      </c>
      <c r="Q67" s="11">
        <f t="shared" si="5"/>
        <v>8</v>
      </c>
      <c r="R67" s="11">
        <f t="shared" si="6"/>
        <v>5</v>
      </c>
      <c r="S67" s="12" t="str" cm="1">
        <f t="array" ref="S67">INDEX('Radiotherapy-ConceptMap-1'!$I$15:$N$124,Q67+1,R67)</f>
        <v>* group[=].element[=].target.equivalence = #equal</v>
      </c>
    </row>
    <row r="68" spans="16:19">
      <c r="P68" s="11">
        <v>54</v>
      </c>
      <c r="Q68" s="11">
        <f t="shared" si="5"/>
        <v>8</v>
      </c>
      <c r="R68" s="11">
        <f t="shared" si="6"/>
        <v>6</v>
      </c>
      <c r="S68" s="12" t="str" cm="1">
        <f t="array" ref="S68">INDEX('Radiotherapy-ConceptMap-1'!$I$15:$N$124,Q68+1,R68)</f>
        <v/>
      </c>
    </row>
    <row r="69" spans="16:19">
      <c r="P69" s="11">
        <v>55</v>
      </c>
      <c r="Q69" s="11">
        <f t="shared" si="5"/>
        <v>9</v>
      </c>
      <c r="R69" s="11">
        <f t="shared" si="6"/>
        <v>1</v>
      </c>
      <c r="S69" s="12" t="str" cm="1">
        <f t="array" ref="S69">INDEX('Radiotherapy-ConceptMap-1'!$I$15:$N$124,Q69+1,R69)</f>
        <v>* group[=].element[+].code = #Radiotherapy.numberOfFractions</v>
      </c>
    </row>
    <row r="70" spans="16:19">
      <c r="P70" s="11">
        <v>56</v>
      </c>
      <c r="Q70" s="11">
        <f t="shared" si="5"/>
        <v>9</v>
      </c>
      <c r="R70" s="11">
        <f t="shared" si="6"/>
        <v>2</v>
      </c>
      <c r="S70" s="12" t="str" cm="1">
        <f t="array" ref="S70">INDEX('Radiotherapy-ConceptMap-1'!$I$15:$N$124,Q70+1,R70)</f>
        <v>* group[=].element[=].display = ##34#Number of fractions##34#</v>
      </c>
    </row>
    <row r="71" spans="16:19">
      <c r="P71" s="11">
        <v>57</v>
      </c>
      <c r="Q71" s="11">
        <f t="shared" si="5"/>
        <v>9</v>
      </c>
      <c r="R71" s="11">
        <f t="shared" si="6"/>
        <v>3</v>
      </c>
      <c r="S71" s="12" t="str" cm="1">
        <f t="array" ref="S71">INDEX('Radiotherapy-ConceptMap-1'!$I$15:$N$124,Q71+1,R71)</f>
        <v>* group[=].element[=].target.code = #Procedure.</v>
      </c>
    </row>
    <row r="72" spans="16:19">
      <c r="P72" s="11">
        <v>58</v>
      </c>
      <c r="Q72" s="11">
        <f t="shared" si="5"/>
        <v>9</v>
      </c>
      <c r="R72" s="11">
        <f t="shared" si="6"/>
        <v>4</v>
      </c>
      <c r="S72" s="12" t="str" cm="1">
        <f t="array" ref="S72">INDEX('Radiotherapy-ConceptMap-1'!$I$15:$N$124,Q72+1,R72)</f>
        <v>* group[=].element[=].target.display = ##34###34#</v>
      </c>
    </row>
    <row r="73" spans="16:19">
      <c r="P73" s="11">
        <v>59</v>
      </c>
      <c r="Q73" s="11">
        <f t="shared" si="5"/>
        <v>9</v>
      </c>
      <c r="R73" s="11">
        <f t="shared" si="6"/>
        <v>5</v>
      </c>
      <c r="S73" s="12" t="str" cm="1">
        <f t="array" ref="S73">INDEX('Radiotherapy-ConceptMap-1'!$I$15:$N$124,Q73+1,R73)</f>
        <v>* group[=].element[=].target.equivalence = #relatedto</v>
      </c>
    </row>
    <row r="74" spans="16:19">
      <c r="P74" s="11">
        <v>60</v>
      </c>
      <c r="Q74" s="11">
        <f t="shared" si="5"/>
        <v>9</v>
      </c>
      <c r="R74" s="11">
        <f t="shared" si="6"/>
        <v>6</v>
      </c>
      <c r="S74" s="12" t="str" cm="1">
        <f t="array" ref="S74">INDEX('Radiotherapy-ConceptMap-1'!$I$15:$N$124,Q74+1,R74)</f>
        <v/>
      </c>
    </row>
    <row r="75" spans="16:19">
      <c r="P75" s="11">
        <v>61</v>
      </c>
      <c r="Q75" s="11">
        <f t="shared" si="5"/>
        <v>10</v>
      </c>
      <c r="R75" s="11">
        <f t="shared" si="6"/>
        <v>1</v>
      </c>
      <c r="S75" s="12" t="str" cm="1">
        <f t="array" ref="S75">INDEX('Radiotherapy-ConceptMap-1'!$I$15:$N$124,Q75+1,R75)</f>
        <v>* group[=].element[+].code = #Radiotherapy.adaptiveRt</v>
      </c>
    </row>
    <row r="76" spans="16:19">
      <c r="P76" s="11">
        <v>62</v>
      </c>
      <c r="Q76" s="11">
        <f t="shared" si="5"/>
        <v>10</v>
      </c>
      <c r="R76" s="11">
        <f t="shared" si="6"/>
        <v>2</v>
      </c>
      <c r="S76" s="12" t="str" cm="1">
        <f t="array" ref="S76">INDEX('Radiotherapy-ConceptMap-1'!$I$15:$N$124,Q76+1,R76)</f>
        <v>* group[=].element[=].display = ##34#Adaptive RT##34#</v>
      </c>
    </row>
    <row r="77" spans="16:19">
      <c r="P77" s="11">
        <v>63</v>
      </c>
      <c r="Q77" s="11">
        <f t="shared" si="5"/>
        <v>10</v>
      </c>
      <c r="R77" s="11">
        <f t="shared" si="6"/>
        <v>3</v>
      </c>
      <c r="S77" s="12" t="str" cm="1">
        <f t="array" ref="S77">INDEX('Radiotherapy-ConceptMap-1'!$I$15:$N$124,Q77+1,R77)</f>
        <v>* group[=].element[=].target.code = #Procedure.</v>
      </c>
    </row>
    <row r="78" spans="16:19">
      <c r="P78" s="11">
        <v>64</v>
      </c>
      <c r="Q78" s="11">
        <f t="shared" si="5"/>
        <v>10</v>
      </c>
      <c r="R78" s="11">
        <f t="shared" si="6"/>
        <v>4</v>
      </c>
      <c r="S78" s="12" t="str" cm="1">
        <f t="array" ref="S78">INDEX('Radiotherapy-ConceptMap-1'!$I$15:$N$124,Q78+1,R78)</f>
        <v>* group[=].element[=].target.display = ##34###34#</v>
      </c>
    </row>
    <row r="79" spans="16:19">
      <c r="P79" s="11">
        <v>65</v>
      </c>
      <c r="Q79" s="11">
        <f t="shared" ref="Q79:Q142" si="8">IF(MOD(P79,$Q$8)=0,P79/$Q$8-1,INT(P79/$Q$8))</f>
        <v>10</v>
      </c>
      <c r="R79" s="11">
        <f t="shared" ref="R79:R142" si="9">IF(MOD(P79,$Q$8)=0,$Q$8,MOD(P79,$Q$8))</f>
        <v>5</v>
      </c>
      <c r="S79" s="12" t="str" cm="1">
        <f t="array" ref="S79">INDEX('Radiotherapy-ConceptMap-1'!$I$15:$N$124,Q79+1,R79)</f>
        <v>* group[=].element[=].target.equivalence = #relatedto</v>
      </c>
    </row>
    <row r="80" spans="16:19">
      <c r="P80" s="11">
        <v>66</v>
      </c>
      <c r="Q80" s="11">
        <f t="shared" si="8"/>
        <v>10</v>
      </c>
      <c r="R80" s="11">
        <f t="shared" si="9"/>
        <v>6</v>
      </c>
      <c r="S80" s="12" t="str" cm="1">
        <f t="array" ref="S80">INDEX('Radiotherapy-ConceptMap-1'!$I$15:$N$124,Q80+1,R80)</f>
        <v/>
      </c>
    </row>
    <row r="81" spans="16:19">
      <c r="P81" s="11">
        <v>67</v>
      </c>
      <c r="Q81" s="11">
        <f t="shared" si="8"/>
        <v>11</v>
      </c>
      <c r="R81" s="11">
        <f t="shared" si="9"/>
        <v>1</v>
      </c>
      <c r="S81" s="12" t="str" cm="1">
        <f t="array" ref="S81">INDEX('Radiotherapy-ConceptMap-1'!$I$15:$N$124,Q81+1,R81)</f>
        <v>* group[=].element[+].code = #Radiotherapy.igrtImageGuideRadiotherapy</v>
      </c>
    </row>
    <row r="82" spans="16:19">
      <c r="P82" s="11">
        <v>68</v>
      </c>
      <c r="Q82" s="11">
        <f t="shared" si="8"/>
        <v>11</v>
      </c>
      <c r="R82" s="11">
        <f t="shared" si="9"/>
        <v>2</v>
      </c>
      <c r="S82" s="12" t="str" cm="1">
        <f t="array" ref="S82">INDEX('Radiotherapy-ConceptMap-1'!$I$15:$N$124,Q82+1,R82)</f>
        <v>* group[=].element[=].display = ##34#IGRT  (image guide radiotherapy)##34#</v>
      </c>
    </row>
    <row r="83" spans="16:19">
      <c r="P83" s="11">
        <v>69</v>
      </c>
      <c r="Q83" s="11">
        <f t="shared" si="8"/>
        <v>11</v>
      </c>
      <c r="R83" s="11">
        <f t="shared" si="9"/>
        <v>3</v>
      </c>
      <c r="S83" s="12" t="str" cm="1">
        <f t="array" ref="S83">INDEX('Radiotherapy-ConceptMap-1'!$I$15:$N$124,Q83+1,R83)</f>
        <v>* group[=].element[=].target.code = #Procedure.</v>
      </c>
    </row>
    <row r="84" spans="16:19">
      <c r="P84" s="11">
        <v>70</v>
      </c>
      <c r="Q84" s="11">
        <f t="shared" si="8"/>
        <v>11</v>
      </c>
      <c r="R84" s="11">
        <f t="shared" si="9"/>
        <v>4</v>
      </c>
      <c r="S84" s="12" t="str" cm="1">
        <f t="array" ref="S84">INDEX('Radiotherapy-ConceptMap-1'!$I$15:$N$124,Q84+1,R84)</f>
        <v>* group[=].element[=].target.display = ##34###34#</v>
      </c>
    </row>
    <row r="85" spans="16:19">
      <c r="P85" s="11">
        <v>71</v>
      </c>
      <c r="Q85" s="11">
        <f t="shared" si="8"/>
        <v>11</v>
      </c>
      <c r="R85" s="11">
        <f t="shared" si="9"/>
        <v>5</v>
      </c>
      <c r="S85" s="12" t="str" cm="1">
        <f t="array" ref="S85">INDEX('Radiotherapy-ConceptMap-1'!$I$15:$N$124,Q85+1,R85)</f>
        <v>* group[=].element[=].target.equivalence = #relatedto</v>
      </c>
    </row>
    <row r="86" spans="16:19">
      <c r="P86" s="11">
        <v>72</v>
      </c>
      <c r="Q86" s="11">
        <f t="shared" si="8"/>
        <v>11</v>
      </c>
      <c r="R86" s="11">
        <f t="shared" si="9"/>
        <v>6</v>
      </c>
      <c r="S86" s="12" t="str" cm="1">
        <f t="array" ref="S86">INDEX('Radiotherapy-ConceptMap-1'!$I$15:$N$124,Q86+1,R86)</f>
        <v/>
      </c>
    </row>
    <row r="87" spans="16:19">
      <c r="P87" s="11">
        <v>73</v>
      </c>
      <c r="Q87" s="11">
        <f t="shared" si="8"/>
        <v>12</v>
      </c>
      <c r="R87" s="11">
        <f t="shared" si="9"/>
        <v>1</v>
      </c>
      <c r="S87" s="12" t="str" cm="1">
        <f t="array" ref="S87">INDEX('Radiotherapy-ConceptMap-1'!$I$15:$N$124,Q87+1,R87)</f>
        <v>* group[=].element[+].code = #Radiotherapy.startDate</v>
      </c>
    </row>
    <row r="88" spans="16:19">
      <c r="P88" s="11">
        <v>74</v>
      </c>
      <c r="Q88" s="11">
        <f t="shared" si="8"/>
        <v>12</v>
      </c>
      <c r="R88" s="11">
        <f t="shared" si="9"/>
        <v>2</v>
      </c>
      <c r="S88" s="12" t="str" cm="1">
        <f t="array" ref="S88">INDEX('Radiotherapy-ConceptMap-1'!$I$15:$N$124,Q88+1,R88)</f>
        <v>* group[=].element[=].display = ##34#Start date##34#</v>
      </c>
    </row>
    <row r="89" spans="16:19">
      <c r="P89" s="11">
        <v>75</v>
      </c>
      <c r="Q89" s="11">
        <f t="shared" si="8"/>
        <v>12</v>
      </c>
      <c r="R89" s="11">
        <f t="shared" si="9"/>
        <v>3</v>
      </c>
      <c r="S89" s="12" t="str" cm="1">
        <f t="array" ref="S89">INDEX('Radiotherapy-ConceptMap-1'!$I$15:$N$124,Q89+1,R89)</f>
        <v>* group[=].element[=].target.code = #Procedure.</v>
      </c>
    </row>
    <row r="90" spans="16:19">
      <c r="P90" s="11">
        <v>76</v>
      </c>
      <c r="Q90" s="11">
        <f t="shared" si="8"/>
        <v>12</v>
      </c>
      <c r="R90" s="11">
        <f t="shared" si="9"/>
        <v>4</v>
      </c>
      <c r="S90" s="12" t="str" cm="1">
        <f t="array" ref="S90">INDEX('Radiotherapy-ConceptMap-1'!$I$15:$N$124,Q90+1,R90)</f>
        <v>* group[=].element[=].target.display = ##34###34#</v>
      </c>
    </row>
    <row r="91" spans="16:19">
      <c r="P91" s="11">
        <v>77</v>
      </c>
      <c r="Q91" s="11">
        <f t="shared" si="8"/>
        <v>12</v>
      </c>
      <c r="R91" s="11">
        <f t="shared" si="9"/>
        <v>5</v>
      </c>
      <c r="S91" s="12" t="str" cm="1">
        <f t="array" ref="S91">INDEX('Radiotherapy-ConceptMap-1'!$I$15:$N$124,Q91+1,R91)</f>
        <v>* group[=].element[=].target.equivalence = #equivalent</v>
      </c>
    </row>
    <row r="92" spans="16:19">
      <c r="P92" s="11">
        <v>78</v>
      </c>
      <c r="Q92" s="11">
        <f t="shared" si="8"/>
        <v>12</v>
      </c>
      <c r="R92" s="11">
        <f t="shared" si="9"/>
        <v>6</v>
      </c>
      <c r="S92" s="12" t="str" cm="1">
        <f t="array" ref="S92">INDEX('Radiotherapy-ConceptMap-1'!$I$15:$N$124,Q92+1,R92)</f>
        <v/>
      </c>
    </row>
    <row r="93" spans="16:19">
      <c r="P93" s="11">
        <v>79</v>
      </c>
      <c r="Q93" s="11">
        <f t="shared" si="8"/>
        <v>13</v>
      </c>
      <c r="R93" s="11">
        <f t="shared" si="9"/>
        <v>1</v>
      </c>
      <c r="S93" s="12" t="str" cm="1">
        <f t="array" ref="S93">INDEX('Radiotherapy-ConceptMap-1'!$I$15:$N$124,Q93+1,R93)</f>
        <v>* group[=].element[+].code = #Radiotherapy.endDate</v>
      </c>
    </row>
    <row r="94" spans="16:19">
      <c r="P94" s="11">
        <v>80</v>
      </c>
      <c r="Q94" s="11">
        <f t="shared" si="8"/>
        <v>13</v>
      </c>
      <c r="R94" s="11">
        <f t="shared" si="9"/>
        <v>2</v>
      </c>
      <c r="S94" s="12" t="str" cm="1">
        <f t="array" ref="S94">INDEX('Radiotherapy-ConceptMap-1'!$I$15:$N$124,Q94+1,R94)</f>
        <v>* group[=].element[=].display = ##34#End  date##34#</v>
      </c>
    </row>
    <row r="95" spans="16:19">
      <c r="P95" s="11">
        <v>81</v>
      </c>
      <c r="Q95" s="11">
        <f t="shared" si="8"/>
        <v>13</v>
      </c>
      <c r="R95" s="11">
        <f t="shared" si="9"/>
        <v>3</v>
      </c>
      <c r="S95" s="12" t="str" cm="1">
        <f t="array" ref="S95">INDEX('Radiotherapy-ConceptMap-1'!$I$15:$N$124,Q95+1,R95)</f>
        <v>* group[=].element[=].target.code = #Procedure.</v>
      </c>
    </row>
    <row r="96" spans="16:19">
      <c r="P96" s="11">
        <v>82</v>
      </c>
      <c r="Q96" s="11">
        <f t="shared" si="8"/>
        <v>13</v>
      </c>
      <c r="R96" s="11">
        <f t="shared" si="9"/>
        <v>4</v>
      </c>
      <c r="S96" s="12" t="str" cm="1">
        <f t="array" ref="S96">INDEX('Radiotherapy-ConceptMap-1'!$I$15:$N$124,Q96+1,R96)</f>
        <v>* group[=].element[=].target.display = ##34###34#</v>
      </c>
    </row>
    <row r="97" spans="16:19">
      <c r="P97" s="11">
        <v>83</v>
      </c>
      <c r="Q97" s="11">
        <f t="shared" si="8"/>
        <v>13</v>
      </c>
      <c r="R97" s="11">
        <f t="shared" si="9"/>
        <v>5</v>
      </c>
      <c r="S97" s="12" t="str" cm="1">
        <f t="array" ref="S97">INDEX('Radiotherapy-ConceptMap-1'!$I$15:$N$124,Q97+1,R97)</f>
        <v>* group[=].element[=].target.equivalence = #equivalent</v>
      </c>
    </row>
    <row r="98" spans="16:19">
      <c r="P98" s="11">
        <v>84</v>
      </c>
      <c r="Q98" s="11">
        <f t="shared" si="8"/>
        <v>13</v>
      </c>
      <c r="R98" s="11">
        <f t="shared" si="9"/>
        <v>6</v>
      </c>
      <c r="S98" s="12" t="str" cm="1">
        <f t="array" ref="S98">INDEX('Radiotherapy-ConceptMap-1'!$I$15:$N$124,Q98+1,R98)</f>
        <v/>
      </c>
    </row>
    <row r="99" spans="16:19">
      <c r="P99" s="11">
        <v>85</v>
      </c>
      <c r="Q99" s="11">
        <f t="shared" si="8"/>
        <v>14</v>
      </c>
      <c r="R99" s="11">
        <f t="shared" si="9"/>
        <v>1</v>
      </c>
      <c r="S99" s="12" t="str" cm="1">
        <f t="array" ref="S99">INDEX('Radiotherapy-ConceptMap-1'!$I$15:$N$124,Q99+1,R99)</f>
        <v>* group[=].element[+].code = #Radiotherapy.treatmentSites</v>
      </c>
    </row>
    <row r="100" spans="16:19">
      <c r="P100" s="11">
        <v>86</v>
      </c>
      <c r="Q100" s="11">
        <f t="shared" si="8"/>
        <v>14</v>
      </c>
      <c r="R100" s="11">
        <f t="shared" si="9"/>
        <v>2</v>
      </c>
      <c r="S100" s="12" t="str" cm="1">
        <f t="array" ref="S100">INDEX('Radiotherapy-ConceptMap-1'!$I$15:$N$124,Q100+1,R100)</f>
        <v>* group[=].element[=].display = ##34#Treatment Sites:##34#</v>
      </c>
    </row>
    <row r="101" spans="16:19">
      <c r="P101" s="11">
        <v>87</v>
      </c>
      <c r="Q101" s="11">
        <f t="shared" si="8"/>
        <v>14</v>
      </c>
      <c r="R101" s="11">
        <f t="shared" si="9"/>
        <v>3</v>
      </c>
      <c r="S101" s="12" t="str" cm="1">
        <f t="array" ref="S101">INDEX('Radiotherapy-ConceptMap-1'!$I$15:$N$124,Q101+1,R101)</f>
        <v>* group[=].element[=].target.code = #Procedure.</v>
      </c>
    </row>
    <row r="102" spans="16:19">
      <c r="P102" s="11">
        <v>88</v>
      </c>
      <c r="Q102" s="11">
        <f t="shared" si="8"/>
        <v>14</v>
      </c>
      <c r="R102" s="11">
        <f t="shared" si="9"/>
        <v>4</v>
      </c>
      <c r="S102" s="12" t="str" cm="1">
        <f t="array" ref="S102">INDEX('Radiotherapy-ConceptMap-1'!$I$15:$N$124,Q102+1,R102)</f>
        <v>* group[=].element[=].target.display = ##34###34#</v>
      </c>
    </row>
    <row r="103" spans="16:19">
      <c r="P103" s="11">
        <v>89</v>
      </c>
      <c r="Q103" s="11">
        <f t="shared" si="8"/>
        <v>14</v>
      </c>
      <c r="R103" s="11">
        <f t="shared" si="9"/>
        <v>5</v>
      </c>
      <c r="S103" s="12" t="str" cm="1">
        <f t="array" ref="S103">INDEX('Radiotherapy-ConceptMap-1'!$I$15:$N$124,Q103+1,R103)</f>
        <v>* group[=].element[=].target.equivalence = #equivalent</v>
      </c>
    </row>
    <row r="104" spans="16:19">
      <c r="P104" s="11">
        <v>90</v>
      </c>
      <c r="Q104" s="11">
        <f t="shared" si="8"/>
        <v>14</v>
      </c>
      <c r="R104" s="11">
        <f t="shared" si="9"/>
        <v>6</v>
      </c>
      <c r="S104" s="12" t="str" cm="1">
        <f t="array" ref="S104">INDEX('Radiotherapy-ConceptMap-1'!$I$15:$N$124,Q104+1,R104)</f>
        <v/>
      </c>
    </row>
    <row r="105" spans="16:19">
      <c r="P105" s="11">
        <v>91</v>
      </c>
      <c r="Q105" s="11">
        <f t="shared" si="8"/>
        <v>15</v>
      </c>
      <c r="R105" s="11">
        <f t="shared" si="9"/>
        <v>1</v>
      </c>
      <c r="S105" s="12" t="str" cm="1">
        <f t="array" ref="S105">INDEX('Radiotherapy-ConceptMap-1'!$I$15:$N$124,Q105+1,R105)</f>
        <v>* group[=].element[+].code = #Radiotherapy.treatmentSites.primary</v>
      </c>
    </row>
    <row r="106" spans="16:19">
      <c r="P106" s="11">
        <v>92</v>
      </c>
      <c r="Q106" s="11">
        <f t="shared" si="8"/>
        <v>15</v>
      </c>
      <c r="R106" s="11">
        <f t="shared" si="9"/>
        <v>2</v>
      </c>
      <c r="S106" s="12" t="str" cm="1">
        <f t="array" ref="S106">INDEX('Radiotherapy-ConceptMap-1'!$I$15:$N$124,Q106+1,R106)</f>
        <v>* group[=].element[=].display = ##34#Primary##34#</v>
      </c>
    </row>
    <row r="107" spans="16:19">
      <c r="P107" s="11">
        <v>93</v>
      </c>
      <c r="Q107" s="11">
        <f t="shared" si="8"/>
        <v>15</v>
      </c>
      <c r="R107" s="11">
        <f t="shared" si="9"/>
        <v>3</v>
      </c>
      <c r="S107" s="12" t="str" cm="1">
        <f t="array" ref="S107">INDEX('Radiotherapy-ConceptMap-1'!$I$15:$N$124,Q107+1,R107)</f>
        <v>* group[=].element[=].target.code = #Procedure.</v>
      </c>
    </row>
    <row r="108" spans="16:19">
      <c r="P108" s="11">
        <v>94</v>
      </c>
      <c r="Q108" s="11">
        <f t="shared" si="8"/>
        <v>15</v>
      </c>
      <c r="R108" s="11">
        <f t="shared" si="9"/>
        <v>4</v>
      </c>
      <c r="S108" s="12" t="str" cm="1">
        <f t="array" ref="S108">INDEX('Radiotherapy-ConceptMap-1'!$I$15:$N$124,Q108+1,R108)</f>
        <v>* group[=].element[=].target.display = ##34###34#</v>
      </c>
    </row>
    <row r="109" spans="16:19">
      <c r="P109" s="11">
        <v>95</v>
      </c>
      <c r="Q109" s="11">
        <f t="shared" si="8"/>
        <v>15</v>
      </c>
      <c r="R109" s="11">
        <f t="shared" si="9"/>
        <v>5</v>
      </c>
      <c r="S109" s="12" t="str" cm="1">
        <f t="array" ref="S109">INDEX('Radiotherapy-ConceptMap-1'!$I$15:$N$124,Q109+1,R109)</f>
        <v>* group[=].element[=].target.equivalence = #equivalent</v>
      </c>
    </row>
    <row r="110" spans="16:19">
      <c r="P110" s="11">
        <v>96</v>
      </c>
      <c r="Q110" s="11">
        <f t="shared" si="8"/>
        <v>15</v>
      </c>
      <c r="R110" s="11">
        <f t="shared" si="9"/>
        <v>6</v>
      </c>
      <c r="S110" s="12" t="str" cm="1">
        <f t="array" ref="S110">INDEX('Radiotherapy-ConceptMap-1'!$I$15:$N$124,Q110+1,R110)</f>
        <v/>
      </c>
    </row>
    <row r="111" spans="16:19">
      <c r="P111" s="11">
        <v>97</v>
      </c>
      <c r="Q111" s="11">
        <f t="shared" si="8"/>
        <v>16</v>
      </c>
      <c r="R111" s="11">
        <f t="shared" si="9"/>
        <v>1</v>
      </c>
      <c r="S111" s="12" t="str" cm="1">
        <f t="array" ref="S111">INDEX('Radiotherapy-ConceptMap-1'!$I$15:$N$124,Q111+1,R111)</f>
        <v>* group[=].element[+].code = #Radiotherapy.treatmentSites.neck</v>
      </c>
    </row>
    <row r="112" spans="16:19">
      <c r="P112" s="11">
        <v>98</v>
      </c>
      <c r="Q112" s="11">
        <f t="shared" si="8"/>
        <v>16</v>
      </c>
      <c r="R112" s="11">
        <f t="shared" si="9"/>
        <v>2</v>
      </c>
      <c r="S112" s="12" t="str" cm="1">
        <f t="array" ref="S112">INDEX('Radiotherapy-ConceptMap-1'!$I$15:$N$124,Q112+1,R112)</f>
        <v>* group[=].element[=].display = ##34#Neck##34#</v>
      </c>
    </row>
    <row r="113" spans="16:19">
      <c r="P113" s="11">
        <v>99</v>
      </c>
      <c r="Q113" s="11">
        <f t="shared" si="8"/>
        <v>16</v>
      </c>
      <c r="R113" s="11">
        <f t="shared" si="9"/>
        <v>3</v>
      </c>
      <c r="S113" s="12" t="str" cm="1">
        <f t="array" ref="S113">INDEX('Radiotherapy-ConceptMap-1'!$I$15:$N$124,Q113+1,R113)</f>
        <v>* group[=].element[=].target.code = #Procedure.</v>
      </c>
    </row>
    <row r="114" spans="16:19">
      <c r="P114" s="11">
        <v>100</v>
      </c>
      <c r="Q114" s="11">
        <f t="shared" si="8"/>
        <v>16</v>
      </c>
      <c r="R114" s="11">
        <f t="shared" si="9"/>
        <v>4</v>
      </c>
      <c r="S114" s="12" t="str" cm="1">
        <f t="array" ref="S114">INDEX('Radiotherapy-ConceptMap-1'!$I$15:$N$124,Q114+1,R114)</f>
        <v>* group[=].element[=].target.display = ##34###34#</v>
      </c>
    </row>
    <row r="115" spans="16:19">
      <c r="P115" s="11">
        <v>101</v>
      </c>
      <c r="Q115" s="11">
        <f t="shared" si="8"/>
        <v>16</v>
      </c>
      <c r="R115" s="11">
        <f t="shared" si="9"/>
        <v>5</v>
      </c>
      <c r="S115" s="12" t="str" cm="1">
        <f t="array" ref="S115">INDEX('Radiotherapy-ConceptMap-1'!$I$15:$N$124,Q115+1,R115)</f>
        <v>* group[=].element[=].target.equivalence = #equivalent</v>
      </c>
    </row>
    <row r="116" spans="16:19">
      <c r="P116" s="11">
        <v>102</v>
      </c>
      <c r="Q116" s="11">
        <f t="shared" si="8"/>
        <v>16</v>
      </c>
      <c r="R116" s="11">
        <f t="shared" si="9"/>
        <v>6</v>
      </c>
      <c r="S116" s="12" t="str" cm="1">
        <f t="array" ref="S116">INDEX('Radiotherapy-ConceptMap-1'!$I$15:$N$124,Q116+1,R116)</f>
        <v/>
      </c>
    </row>
    <row r="117" spans="16:19" ht="29.5">
      <c r="P117" s="11">
        <v>103</v>
      </c>
      <c r="Q117" s="11">
        <f t="shared" si="8"/>
        <v>17</v>
      </c>
      <c r="R117" s="11">
        <f t="shared" si="9"/>
        <v>1</v>
      </c>
      <c r="S117" s="12" t="str" cm="1">
        <f t="array" ref="S117">INDEX('Radiotherapy-ConceptMap-1'!$I$15:$N$124,Q117+1,R117)</f>
        <v>* group[=].element[+].code = #Radiotherapy.treatmentSites.primaryAndIpsilateralNeck</v>
      </c>
    </row>
    <row r="118" spans="16:19">
      <c r="P118" s="11">
        <v>104</v>
      </c>
      <c r="Q118" s="11">
        <f t="shared" si="8"/>
        <v>17</v>
      </c>
      <c r="R118" s="11">
        <f t="shared" si="9"/>
        <v>2</v>
      </c>
      <c r="S118" s="12" t="str" cm="1">
        <f t="array" ref="S118">INDEX('Radiotherapy-ConceptMap-1'!$I$15:$N$124,Q118+1,R118)</f>
        <v>* group[=].element[=].display = ##34#Primary and Ipsilateral Neck##34#</v>
      </c>
    </row>
    <row r="119" spans="16:19">
      <c r="P119" s="11">
        <v>105</v>
      </c>
      <c r="Q119" s="11">
        <f t="shared" si="8"/>
        <v>17</v>
      </c>
      <c r="R119" s="11">
        <f t="shared" si="9"/>
        <v>3</v>
      </c>
      <c r="S119" s="12" t="str" cm="1">
        <f t="array" ref="S119">INDEX('Radiotherapy-ConceptMap-1'!$I$15:$N$124,Q119+1,R119)</f>
        <v>* group[=].element[=].target.code = #Procedure.</v>
      </c>
    </row>
    <row r="120" spans="16:19">
      <c r="P120" s="11">
        <v>106</v>
      </c>
      <c r="Q120" s="11">
        <f t="shared" si="8"/>
        <v>17</v>
      </c>
      <c r="R120" s="11">
        <f t="shared" si="9"/>
        <v>4</v>
      </c>
      <c r="S120" s="12" t="str" cm="1">
        <f t="array" ref="S120">INDEX('Radiotherapy-ConceptMap-1'!$I$15:$N$124,Q120+1,R120)</f>
        <v>* group[=].element[=].target.display = ##34###34#</v>
      </c>
    </row>
    <row r="121" spans="16:19">
      <c r="P121" s="11">
        <v>107</v>
      </c>
      <c r="Q121" s="11">
        <f t="shared" si="8"/>
        <v>17</v>
      </c>
      <c r="R121" s="11">
        <f t="shared" si="9"/>
        <v>5</v>
      </c>
      <c r="S121" s="12" t="str" cm="1">
        <f t="array" ref="S121">INDEX('Radiotherapy-ConceptMap-1'!$I$15:$N$124,Q121+1,R121)</f>
        <v>* group[=].element[=].target.equivalence = #equivalent</v>
      </c>
    </row>
    <row r="122" spans="16:19">
      <c r="P122" s="11">
        <v>108</v>
      </c>
      <c r="Q122" s="11">
        <f t="shared" si="8"/>
        <v>17</v>
      </c>
      <c r="R122" s="11">
        <f t="shared" si="9"/>
        <v>6</v>
      </c>
      <c r="S122" s="12" t="str" cm="1">
        <f t="array" ref="S122">INDEX('Radiotherapy-ConceptMap-1'!$I$15:$N$124,Q122+1,R122)</f>
        <v/>
      </c>
    </row>
    <row r="123" spans="16:19">
      <c r="P123" s="11">
        <v>109</v>
      </c>
      <c r="Q123" s="11">
        <f t="shared" si="8"/>
        <v>18</v>
      </c>
      <c r="R123" s="11">
        <f t="shared" si="9"/>
        <v>1</v>
      </c>
      <c r="S123" s="12" t="str" cm="1">
        <f t="array" ref="S123">INDEX('Radiotherapy-ConceptMap-1'!$I$15:$N$124,Q123+1,R123)</f>
        <v>* group[=].element[+].code = #Radiotherapy.treatmentSites.primaryAndBilateralNeck</v>
      </c>
    </row>
    <row r="124" spans="16:19">
      <c r="P124" s="11">
        <v>110</v>
      </c>
      <c r="Q124" s="11">
        <f t="shared" si="8"/>
        <v>18</v>
      </c>
      <c r="R124" s="11">
        <f t="shared" si="9"/>
        <v>2</v>
      </c>
      <c r="S124" s="12" t="str" cm="1">
        <f t="array" ref="S124">INDEX('Radiotherapy-ConceptMap-1'!$I$15:$N$124,Q124+1,R124)</f>
        <v>* group[=].element[=].display = ##34#Primary and Bilateral Neck##34#</v>
      </c>
    </row>
    <row r="125" spans="16:19">
      <c r="P125" s="11">
        <v>111</v>
      </c>
      <c r="Q125" s="11">
        <f t="shared" si="8"/>
        <v>18</v>
      </c>
      <c r="R125" s="11">
        <f t="shared" si="9"/>
        <v>3</v>
      </c>
      <c r="S125" s="12" t="str" cm="1">
        <f t="array" ref="S125">INDEX('Radiotherapy-ConceptMap-1'!$I$15:$N$124,Q125+1,R125)</f>
        <v>* group[=].element[=].target.code = #Procedure.</v>
      </c>
    </row>
    <row r="126" spans="16:19">
      <c r="P126" s="11">
        <v>112</v>
      </c>
      <c r="Q126" s="11">
        <f t="shared" si="8"/>
        <v>18</v>
      </c>
      <c r="R126" s="11">
        <f t="shared" si="9"/>
        <v>4</v>
      </c>
      <c r="S126" s="12" t="str" cm="1">
        <f t="array" ref="S126">INDEX('Radiotherapy-ConceptMap-1'!$I$15:$N$124,Q126+1,R126)</f>
        <v>* group[=].element[=].target.display = ##34###34#</v>
      </c>
    </row>
    <row r="127" spans="16:19">
      <c r="P127" s="11">
        <v>113</v>
      </c>
      <c r="Q127" s="11">
        <f t="shared" si="8"/>
        <v>18</v>
      </c>
      <c r="R127" s="11">
        <f t="shared" si="9"/>
        <v>5</v>
      </c>
      <c r="S127" s="12" t="str" cm="1">
        <f t="array" ref="S127">INDEX('Radiotherapy-ConceptMap-1'!$I$15:$N$124,Q127+1,R127)</f>
        <v>* group[=].element[=].target.equivalence = #equivalent</v>
      </c>
    </row>
    <row r="128" spans="16:19">
      <c r="P128" s="11">
        <v>114</v>
      </c>
      <c r="Q128" s="11">
        <f t="shared" si="8"/>
        <v>18</v>
      </c>
      <c r="R128" s="11">
        <f t="shared" si="9"/>
        <v>6</v>
      </c>
      <c r="S128" s="12" t="str" cm="1">
        <f t="array" ref="S128">INDEX('Radiotherapy-ConceptMap-1'!$I$15:$N$124,Q128+1,R128)</f>
        <v/>
      </c>
    </row>
    <row r="129" spans="16:19">
      <c r="P129" s="11">
        <v>115</v>
      </c>
      <c r="Q129" s="11">
        <f t="shared" si="8"/>
        <v>19</v>
      </c>
      <c r="R129" s="11">
        <f t="shared" si="9"/>
        <v>1</v>
      </c>
      <c r="S129" s="12" t="str" cm="1">
        <f t="array" ref="S129">INDEX('Radiotherapy-ConceptMap-1'!$I$15:$N$124,Q129+1,R129)</f>
        <v>* group[=].element[+].code = #Radiotherapy.treatmentSites.distantMetastasis</v>
      </c>
    </row>
    <row r="130" spans="16:19">
      <c r="P130" s="11">
        <v>116</v>
      </c>
      <c r="Q130" s="11">
        <f t="shared" si="8"/>
        <v>19</v>
      </c>
      <c r="R130" s="11">
        <f t="shared" si="9"/>
        <v>2</v>
      </c>
      <c r="S130" s="12" t="str" cm="1">
        <f t="array" ref="S130">INDEX('Radiotherapy-ConceptMap-1'!$I$15:$N$124,Q130+1,R130)</f>
        <v>* group[=].element[=].display = ##34#Distant Metastasis##34#</v>
      </c>
    </row>
    <row r="131" spans="16:19">
      <c r="P131" s="11">
        <v>117</v>
      </c>
      <c r="Q131" s="11">
        <f t="shared" si="8"/>
        <v>19</v>
      </c>
      <c r="R131" s="11">
        <f t="shared" si="9"/>
        <v>3</v>
      </c>
      <c r="S131" s="12" t="str" cm="1">
        <f t="array" ref="S131">INDEX('Radiotherapy-ConceptMap-1'!$I$15:$N$124,Q131+1,R131)</f>
        <v>* group[=].element[=].target.code = #Procedure.</v>
      </c>
    </row>
    <row r="132" spans="16:19">
      <c r="P132" s="11">
        <v>118</v>
      </c>
      <c r="Q132" s="11">
        <f t="shared" si="8"/>
        <v>19</v>
      </c>
      <c r="R132" s="11">
        <f t="shared" si="9"/>
        <v>4</v>
      </c>
      <c r="S132" s="12" t="str" cm="1">
        <f t="array" ref="S132">INDEX('Radiotherapy-ConceptMap-1'!$I$15:$N$124,Q132+1,R132)</f>
        <v>* group[=].element[=].target.display = ##34###34#</v>
      </c>
    </row>
    <row r="133" spans="16:19">
      <c r="P133" s="11">
        <v>119</v>
      </c>
      <c r="Q133" s="11">
        <f t="shared" si="8"/>
        <v>19</v>
      </c>
      <c r="R133" s="11">
        <f t="shared" si="9"/>
        <v>5</v>
      </c>
      <c r="S133" s="12" t="str" cm="1">
        <f t="array" ref="S133">INDEX('Radiotherapy-ConceptMap-1'!$I$15:$N$124,Q133+1,R133)</f>
        <v>* group[=].element[=].target.equivalence = #equivalent</v>
      </c>
    </row>
    <row r="134" spans="16:19">
      <c r="P134" s="11">
        <v>120</v>
      </c>
      <c r="Q134" s="11">
        <f t="shared" si="8"/>
        <v>19</v>
      </c>
      <c r="R134" s="11">
        <f t="shared" si="9"/>
        <v>6</v>
      </c>
      <c r="S134" s="12" t="str" cm="1">
        <f t="array" ref="S134">INDEX('Radiotherapy-ConceptMap-1'!$I$15:$N$124,Q134+1,R134)</f>
        <v/>
      </c>
    </row>
    <row r="135" spans="16:19">
      <c r="P135" s="11">
        <v>121</v>
      </c>
      <c r="Q135" s="11">
        <f t="shared" si="8"/>
        <v>20</v>
      </c>
      <c r="R135" s="11">
        <f t="shared" si="9"/>
        <v>1</v>
      </c>
      <c r="S135" s="12" t="str" cm="1">
        <f t="array" ref="S135">INDEX('Radiotherapy-ConceptMap-1'!$I$15:$N$124,Q135+1,R135)</f>
        <v>* group[=].element[+].code = #Radiotherapy.metastaticTreatmentSites</v>
      </c>
    </row>
    <row r="136" spans="16:19">
      <c r="P136" s="11">
        <v>122</v>
      </c>
      <c r="Q136" s="11">
        <f t="shared" si="8"/>
        <v>20</v>
      </c>
      <c r="R136" s="11">
        <f t="shared" si="9"/>
        <v>2</v>
      </c>
      <c r="S136" s="12" t="str" cm="1">
        <f t="array" ref="S136">INDEX('Radiotherapy-ConceptMap-1'!$I$15:$N$124,Q136+1,R136)</f>
        <v>* group[=].element[=].display = ##34#Metastatic Treatment Sites:##34#</v>
      </c>
    </row>
    <row r="137" spans="16:19">
      <c r="P137" s="11">
        <v>123</v>
      </c>
      <c r="Q137" s="11">
        <f t="shared" si="8"/>
        <v>20</v>
      </c>
      <c r="R137" s="11">
        <f t="shared" si="9"/>
        <v>3</v>
      </c>
      <c r="S137" s="12" t="str" cm="1">
        <f t="array" ref="S137">INDEX('Radiotherapy-ConceptMap-1'!$I$15:$N$124,Q137+1,R137)</f>
        <v>* group[=].element[=].target.code = #Procedure.</v>
      </c>
    </row>
    <row r="138" spans="16:19">
      <c r="P138" s="11">
        <v>124</v>
      </c>
      <c r="Q138" s="11">
        <f t="shared" si="8"/>
        <v>20</v>
      </c>
      <c r="R138" s="11">
        <f t="shared" si="9"/>
        <v>4</v>
      </c>
      <c r="S138" s="12" t="str" cm="1">
        <f t="array" ref="S138">INDEX('Radiotherapy-ConceptMap-1'!$I$15:$N$124,Q138+1,R138)</f>
        <v>* group[=].element[=].target.display = ##34###34#</v>
      </c>
    </row>
    <row r="139" spans="16:19">
      <c r="P139" s="11">
        <v>125</v>
      </c>
      <c r="Q139" s="11">
        <f t="shared" si="8"/>
        <v>20</v>
      </c>
      <c r="R139" s="11">
        <f t="shared" si="9"/>
        <v>5</v>
      </c>
      <c r="S139" s="12" t="str" cm="1">
        <f t="array" ref="S139">INDEX('Radiotherapy-ConceptMap-1'!$I$15:$N$124,Q139+1,R139)</f>
        <v>* group[=].element[=].target.equivalence = #equivalent</v>
      </c>
    </row>
    <row r="140" spans="16:19">
      <c r="P140" s="11">
        <v>126</v>
      </c>
      <c r="Q140" s="11">
        <f t="shared" si="8"/>
        <v>20</v>
      </c>
      <c r="R140" s="11">
        <f t="shared" si="9"/>
        <v>6</v>
      </c>
      <c r="S140" s="12" t="str" cm="1">
        <f t="array" ref="S140">INDEX('Radiotherapy-ConceptMap-1'!$I$15:$N$124,Q140+1,R140)</f>
        <v/>
      </c>
    </row>
    <row r="141" spans="16:19">
      <c r="P141" s="11">
        <v>127</v>
      </c>
      <c r="Q141" s="11">
        <f t="shared" si="8"/>
        <v>21</v>
      </c>
      <c r="R141" s="11">
        <f t="shared" si="9"/>
        <v>1</v>
      </c>
      <c r="S141" s="12" t="str" cm="1">
        <f t="array" ref="S141">INDEX('Radiotherapy-ConceptMap-1'!$I$15:$N$124,Q141+1,R141)</f>
        <v>* group[=].element[+].code = #Radiotherapy.metastaticTreatmentSites.lung</v>
      </c>
    </row>
    <row r="142" spans="16:19" ht="29.5">
      <c r="P142" s="11">
        <v>128</v>
      </c>
      <c r="Q142" s="11">
        <f t="shared" si="8"/>
        <v>21</v>
      </c>
      <c r="R142" s="11">
        <f t="shared" si="9"/>
        <v>2</v>
      </c>
      <c r="S142" s="12" t="str" cm="1">
        <f t="array" ref="S142">INDEX('Radiotherapy-ConceptMap-1'!$I$15:$N$124,Q142+1,R142)</f>
        <v>* group[=].element[=].display = ##34#Lung
##34#</v>
      </c>
    </row>
    <row r="143" spans="16:19">
      <c r="P143" s="11">
        <v>129</v>
      </c>
      <c r="Q143" s="11">
        <f t="shared" ref="Q143:Q163" si="10">IF(MOD(P143,$Q$8)=0,P143/$Q$8-1,INT(P143/$Q$8))</f>
        <v>21</v>
      </c>
      <c r="R143" s="11">
        <f t="shared" ref="R143:R163" si="11">IF(MOD(P143,$Q$8)=0,$Q$8,MOD(P143,$Q$8))</f>
        <v>3</v>
      </c>
      <c r="S143" s="12" t="str" cm="1">
        <f t="array" ref="S143">INDEX('Radiotherapy-ConceptMap-1'!$I$15:$N$124,Q143+1,R143)</f>
        <v>* group[=].element[=].target.code = #Procedure.</v>
      </c>
    </row>
    <row r="144" spans="16:19">
      <c r="P144" s="11">
        <v>130</v>
      </c>
      <c r="Q144" s="11">
        <f t="shared" si="10"/>
        <v>21</v>
      </c>
      <c r="R144" s="11">
        <f t="shared" si="11"/>
        <v>4</v>
      </c>
      <c r="S144" s="12" t="str" cm="1">
        <f t="array" ref="S144">INDEX('Radiotherapy-ConceptMap-1'!$I$15:$N$124,Q144+1,R144)</f>
        <v>* group[=].element[=].target.display = ##34###34#</v>
      </c>
    </row>
    <row r="145" spans="16:19">
      <c r="P145" s="11">
        <v>131</v>
      </c>
      <c r="Q145" s="11">
        <f t="shared" si="10"/>
        <v>21</v>
      </c>
      <c r="R145" s="11">
        <f t="shared" si="11"/>
        <v>5</v>
      </c>
      <c r="S145" s="12" t="str" cm="1">
        <f t="array" ref="S145">INDEX('Radiotherapy-ConceptMap-1'!$I$15:$N$124,Q145+1,R145)</f>
        <v>* group[=].element[=].target.equivalence = #equivalent</v>
      </c>
    </row>
    <row r="146" spans="16:19">
      <c r="P146" s="11">
        <v>132</v>
      </c>
      <c r="Q146" s="11">
        <f t="shared" si="10"/>
        <v>21</v>
      </c>
      <c r="R146" s="11">
        <f t="shared" si="11"/>
        <v>6</v>
      </c>
      <c r="S146" s="12" t="str" cm="1">
        <f t="array" ref="S146">INDEX('Radiotherapy-ConceptMap-1'!$I$15:$N$124,Q146+1,R146)</f>
        <v/>
      </c>
    </row>
    <row r="147" spans="16:19">
      <c r="P147" s="11">
        <v>133</v>
      </c>
      <c r="Q147" s="11">
        <f t="shared" si="10"/>
        <v>22</v>
      </c>
      <c r="R147" s="11">
        <f t="shared" si="11"/>
        <v>1</v>
      </c>
      <c r="S147" s="12" t="str" cm="1">
        <f t="array" ref="S147">INDEX('Radiotherapy-ConceptMap-1'!$I$15:$N$124,Q147+1,R147)</f>
        <v>* group[=].element[+].code = #Radiotherapy.metastaticTreatmentSites.mediastinum</v>
      </c>
    </row>
    <row r="148" spans="16:19" ht="29.5">
      <c r="P148" s="11">
        <v>134</v>
      </c>
      <c r="Q148" s="11">
        <f t="shared" si="10"/>
        <v>22</v>
      </c>
      <c r="R148" s="11">
        <f t="shared" si="11"/>
        <v>2</v>
      </c>
      <c r="S148" s="12" t="str" cm="1">
        <f t="array" ref="S148">INDEX('Radiotherapy-ConceptMap-1'!$I$15:$N$124,Q148+1,R148)</f>
        <v>* group[=].element[=].display = ##34#Mediastinum
##34#</v>
      </c>
    </row>
    <row r="149" spans="16:19">
      <c r="P149" s="11">
        <v>135</v>
      </c>
      <c r="Q149" s="11">
        <f t="shared" si="10"/>
        <v>22</v>
      </c>
      <c r="R149" s="11">
        <f t="shared" si="11"/>
        <v>3</v>
      </c>
      <c r="S149" s="12" t="str" cm="1">
        <f t="array" ref="S149">INDEX('Radiotherapy-ConceptMap-1'!$I$15:$N$124,Q149+1,R149)</f>
        <v>* group[=].element[=].target.code = #Procedure.</v>
      </c>
    </row>
    <row r="150" spans="16:19">
      <c r="P150" s="11">
        <v>136</v>
      </c>
      <c r="Q150" s="11">
        <f t="shared" si="10"/>
        <v>22</v>
      </c>
      <c r="R150" s="11">
        <f t="shared" si="11"/>
        <v>4</v>
      </c>
      <c r="S150" s="12" t="str" cm="1">
        <f t="array" ref="S150">INDEX('Radiotherapy-ConceptMap-1'!$I$15:$N$124,Q150+1,R150)</f>
        <v>* group[=].element[=].target.display = ##34###34#</v>
      </c>
    </row>
    <row r="151" spans="16:19">
      <c r="P151" s="11">
        <v>137</v>
      </c>
      <c r="Q151" s="11">
        <f t="shared" si="10"/>
        <v>22</v>
      </c>
      <c r="R151" s="11">
        <f t="shared" si="11"/>
        <v>5</v>
      </c>
      <c r="S151" s="12" t="str" cm="1">
        <f t="array" ref="S151">INDEX('Radiotherapy-ConceptMap-1'!$I$15:$N$124,Q151+1,R151)</f>
        <v>* group[=].element[=].target.equivalence = #equivalent</v>
      </c>
    </row>
    <row r="152" spans="16:19">
      <c r="P152" s="11">
        <v>138</v>
      </c>
      <c r="Q152" s="11">
        <f t="shared" si="10"/>
        <v>22</v>
      </c>
      <c r="R152" s="11">
        <f t="shared" si="11"/>
        <v>6</v>
      </c>
      <c r="S152" s="12" t="str" cm="1">
        <f t="array" ref="S152">INDEX('Radiotherapy-ConceptMap-1'!$I$15:$N$124,Q152+1,R152)</f>
        <v/>
      </c>
    </row>
    <row r="153" spans="16:19">
      <c r="P153" s="11">
        <v>139</v>
      </c>
      <c r="Q153" s="11">
        <f t="shared" si="10"/>
        <v>23</v>
      </c>
      <c r="R153" s="11">
        <f t="shared" si="11"/>
        <v>1</v>
      </c>
      <c r="S153" s="12" t="str" cm="1">
        <f t="array" ref="S153">INDEX('Radiotherapy-ConceptMap-1'!$I$15:$N$124,Q153+1,R153)</f>
        <v>* group[=].element[+].code = #Radiotherapy.metastaticTreatmentSites.bone</v>
      </c>
    </row>
    <row r="154" spans="16:19" ht="29.5">
      <c r="P154" s="11">
        <v>140</v>
      </c>
      <c r="Q154" s="11">
        <f t="shared" si="10"/>
        <v>23</v>
      </c>
      <c r="R154" s="11">
        <f t="shared" si="11"/>
        <v>2</v>
      </c>
      <c r="S154" s="12" t="str" cm="1">
        <f t="array" ref="S154">INDEX('Radiotherapy-ConceptMap-1'!$I$15:$N$124,Q154+1,R154)</f>
        <v>* group[=].element[=].display = ##34#Bone
##34#</v>
      </c>
    </row>
    <row r="155" spans="16:19">
      <c r="P155" s="11">
        <v>141</v>
      </c>
      <c r="Q155" s="11">
        <f t="shared" si="10"/>
        <v>23</v>
      </c>
      <c r="R155" s="11">
        <f t="shared" si="11"/>
        <v>3</v>
      </c>
      <c r="S155" s="12" t="str" cm="1">
        <f t="array" ref="S155">INDEX('Radiotherapy-ConceptMap-1'!$I$15:$N$124,Q155+1,R155)</f>
        <v>* group[=].element[=].target.code = #Procedure.</v>
      </c>
    </row>
    <row r="156" spans="16:19">
      <c r="P156" s="11">
        <v>142</v>
      </c>
      <c r="Q156" s="11">
        <f t="shared" si="10"/>
        <v>23</v>
      </c>
      <c r="R156" s="11">
        <f t="shared" si="11"/>
        <v>4</v>
      </c>
      <c r="S156" s="12" t="str" cm="1">
        <f t="array" ref="S156">INDEX('Radiotherapy-ConceptMap-1'!$I$15:$N$124,Q156+1,R156)</f>
        <v>* group[=].element[=].target.display = ##34###34#</v>
      </c>
    </row>
    <row r="157" spans="16:19">
      <c r="P157" s="11">
        <v>143</v>
      </c>
      <c r="Q157" s="11">
        <f t="shared" si="10"/>
        <v>23</v>
      </c>
      <c r="R157" s="11">
        <f t="shared" si="11"/>
        <v>5</v>
      </c>
      <c r="S157" s="12" t="str" cm="1">
        <f t="array" ref="S157">INDEX('Radiotherapy-ConceptMap-1'!$I$15:$N$124,Q157+1,R157)</f>
        <v>* group[=].element[=].target.equivalence = #equivalent</v>
      </c>
    </row>
    <row r="158" spans="16:19">
      <c r="P158" s="11">
        <v>144</v>
      </c>
      <c r="Q158" s="11">
        <f t="shared" si="10"/>
        <v>23</v>
      </c>
      <c r="R158" s="11">
        <f t="shared" si="11"/>
        <v>6</v>
      </c>
      <c r="S158" s="12" t="str" cm="1">
        <f t="array" ref="S158">INDEX('Radiotherapy-ConceptMap-1'!$I$15:$N$124,Q158+1,R158)</f>
        <v/>
      </c>
    </row>
    <row r="159" spans="16:19">
      <c r="P159" s="11">
        <v>145</v>
      </c>
      <c r="Q159" s="11">
        <f t="shared" si="10"/>
        <v>24</v>
      </c>
      <c r="R159" s="11">
        <f t="shared" si="11"/>
        <v>1</v>
      </c>
      <c r="S159" s="12" cm="1">
        <f t="array" ref="S159">INDEX('Radiotherapy-ConceptMap-1'!$I$15:$N$124,Q159+1,R159)</f>
        <v>0</v>
      </c>
    </row>
    <row r="160" spans="16:19">
      <c r="P160" s="11">
        <v>146</v>
      </c>
      <c r="Q160" s="11">
        <f t="shared" si="10"/>
        <v>24</v>
      </c>
      <c r="R160" s="11">
        <f t="shared" si="11"/>
        <v>2</v>
      </c>
      <c r="S160" s="12" cm="1">
        <f t="array" ref="S160">INDEX('Radiotherapy-ConceptMap-1'!$I$15:$N$124,Q160+1,R160)</f>
        <v>0</v>
      </c>
    </row>
    <row r="161" spans="16:19">
      <c r="P161" s="11">
        <v>147</v>
      </c>
      <c r="Q161" s="11">
        <f t="shared" si="10"/>
        <v>24</v>
      </c>
      <c r="R161" s="11">
        <f t="shared" si="11"/>
        <v>3</v>
      </c>
      <c r="S161" s="12" cm="1">
        <f t="array" ref="S161">INDEX('Radiotherapy-ConceptMap-1'!$I$15:$N$124,Q161+1,R161)</f>
        <v>0</v>
      </c>
    </row>
    <row r="162" spans="16:19">
      <c r="P162" s="11">
        <v>148</v>
      </c>
      <c r="Q162" s="11">
        <f t="shared" si="10"/>
        <v>24</v>
      </c>
      <c r="R162" s="11">
        <f t="shared" si="11"/>
        <v>4</v>
      </c>
      <c r="S162" s="12" cm="1">
        <f t="array" ref="S162">INDEX('Radiotherapy-ConceptMap-1'!$I$15:$N$124,Q162+1,R162)</f>
        <v>0</v>
      </c>
    </row>
    <row r="163" spans="16:19">
      <c r="P163" s="11">
        <v>149</v>
      </c>
      <c r="Q163" s="11">
        <f t="shared" si="10"/>
        <v>24</v>
      </c>
      <c r="R163" s="11">
        <f t="shared" si="11"/>
        <v>5</v>
      </c>
      <c r="S163" s="12" cm="1">
        <f t="array" ref="S163">INDEX('Radiotherapy-ConceptMap-1'!$I$15:$N$124,Q163+1,R163)</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xr:uid="{960DE57C-1551-444E-84BD-E01106E9CF17}"/>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66"/>
  <sheetViews>
    <sheetView workbookViewId="0">
      <selection activeCell="G2" sqref="G2"/>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2316</v>
      </c>
    </row>
    <row r="3" spans="2:7">
      <c r="B3" s="24" t="s">
        <v>20</v>
      </c>
    </row>
    <row r="4" spans="2:7">
      <c r="B4" s="65" t="str">
        <f>"Instance: "&amp;'Radiotherapy-ConceptMap-1'!C4</f>
        <v>Instance: radiotherapy2FHIR</v>
      </c>
    </row>
    <row r="5" spans="2:7">
      <c r="B5" s="65" t="s">
        <v>1447</v>
      </c>
    </row>
    <row r="6" spans="2:7">
      <c r="B6" s="65" t="s">
        <v>1438</v>
      </c>
    </row>
    <row r="7" spans="2:7">
      <c r="B7" s="65" t="s">
        <v>1798</v>
      </c>
    </row>
    <row r="8" spans="2:7">
      <c r="B8" s="65" t="str">
        <f>"* name = ##34#"&amp;'Radiotherapy-ConceptMap-1'!C3&amp;"##34#"</f>
        <v>* name = ##34#radiotherapy2FHIR##34#</v>
      </c>
    </row>
    <row r="9" spans="2:7">
      <c r="B9" s="65" t="str">
        <f>"* title = ##34#"&amp;'Radiotherapy-ConceptMap-1'!C5&amp;"##34#"</f>
        <v>* title = ##34#Radiotherapy Model to this guide Map##34#</v>
      </c>
    </row>
    <row r="10" spans="2:7">
      <c r="B10" s="65" t="s">
        <v>1439</v>
      </c>
    </row>
    <row r="11" spans="2:7">
      <c r="B11" s="65" t="s">
        <v>1440</v>
      </c>
    </row>
    <row r="12" spans="2:7">
      <c r="B12" s="65" t="str">
        <f>"* description = ##34#"&amp;'Radiotherapy-ConceptMap-1'!C8&amp;"##34#"</f>
        <v>* description = ##34#Radiotherapy Model to this guide Map##34#</v>
      </c>
    </row>
    <row r="13" spans="2:7">
      <c r="B13" s="65" t="str">
        <f>"* purpose = ##34#"&amp;'Radiotherapy-ConceptMap-1'!C9&amp;"##34#"</f>
        <v>* purpose = ##34#It shows how the Radiotherapy model is mapped into this guide##34#</v>
      </c>
    </row>
    <row r="14" spans="2:7">
      <c r="B14" s="69" t="str">
        <f>"* sourceUri = ##34#"&amp;'Radiotherapy-ConceptMap-1'!E3&amp;"##34#"</f>
        <v>* sourceUri = ##34#http://hl7.eu/fhir/ig/idea4rc/StructureDefinition/Radiotherapy##34#</v>
      </c>
    </row>
    <row r="15" spans="2:7">
      <c r="B15" s="69" t="str">
        <f>"* targetUri = ##34#"&amp;'Radiotherapy-ConceptMap-1'!E4&amp;"##34#"</f>
        <v>* targetUri = ##34#http://hl7.eu/fhir/ig/idea4rc/StructureDefinition/Procedure-radiotheraphy-eu-pcsp##34#</v>
      </c>
    </row>
    <row r="16" spans="2:7">
      <c r="B16" s="68" t="str">
        <f>"* group[+].source = ##34#"&amp;'Radiotherapy-ConceptMap-1'!E6&amp;"##34#"</f>
        <v>* group[+].source = ##34#http://hl7.eu/fhir/ig/idea4rc/StructureDefinition/Radiotherapy##34#</v>
      </c>
    </row>
    <row r="17" spans="2:7">
      <c r="B17" s="68" t="str">
        <f>"* group[=].target = ##34#"&amp;'Radiotherapy-ConceptMap-1'!E7&amp;"##34#"</f>
        <v>* group[=].target = ##34#http://hl7.eu/fhir/ig/idea4rc/StructureDefinition/Procedure-radiotheraphy-eu-pcsp##34#</v>
      </c>
    </row>
    <row r="18" spans="2:7">
      <c r="B18" s="122"/>
    </row>
    <row r="19" spans="2:7">
      <c r="B19" s="12" t="str">
        <f>IF('Radiotherapy-ConceptMap-1'!S15=0,"//---END",'Radiotherapy-ConceptMap-1'!S15)</f>
        <v>* group[=].element[+].code = #Radiotherapy.episodeEventReference</v>
      </c>
    </row>
    <row r="20" spans="2:7">
      <c r="B20" s="12" t="str">
        <f>IF('Radiotherapy-ConceptMap-1'!S16=0,"//---END",'Radiotherapy-ConceptMap-1'!S16)</f>
        <v>* group[=].element[=].display = ##34#Episode Event reference##34#</v>
      </c>
    </row>
    <row r="21" spans="2:7">
      <c r="B21" s="12" t="str">
        <f>IF('Radiotherapy-ConceptMap-1'!S17=0,"//---END",'Radiotherapy-ConceptMap-1'!S17)</f>
        <v>* group[=].element[=].target.code = #Procedure.reasonReference</v>
      </c>
    </row>
    <row r="22" spans="2:7">
      <c r="B22" s="12" t="str">
        <f>IF('Radiotherapy-ConceptMap-1'!S18=0,"//---END",'Radiotherapy-ConceptMap-1'!S18)</f>
        <v>* group[=].element[=].target.display = ##34###34#</v>
      </c>
    </row>
    <row r="23" spans="2:7">
      <c r="B23" s="12" t="str">
        <f>IF('Radiotherapy-ConceptMap-1'!S19=0,"//---END",'Radiotherapy-ConceptMap-1'!S19)</f>
        <v>* group[=].element[=].target.equivalence = #relatedto</v>
      </c>
    </row>
    <row r="24" spans="2:7">
      <c r="B24" s="12" t="str">
        <f>IF('Radiotherapy-ConceptMap-1'!S20=0,"//---END",'Radiotherapy-ConceptMap-1'!S20)</f>
        <v/>
      </c>
      <c r="G24" s="7"/>
    </row>
    <row r="25" spans="2:7">
      <c r="B25" s="12" t="str">
        <f>IF('Radiotherapy-ConceptMap-1'!S21=0,"//---END",'Radiotherapy-ConceptMap-1'!S21)</f>
        <v>* group[=].element[+].code = #Radiotherapy.radiotherapy</v>
      </c>
    </row>
    <row r="26" spans="2:7">
      <c r="B26" s="12" t="str">
        <f>IF('Radiotherapy-ConceptMap-1'!S22=0,"//---END",'Radiotherapy-ConceptMap-1'!S22)</f>
        <v>* group[=].element[=].display = ##34#Radiotherapy##34#</v>
      </c>
    </row>
    <row r="27" spans="2:7">
      <c r="B27" s="12" t="str">
        <f>IF('Radiotherapy-ConceptMap-1'!S23=0,"//---END",'Radiotherapy-ConceptMap-1'!S23)</f>
        <v>* group[=].element[=].target.code = #Procedure.extension:ProcedureCategoryR5</v>
      </c>
    </row>
    <row r="28" spans="2:7">
      <c r="B28" s="12" t="str">
        <f>IF('Radiotherapy-ConceptMap-1'!S24=0,"//---END",'Radiotherapy-ConceptMap-1'!S24)</f>
        <v>* group[=].element[=].target.display = ##34###34#</v>
      </c>
    </row>
    <row r="29" spans="2:7">
      <c r="B29" s="12" t="str">
        <f>IF('Radiotherapy-ConceptMap-1'!S25=0,"//---END",'Radiotherapy-ConceptMap-1'!S25)</f>
        <v>* group[=].element[=].target.equivalence = #relatedto</v>
      </c>
    </row>
    <row r="30" spans="2:7">
      <c r="B30" s="12" t="str">
        <f>IF('Radiotherapy-ConceptMap-1'!S26=0,"//---END",'Radiotherapy-ConceptMap-1'!S26)</f>
        <v>* group[=].element[=].target.comment = ##34#to be analyzed: derive this from a combination of elements or use other cathegories (R5 extension)##34#</v>
      </c>
    </row>
    <row r="31" spans="2:7">
      <c r="B31" s="12" t="str">
        <f>IF('Radiotherapy-ConceptMap-1'!S27=0,"//---END",'Radiotherapy-ConceptMap-1'!S27)</f>
        <v>* group[=].element[+].code = #Radiotherapy.intent</v>
      </c>
    </row>
    <row r="32" spans="2:7">
      <c r="B32" s="12" t="str">
        <f>IF('Radiotherapy-ConceptMap-1'!S28=0,"//---END",'Radiotherapy-ConceptMap-1'!S28)</f>
        <v>* group[=].element[=].display = ##34#Intent##34#</v>
      </c>
    </row>
    <row r="33" spans="2:2">
      <c r="B33" s="12" t="str">
        <f>IF('Radiotherapy-ConceptMap-1'!S29=0,"//---END",'Radiotherapy-ConceptMap-1'!S29)</f>
        <v>* group[=].element[=].target.code = #Procedure.code</v>
      </c>
    </row>
    <row r="34" spans="2:2">
      <c r="B34" s="12" t="str">
        <f>IF('Radiotherapy-ConceptMap-1'!S30=0,"//---END",'Radiotherapy-ConceptMap-1'!S30)</f>
        <v>* group[=].element[=].target.display = ##34###34#</v>
      </c>
    </row>
    <row r="35" spans="2:2">
      <c r="B35" s="12" t="str">
        <f>IF('Radiotherapy-ConceptMap-1'!S31=0,"//---END",'Radiotherapy-ConceptMap-1'!S31)</f>
        <v>* group[=].element[=].target.equivalence = #relatedto</v>
      </c>
    </row>
    <row r="36" spans="2:2" ht="29.5">
      <c r="B36" s="12" t="str">
        <f>IF('Radiotherapy-ConceptMap-1'!S32=0,"//---END",'Radiotherapy-ConceptMap-1'!S32)</f>
        <v>* group[=].element[=].target.comment = ##34#to be analized: add a slice to code or consider to define an extension for this (or cathegories (R5 extension)) ?##34#</v>
      </c>
    </row>
    <row r="37" spans="2:2">
      <c r="B37" s="12" t="str">
        <f>IF('Radiotherapy-ConceptMap-1'!S33=0,"//---END",'Radiotherapy-ConceptMap-1'!S33)</f>
        <v>* group[=].element[+].code = #Radiotherapy.setting</v>
      </c>
    </row>
    <row r="38" spans="2:2">
      <c r="B38" s="12" t="str">
        <f>IF('Radiotherapy-ConceptMap-1'!S34=0,"//---END",'Radiotherapy-ConceptMap-1'!S34)</f>
        <v>* group[=].element[=].display = ##34#Setting##34#</v>
      </c>
    </row>
    <row r="39" spans="2:2">
      <c r="B39" s="12" t="str">
        <f>IF('Radiotherapy-ConceptMap-1'!S35=0,"//---END",'Radiotherapy-ConceptMap-1'!S35)</f>
        <v>* group[=].element[=].target.code = #Procedure.extension:ProcedureCategoryR5</v>
      </c>
    </row>
    <row r="40" spans="2:2">
      <c r="B40" s="12" t="str">
        <f>IF('Radiotherapy-ConceptMap-1'!S36=0,"//---END",'Radiotherapy-ConceptMap-1'!S36)</f>
        <v>* group[=].element[=].target.display = ##34###34#</v>
      </c>
    </row>
    <row r="41" spans="2:2">
      <c r="B41" s="12" t="str">
        <f>IF('Radiotherapy-ConceptMap-1'!S37=0,"//---END",'Radiotherapy-ConceptMap-1'!S37)</f>
        <v>* group[=].element[=].target.equivalence = #relatedto</v>
      </c>
    </row>
    <row r="42" spans="2:2">
      <c r="B42" s="12" t="str">
        <f>IF('Radiotherapy-ConceptMap-1'!S38=0,"//---END",'Radiotherapy-ConceptMap-1'!S38)</f>
        <v>* group[=].element[=].target.comment = ##34#to be analyzed: derive this from a combination of elements or use other cathegories (R5 extension)##34#</v>
      </c>
    </row>
    <row r="43" spans="2:2">
      <c r="B43" s="12" t="str">
        <f>IF('Radiotherapy-ConceptMap-1'!S39=0,"//---END",'Radiotherapy-ConceptMap-1'!S39)</f>
        <v>* group[=].element[+].code = #Radiotherapy.beamQuality</v>
      </c>
    </row>
    <row r="44" spans="2:2">
      <c r="B44" s="12" t="str">
        <f>IF('Radiotherapy-ConceptMap-1'!S40=0,"//---END",'Radiotherapy-ConceptMap-1'!S40)</f>
        <v>* group[=].element[=].display = ##34#Beam quality##34#</v>
      </c>
    </row>
    <row r="45" spans="2:2">
      <c r="B45" s="12" t="str">
        <f>IF('Radiotherapy-ConceptMap-1'!S41=0,"//---END",'Radiotherapy-ConceptMap-1'!S41)</f>
        <v>* group[=].element[=].target.code = #Procedure.code</v>
      </c>
    </row>
    <row r="46" spans="2:2">
      <c r="B46" s="12" t="str">
        <f>IF('Radiotherapy-ConceptMap-1'!S42=0,"//---END",'Radiotherapy-ConceptMap-1'!S42)</f>
        <v>* group[=].element[=].target.display = ##34###34#</v>
      </c>
    </row>
    <row r="47" spans="2:2">
      <c r="B47" s="12" t="str">
        <f>IF('Radiotherapy-ConceptMap-1'!S43=0,"//---END",'Radiotherapy-ConceptMap-1'!S43)</f>
        <v>* group[=].element[=].target.equivalence = #relatedto</v>
      </c>
    </row>
    <row r="48" spans="2:2">
      <c r="B48" s="12" t="str">
        <f>IF('Radiotherapy-ConceptMap-1'!S44=0,"//---END",'Radiotherapy-ConceptMap-1'!S44)</f>
        <v/>
      </c>
    </row>
    <row r="49" spans="2:2">
      <c r="B49" s="12" t="str">
        <f>IF('Radiotherapy-ConceptMap-1'!S45=0,"//---END",'Radiotherapy-ConceptMap-1'!S45)</f>
        <v>* group[=].element[+].code = #Radiotherapy.otherSpecify</v>
      </c>
    </row>
    <row r="50" spans="2:2">
      <c r="B50" s="12" t="str">
        <f>IF('Radiotherapy-ConceptMap-1'!S46=0,"//---END",'Radiotherapy-ConceptMap-1'!S46)</f>
        <v>* group[=].element[=].display = ##34#Other; specify##34#</v>
      </c>
    </row>
    <row r="51" spans="2:2">
      <c r="B51" s="12" t="str">
        <f>IF('Radiotherapy-ConceptMap-1'!S47=0,"//---END",'Radiotherapy-ConceptMap-1'!S47)</f>
        <v>* group[=].element[=].target.code = #Procedure.</v>
      </c>
    </row>
    <row r="52" spans="2:2">
      <c r="B52" s="12" t="str">
        <f>IF('Radiotherapy-ConceptMap-1'!S48=0,"//---END",'Radiotherapy-ConceptMap-1'!S48)</f>
        <v>* group[=].element[=].target.display = ##34###34#</v>
      </c>
    </row>
    <row r="53" spans="2:2">
      <c r="B53" s="12" t="str">
        <f>IF('Radiotherapy-ConceptMap-1'!S49=0,"//---END",'Radiotherapy-ConceptMap-1'!S49)</f>
        <v>* group[=].element[=].target.equivalence = #relatedto</v>
      </c>
    </row>
    <row r="54" spans="2:2">
      <c r="B54" s="12" t="str">
        <f>IF('Radiotherapy-ConceptMap-1'!S50=0,"//---END",'Radiotherapy-ConceptMap-1'!S50)</f>
        <v/>
      </c>
    </row>
    <row r="55" spans="2:2">
      <c r="B55" s="12" t="str">
        <f>IF('Radiotherapy-ConceptMap-1'!S51=0,"//---END",'Radiotherapy-ConceptMap-1'!S51)</f>
        <v>* group[=].element[+].code = #Radiotherapy.treatmentTechnique</v>
      </c>
    </row>
    <row r="56" spans="2:2">
      <c r="B56" s="12" t="str">
        <f>IF('Radiotherapy-ConceptMap-1'!S52=0,"//---END",'Radiotherapy-ConceptMap-1'!S52)</f>
        <v>* group[=].element[=].display = ##34#Treatment technique##34#</v>
      </c>
    </row>
    <row r="57" spans="2:2">
      <c r="B57" s="12" t="str">
        <f>IF('Radiotherapy-ConceptMap-1'!S53=0,"//---END",'Radiotherapy-ConceptMap-1'!S53)</f>
        <v>* group[=].element[=].target.code = #Procedure.</v>
      </c>
    </row>
    <row r="58" spans="2:2">
      <c r="B58" s="12" t="str">
        <f>IF('Radiotherapy-ConceptMap-1'!S54=0,"//---END",'Radiotherapy-ConceptMap-1'!S54)</f>
        <v>* group[=].element[=].target.display = ##34###34#</v>
      </c>
    </row>
    <row r="59" spans="2:2">
      <c r="B59" s="12" t="str">
        <f>IF('Radiotherapy-ConceptMap-1'!S55=0,"//---END",'Radiotherapy-ConceptMap-1'!S55)</f>
        <v>* group[=].element[=].target.equivalence = #relatedto</v>
      </c>
    </row>
    <row r="60" spans="2:2">
      <c r="B60" s="12" t="str">
        <f>IF('Radiotherapy-ConceptMap-1'!S56=0,"//---END",'Radiotherapy-ConceptMap-1'!S56)</f>
        <v/>
      </c>
    </row>
    <row r="61" spans="2:2">
      <c r="B61" s="12" t="str">
        <f>IF('Radiotherapy-ConceptMap-1'!S57=0,"//---END",'Radiotherapy-ConceptMap-1'!S57)</f>
        <v>* group[=].element[+].code = #Radiotherapy.totalDoseTdGy</v>
      </c>
    </row>
    <row r="62" spans="2:2">
      <c r="B62" s="12" t="str">
        <f>IF('Radiotherapy-ConceptMap-1'!S58=0,"//---END",'Radiotherapy-ConceptMap-1'!S58)</f>
        <v>* group[=].element[=].display = ##34#Total Dose (TD) Gy##34#</v>
      </c>
    </row>
    <row r="63" spans="2:2">
      <c r="B63" s="12" t="str">
        <f>IF('Radiotherapy-ConceptMap-1'!S59=0,"//---END",'Radiotherapy-ConceptMap-1'!S59)</f>
        <v>* group[=].element[=].target.code = #Procedure.</v>
      </c>
    </row>
    <row r="64" spans="2:2">
      <c r="B64" s="12" t="str">
        <f>IF('Radiotherapy-ConceptMap-1'!S60=0,"//---END",'Radiotherapy-ConceptMap-1'!S60)</f>
        <v>* group[=].element[=].target.display = ##34###34#</v>
      </c>
    </row>
    <row r="65" spans="2:2">
      <c r="B65" s="12" t="str">
        <f>IF('Radiotherapy-ConceptMap-1'!S61=0,"//---END",'Radiotherapy-ConceptMap-1'!S61)</f>
        <v>* group[=].element[=].target.equivalence = #relatedto</v>
      </c>
    </row>
    <row r="66" spans="2:2">
      <c r="B66" s="12" t="str">
        <f>IF('Radiotherapy-ConceptMap-1'!S62=0,"//---END",'Radiotherapy-ConceptMap-1'!S62)</f>
        <v/>
      </c>
    </row>
    <row r="67" spans="2:2">
      <c r="B67" s="12" t="str">
        <f>IF('Radiotherapy-ConceptMap-1'!S63=0,"//---END",'Radiotherapy-ConceptMap-1'!S63)</f>
        <v>* group[=].element[+].code = #Radiotherapy.fractionSizeFs</v>
      </c>
    </row>
    <row r="68" spans="2:2">
      <c r="B68" s="12" t="str">
        <f>IF('Radiotherapy-ConceptMap-1'!S64=0,"//---END",'Radiotherapy-ConceptMap-1'!S64)</f>
        <v>* group[=].element[=].display = ##34#Fraction Size (FS)##34#</v>
      </c>
    </row>
    <row r="69" spans="2:2">
      <c r="B69" s="12" t="str">
        <f>IF('Radiotherapy-ConceptMap-1'!S65=0,"//---END",'Radiotherapy-ConceptMap-1'!S65)</f>
        <v>* group[=].element[=].target.code = #Procedure.</v>
      </c>
    </row>
    <row r="70" spans="2:2">
      <c r="B70" s="12" t="str">
        <f>IF('Radiotherapy-ConceptMap-1'!S66=0,"//---END",'Radiotherapy-ConceptMap-1'!S66)</f>
        <v>* group[=].element[=].target.display = ##34###34#</v>
      </c>
    </row>
    <row r="71" spans="2:2">
      <c r="B71" s="12" t="str">
        <f>IF('Radiotherapy-ConceptMap-1'!S67=0,"//---END",'Radiotherapy-ConceptMap-1'!S67)</f>
        <v>* group[=].element[=].target.equivalence = #equal</v>
      </c>
    </row>
    <row r="72" spans="2:2">
      <c r="B72" s="12" t="str">
        <f>IF('Radiotherapy-ConceptMap-1'!S68=0,"//---END",'Radiotherapy-ConceptMap-1'!S68)</f>
        <v/>
      </c>
    </row>
    <row r="73" spans="2:2">
      <c r="B73" s="12" t="str">
        <f>IF('Radiotherapy-ConceptMap-1'!S69=0,"//---END",'Radiotherapy-ConceptMap-1'!S69)</f>
        <v>* group[=].element[+].code = #Radiotherapy.numberOfFractions</v>
      </c>
    </row>
    <row r="74" spans="2:2">
      <c r="B74" s="12" t="str">
        <f>IF('Radiotherapy-ConceptMap-1'!S70=0,"//---END",'Radiotherapy-ConceptMap-1'!S70)</f>
        <v>* group[=].element[=].display = ##34#Number of fractions##34#</v>
      </c>
    </row>
    <row r="75" spans="2:2">
      <c r="B75" s="12" t="str">
        <f>IF('Radiotherapy-ConceptMap-1'!S71=0,"//---END",'Radiotherapy-ConceptMap-1'!S71)</f>
        <v>* group[=].element[=].target.code = #Procedure.</v>
      </c>
    </row>
    <row r="76" spans="2:2">
      <c r="B76" s="12" t="str">
        <f>IF('Radiotherapy-ConceptMap-1'!S72=0,"//---END",'Radiotherapy-ConceptMap-1'!S72)</f>
        <v>* group[=].element[=].target.display = ##34###34#</v>
      </c>
    </row>
    <row r="77" spans="2:2">
      <c r="B77" s="12" t="str">
        <f>IF('Radiotherapy-ConceptMap-1'!S73=0,"//---END",'Radiotherapy-ConceptMap-1'!S73)</f>
        <v>* group[=].element[=].target.equivalence = #relatedto</v>
      </c>
    </row>
    <row r="78" spans="2:2">
      <c r="B78" s="12" t="str">
        <f>IF('Radiotherapy-ConceptMap-1'!S74=0,"//---END",'Radiotherapy-ConceptMap-1'!S74)</f>
        <v/>
      </c>
    </row>
    <row r="79" spans="2:2">
      <c r="B79" s="12" t="str">
        <f>IF('Radiotherapy-ConceptMap-1'!S75=0,"//---END",'Radiotherapy-ConceptMap-1'!S75)</f>
        <v>* group[=].element[+].code = #Radiotherapy.adaptiveRt</v>
      </c>
    </row>
    <row r="80" spans="2:2">
      <c r="B80" s="12" t="str">
        <f>IF('Radiotherapy-ConceptMap-1'!S76=0,"//---END",'Radiotherapy-ConceptMap-1'!S76)</f>
        <v>* group[=].element[=].display = ##34#Adaptive RT##34#</v>
      </c>
    </row>
    <row r="81" spans="2:2">
      <c r="B81" s="12" t="str">
        <f>IF('Radiotherapy-ConceptMap-1'!S77=0,"//---END",'Radiotherapy-ConceptMap-1'!S77)</f>
        <v>* group[=].element[=].target.code = #Procedure.</v>
      </c>
    </row>
    <row r="82" spans="2:2">
      <c r="B82" s="12" t="str">
        <f>IF('Radiotherapy-ConceptMap-1'!S78=0,"//---END",'Radiotherapy-ConceptMap-1'!S78)</f>
        <v>* group[=].element[=].target.display = ##34###34#</v>
      </c>
    </row>
    <row r="83" spans="2:2">
      <c r="B83" s="12" t="str">
        <f>IF('Radiotherapy-ConceptMap-1'!S79=0,"//---END",'Radiotherapy-ConceptMap-1'!S79)</f>
        <v>* group[=].element[=].target.equivalence = #relatedto</v>
      </c>
    </row>
    <row r="84" spans="2:2">
      <c r="B84" s="12" t="str">
        <f>IF('Radiotherapy-ConceptMap-1'!S80=0,"//---END",'Radiotherapy-ConceptMap-1'!S80)</f>
        <v/>
      </c>
    </row>
    <row r="85" spans="2:2">
      <c r="B85" s="12" t="str">
        <f>IF('Radiotherapy-ConceptMap-1'!S81=0,"//---END",'Radiotherapy-ConceptMap-1'!S81)</f>
        <v>* group[=].element[+].code = #Radiotherapy.igrtImageGuideRadiotherapy</v>
      </c>
    </row>
    <row r="86" spans="2:2">
      <c r="B86" s="12" t="str">
        <f>IF('Radiotherapy-ConceptMap-1'!S82=0,"//---END",'Radiotherapy-ConceptMap-1'!S82)</f>
        <v>* group[=].element[=].display = ##34#IGRT  (image guide radiotherapy)##34#</v>
      </c>
    </row>
    <row r="87" spans="2:2">
      <c r="B87" s="12" t="str">
        <f>IF('Radiotherapy-ConceptMap-1'!S83=0,"//---END",'Radiotherapy-ConceptMap-1'!S83)</f>
        <v>* group[=].element[=].target.code = #Procedure.</v>
      </c>
    </row>
    <row r="88" spans="2:2">
      <c r="B88" s="12" t="str">
        <f>IF('Radiotherapy-ConceptMap-1'!S84=0,"//---END",'Radiotherapy-ConceptMap-1'!S84)</f>
        <v>* group[=].element[=].target.display = ##34###34#</v>
      </c>
    </row>
    <row r="89" spans="2:2">
      <c r="B89" s="12" t="str">
        <f>IF('Radiotherapy-ConceptMap-1'!S85=0,"//---END",'Radiotherapy-ConceptMap-1'!S85)</f>
        <v>* group[=].element[=].target.equivalence = #relatedto</v>
      </c>
    </row>
    <row r="90" spans="2:2">
      <c r="B90" s="12" t="str">
        <f>IF('Radiotherapy-ConceptMap-1'!S86=0,"//---END",'Radiotherapy-ConceptMap-1'!S86)</f>
        <v/>
      </c>
    </row>
    <row r="91" spans="2:2">
      <c r="B91" s="12" t="str">
        <f>IF('Radiotherapy-ConceptMap-1'!S87=0,"//---END",'Radiotherapy-ConceptMap-1'!S87)</f>
        <v>* group[=].element[+].code = #Radiotherapy.startDate</v>
      </c>
    </row>
    <row r="92" spans="2:2">
      <c r="B92" s="12" t="str">
        <f>IF('Radiotherapy-ConceptMap-1'!S88=0,"//---END",'Radiotherapy-ConceptMap-1'!S88)</f>
        <v>* group[=].element[=].display = ##34#Start date##34#</v>
      </c>
    </row>
    <row r="93" spans="2:2">
      <c r="B93" s="12" t="str">
        <f>IF('Radiotherapy-ConceptMap-1'!S89=0,"//---END",'Radiotherapy-ConceptMap-1'!S89)</f>
        <v>* group[=].element[=].target.code = #Procedure.</v>
      </c>
    </row>
    <row r="94" spans="2:2">
      <c r="B94" s="12" t="str">
        <f>IF('Radiotherapy-ConceptMap-1'!S90=0,"//---END",'Radiotherapy-ConceptMap-1'!S90)</f>
        <v>* group[=].element[=].target.display = ##34###34#</v>
      </c>
    </row>
    <row r="95" spans="2:2">
      <c r="B95" s="12" t="str">
        <f>IF('Radiotherapy-ConceptMap-1'!S91=0,"//---END",'Radiotherapy-ConceptMap-1'!S91)</f>
        <v>* group[=].element[=].target.equivalence = #equivalent</v>
      </c>
    </row>
    <row r="96" spans="2:2">
      <c r="B96" s="12" t="str">
        <f>IF('Radiotherapy-ConceptMap-1'!S92=0,"//---END",'Radiotherapy-ConceptMap-1'!S92)</f>
        <v/>
      </c>
    </row>
    <row r="97" spans="2:2">
      <c r="B97" s="12" t="str">
        <f>IF('Radiotherapy-ConceptMap-1'!S93=0,"//---END",'Radiotherapy-ConceptMap-1'!S93)</f>
        <v>* group[=].element[+].code = #Radiotherapy.endDate</v>
      </c>
    </row>
    <row r="98" spans="2:2">
      <c r="B98" s="12" t="str">
        <f>IF('Radiotherapy-ConceptMap-1'!S94=0,"//---END",'Radiotherapy-ConceptMap-1'!S94)</f>
        <v>* group[=].element[=].display = ##34#End  date##34#</v>
      </c>
    </row>
    <row r="99" spans="2:2">
      <c r="B99" s="12" t="str">
        <f>IF('Radiotherapy-ConceptMap-1'!S95=0,"//---END",'Radiotherapy-ConceptMap-1'!S95)</f>
        <v>* group[=].element[=].target.code = #Procedure.</v>
      </c>
    </row>
    <row r="100" spans="2:2">
      <c r="B100" s="12" t="str">
        <f>IF('Radiotherapy-ConceptMap-1'!S96=0,"//---END",'Radiotherapy-ConceptMap-1'!S96)</f>
        <v>* group[=].element[=].target.display = ##34###34#</v>
      </c>
    </row>
    <row r="101" spans="2:2">
      <c r="B101" s="12" t="str">
        <f>IF('Radiotherapy-ConceptMap-1'!S97=0,"//---END",'Radiotherapy-ConceptMap-1'!S97)</f>
        <v>* group[=].element[=].target.equivalence = #equivalent</v>
      </c>
    </row>
    <row r="102" spans="2:2">
      <c r="B102" s="12" t="str">
        <f>IF('Radiotherapy-ConceptMap-1'!S98=0,"//---END",'Radiotherapy-ConceptMap-1'!S98)</f>
        <v/>
      </c>
    </row>
    <row r="103" spans="2:2">
      <c r="B103" s="12" t="str">
        <f>IF('Radiotherapy-ConceptMap-1'!S99=0,"//---END",'Radiotherapy-ConceptMap-1'!S99)</f>
        <v>* group[=].element[+].code = #Radiotherapy.treatmentSites</v>
      </c>
    </row>
    <row r="104" spans="2:2">
      <c r="B104" s="12" t="str">
        <f>IF('Radiotherapy-ConceptMap-1'!S100=0,"//---END",'Radiotherapy-ConceptMap-1'!S100)</f>
        <v>* group[=].element[=].display = ##34#Treatment Sites:##34#</v>
      </c>
    </row>
    <row r="105" spans="2:2">
      <c r="B105" s="12" t="str">
        <f>IF('Radiotherapy-ConceptMap-1'!S101=0,"//---END",'Radiotherapy-ConceptMap-1'!S101)</f>
        <v>* group[=].element[=].target.code = #Procedure.</v>
      </c>
    </row>
    <row r="106" spans="2:2">
      <c r="B106" s="12" t="str">
        <f>IF('Radiotherapy-ConceptMap-1'!S102=0,"//---END",'Radiotherapy-ConceptMap-1'!S102)</f>
        <v>* group[=].element[=].target.display = ##34###34#</v>
      </c>
    </row>
    <row r="107" spans="2:2">
      <c r="B107" s="12" t="str">
        <f>IF('Radiotherapy-ConceptMap-1'!S103=0,"//---END",'Radiotherapy-ConceptMap-1'!S103)</f>
        <v>* group[=].element[=].target.equivalence = #equivalent</v>
      </c>
    </row>
    <row r="108" spans="2:2">
      <c r="B108" s="12" t="str">
        <f>IF('Radiotherapy-ConceptMap-1'!S104=0,"//---END",'Radiotherapy-ConceptMap-1'!S104)</f>
        <v/>
      </c>
    </row>
    <row r="109" spans="2:2">
      <c r="B109" s="12" t="str">
        <f>IF('Radiotherapy-ConceptMap-1'!S105=0,"//---END",'Radiotherapy-ConceptMap-1'!S105)</f>
        <v>* group[=].element[+].code = #Radiotherapy.treatmentSites.primary</v>
      </c>
    </row>
    <row r="110" spans="2:2">
      <c r="B110" s="12" t="str">
        <f>IF('Radiotherapy-ConceptMap-1'!S106=0,"//---END",'Radiotherapy-ConceptMap-1'!S106)</f>
        <v>* group[=].element[=].display = ##34#Primary##34#</v>
      </c>
    </row>
    <row r="111" spans="2:2">
      <c r="B111" s="12" t="str">
        <f>IF('Radiotherapy-ConceptMap-1'!S107=0,"//---END",'Radiotherapy-ConceptMap-1'!S107)</f>
        <v>* group[=].element[=].target.code = #Procedure.</v>
      </c>
    </row>
    <row r="112" spans="2:2">
      <c r="B112" s="12" t="str">
        <f>IF('Radiotherapy-ConceptMap-1'!S108=0,"//---END",'Radiotherapy-ConceptMap-1'!S108)</f>
        <v>* group[=].element[=].target.display = ##34###34#</v>
      </c>
    </row>
    <row r="113" spans="2:2">
      <c r="B113" s="12" t="str">
        <f>IF('Radiotherapy-ConceptMap-1'!S109=0,"//---END",'Radiotherapy-ConceptMap-1'!S109)</f>
        <v>* group[=].element[=].target.equivalence = #equivalent</v>
      </c>
    </row>
    <row r="114" spans="2:2">
      <c r="B114" s="12" t="str">
        <f>IF('Radiotherapy-ConceptMap-1'!S110=0,"//---END",'Radiotherapy-ConceptMap-1'!S110)</f>
        <v/>
      </c>
    </row>
    <row r="115" spans="2:2">
      <c r="B115" s="12" t="str">
        <f>IF('Radiotherapy-ConceptMap-1'!S111=0,"//---END",'Radiotherapy-ConceptMap-1'!S111)</f>
        <v>* group[=].element[+].code = #Radiotherapy.treatmentSites.neck</v>
      </c>
    </row>
    <row r="116" spans="2:2">
      <c r="B116" s="12" t="str">
        <f>IF('Radiotherapy-ConceptMap-1'!S112=0,"//---END",'Radiotherapy-ConceptMap-1'!S112)</f>
        <v>* group[=].element[=].display = ##34#Neck##34#</v>
      </c>
    </row>
    <row r="117" spans="2:2">
      <c r="B117" s="12" t="str">
        <f>IF('Radiotherapy-ConceptMap-1'!S113=0,"//---END",'Radiotherapy-ConceptMap-1'!S113)</f>
        <v>* group[=].element[=].target.code = #Procedure.</v>
      </c>
    </row>
    <row r="118" spans="2:2">
      <c r="B118" s="12" t="str">
        <f>IF('Radiotherapy-ConceptMap-1'!S114=0,"//---END",'Radiotherapy-ConceptMap-1'!S114)</f>
        <v>* group[=].element[=].target.display = ##34###34#</v>
      </c>
    </row>
    <row r="119" spans="2:2">
      <c r="B119" s="12" t="str">
        <f>IF('Radiotherapy-ConceptMap-1'!S115=0,"//---END",'Radiotherapy-ConceptMap-1'!S115)</f>
        <v>* group[=].element[=].target.equivalence = #equivalent</v>
      </c>
    </row>
    <row r="120" spans="2:2">
      <c r="B120" s="12" t="str">
        <f>IF('Radiotherapy-ConceptMap-1'!S116=0,"//---END",'Radiotherapy-ConceptMap-1'!S116)</f>
        <v/>
      </c>
    </row>
    <row r="121" spans="2:2">
      <c r="B121" s="12" t="str">
        <f>IF('Radiotherapy-ConceptMap-1'!S117=0,"//---END",'Radiotherapy-ConceptMap-1'!S117)</f>
        <v>* group[=].element[+].code = #Radiotherapy.treatmentSites.primaryAndIpsilateralNeck</v>
      </c>
    </row>
    <row r="122" spans="2:2">
      <c r="B122" s="12" t="str">
        <f>IF('Radiotherapy-ConceptMap-1'!S118=0,"//---END",'Radiotherapy-ConceptMap-1'!S118)</f>
        <v>* group[=].element[=].display = ##34#Primary and Ipsilateral Neck##34#</v>
      </c>
    </row>
    <row r="123" spans="2:2">
      <c r="B123" s="12" t="str">
        <f>IF('Radiotherapy-ConceptMap-1'!S119=0,"//---END",'Radiotherapy-ConceptMap-1'!S119)</f>
        <v>* group[=].element[=].target.code = #Procedure.</v>
      </c>
    </row>
    <row r="124" spans="2:2">
      <c r="B124" s="12" t="str">
        <f>IF('Radiotherapy-ConceptMap-1'!S120=0,"//---END",'Radiotherapy-ConceptMap-1'!S120)</f>
        <v>* group[=].element[=].target.display = ##34###34#</v>
      </c>
    </row>
    <row r="125" spans="2:2">
      <c r="B125" s="12" t="str">
        <f>IF('Radiotherapy-ConceptMap-1'!S121=0,"//---END",'Radiotherapy-ConceptMap-1'!S121)</f>
        <v>* group[=].element[=].target.equivalence = #equivalent</v>
      </c>
    </row>
    <row r="126" spans="2:2">
      <c r="B126" s="12" t="str">
        <f>IF('Radiotherapy-ConceptMap-1'!S122=0,"//---END",'Radiotherapy-ConceptMap-1'!S122)</f>
        <v/>
      </c>
    </row>
    <row r="127" spans="2:2">
      <c r="B127" s="12" t="str">
        <f>IF('Radiotherapy-ConceptMap-1'!S123=0,"//---END",'Radiotherapy-ConceptMap-1'!S123)</f>
        <v>* group[=].element[+].code = #Radiotherapy.treatmentSites.primaryAndBilateralNeck</v>
      </c>
    </row>
    <row r="128" spans="2:2">
      <c r="B128" s="12" t="str">
        <f>IF('Radiotherapy-ConceptMap-1'!S124=0,"//---END",'Radiotherapy-ConceptMap-1'!S124)</f>
        <v>* group[=].element[=].display = ##34#Primary and Bilateral Neck##34#</v>
      </c>
    </row>
    <row r="129" spans="2:2">
      <c r="B129" s="12" t="str">
        <f>IF('Radiotherapy-ConceptMap-1'!S125=0,"//---END",'Radiotherapy-ConceptMap-1'!S125)</f>
        <v>* group[=].element[=].target.code = #Procedure.</v>
      </c>
    </row>
    <row r="130" spans="2:2">
      <c r="B130" s="12" t="str">
        <f>IF('Radiotherapy-ConceptMap-1'!S126=0,"//---END",'Radiotherapy-ConceptMap-1'!S126)</f>
        <v>* group[=].element[=].target.display = ##34###34#</v>
      </c>
    </row>
    <row r="131" spans="2:2">
      <c r="B131" s="12" t="str">
        <f>IF('Radiotherapy-ConceptMap-1'!S127=0,"//---END",'Radiotherapy-ConceptMap-1'!S127)</f>
        <v>* group[=].element[=].target.equivalence = #equivalent</v>
      </c>
    </row>
    <row r="132" spans="2:2">
      <c r="B132" s="12" t="str">
        <f>IF('Radiotherapy-ConceptMap-1'!S128=0,"//---END",'Radiotherapy-ConceptMap-1'!S128)</f>
        <v/>
      </c>
    </row>
    <row r="133" spans="2:2">
      <c r="B133" s="12" t="str">
        <f>IF('Radiotherapy-ConceptMap-1'!S129=0,"//---END",'Radiotherapy-ConceptMap-1'!S129)</f>
        <v>* group[=].element[+].code = #Radiotherapy.treatmentSites.distantMetastasis</v>
      </c>
    </row>
    <row r="134" spans="2:2">
      <c r="B134" s="12" t="str">
        <f>IF('Radiotherapy-ConceptMap-1'!S130=0,"//---END",'Radiotherapy-ConceptMap-1'!S130)</f>
        <v>* group[=].element[=].display = ##34#Distant Metastasis##34#</v>
      </c>
    </row>
    <row r="135" spans="2:2">
      <c r="B135" s="12" t="str">
        <f>IF('Radiotherapy-ConceptMap-1'!S131=0,"//---END",'Radiotherapy-ConceptMap-1'!S131)</f>
        <v>* group[=].element[=].target.code = #Procedure.</v>
      </c>
    </row>
    <row r="136" spans="2:2">
      <c r="B136" s="12" t="str">
        <f>IF('Radiotherapy-ConceptMap-1'!S132=0,"//---END",'Radiotherapy-ConceptMap-1'!S132)</f>
        <v>* group[=].element[=].target.display = ##34###34#</v>
      </c>
    </row>
    <row r="137" spans="2:2">
      <c r="B137" s="12" t="str">
        <f>IF('Radiotherapy-ConceptMap-1'!S133=0,"//---END",'Radiotherapy-ConceptMap-1'!S133)</f>
        <v>* group[=].element[=].target.equivalence = #equivalent</v>
      </c>
    </row>
    <row r="138" spans="2:2">
      <c r="B138" s="12" t="str">
        <f>IF('Radiotherapy-ConceptMap-1'!S134=0,"//---END",'Radiotherapy-ConceptMap-1'!S134)</f>
        <v/>
      </c>
    </row>
    <row r="139" spans="2:2">
      <c r="B139" s="12" t="str">
        <f>IF('Radiotherapy-ConceptMap-1'!S135=0,"//---END",'Radiotherapy-ConceptMap-1'!S135)</f>
        <v>* group[=].element[+].code = #Radiotherapy.metastaticTreatmentSites</v>
      </c>
    </row>
    <row r="140" spans="2:2">
      <c r="B140" s="12" t="str">
        <f>IF('Radiotherapy-ConceptMap-1'!S136=0,"//---END",'Radiotherapy-ConceptMap-1'!S136)</f>
        <v>* group[=].element[=].display = ##34#Metastatic Treatment Sites:##34#</v>
      </c>
    </row>
    <row r="141" spans="2:2">
      <c r="B141" s="12" t="str">
        <f>IF('Radiotherapy-ConceptMap-1'!S137=0,"//---END",'Radiotherapy-ConceptMap-1'!S137)</f>
        <v>* group[=].element[=].target.code = #Procedure.</v>
      </c>
    </row>
    <row r="142" spans="2:2">
      <c r="B142" s="12" t="str">
        <f>IF('Radiotherapy-ConceptMap-1'!S138=0,"//---END",'Radiotherapy-ConceptMap-1'!S138)</f>
        <v>* group[=].element[=].target.display = ##34###34#</v>
      </c>
    </row>
    <row r="143" spans="2:2">
      <c r="B143" s="12" t="str">
        <f>IF('Radiotherapy-ConceptMap-1'!S139=0,"//---END",'Radiotherapy-ConceptMap-1'!S139)</f>
        <v>* group[=].element[=].target.equivalence = #equivalent</v>
      </c>
    </row>
    <row r="144" spans="2:2">
      <c r="B144" s="12" t="str">
        <f>IF('Radiotherapy-ConceptMap-1'!S140=0,"//---END",'Radiotherapy-ConceptMap-1'!S140)</f>
        <v/>
      </c>
    </row>
    <row r="145" spans="2:2">
      <c r="B145" s="12" t="str">
        <f>IF('Radiotherapy-ConceptMap-1'!S141=0,"//---END",'Radiotherapy-ConceptMap-1'!S141)</f>
        <v>* group[=].element[+].code = #Radiotherapy.metastaticTreatmentSites.lung</v>
      </c>
    </row>
    <row r="146" spans="2:2" ht="29.5">
      <c r="B146" s="12" t="str">
        <f>IF('Radiotherapy-ConceptMap-1'!S142=0,"//---END",'Radiotherapy-ConceptMap-1'!S142)</f>
        <v>* group[=].element[=].display = ##34#Lung
##34#</v>
      </c>
    </row>
    <row r="147" spans="2:2">
      <c r="B147" s="12" t="str">
        <f>IF('Radiotherapy-ConceptMap-1'!S143=0,"//---END",'Radiotherapy-ConceptMap-1'!S143)</f>
        <v>* group[=].element[=].target.code = #Procedure.</v>
      </c>
    </row>
    <row r="148" spans="2:2">
      <c r="B148" s="12" t="str">
        <f>IF('Radiotherapy-ConceptMap-1'!S144=0,"//---END",'Radiotherapy-ConceptMap-1'!S144)</f>
        <v>* group[=].element[=].target.display = ##34###34#</v>
      </c>
    </row>
    <row r="149" spans="2:2">
      <c r="B149" s="12" t="str">
        <f>IF('Radiotherapy-ConceptMap-1'!S145=0,"//---END",'Radiotherapy-ConceptMap-1'!S145)</f>
        <v>* group[=].element[=].target.equivalence = #equivalent</v>
      </c>
    </row>
    <row r="150" spans="2:2">
      <c r="B150" s="12" t="str">
        <f>IF('Radiotherapy-ConceptMap-1'!S146=0,"//---END",'Radiotherapy-ConceptMap-1'!S146)</f>
        <v/>
      </c>
    </row>
    <row r="151" spans="2:2">
      <c r="B151" s="12" t="str">
        <f>IF('Radiotherapy-ConceptMap-1'!S147=0,"//---END",'Radiotherapy-ConceptMap-1'!S147)</f>
        <v>* group[=].element[+].code = #Radiotherapy.metastaticTreatmentSites.mediastinum</v>
      </c>
    </row>
    <row r="152" spans="2:2" ht="29.5">
      <c r="B152" s="12" t="str">
        <f>IF('Radiotherapy-ConceptMap-1'!S148=0,"//---END",'Radiotherapy-ConceptMap-1'!S148)</f>
        <v>* group[=].element[=].display = ##34#Mediastinum
##34#</v>
      </c>
    </row>
    <row r="153" spans="2:2">
      <c r="B153" s="12" t="str">
        <f>IF('Radiotherapy-ConceptMap-1'!S149=0,"//---END",'Radiotherapy-ConceptMap-1'!S149)</f>
        <v>* group[=].element[=].target.code = #Procedure.</v>
      </c>
    </row>
    <row r="154" spans="2:2">
      <c r="B154" s="12" t="str">
        <f>IF('Radiotherapy-ConceptMap-1'!S150=0,"//---END",'Radiotherapy-ConceptMap-1'!S150)</f>
        <v>* group[=].element[=].target.display = ##34###34#</v>
      </c>
    </row>
    <row r="155" spans="2:2">
      <c r="B155" s="12" t="str">
        <f>IF('Radiotherapy-ConceptMap-1'!S151=0,"//---END",'Radiotherapy-ConceptMap-1'!S151)</f>
        <v>* group[=].element[=].target.equivalence = #equivalent</v>
      </c>
    </row>
    <row r="156" spans="2:2">
      <c r="B156" s="12" t="str">
        <f>IF('Radiotherapy-ConceptMap-1'!S152=0,"//---END",'Radiotherapy-ConceptMap-1'!S152)</f>
        <v/>
      </c>
    </row>
    <row r="157" spans="2:2">
      <c r="B157" s="12" t="str">
        <f>IF('Radiotherapy-ConceptMap-1'!S153=0,"//---END",'Radiotherapy-ConceptMap-1'!S153)</f>
        <v>* group[=].element[+].code = #Radiotherapy.metastaticTreatmentSites.bone</v>
      </c>
    </row>
    <row r="158" spans="2:2" ht="29.5">
      <c r="B158" s="12" t="str">
        <f>IF('Radiotherapy-ConceptMap-1'!S154=0,"//---END",'Radiotherapy-ConceptMap-1'!S154)</f>
        <v>* group[=].element[=].display = ##34#Bone
##34#</v>
      </c>
    </row>
    <row r="159" spans="2:2">
      <c r="B159" s="12" t="str">
        <f>IF('Radiotherapy-ConceptMap-1'!S155=0,"//---END",'Radiotherapy-ConceptMap-1'!S155)</f>
        <v>* group[=].element[=].target.code = #Procedure.</v>
      </c>
    </row>
    <row r="160" spans="2:2">
      <c r="B160" s="12" t="str">
        <f>IF('Radiotherapy-ConceptMap-1'!S156=0,"//---END",'Radiotherapy-ConceptMap-1'!S156)</f>
        <v>* group[=].element[=].target.display = ##34###34#</v>
      </c>
    </row>
    <row r="161" spans="2:2">
      <c r="B161" s="12" t="str">
        <f>IF('Radiotherapy-ConceptMap-1'!S157=0,"//---END",'Radiotherapy-ConceptMap-1'!S157)</f>
        <v>* group[=].element[=].target.equivalence = #equivalent</v>
      </c>
    </row>
    <row r="162" spans="2:2">
      <c r="B162" s="12" t="str">
        <f>IF('Radiotherapy-ConceptMap-1'!S158=0,"//---END",'Radiotherapy-ConceptMap-1'!S158)</f>
        <v/>
      </c>
    </row>
    <row r="163" spans="2:2">
      <c r="B163" s="12" t="str">
        <f>IF('Radiotherapy-ConceptMap-1'!S159=0,"//---END",'Radiotherapy-ConceptMap-1'!S159)</f>
        <v>//---END</v>
      </c>
    </row>
    <row r="164" spans="2:2">
      <c r="B164" s="12" t="str">
        <f>IF('Radiotherapy-ConceptMap-1'!S160=0,"//---END",'Radiotherapy-ConceptMap-1'!S160)</f>
        <v>//---END</v>
      </c>
    </row>
    <row r="165" spans="2:2">
      <c r="B165" s="12" t="str">
        <f>IF('Radiotherapy-ConceptMap-1'!S161=0,"//---END",'Radiotherapy-ConceptMap-1'!S161)</f>
        <v>//---END</v>
      </c>
    </row>
    <row r="166" spans="2:2">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G28" sqref="G28"/>
    </sheetView>
  </sheetViews>
  <sheetFormatPr defaultRowHeight="14.75"/>
  <cols>
    <col min="4" max="4" width="18" customWidth="1"/>
    <col min="5" max="5" width="17.7265625"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 4. Cancer under study</vt:lpstr>
      <vt:lpstr>2.Demographic &amp; life style</vt:lpstr>
      <vt:lpstr>OsirisDataElementConcept</vt:lpstr>
      <vt:lpstr>CancerEpisode-src</vt:lpstr>
      <vt:lpstr>CancerEpisode</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EpisodeEvent-src</vt:lpstr>
      <vt:lpstr>EpisodeEvent</vt:lpstr>
      <vt:lpstr>EpisodeEvent-Map-1</vt:lpstr>
      <vt:lpstr>EpisodeEvent-fsh</vt:lpstr>
      <vt:lpstr>EpisodeEvent-ConceptMap-1</vt:lpstr>
      <vt:lpstr>EpisodeEvent-CM-fsh</vt:lpstr>
      <vt:lpstr>ClinicalStage-src</vt:lpstr>
      <vt:lpstr>ClinicalStage</vt:lpstr>
      <vt:lpstr>ClinicalStage-Map-1</vt:lpstr>
      <vt:lpstr>ClinicalStage-fsh</vt:lpstr>
      <vt:lpstr>ClinicalStage-ConceptMap-1</vt:lpstr>
      <vt:lpstr>ClinicalStage-ConceptMap-2</vt:lpstr>
      <vt:lpstr>ClinicalStage-ConceptMap-3</vt:lpstr>
      <vt:lpstr>ClinicalStage-ConceptMap-4</vt:lpstr>
      <vt:lpstr>ClinicalStage-CM-fsh</vt:lpstr>
      <vt:lpstr>PathologicalStage-src</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2023-07-20T13:39:33Z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