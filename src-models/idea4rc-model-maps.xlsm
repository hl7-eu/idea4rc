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A63247ED-35F7-4D4C-933F-1D88E8E374A7}" xr6:coauthVersionLast="47" xr6:coauthVersionMax="47" xr10:uidLastSave="{00000000-0000-0000-0000-000000000000}"/>
  <bookViews>
    <workbookView xWindow="-90" yWindow="-21710" windowWidth="38620" windowHeight="21100" tabRatio="819" xr2:uid="{82F0A5E9-86C8-45A2-AB20-6CF6AA2FD42B}"/>
  </bookViews>
  <sheets>
    <sheet name="CancerUnderStudy-test" sheetId="156" r:id="rId1"/>
    <sheet name="CancerUnderStudy-Map-1-test" sheetId="157" r:id="rId2"/>
    <sheet name="CancerUnderStudy-fsh-test" sheetId="158" r:id="rId3"/>
    <sheet name=" 4. Cancer under study" sheetId="150" r:id="rId4"/>
    <sheet name="2.Demographic &amp; life style" sheetId="137" r:id="rId5"/>
    <sheet name="OsirisDataElementConcept" sheetId="139" r:id="rId6"/>
    <sheet name="Common" sheetId="114" r:id="rId7"/>
    <sheet name="CancerUnderStudy" sheetId="151" r:id="rId8"/>
    <sheet name="CancerUnderStudy-Map-1" sheetId="152" r:id="rId9"/>
    <sheet name="CancerUnderStudy-fsh" sheetId="153" r:id="rId10"/>
    <sheet name="CancerUnderStudy-ConceptMap" sheetId="154" r:id="rId11"/>
    <sheet name="CancerUnderStudy-CM-fsh" sheetId="155" r:id="rId12"/>
    <sheet name="Subject" sheetId="108" r:id="rId13"/>
    <sheet name="Subject-Map-1" sheetId="109" r:id="rId14"/>
    <sheet name="Subject-fsh" sheetId="110" r:id="rId15"/>
    <sheet name="Subject-ConceptMap" sheetId="148" r:id="rId16"/>
    <sheet name="Subject-CM-fsh" sheetId="149" r:id="rId17"/>
    <sheet name="ConvertOsiris" sheetId="138" r:id="rId18"/>
    <sheet name="Osiris" sheetId="141" r:id="rId19"/>
    <sheet name="Osiris-Map" sheetId="142" r:id="rId20"/>
    <sheet name="Osiris-fsh-noMap" sheetId="144" r:id="rId21"/>
    <sheet name="Osiris-fsh" sheetId="143" r:id="rId22"/>
    <sheet name="Osiris-ConceptMap" sheetId="145" r:id="rId23"/>
    <sheet name="Osiris-CM-fsh" sheetId="147" r:id="rId24"/>
    <sheet name="Foglio2" sheetId="146" r:id="rId25"/>
  </sheets>
  <definedNames>
    <definedName name="_xlnm._FilterDatabase" localSheetId="4" hidden="1">'2.Demographic &amp; life style'!$A$2:$S$47</definedName>
    <definedName name="_xlnm._FilterDatabase" localSheetId="17" hidden="1">ConvertOsiris!$D$2:$U$232</definedName>
    <definedName name="DatiEsterni_1" localSheetId="5"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30" i="158" l="1"/>
  <c r="C129" i="158"/>
  <c r="C91" i="158"/>
  <c r="C90" i="158"/>
  <c r="C87" i="158"/>
  <c r="C86" i="158"/>
  <c r="C43" i="158"/>
  <c r="C42" i="158"/>
  <c r="C2" i="158"/>
  <c r="C1" i="158"/>
  <c r="E45" i="157"/>
  <c r="E44" i="157"/>
  <c r="E43" i="157"/>
  <c r="E42" i="157"/>
  <c r="C128" i="158" s="1"/>
  <c r="B41" i="157"/>
  <c r="E41" i="157" s="1"/>
  <c r="C127" i="158" s="1"/>
  <c r="B40" i="157"/>
  <c r="E40" i="157" s="1"/>
  <c r="C126" i="158" s="1"/>
  <c r="B39" i="157"/>
  <c r="E39" i="157" s="1"/>
  <c r="C125" i="158" s="1"/>
  <c r="B38" i="157"/>
  <c r="E38" i="157" s="1"/>
  <c r="C124" i="158" s="1"/>
  <c r="B37" i="157"/>
  <c r="E37" i="157" s="1"/>
  <c r="C123" i="158" s="1"/>
  <c r="B36" i="157"/>
  <c r="E36" i="157" s="1"/>
  <c r="C122" i="158" s="1"/>
  <c r="B35" i="157"/>
  <c r="E35" i="157" s="1"/>
  <c r="C121" i="158" s="1"/>
  <c r="B34" i="157"/>
  <c r="E34" i="157" s="1"/>
  <c r="C120" i="158" s="1"/>
  <c r="B33" i="157"/>
  <c r="E33" i="157" s="1"/>
  <c r="C119" i="158" s="1"/>
  <c r="B32" i="157"/>
  <c r="E32" i="157" s="1"/>
  <c r="C118" i="158" s="1"/>
  <c r="B31" i="157"/>
  <c r="E31" i="157" s="1"/>
  <c r="C117" i="158" s="1"/>
  <c r="B30" i="157"/>
  <c r="E30" i="157" s="1"/>
  <c r="C116" i="158" s="1"/>
  <c r="B29" i="157"/>
  <c r="E29" i="157" s="1"/>
  <c r="C115" i="158" s="1"/>
  <c r="B28" i="157"/>
  <c r="E28" i="157" s="1"/>
  <c r="C114" i="158" s="1"/>
  <c r="B27" i="157"/>
  <c r="E27" i="157" s="1"/>
  <c r="C113" i="158" s="1"/>
  <c r="B26" i="157"/>
  <c r="E26" i="157" s="1"/>
  <c r="C112" i="158" s="1"/>
  <c r="B25" i="157"/>
  <c r="E25" i="157" s="1"/>
  <c r="C111" i="158" s="1"/>
  <c r="B24" i="157"/>
  <c r="E24" i="157" s="1"/>
  <c r="C110" i="158" s="1"/>
  <c r="B23" i="157"/>
  <c r="E23" i="157" s="1"/>
  <c r="C109" i="158" s="1"/>
  <c r="B22" i="157"/>
  <c r="E22" i="157" s="1"/>
  <c r="C108" i="158" s="1"/>
  <c r="B21" i="157"/>
  <c r="E21" i="157" s="1"/>
  <c r="C107" i="158" s="1"/>
  <c r="B20" i="157"/>
  <c r="E20" i="157" s="1"/>
  <c r="C106" i="158" s="1"/>
  <c r="B19" i="157"/>
  <c r="E19" i="157" s="1"/>
  <c r="C105" i="158" s="1"/>
  <c r="B18" i="157"/>
  <c r="E18" i="157" s="1"/>
  <c r="C104" i="158" s="1"/>
  <c r="B17" i="157"/>
  <c r="E17" i="157" s="1"/>
  <c r="C103" i="158" s="1"/>
  <c r="B16" i="157"/>
  <c r="E16" i="157" s="1"/>
  <c r="C102" i="158" s="1"/>
  <c r="B15" i="157"/>
  <c r="E15" i="157" s="1"/>
  <c r="C101" i="158" s="1"/>
  <c r="B14" i="157"/>
  <c r="E14" i="157" s="1"/>
  <c r="C100" i="158" s="1"/>
  <c r="B13" i="157"/>
  <c r="E13" i="157" s="1"/>
  <c r="C99" i="158" s="1"/>
  <c r="B12" i="157"/>
  <c r="E12" i="157" s="1"/>
  <c r="C98" i="158" s="1"/>
  <c r="B11" i="157"/>
  <c r="E11" i="157" s="1"/>
  <c r="C97" i="158" s="1"/>
  <c r="B10" i="157"/>
  <c r="E10" i="157" s="1"/>
  <c r="C96" i="158" s="1"/>
  <c r="E9" i="157"/>
  <c r="C95" i="158" s="1"/>
  <c r="B9" i="157"/>
  <c r="C7" i="157" s="1"/>
  <c r="E7" i="157" s="1"/>
  <c r="C92" i="158" s="1"/>
  <c r="E8" i="157"/>
  <c r="C93" i="158" s="1"/>
  <c r="E6" i="157"/>
  <c r="E5" i="157"/>
  <c r="E4" i="157"/>
  <c r="C89" i="158" s="1"/>
  <c r="E3" i="157"/>
  <c r="C88" i="158" s="1"/>
  <c r="J44" i="156"/>
  <c r="L44" i="156" s="1"/>
  <c r="L43" i="156"/>
  <c r="J43" i="156"/>
  <c r="J42" i="156"/>
  <c r="L42" i="156" s="1"/>
  <c r="C83" i="158" s="1"/>
  <c r="J41" i="156"/>
  <c r="C41" i="158" s="1"/>
  <c r="J40" i="156"/>
  <c r="C40" i="158" s="1"/>
  <c r="L39" i="156"/>
  <c r="C80" i="158" s="1"/>
  <c r="J39" i="156"/>
  <c r="C39" i="158" s="1"/>
  <c r="J38" i="156"/>
  <c r="L38" i="156" s="1"/>
  <c r="C79" i="158" s="1"/>
  <c r="J37" i="156"/>
  <c r="C37" i="158" s="1"/>
  <c r="J36" i="156"/>
  <c r="L36" i="156" s="1"/>
  <c r="C77" i="158" s="1"/>
  <c r="J35" i="156"/>
  <c r="C35" i="158" s="1"/>
  <c r="J34" i="156"/>
  <c r="L34" i="156" s="1"/>
  <c r="C75" i="158" s="1"/>
  <c r="J33" i="156"/>
  <c r="C33" i="158" s="1"/>
  <c r="J32" i="156"/>
  <c r="C32" i="158" s="1"/>
  <c r="J31" i="156"/>
  <c r="C31" i="158" s="1"/>
  <c r="J30" i="156"/>
  <c r="L30" i="156" s="1"/>
  <c r="C71" i="158" s="1"/>
  <c r="J29" i="156"/>
  <c r="C29" i="158" s="1"/>
  <c r="J28" i="156"/>
  <c r="L28" i="156" s="1"/>
  <c r="C69" i="158" s="1"/>
  <c r="J27" i="156"/>
  <c r="C27" i="158" s="1"/>
  <c r="J26" i="156"/>
  <c r="L26" i="156" s="1"/>
  <c r="C67" i="158" s="1"/>
  <c r="J25" i="156"/>
  <c r="C25" i="158" s="1"/>
  <c r="J24" i="156"/>
  <c r="C24" i="158" s="1"/>
  <c r="L23" i="156"/>
  <c r="C64" i="158" s="1"/>
  <c r="J23" i="156"/>
  <c r="C23" i="158" s="1"/>
  <c r="J22" i="156"/>
  <c r="L22" i="156" s="1"/>
  <c r="C63" i="158" s="1"/>
  <c r="J21" i="156"/>
  <c r="C21" i="158" s="1"/>
  <c r="J20" i="156"/>
  <c r="L20" i="156" s="1"/>
  <c r="C61" i="158" s="1"/>
  <c r="J19" i="156"/>
  <c r="C19" i="158" s="1"/>
  <c r="J18" i="156"/>
  <c r="L18" i="156" s="1"/>
  <c r="C59" i="158" s="1"/>
  <c r="J17" i="156"/>
  <c r="C17" i="158" s="1"/>
  <c r="J16" i="156"/>
  <c r="C16" i="158" s="1"/>
  <c r="L15" i="156"/>
  <c r="C56" i="158" s="1"/>
  <c r="J15" i="156"/>
  <c r="C15" i="158" s="1"/>
  <c r="J14" i="156"/>
  <c r="L14" i="156" s="1"/>
  <c r="C55" i="158" s="1"/>
  <c r="J13" i="156"/>
  <c r="C13" i="158" s="1"/>
  <c r="J12" i="156"/>
  <c r="L12" i="156" s="1"/>
  <c r="C53" i="158" s="1"/>
  <c r="J11" i="156"/>
  <c r="C11" i="158" s="1"/>
  <c r="J10" i="156"/>
  <c r="L10" i="156" s="1"/>
  <c r="C51" i="158" s="1"/>
  <c r="J9" i="156"/>
  <c r="C9" i="158" s="1"/>
  <c r="J8" i="156"/>
  <c r="C8" i="158" s="1"/>
  <c r="J7" i="156"/>
  <c r="C7" i="158" s="1"/>
  <c r="J6" i="156"/>
  <c r="C6" i="158" s="1"/>
  <c r="J5" i="156"/>
  <c r="C5" i="158" s="1"/>
  <c r="J4" i="156"/>
  <c r="C4" i="158" s="1"/>
  <c r="L3" i="156"/>
  <c r="J3" i="156"/>
  <c r="C3" i="158" s="1"/>
  <c r="L9" i="151"/>
  <c r="L10" i="151"/>
  <c r="L11" i="151"/>
  <c r="L12" i="151"/>
  <c r="C53" i="153" s="1"/>
  <c r="L13" i="151"/>
  <c r="L14" i="151"/>
  <c r="L15" i="151"/>
  <c r="C56" i="153" s="1"/>
  <c r="L16" i="151"/>
  <c r="C57" i="153" s="1"/>
  <c r="L17" i="151"/>
  <c r="C58" i="153" s="1"/>
  <c r="L18" i="151"/>
  <c r="L19" i="151"/>
  <c r="L20" i="151"/>
  <c r="L21" i="151"/>
  <c r="L22" i="151"/>
  <c r="C63" i="153" s="1"/>
  <c r="L23" i="151"/>
  <c r="C64" i="153" s="1"/>
  <c r="L24" i="151"/>
  <c r="C65" i="153" s="1"/>
  <c r="L25" i="151"/>
  <c r="C66" i="153" s="1"/>
  <c r="L26" i="151"/>
  <c r="L27" i="151"/>
  <c r="L28" i="151"/>
  <c r="C69" i="153" s="1"/>
  <c r="L29" i="151"/>
  <c r="L30" i="151"/>
  <c r="C71" i="153" s="1"/>
  <c r="L31" i="151"/>
  <c r="C72" i="153" s="1"/>
  <c r="L32" i="151"/>
  <c r="C73" i="153" s="1"/>
  <c r="L33" i="151"/>
  <c r="C74" i="153" s="1"/>
  <c r="L34" i="151"/>
  <c r="C75" i="153" s="1"/>
  <c r="L35" i="151"/>
  <c r="L36" i="151"/>
  <c r="C77" i="153" s="1"/>
  <c r="L37" i="151"/>
  <c r="C78" i="153" s="1"/>
  <c r="L38" i="151"/>
  <c r="C79" i="153" s="1"/>
  <c r="L39" i="151"/>
  <c r="C80" i="153" s="1"/>
  <c r="L40" i="151"/>
  <c r="C81" i="153" s="1"/>
  <c r="L41" i="151"/>
  <c r="L42" i="151"/>
  <c r="C83" i="153" s="1"/>
  <c r="L43" i="151"/>
  <c r="L44" i="151"/>
  <c r="C54" i="153"/>
  <c r="C55" i="153"/>
  <c r="C62" i="153"/>
  <c r="C70" i="153"/>
  <c r="L8" i="151"/>
  <c r="C82" i="153"/>
  <c r="C50" i="153"/>
  <c r="C51" i="153"/>
  <c r="C52" i="153"/>
  <c r="C59" i="153"/>
  <c r="C60" i="153"/>
  <c r="C61" i="153"/>
  <c r="C67" i="153"/>
  <c r="C68" i="153"/>
  <c r="C76" i="153"/>
  <c r="C49" i="153"/>
  <c r="L3" i="151"/>
  <c r="C128" i="153"/>
  <c r="C129" i="153"/>
  <c r="C130" i="153"/>
  <c r="E45" i="152"/>
  <c r="E42" i="152"/>
  <c r="E43" i="152"/>
  <c r="E44" i="152"/>
  <c r="B11" i="152"/>
  <c r="B12" i="152"/>
  <c r="B13" i="152"/>
  <c r="B14" i="152"/>
  <c r="E14" i="152" s="1"/>
  <c r="C100" i="153" s="1"/>
  <c r="B15" i="152"/>
  <c r="E15" i="152" s="1"/>
  <c r="C101" i="153" s="1"/>
  <c r="B16" i="152"/>
  <c r="E16" i="152" s="1"/>
  <c r="C102" i="153" s="1"/>
  <c r="B17" i="152"/>
  <c r="E17" i="152" s="1"/>
  <c r="C103" i="153" s="1"/>
  <c r="B18" i="152"/>
  <c r="E18" i="152" s="1"/>
  <c r="C104" i="153" s="1"/>
  <c r="B19" i="152"/>
  <c r="B20" i="152"/>
  <c r="B21" i="152"/>
  <c r="E21" i="152" s="1"/>
  <c r="C107" i="153" s="1"/>
  <c r="B22" i="152"/>
  <c r="E22" i="152" s="1"/>
  <c r="C108" i="153" s="1"/>
  <c r="B23" i="152"/>
  <c r="E23" i="152" s="1"/>
  <c r="C109" i="153" s="1"/>
  <c r="B24" i="152"/>
  <c r="E24" i="152" s="1"/>
  <c r="C110" i="153" s="1"/>
  <c r="B25" i="152"/>
  <c r="E25" i="152" s="1"/>
  <c r="C111" i="153" s="1"/>
  <c r="B26" i="152"/>
  <c r="E26" i="152" s="1"/>
  <c r="C112" i="153" s="1"/>
  <c r="B27" i="152"/>
  <c r="E27" i="152" s="1"/>
  <c r="C113" i="153" s="1"/>
  <c r="B28" i="152"/>
  <c r="E28" i="152" s="1"/>
  <c r="C114" i="153" s="1"/>
  <c r="B29" i="152"/>
  <c r="E29" i="152" s="1"/>
  <c r="C115" i="153" s="1"/>
  <c r="B30" i="152"/>
  <c r="E30" i="152" s="1"/>
  <c r="C116" i="153" s="1"/>
  <c r="B31" i="152"/>
  <c r="E31" i="152" s="1"/>
  <c r="C117" i="153" s="1"/>
  <c r="B32" i="152"/>
  <c r="E32" i="152" s="1"/>
  <c r="C118" i="153" s="1"/>
  <c r="B33" i="152"/>
  <c r="E33" i="152" s="1"/>
  <c r="C119" i="153" s="1"/>
  <c r="B34" i="152"/>
  <c r="E34" i="152" s="1"/>
  <c r="C120" i="153" s="1"/>
  <c r="B35" i="152"/>
  <c r="E35" i="152" s="1"/>
  <c r="C121" i="153" s="1"/>
  <c r="B36" i="152"/>
  <c r="E36" i="152" s="1"/>
  <c r="C122" i="153" s="1"/>
  <c r="B37" i="152"/>
  <c r="E37" i="152" s="1"/>
  <c r="C123" i="153" s="1"/>
  <c r="B38" i="152"/>
  <c r="E38" i="152" s="1"/>
  <c r="C124" i="153" s="1"/>
  <c r="B39" i="152"/>
  <c r="E39" i="152" s="1"/>
  <c r="C125" i="153" s="1"/>
  <c r="B40" i="152"/>
  <c r="E40" i="152" s="1"/>
  <c r="C126" i="153" s="1"/>
  <c r="B41" i="152"/>
  <c r="E41" i="152" s="1"/>
  <c r="C127" i="153" s="1"/>
  <c r="B10" i="152"/>
  <c r="E10" i="152" s="1"/>
  <c r="C96" i="153" s="1"/>
  <c r="J9" i="151"/>
  <c r="C9" i="153" s="1"/>
  <c r="J10" i="151"/>
  <c r="C10" i="153" s="1"/>
  <c r="J11" i="151"/>
  <c r="C11" i="153" s="1"/>
  <c r="J12" i="151"/>
  <c r="C12" i="153" s="1"/>
  <c r="J13" i="151"/>
  <c r="C13" i="153" s="1"/>
  <c r="J14" i="151"/>
  <c r="C14" i="153" s="1"/>
  <c r="J15" i="151"/>
  <c r="C15" i="153" s="1"/>
  <c r="J16" i="151"/>
  <c r="C16" i="153" s="1"/>
  <c r="J17" i="151"/>
  <c r="C17" i="153" s="1"/>
  <c r="J18" i="151"/>
  <c r="C18" i="153" s="1"/>
  <c r="J19" i="151"/>
  <c r="C19" i="153" s="1"/>
  <c r="J20" i="151"/>
  <c r="C20" i="153" s="1"/>
  <c r="J21" i="151"/>
  <c r="C21" i="153" s="1"/>
  <c r="J22" i="151"/>
  <c r="C22" i="153" s="1"/>
  <c r="J23" i="151"/>
  <c r="C23" i="153" s="1"/>
  <c r="J24" i="151"/>
  <c r="C24" i="153" s="1"/>
  <c r="J25" i="151"/>
  <c r="C25" i="153" s="1"/>
  <c r="J26" i="151"/>
  <c r="C26" i="153" s="1"/>
  <c r="J27" i="151"/>
  <c r="C27" i="153" s="1"/>
  <c r="J28" i="151"/>
  <c r="C28" i="153" s="1"/>
  <c r="J29" i="151"/>
  <c r="C29" i="153" s="1"/>
  <c r="J30" i="151"/>
  <c r="C30" i="153" s="1"/>
  <c r="J31" i="151"/>
  <c r="C31" i="153" s="1"/>
  <c r="J32" i="151"/>
  <c r="C32" i="153" s="1"/>
  <c r="J33" i="151"/>
  <c r="C33" i="153" s="1"/>
  <c r="J34" i="151"/>
  <c r="C34" i="153" s="1"/>
  <c r="J35" i="151"/>
  <c r="C35" i="153" s="1"/>
  <c r="J36" i="151"/>
  <c r="C36" i="153" s="1"/>
  <c r="J37" i="151"/>
  <c r="C37" i="153" s="1"/>
  <c r="J38" i="151"/>
  <c r="C38" i="153" s="1"/>
  <c r="J39" i="151"/>
  <c r="C39" i="153" s="1"/>
  <c r="J40" i="151"/>
  <c r="C40" i="153" s="1"/>
  <c r="J41" i="151"/>
  <c r="C41" i="153" s="1"/>
  <c r="J42" i="151"/>
  <c r="C42" i="153" s="1"/>
  <c r="J43" i="151"/>
  <c r="C43" i="153" s="1"/>
  <c r="J44" i="151"/>
  <c r="P184" i="154"/>
  <c r="Q184" i="154" s="1" a="1"/>
  <c r="Q184" i="154" s="1"/>
  <c r="O184" i="154"/>
  <c r="P183" i="154"/>
  <c r="O183" i="154"/>
  <c r="Q183" i="154" s="1" a="1"/>
  <c r="Q183" i="154" s="1"/>
  <c r="P182" i="154"/>
  <c r="O182" i="154"/>
  <c r="Q182" i="154" s="1" a="1"/>
  <c r="Q182" i="154" s="1"/>
  <c r="P181" i="154"/>
  <c r="O181" i="154"/>
  <c r="Q181" i="154" s="1" a="1"/>
  <c r="Q181" i="154" s="1"/>
  <c r="P180" i="154"/>
  <c r="O180" i="154"/>
  <c r="Q180" i="154" s="1" a="1"/>
  <c r="Q180" i="154" s="1"/>
  <c r="P179" i="154"/>
  <c r="O179" i="154"/>
  <c r="Q179" i="154" s="1" a="1"/>
  <c r="Q179" i="154" s="1"/>
  <c r="P178" i="154"/>
  <c r="O178" i="154"/>
  <c r="Q178" i="154" s="1" a="1"/>
  <c r="Q178" i="154" s="1"/>
  <c r="P177" i="154"/>
  <c r="O177" i="154"/>
  <c r="Q177" i="154" s="1" a="1"/>
  <c r="Q177" i="154" s="1"/>
  <c r="P176" i="154"/>
  <c r="O176" i="154"/>
  <c r="Q176" i="154" s="1" a="1"/>
  <c r="Q176" i="154" s="1"/>
  <c r="P175" i="154"/>
  <c r="O175" i="154"/>
  <c r="Q175" i="154" s="1" a="1"/>
  <c r="Q175" i="154" s="1"/>
  <c r="P174" i="154"/>
  <c r="O174" i="154"/>
  <c r="Q174" i="154" s="1" a="1"/>
  <c r="Q174" i="154" s="1"/>
  <c r="P173" i="154"/>
  <c r="O173" i="154"/>
  <c r="Q173" i="154" s="1" a="1"/>
  <c r="Q173" i="154" s="1"/>
  <c r="P172" i="154"/>
  <c r="O172" i="154"/>
  <c r="Q172" i="154" s="1" a="1"/>
  <c r="Q172" i="154" s="1"/>
  <c r="P171" i="154"/>
  <c r="O171" i="154"/>
  <c r="Q171" i="154" s="1" a="1"/>
  <c r="Q171" i="154" s="1"/>
  <c r="P170" i="154"/>
  <c r="O170" i="154"/>
  <c r="Q170" i="154" s="1" a="1"/>
  <c r="Q170" i="154" s="1"/>
  <c r="P169" i="154"/>
  <c r="O169" i="154"/>
  <c r="Q169" i="154" s="1" a="1"/>
  <c r="Q169" i="154" s="1"/>
  <c r="P168" i="154"/>
  <c r="O168" i="154"/>
  <c r="Q168" i="154" s="1" a="1"/>
  <c r="Q168" i="154" s="1"/>
  <c r="P167" i="154"/>
  <c r="O167" i="154"/>
  <c r="Q167" i="154" s="1" a="1"/>
  <c r="Q167" i="154" s="1"/>
  <c r="P166" i="154"/>
  <c r="O166" i="154"/>
  <c r="Q166" i="154" s="1" a="1"/>
  <c r="Q166" i="154" s="1"/>
  <c r="P165" i="154"/>
  <c r="O165" i="154"/>
  <c r="Q165" i="154" s="1" a="1"/>
  <c r="Q165" i="154" s="1"/>
  <c r="P164" i="154"/>
  <c r="O164" i="154"/>
  <c r="Q164" i="154" s="1" a="1"/>
  <c r="Q164" i="154" s="1"/>
  <c r="P163" i="154"/>
  <c r="O163" i="154"/>
  <c r="Q163" i="154" s="1" a="1"/>
  <c r="Q163" i="154" s="1"/>
  <c r="P162" i="154"/>
  <c r="O162" i="154"/>
  <c r="Q162" i="154" s="1" a="1"/>
  <c r="Q162" i="154" s="1"/>
  <c r="P161" i="154"/>
  <c r="O161" i="154"/>
  <c r="Q161" i="154" s="1" a="1"/>
  <c r="Q161" i="154" s="1"/>
  <c r="P160" i="154"/>
  <c r="O160" i="154"/>
  <c r="Q160" i="154" s="1" a="1"/>
  <c r="Q160" i="154" s="1"/>
  <c r="P159" i="154"/>
  <c r="O159" i="154"/>
  <c r="Q159" i="154" s="1" a="1"/>
  <c r="Q159" i="154" s="1"/>
  <c r="P158" i="154"/>
  <c r="O158" i="154"/>
  <c r="Q158" i="154" s="1" a="1"/>
  <c r="Q158" i="154" s="1"/>
  <c r="P157" i="154"/>
  <c r="O157" i="154"/>
  <c r="Q157" i="154" s="1" a="1"/>
  <c r="Q157" i="154" s="1"/>
  <c r="P156" i="154"/>
  <c r="O156" i="154"/>
  <c r="Q156" i="154" s="1" a="1"/>
  <c r="Q156" i="154" s="1"/>
  <c r="P155" i="154"/>
  <c r="O155" i="154"/>
  <c r="Q155" i="154" s="1" a="1"/>
  <c r="Q155" i="154" s="1"/>
  <c r="P154" i="154"/>
  <c r="O154" i="154"/>
  <c r="Q154" i="154" s="1" a="1"/>
  <c r="Q154" i="154" s="1"/>
  <c r="P153" i="154"/>
  <c r="O153" i="154"/>
  <c r="Q153" i="154" s="1" a="1"/>
  <c r="Q153" i="154" s="1"/>
  <c r="P152" i="154"/>
  <c r="O152" i="154"/>
  <c r="Q152" i="154" s="1" a="1"/>
  <c r="Q152" i="154" s="1"/>
  <c r="P151" i="154"/>
  <c r="O151" i="154"/>
  <c r="Q151" i="154" s="1" a="1"/>
  <c r="Q151" i="154" s="1"/>
  <c r="P150" i="154"/>
  <c r="O150" i="154"/>
  <c r="Q150" i="154" s="1" a="1"/>
  <c r="Q150" i="154" s="1"/>
  <c r="P149" i="154"/>
  <c r="O149" i="154"/>
  <c r="Q149" i="154" s="1" a="1"/>
  <c r="Q149" i="154" s="1"/>
  <c r="P148" i="154"/>
  <c r="O148" i="154"/>
  <c r="Q148" i="154" s="1" a="1"/>
  <c r="Q148" i="154" s="1"/>
  <c r="P147" i="154"/>
  <c r="O147" i="154"/>
  <c r="Q147" i="154" s="1" a="1"/>
  <c r="Q147" i="154" s="1"/>
  <c r="P146" i="154"/>
  <c r="O146" i="154"/>
  <c r="Q146" i="154" s="1" a="1"/>
  <c r="Q146" i="154" s="1"/>
  <c r="P145" i="154"/>
  <c r="O145" i="154"/>
  <c r="Q145" i="154" s="1" a="1"/>
  <c r="Q145" i="154" s="1"/>
  <c r="P144" i="154"/>
  <c r="O144" i="154"/>
  <c r="Q144" i="154" s="1" a="1"/>
  <c r="Q144" i="154" s="1"/>
  <c r="P143" i="154"/>
  <c r="O143" i="154"/>
  <c r="Q143" i="154" s="1" a="1"/>
  <c r="Q143" i="154" s="1"/>
  <c r="P142" i="154"/>
  <c r="O142" i="154"/>
  <c r="Q142" i="154" s="1" a="1"/>
  <c r="Q142" i="154" s="1"/>
  <c r="P141" i="154"/>
  <c r="O141" i="154"/>
  <c r="Q141" i="154" s="1" a="1"/>
  <c r="Q141" i="154" s="1"/>
  <c r="P140" i="154"/>
  <c r="O140" i="154"/>
  <c r="Q140" i="154" s="1" a="1"/>
  <c r="Q140" i="154" s="1"/>
  <c r="P139" i="154"/>
  <c r="O139" i="154"/>
  <c r="Q139" i="154" s="1" a="1"/>
  <c r="Q139" i="154" s="1"/>
  <c r="P138" i="154"/>
  <c r="O138" i="154"/>
  <c r="Q138" i="154" s="1" a="1"/>
  <c r="Q138" i="154" s="1"/>
  <c r="P137" i="154"/>
  <c r="O137" i="154"/>
  <c r="Q137" i="154" s="1" a="1"/>
  <c r="Q137" i="154" s="1"/>
  <c r="P136" i="154"/>
  <c r="O136" i="154"/>
  <c r="Q136" i="154" s="1" a="1"/>
  <c r="Q136" i="154" s="1"/>
  <c r="Q135" i="154"/>
  <c r="P135" i="154"/>
  <c r="O135" i="154"/>
  <c r="Q135" i="154" s="1" a="1"/>
  <c r="P134" i="154"/>
  <c r="O134" i="154"/>
  <c r="Q134" i="154" s="1" a="1"/>
  <c r="Q134" i="154" s="1"/>
  <c r="P133" i="154"/>
  <c r="O133" i="154"/>
  <c r="Q133" i="154" s="1" a="1"/>
  <c r="Q133" i="154" s="1"/>
  <c r="P132" i="154"/>
  <c r="O132" i="154"/>
  <c r="Q132" i="154" s="1" a="1"/>
  <c r="Q132" i="154" s="1"/>
  <c r="P131" i="154"/>
  <c r="O131" i="154"/>
  <c r="Q131" i="154" s="1" a="1"/>
  <c r="Q131" i="154" s="1"/>
  <c r="P130" i="154"/>
  <c r="O130" i="154"/>
  <c r="Q130" i="154" s="1" a="1"/>
  <c r="Q130" i="154" s="1"/>
  <c r="P129" i="154"/>
  <c r="O129" i="154"/>
  <c r="Q129" i="154" s="1" a="1"/>
  <c r="Q129" i="154" s="1"/>
  <c r="P128" i="154"/>
  <c r="O128" i="154"/>
  <c r="Q128" i="154" s="1" a="1"/>
  <c r="Q128" i="154" s="1"/>
  <c r="P127" i="154"/>
  <c r="O127" i="154"/>
  <c r="Q127" i="154" s="1" a="1"/>
  <c r="Q127" i="154" s="1"/>
  <c r="P126" i="154"/>
  <c r="O126" i="154"/>
  <c r="Q126" i="154" s="1" a="1"/>
  <c r="Q126" i="154" s="1"/>
  <c r="Q125" i="154"/>
  <c r="P125" i="154"/>
  <c r="O125" i="154"/>
  <c r="Q125" i="154" s="1" a="1"/>
  <c r="P124" i="154"/>
  <c r="O124" i="154"/>
  <c r="Q124" i="154" s="1" a="1"/>
  <c r="Q124" i="154" s="1"/>
  <c r="P123" i="154"/>
  <c r="O123" i="154"/>
  <c r="Q123" i="154" s="1" a="1"/>
  <c r="Q123" i="154" s="1"/>
  <c r="P122" i="154"/>
  <c r="O122" i="154"/>
  <c r="P121" i="154"/>
  <c r="O121" i="154"/>
  <c r="Q121" i="154" s="1" a="1"/>
  <c r="Q121" i="154" s="1"/>
  <c r="P120" i="154"/>
  <c r="O120" i="154"/>
  <c r="P119" i="154"/>
  <c r="O119" i="154"/>
  <c r="P118" i="154"/>
  <c r="O118" i="154"/>
  <c r="P117" i="154"/>
  <c r="O117" i="154"/>
  <c r="P116" i="154"/>
  <c r="O116" i="154"/>
  <c r="Q116" i="154" s="1" a="1"/>
  <c r="Q116" i="154" s="1"/>
  <c r="P115" i="154"/>
  <c r="O115" i="154"/>
  <c r="P114" i="154"/>
  <c r="O114" i="154"/>
  <c r="Q114" i="154" s="1" a="1"/>
  <c r="Q114" i="154" s="1"/>
  <c r="P113" i="154"/>
  <c r="O113" i="154"/>
  <c r="Q113" i="154" s="1" a="1"/>
  <c r="Q113" i="154" s="1"/>
  <c r="P112" i="154"/>
  <c r="O112" i="154"/>
  <c r="Q112" i="154" s="1" a="1"/>
  <c r="Q112" i="154" s="1"/>
  <c r="P111" i="154"/>
  <c r="O111" i="154"/>
  <c r="Q111" i="154" s="1" a="1"/>
  <c r="Q111" i="154" s="1"/>
  <c r="P110" i="154"/>
  <c r="O110" i="154"/>
  <c r="Q110" i="154" s="1" a="1"/>
  <c r="Q110" i="154" s="1"/>
  <c r="Q109" i="154"/>
  <c r="P109" i="154"/>
  <c r="O109" i="154"/>
  <c r="Q109" i="154" s="1" a="1"/>
  <c r="P108" i="154"/>
  <c r="O108" i="154"/>
  <c r="Q108" i="154" s="1" a="1"/>
  <c r="Q108" i="154" s="1"/>
  <c r="P107" i="154"/>
  <c r="O107" i="154"/>
  <c r="Q107" i="154" s="1" a="1"/>
  <c r="Q107" i="154" s="1"/>
  <c r="P106" i="154"/>
  <c r="O106" i="154"/>
  <c r="P105" i="154"/>
  <c r="O105" i="154"/>
  <c r="Q105" i="154" s="1" a="1"/>
  <c r="Q105" i="154" s="1"/>
  <c r="P104" i="154"/>
  <c r="O104" i="154"/>
  <c r="P103" i="154"/>
  <c r="O103" i="154"/>
  <c r="P102" i="154"/>
  <c r="O102" i="154"/>
  <c r="P101" i="154"/>
  <c r="O101" i="154"/>
  <c r="P100" i="154"/>
  <c r="O100" i="154"/>
  <c r="Q100" i="154" s="1" a="1"/>
  <c r="Q100" i="154" s="1"/>
  <c r="P99" i="154"/>
  <c r="O99" i="154"/>
  <c r="P98" i="154"/>
  <c r="O98" i="154"/>
  <c r="Q98" i="154" s="1" a="1"/>
  <c r="Q98" i="154" s="1"/>
  <c r="P97" i="154"/>
  <c r="O97" i="154"/>
  <c r="Q97" i="154" s="1" a="1"/>
  <c r="Q97" i="154" s="1"/>
  <c r="P96" i="154"/>
  <c r="O96" i="154"/>
  <c r="Q96" i="154" s="1" a="1"/>
  <c r="Q96" i="154" s="1"/>
  <c r="P95" i="154"/>
  <c r="O95" i="154"/>
  <c r="Q95" i="154" s="1" a="1"/>
  <c r="Q95" i="154" s="1"/>
  <c r="P94" i="154"/>
  <c r="O94" i="154"/>
  <c r="Q94" i="154" s="1" a="1"/>
  <c r="Q94" i="154" s="1"/>
  <c r="P93" i="154"/>
  <c r="O93" i="154"/>
  <c r="Q93" i="154" s="1" a="1"/>
  <c r="Q93" i="154" s="1"/>
  <c r="P92" i="154"/>
  <c r="O92" i="154"/>
  <c r="Q92" i="154" s="1" a="1"/>
  <c r="Q92" i="154" s="1"/>
  <c r="P91" i="154"/>
  <c r="O91" i="154"/>
  <c r="Q91" i="154" s="1" a="1"/>
  <c r="Q91" i="154" s="1"/>
  <c r="P90" i="154"/>
  <c r="O90" i="154"/>
  <c r="P89" i="154"/>
  <c r="O89" i="154"/>
  <c r="Q89" i="154" s="1" a="1"/>
  <c r="Q89" i="154" s="1"/>
  <c r="P88" i="154"/>
  <c r="O88" i="154"/>
  <c r="P87" i="154"/>
  <c r="O87" i="154"/>
  <c r="P86" i="154"/>
  <c r="O86" i="154"/>
  <c r="P85" i="154"/>
  <c r="O85" i="154"/>
  <c r="P84" i="154"/>
  <c r="O84" i="154"/>
  <c r="Q84" i="154" s="1" a="1"/>
  <c r="Q84" i="154" s="1"/>
  <c r="P83" i="154"/>
  <c r="O83" i="154"/>
  <c r="Q83" i="154" s="1" a="1"/>
  <c r="Q83" i="154" s="1"/>
  <c r="Q82" i="154" a="1"/>
  <c r="Q82" i="154" s="1"/>
  <c r="P82" i="154"/>
  <c r="O82" i="154"/>
  <c r="P81" i="154"/>
  <c r="O81" i="154"/>
  <c r="Q81" i="154" s="1" a="1"/>
  <c r="Q81" i="154" s="1"/>
  <c r="P80" i="154"/>
  <c r="O80" i="154"/>
  <c r="Q80" i="154" s="1" a="1"/>
  <c r="Q80" i="154" s="1"/>
  <c r="Q79" i="154" a="1"/>
  <c r="Q79" i="154" s="1"/>
  <c r="P79" i="154"/>
  <c r="O79" i="154"/>
  <c r="P78" i="154"/>
  <c r="O78" i="154"/>
  <c r="Q78" i="154" s="1" a="1"/>
  <c r="Q78" i="154" s="1"/>
  <c r="P77" i="154"/>
  <c r="Q77" i="154" s="1" a="1"/>
  <c r="Q77" i="154" s="1"/>
  <c r="O77" i="154"/>
  <c r="P76" i="154"/>
  <c r="O76" i="154"/>
  <c r="Q76" i="154" s="1" a="1"/>
  <c r="Q76" i="154" s="1"/>
  <c r="P75" i="154"/>
  <c r="O75" i="154"/>
  <c r="Q75" i="154" s="1" a="1"/>
  <c r="Q75" i="154" s="1"/>
  <c r="P74" i="154"/>
  <c r="O74" i="154"/>
  <c r="Q74" i="154" s="1" a="1"/>
  <c r="Q74" i="154" s="1"/>
  <c r="Q73" i="154" a="1"/>
  <c r="Q73" i="154" s="1"/>
  <c r="P73" i="154"/>
  <c r="O73" i="154"/>
  <c r="Q72" i="154" a="1"/>
  <c r="Q72" i="154" s="1"/>
  <c r="P72" i="154"/>
  <c r="O72" i="154"/>
  <c r="P71" i="154"/>
  <c r="O71" i="154"/>
  <c r="Q71" i="154" s="1" a="1"/>
  <c r="Q71" i="154" s="1"/>
  <c r="P70" i="154"/>
  <c r="Q70" i="154" s="1" a="1"/>
  <c r="Q70" i="154" s="1"/>
  <c r="O70" i="154"/>
  <c r="P69" i="154"/>
  <c r="O69" i="154"/>
  <c r="Q69" i="154" s="1" a="1"/>
  <c r="Q69" i="154" s="1"/>
  <c r="P68" i="154"/>
  <c r="O68" i="154"/>
  <c r="Q68" i="154" s="1" a="1"/>
  <c r="Q68" i="154" s="1"/>
  <c r="P67" i="154"/>
  <c r="O67" i="154"/>
  <c r="Q67" i="154" s="1" a="1"/>
  <c r="Q67" i="154" s="1"/>
  <c r="Q66" i="154" a="1"/>
  <c r="Q66" i="154" s="1"/>
  <c r="P66" i="154"/>
  <c r="O66" i="154"/>
  <c r="P65" i="154"/>
  <c r="Q65" i="154" s="1" a="1"/>
  <c r="Q65" i="154" s="1"/>
  <c r="O65" i="154"/>
  <c r="P64" i="154"/>
  <c r="O64" i="154"/>
  <c r="Q64" i="154" s="1" a="1"/>
  <c r="Q64" i="154" s="1"/>
  <c r="Q63" i="154" a="1"/>
  <c r="Q63" i="154" s="1"/>
  <c r="P63" i="154"/>
  <c r="O63" i="154"/>
  <c r="P62" i="154"/>
  <c r="O62" i="154"/>
  <c r="Q62" i="154" s="1" a="1"/>
  <c r="Q62" i="154" s="1"/>
  <c r="P61" i="154"/>
  <c r="Q61" i="154" s="1" a="1"/>
  <c r="Q61" i="154" s="1"/>
  <c r="O61" i="154"/>
  <c r="P60" i="154"/>
  <c r="O60" i="154"/>
  <c r="Q60" i="154" s="1" a="1"/>
  <c r="Q60" i="154" s="1"/>
  <c r="P59" i="154"/>
  <c r="O59" i="154"/>
  <c r="Q59" i="154" s="1" a="1"/>
  <c r="Q59" i="154" s="1"/>
  <c r="P58" i="154"/>
  <c r="O58" i="154"/>
  <c r="Q58" i="154" s="1" a="1"/>
  <c r="Q58" i="154" s="1"/>
  <c r="Q57" i="154" a="1"/>
  <c r="Q57" i="154" s="1"/>
  <c r="P57" i="154"/>
  <c r="O57" i="154"/>
  <c r="Q56" i="154" a="1"/>
  <c r="Q56" i="154" s="1"/>
  <c r="P56" i="154"/>
  <c r="O56" i="154"/>
  <c r="P55" i="154"/>
  <c r="O55" i="154"/>
  <c r="Q55" i="154" s="1" a="1"/>
  <c r="Q55" i="154" s="1"/>
  <c r="P54" i="154"/>
  <c r="Q54" i="154" s="1" a="1"/>
  <c r="Q54" i="154" s="1"/>
  <c r="O54" i="154"/>
  <c r="P53" i="154"/>
  <c r="O53" i="154"/>
  <c r="Q53" i="154" s="1" a="1"/>
  <c r="Q53" i="154" s="1"/>
  <c r="P52" i="154"/>
  <c r="O52" i="154"/>
  <c r="Q52" i="154" s="1" a="1"/>
  <c r="Q52" i="154" s="1"/>
  <c r="B62" i="155" s="1"/>
  <c r="P51" i="154"/>
  <c r="O51" i="154"/>
  <c r="Q51" i="154" s="1" a="1"/>
  <c r="Q51" i="154" s="1"/>
  <c r="B61" i="155" s="1"/>
  <c r="Q50" i="154" a="1"/>
  <c r="Q50" i="154" s="1"/>
  <c r="B60" i="155" s="1"/>
  <c r="P50" i="154"/>
  <c r="O50" i="154"/>
  <c r="P49" i="154"/>
  <c r="O49" i="154"/>
  <c r="Q49" i="154" s="1" a="1"/>
  <c r="Q49" i="154" s="1"/>
  <c r="B59" i="155" s="1"/>
  <c r="P48" i="154"/>
  <c r="O48" i="154"/>
  <c r="Q48" i="154" s="1" a="1"/>
  <c r="Q48" i="154" s="1"/>
  <c r="B58" i="155" s="1"/>
  <c r="P47" i="154"/>
  <c r="O47" i="154"/>
  <c r="P46" i="154"/>
  <c r="O46" i="154"/>
  <c r="P45" i="154"/>
  <c r="O45" i="154"/>
  <c r="P44" i="154"/>
  <c r="O44" i="154"/>
  <c r="Q44" i="154" s="1" a="1"/>
  <c r="Q44" i="154" s="1"/>
  <c r="B54" i="155" s="1"/>
  <c r="P43" i="154"/>
  <c r="O43" i="154"/>
  <c r="Q43" i="154" s="1" a="1"/>
  <c r="Q43" i="154" s="1"/>
  <c r="B53" i="155" s="1"/>
  <c r="P42" i="154"/>
  <c r="O42" i="154"/>
  <c r="P41" i="154"/>
  <c r="O41" i="154"/>
  <c r="P40" i="154"/>
  <c r="O40" i="154"/>
  <c r="P39" i="154"/>
  <c r="O39" i="154"/>
  <c r="Q39" i="154" s="1" a="1"/>
  <c r="Q39" i="154" s="1"/>
  <c r="B49" i="155" s="1"/>
  <c r="P38" i="154"/>
  <c r="Q38" i="154" s="1" a="1"/>
  <c r="Q38" i="154" s="1"/>
  <c r="B48" i="155" s="1"/>
  <c r="O38" i="154"/>
  <c r="P37" i="154"/>
  <c r="O37" i="154"/>
  <c r="Q37" i="154" s="1" a="1"/>
  <c r="Q37" i="154" s="1"/>
  <c r="B47" i="155" s="1"/>
  <c r="P36" i="154"/>
  <c r="O36" i="154"/>
  <c r="P35" i="154"/>
  <c r="O35" i="154"/>
  <c r="P34" i="154"/>
  <c r="O34" i="154"/>
  <c r="P33" i="154"/>
  <c r="O33" i="154"/>
  <c r="Q33" i="154" s="1" a="1"/>
  <c r="Q33" i="154" s="1"/>
  <c r="B43" i="155" s="1"/>
  <c r="P32" i="154"/>
  <c r="O32" i="154"/>
  <c r="Q32" i="154" s="1" a="1"/>
  <c r="Q32" i="154" s="1"/>
  <c r="B42" i="155" s="1"/>
  <c r="P31" i="154"/>
  <c r="O31" i="154"/>
  <c r="P30" i="154"/>
  <c r="O30" i="154"/>
  <c r="P29" i="154"/>
  <c r="Q29" i="154" s="1" a="1"/>
  <c r="Q29" i="154" s="1"/>
  <c r="B39" i="155" s="1"/>
  <c r="O29" i="154"/>
  <c r="P28" i="154"/>
  <c r="O28" i="154"/>
  <c r="Q28" i="154" s="1" a="1"/>
  <c r="Q28" i="154" s="1"/>
  <c r="B38" i="155" s="1"/>
  <c r="P27" i="154"/>
  <c r="O27" i="154"/>
  <c r="Q27" i="154" s="1" a="1"/>
  <c r="Q27" i="154" s="1"/>
  <c r="B37" i="155" s="1"/>
  <c r="P26" i="154"/>
  <c r="O26" i="154"/>
  <c r="P25" i="154"/>
  <c r="O25" i="154"/>
  <c r="P24" i="154"/>
  <c r="O24" i="154"/>
  <c r="Q24" i="154" s="1" a="1"/>
  <c r="Q24" i="154" s="1"/>
  <c r="B34" i="155" s="1"/>
  <c r="P23" i="154"/>
  <c r="O23" i="154"/>
  <c r="P22" i="154"/>
  <c r="O22" i="154"/>
  <c r="P21" i="154"/>
  <c r="O21" i="154"/>
  <c r="P20" i="154"/>
  <c r="O20" i="154"/>
  <c r="P19" i="154"/>
  <c r="O19" i="154"/>
  <c r="P18" i="154"/>
  <c r="Q18" i="154" s="1" a="1"/>
  <c r="Q18" i="154" s="1"/>
  <c r="B28" i="155" s="1"/>
  <c r="O18" i="154"/>
  <c r="P17" i="154"/>
  <c r="O17" i="154"/>
  <c r="L17" i="154"/>
  <c r="K17" i="154"/>
  <c r="J17" i="154"/>
  <c r="Q47" i="154" s="1" a="1"/>
  <c r="Q47" i="154" s="1"/>
  <c r="B57" i="155" s="1"/>
  <c r="C17" i="154"/>
  <c r="I17" i="154" s="1"/>
  <c r="P16" i="154"/>
  <c r="O16" i="154"/>
  <c r="L16" i="154"/>
  <c r="K16" i="154"/>
  <c r="E16" i="154"/>
  <c r="D16" i="154"/>
  <c r="J16" i="154" s="1"/>
  <c r="C16" i="154"/>
  <c r="I16" i="154" s="1"/>
  <c r="Q41" i="154" s="1" a="1"/>
  <c r="Q41" i="154" s="1"/>
  <c r="B51" i="155" s="1"/>
  <c r="P15" i="154"/>
  <c r="O15" i="154"/>
  <c r="L15" i="154"/>
  <c r="K15" i="154"/>
  <c r="J15" i="154"/>
  <c r="E15" i="154"/>
  <c r="D15" i="154"/>
  <c r="C15" i="154"/>
  <c r="I15" i="154" s="1"/>
  <c r="Q14" i="154" a="1"/>
  <c r="Q14" i="154" s="1"/>
  <c r="B24" i="155" s="1"/>
  <c r="P14" i="154"/>
  <c r="O14" i="154"/>
  <c r="L14" i="154"/>
  <c r="Q34" i="154" s="1" a="1"/>
  <c r="Q34" i="154" s="1"/>
  <c r="B44" i="155" s="1"/>
  <c r="K14" i="154"/>
  <c r="J14" i="154"/>
  <c r="C14" i="154"/>
  <c r="I14" i="154" s="1"/>
  <c r="Q31" i="154" s="1" a="1"/>
  <c r="Q31" i="154" s="1"/>
  <c r="B41" i="155" s="1"/>
  <c r="P13" i="154"/>
  <c r="O13" i="154"/>
  <c r="Q13" i="154" s="1" a="1"/>
  <c r="Q13" i="154" s="1"/>
  <c r="B23" i="155" s="1"/>
  <c r="L13" i="154"/>
  <c r="K13" i="154"/>
  <c r="J13" i="154"/>
  <c r="C13" i="154"/>
  <c r="I13" i="154" s="1"/>
  <c r="P12" i="154"/>
  <c r="O12" i="154"/>
  <c r="Q12" i="154" s="1" a="1"/>
  <c r="Q12" i="154" s="1"/>
  <c r="B22" i="155" s="1"/>
  <c r="L12" i="154"/>
  <c r="K12" i="154"/>
  <c r="Q23" i="154" s="1" a="1"/>
  <c r="Q23" i="154" s="1"/>
  <c r="B33" i="155" s="1"/>
  <c r="E12" i="154"/>
  <c r="D12" i="154"/>
  <c r="J12" i="154" s="1"/>
  <c r="C12" i="154"/>
  <c r="I12" i="154" s="1"/>
  <c r="Q21" i="154" s="1" a="1"/>
  <c r="Q21" i="154" s="1"/>
  <c r="B31" i="155" s="1"/>
  <c r="P11" i="154"/>
  <c r="O11" i="154"/>
  <c r="L11" i="154"/>
  <c r="Q19" i="154" s="1" a="1"/>
  <c r="Q19" i="154" s="1"/>
  <c r="B29" i="155" s="1"/>
  <c r="K11" i="154"/>
  <c r="J11" i="154"/>
  <c r="Q17" i="154" s="1" a="1"/>
  <c r="Q17" i="154" s="1"/>
  <c r="B27" i="155" s="1"/>
  <c r="E11" i="154"/>
  <c r="D11" i="154"/>
  <c r="C11" i="154"/>
  <c r="I11" i="154" s="1"/>
  <c r="P10" i="154"/>
  <c r="O10" i="154"/>
  <c r="L10" i="154"/>
  <c r="J10" i="154"/>
  <c r="E10" i="154"/>
  <c r="K10" i="154" s="1"/>
  <c r="D10" i="154"/>
  <c r="C10" i="154"/>
  <c r="I10" i="154" s="1"/>
  <c r="B10" i="154"/>
  <c r="B16" i="154" s="1"/>
  <c r="H16" i="154" s="1"/>
  <c r="Q40" i="154" s="1" a="1"/>
  <c r="Q40" i="154" s="1"/>
  <c r="B50" i="155" s="1"/>
  <c r="C87" i="153"/>
  <c r="C86" i="153"/>
  <c r="C2" i="153"/>
  <c r="C1" i="153"/>
  <c r="E20" i="152"/>
  <c r="C106" i="153" s="1"/>
  <c r="E19" i="152"/>
  <c r="C105" i="153" s="1"/>
  <c r="E13" i="152"/>
  <c r="C99" i="153" s="1"/>
  <c r="E12" i="152"/>
  <c r="C98" i="153" s="1"/>
  <c r="E11" i="152"/>
  <c r="C97" i="153" s="1"/>
  <c r="E9" i="152"/>
  <c r="C95" i="153" s="1"/>
  <c r="B9" i="152"/>
  <c r="C7" i="152" s="1"/>
  <c r="E7" i="152" s="1"/>
  <c r="C92" i="153" s="1"/>
  <c r="E8" i="152"/>
  <c r="C93" i="153" s="1"/>
  <c r="E6" i="152"/>
  <c r="C91" i="153" s="1"/>
  <c r="E5" i="152"/>
  <c r="C90" i="153" s="1"/>
  <c r="E4" i="152"/>
  <c r="C89" i="153" s="1"/>
  <c r="E3" i="152"/>
  <c r="C88" i="153" s="1"/>
  <c r="J8" i="151"/>
  <c r="C8" i="153" s="1"/>
  <c r="J7" i="151"/>
  <c r="C7" i="153" s="1"/>
  <c r="J6" i="151"/>
  <c r="C6" i="153" s="1"/>
  <c r="J5" i="151"/>
  <c r="C5" i="153" s="1"/>
  <c r="J4" i="151"/>
  <c r="C4" i="153" s="1"/>
  <c r="J3" i="151"/>
  <c r="C3" i="153"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J11" i="148"/>
  <c r="J12" i="148"/>
  <c r="J13" i="148"/>
  <c r="J14" i="148"/>
  <c r="J15" i="148"/>
  <c r="J16" i="148"/>
  <c r="J17" i="148"/>
  <c r="J10" i="148"/>
  <c r="D10" i="148"/>
  <c r="D11" i="148"/>
  <c r="D12" i="148"/>
  <c r="D15" i="148"/>
  <c r="D16" i="148"/>
  <c r="H11" i="148"/>
  <c r="H12" i="148"/>
  <c r="H13" i="148"/>
  <c r="H14" i="148"/>
  <c r="H15" i="148"/>
  <c r="H16" i="148"/>
  <c r="H17" i="148"/>
  <c r="H10" i="148"/>
  <c r="E15" i="148"/>
  <c r="E12" i="148"/>
  <c r="E11" i="148"/>
  <c r="E10" i="148"/>
  <c r="E16" i="148"/>
  <c r="B12" i="148"/>
  <c r="C12" i="148"/>
  <c r="B13" i="148"/>
  <c r="C13" i="148"/>
  <c r="B14" i="148"/>
  <c r="C14" i="148"/>
  <c r="B15" i="148"/>
  <c r="C15" i="148"/>
  <c r="I15" i="148" s="1"/>
  <c r="B16" i="148"/>
  <c r="C16" i="148"/>
  <c r="B17" i="148"/>
  <c r="C17" i="148"/>
  <c r="Q56" i="148" a="1"/>
  <c r="Q56" i="148" s="1"/>
  <c r="C11" i="148"/>
  <c r="C10" i="148"/>
  <c r="B11" i="148"/>
  <c r="B10" i="148"/>
  <c r="K14" i="148"/>
  <c r="Q184" i="148" a="1"/>
  <c r="Q184" i="148" s="1"/>
  <c r="P184" i="148"/>
  <c r="O184" i="148"/>
  <c r="P183" i="148"/>
  <c r="O183" i="148"/>
  <c r="Q183" i="148" s="1" a="1"/>
  <c r="Q183" i="148" s="1"/>
  <c r="Q182" i="148" a="1"/>
  <c r="Q182" i="148" s="1"/>
  <c r="P182" i="148"/>
  <c r="O182" i="148"/>
  <c r="P181" i="148"/>
  <c r="O181" i="148"/>
  <c r="Q181" i="148" s="1" a="1"/>
  <c r="Q181" i="148" s="1"/>
  <c r="P180" i="148"/>
  <c r="O180" i="148"/>
  <c r="Q180" i="148" s="1" a="1"/>
  <c r="Q180" i="148" s="1"/>
  <c r="P179" i="148"/>
  <c r="Q179" i="148" s="1" a="1"/>
  <c r="Q179" i="148" s="1"/>
  <c r="O179" i="148"/>
  <c r="P178" i="148"/>
  <c r="Q178" i="148" s="1" a="1"/>
  <c r="Q178" i="148" s="1"/>
  <c r="O178" i="148"/>
  <c r="P177" i="148"/>
  <c r="Q177" i="148" s="1" a="1"/>
  <c r="Q177" i="148" s="1"/>
  <c r="O177" i="148"/>
  <c r="Q176" i="148" a="1"/>
  <c r="Q176" i="148" s="1"/>
  <c r="P176" i="148"/>
  <c r="O176" i="148"/>
  <c r="P175" i="148"/>
  <c r="O175" i="148"/>
  <c r="Q175" i="148" s="1" a="1"/>
  <c r="Q175" i="148" s="1"/>
  <c r="Q174" i="148" a="1"/>
  <c r="Q174" i="148" s="1"/>
  <c r="P174" i="148"/>
  <c r="O174" i="148"/>
  <c r="P173" i="148"/>
  <c r="O173" i="148"/>
  <c r="Q173" i="148" s="1" a="1"/>
  <c r="Q173" i="148" s="1"/>
  <c r="P172" i="148"/>
  <c r="O172" i="148"/>
  <c r="Q172" i="148" s="1" a="1"/>
  <c r="Q172" i="148" s="1"/>
  <c r="P171" i="148"/>
  <c r="Q171" i="148" s="1" a="1"/>
  <c r="Q171" i="148" s="1"/>
  <c r="O171" i="148"/>
  <c r="P170" i="148"/>
  <c r="Q170" i="148" s="1" a="1"/>
  <c r="Q170" i="148" s="1"/>
  <c r="O170" i="148"/>
  <c r="P169" i="148"/>
  <c r="Q169" i="148" s="1" a="1"/>
  <c r="Q169" i="148" s="1"/>
  <c r="O169" i="148"/>
  <c r="Q168" i="148" a="1"/>
  <c r="Q168" i="148" s="1"/>
  <c r="P168" i="148"/>
  <c r="O168" i="148"/>
  <c r="P167" i="148"/>
  <c r="O167" i="148"/>
  <c r="Q167" i="148" s="1" a="1"/>
  <c r="Q167" i="148" s="1"/>
  <c r="Q166" i="148" a="1"/>
  <c r="Q166" i="148" s="1"/>
  <c r="P166" i="148"/>
  <c r="O166" i="148"/>
  <c r="P165" i="148"/>
  <c r="O165" i="148"/>
  <c r="Q165" i="148" s="1" a="1"/>
  <c r="Q165" i="148" s="1"/>
  <c r="P164" i="148"/>
  <c r="O164" i="148"/>
  <c r="Q164" i="148" s="1" a="1"/>
  <c r="Q164" i="148" s="1"/>
  <c r="P163" i="148"/>
  <c r="Q163" i="148" s="1" a="1"/>
  <c r="Q163" i="148" s="1"/>
  <c r="O163" i="148"/>
  <c r="P162" i="148"/>
  <c r="Q162" i="148" s="1" a="1"/>
  <c r="Q162" i="148" s="1"/>
  <c r="O162" i="148"/>
  <c r="P161" i="148"/>
  <c r="Q161" i="148" s="1" a="1"/>
  <c r="Q161" i="148" s="1"/>
  <c r="O161" i="148"/>
  <c r="Q160" i="148" a="1"/>
  <c r="Q160" i="148" s="1"/>
  <c r="P160" i="148"/>
  <c r="O160" i="148"/>
  <c r="P159" i="148"/>
  <c r="O159" i="148"/>
  <c r="Q159" i="148" s="1" a="1"/>
  <c r="Q159" i="148" s="1"/>
  <c r="Q158" i="148" a="1"/>
  <c r="Q158" i="148" s="1"/>
  <c r="P158" i="148"/>
  <c r="O158" i="148"/>
  <c r="P157" i="148"/>
  <c r="O157" i="148"/>
  <c r="Q157" i="148" s="1" a="1"/>
  <c r="Q157" i="148" s="1"/>
  <c r="P156" i="148"/>
  <c r="O156" i="148"/>
  <c r="Q156" i="148" s="1" a="1"/>
  <c r="Q156" i="148" s="1"/>
  <c r="P155" i="148"/>
  <c r="Q155" i="148" s="1" a="1"/>
  <c r="Q155" i="148" s="1"/>
  <c r="O155" i="148"/>
  <c r="P154" i="148"/>
  <c r="O154" i="148"/>
  <c r="Q154" i="148" s="1" a="1"/>
  <c r="Q154" i="148" s="1"/>
  <c r="P153" i="148"/>
  <c r="Q153" i="148" s="1" a="1"/>
  <c r="Q153" i="148" s="1"/>
  <c r="O153" i="148"/>
  <c r="Q152" i="148" a="1"/>
  <c r="Q152" i="148" s="1"/>
  <c r="P152" i="148"/>
  <c r="O152" i="148"/>
  <c r="P151" i="148"/>
  <c r="O151" i="148"/>
  <c r="Q151" i="148" s="1" a="1"/>
  <c r="Q151" i="148" s="1"/>
  <c r="Q150" i="148" a="1"/>
  <c r="Q150" i="148" s="1"/>
  <c r="P150" i="148"/>
  <c r="O150" i="148"/>
  <c r="P149" i="148"/>
  <c r="O149" i="148"/>
  <c r="Q149" i="148" s="1" a="1"/>
  <c r="Q149" i="148" s="1"/>
  <c r="P148" i="148"/>
  <c r="O148" i="148"/>
  <c r="Q148" i="148" s="1" a="1"/>
  <c r="Q148" i="148" s="1"/>
  <c r="P147" i="148"/>
  <c r="Q147" i="148" s="1" a="1"/>
  <c r="Q147" i="148" s="1"/>
  <c r="O147" i="148"/>
  <c r="P146" i="148"/>
  <c r="O146" i="148"/>
  <c r="Q146" i="148" s="1" a="1"/>
  <c r="Q146" i="148" s="1"/>
  <c r="P145" i="148"/>
  <c r="Q145" i="148" s="1" a="1"/>
  <c r="Q145" i="148" s="1"/>
  <c r="O145" i="148"/>
  <c r="Q144" i="148" a="1"/>
  <c r="Q144" i="148" s="1"/>
  <c r="P144" i="148"/>
  <c r="O144" i="148"/>
  <c r="P143" i="148"/>
  <c r="O143" i="148"/>
  <c r="Q143" i="148" s="1" a="1"/>
  <c r="Q143" i="148" s="1"/>
  <c r="Q142" i="148" a="1"/>
  <c r="Q142" i="148" s="1"/>
  <c r="P142" i="148"/>
  <c r="O142" i="148"/>
  <c r="P141" i="148"/>
  <c r="O141" i="148"/>
  <c r="Q141" i="148" s="1" a="1"/>
  <c r="Q141" i="148" s="1"/>
  <c r="P140" i="148"/>
  <c r="O140" i="148"/>
  <c r="Q140" i="148" s="1" a="1"/>
  <c r="Q140" i="148" s="1"/>
  <c r="P139" i="148"/>
  <c r="Q139" i="148" s="1" a="1"/>
  <c r="Q139" i="148" s="1"/>
  <c r="O139" i="148"/>
  <c r="P138" i="148"/>
  <c r="O138" i="148"/>
  <c r="Q138" i="148" s="1" a="1"/>
  <c r="Q138" i="148" s="1"/>
  <c r="P137" i="148"/>
  <c r="Q137" i="148" s="1" a="1"/>
  <c r="Q137" i="148" s="1"/>
  <c r="O137" i="148"/>
  <c r="Q136" i="148" a="1"/>
  <c r="Q136" i="148" s="1"/>
  <c r="P136" i="148"/>
  <c r="O136" i="148"/>
  <c r="P135" i="148"/>
  <c r="O135" i="148"/>
  <c r="Q135" i="148" s="1" a="1"/>
  <c r="Q135" i="148" s="1"/>
  <c r="Q134" i="148" a="1"/>
  <c r="Q134" i="148" s="1"/>
  <c r="P134" i="148"/>
  <c r="O134" i="148"/>
  <c r="P133" i="148"/>
  <c r="O133" i="148"/>
  <c r="Q133" i="148" s="1" a="1"/>
  <c r="Q133" i="148" s="1"/>
  <c r="P132" i="148"/>
  <c r="O132" i="148"/>
  <c r="Q132" i="148" s="1" a="1"/>
  <c r="Q132" i="148" s="1"/>
  <c r="P131" i="148"/>
  <c r="O131" i="148"/>
  <c r="Q131" i="148" s="1" a="1"/>
  <c r="Q131" i="148" s="1"/>
  <c r="P130" i="148"/>
  <c r="O130" i="148"/>
  <c r="Q130" i="148" s="1" a="1"/>
  <c r="Q130" i="148" s="1"/>
  <c r="P129" i="148"/>
  <c r="Q129" i="148" s="1" a="1"/>
  <c r="Q129" i="148" s="1"/>
  <c r="O129" i="148"/>
  <c r="Q128" i="148" a="1"/>
  <c r="Q128" i="148" s="1"/>
  <c r="P128" i="148"/>
  <c r="O128" i="148"/>
  <c r="P127" i="148"/>
  <c r="O127" i="148"/>
  <c r="Q127" i="148" s="1" a="1"/>
  <c r="Q127" i="148" s="1"/>
  <c r="Q126" i="148" a="1"/>
  <c r="Q126" i="148" s="1"/>
  <c r="P126" i="148"/>
  <c r="O126" i="148"/>
  <c r="P125" i="148"/>
  <c r="O125" i="148"/>
  <c r="Q125" i="148" s="1" a="1"/>
  <c r="Q125" i="148" s="1"/>
  <c r="P124" i="148"/>
  <c r="O124" i="148"/>
  <c r="Q124" i="148" s="1" a="1"/>
  <c r="Q124" i="148" s="1"/>
  <c r="P123" i="148"/>
  <c r="O123" i="148"/>
  <c r="Q123" i="148" s="1" a="1"/>
  <c r="Q123" i="148" s="1"/>
  <c r="P122" i="148"/>
  <c r="O122" i="148"/>
  <c r="Q122" i="148" s="1" a="1"/>
  <c r="Q122" i="148" s="1"/>
  <c r="P121" i="148"/>
  <c r="Q121" i="148" s="1" a="1"/>
  <c r="Q121" i="148" s="1"/>
  <c r="O121" i="148"/>
  <c r="Q120" i="148" a="1"/>
  <c r="Q120" i="148" s="1"/>
  <c r="P120" i="148"/>
  <c r="O120" i="148"/>
  <c r="P119" i="148"/>
  <c r="O119" i="148"/>
  <c r="Q119" i="148" s="1" a="1"/>
  <c r="Q119" i="148" s="1"/>
  <c r="Q118" i="148" a="1"/>
  <c r="Q118" i="148" s="1"/>
  <c r="P118" i="148"/>
  <c r="O118" i="148"/>
  <c r="P117" i="148"/>
  <c r="O117" i="148"/>
  <c r="Q117" i="148" s="1" a="1"/>
  <c r="Q117" i="148" s="1"/>
  <c r="P116" i="148"/>
  <c r="O116" i="148"/>
  <c r="Q116" i="148" s="1" a="1"/>
  <c r="Q116" i="148" s="1"/>
  <c r="P115" i="148"/>
  <c r="O115" i="148"/>
  <c r="Q115" i="148" s="1" a="1"/>
  <c r="Q115" i="148" s="1"/>
  <c r="P114" i="148"/>
  <c r="O114" i="148"/>
  <c r="Q114" i="148" s="1" a="1"/>
  <c r="Q114" i="148" s="1"/>
  <c r="P113" i="148"/>
  <c r="Q113" i="148" s="1" a="1"/>
  <c r="Q113" i="148" s="1"/>
  <c r="O113" i="148"/>
  <c r="Q112" i="148" a="1"/>
  <c r="Q112" i="148" s="1"/>
  <c r="P112" i="148"/>
  <c r="O112" i="148"/>
  <c r="P111" i="148"/>
  <c r="O111" i="148"/>
  <c r="Q111" i="148" s="1" a="1"/>
  <c r="Q111" i="148" s="1"/>
  <c r="Q110" i="148" a="1"/>
  <c r="Q110" i="148" s="1"/>
  <c r="P110" i="148"/>
  <c r="O110" i="148"/>
  <c r="P109" i="148"/>
  <c r="O109" i="148"/>
  <c r="Q109" i="148" s="1" a="1"/>
  <c r="Q109" i="148" s="1"/>
  <c r="P108" i="148"/>
  <c r="O108" i="148"/>
  <c r="Q108" i="148" s="1" a="1"/>
  <c r="Q108" i="148" s="1"/>
  <c r="P107" i="148"/>
  <c r="O107" i="148"/>
  <c r="Q107" i="148" s="1" a="1"/>
  <c r="Q107" i="148" s="1"/>
  <c r="P106" i="148"/>
  <c r="O106" i="148"/>
  <c r="Q106" i="148" s="1" a="1"/>
  <c r="Q106" i="148" s="1"/>
  <c r="P105" i="148"/>
  <c r="Q105" i="148" s="1" a="1"/>
  <c r="Q105" i="148" s="1"/>
  <c r="O105" i="148"/>
  <c r="Q104" i="148" a="1"/>
  <c r="Q104" i="148" s="1"/>
  <c r="P104" i="148"/>
  <c r="O104" i="148"/>
  <c r="P103" i="148"/>
  <c r="O103" i="148"/>
  <c r="Q103" i="148" s="1" a="1"/>
  <c r="Q103" i="148" s="1"/>
  <c r="Q102" i="148" a="1"/>
  <c r="Q102" i="148" s="1"/>
  <c r="P102" i="148"/>
  <c r="O102" i="148"/>
  <c r="P101" i="148"/>
  <c r="O101" i="148"/>
  <c r="Q101" i="148" s="1" a="1"/>
  <c r="Q101" i="148" s="1"/>
  <c r="P100" i="148"/>
  <c r="O100" i="148"/>
  <c r="Q100" i="148" s="1" a="1"/>
  <c r="Q100" i="148" s="1"/>
  <c r="P99" i="148"/>
  <c r="O99" i="148"/>
  <c r="Q99" i="148" s="1" a="1"/>
  <c r="Q99" i="148" s="1"/>
  <c r="P98" i="148"/>
  <c r="O98" i="148"/>
  <c r="Q98" i="148" s="1" a="1"/>
  <c r="Q98" i="148" s="1"/>
  <c r="P97" i="148"/>
  <c r="Q97" i="148" s="1" a="1"/>
  <c r="Q97" i="148" s="1"/>
  <c r="O97" i="148"/>
  <c r="Q96" i="148" a="1"/>
  <c r="Q96" i="148" s="1"/>
  <c r="P96" i="148"/>
  <c r="O96" i="148"/>
  <c r="P95" i="148"/>
  <c r="O95" i="148"/>
  <c r="Q95" i="148" s="1" a="1"/>
  <c r="Q95" i="148" s="1"/>
  <c r="Q94" i="148" a="1"/>
  <c r="Q94" i="148" s="1"/>
  <c r="P94" i="148"/>
  <c r="O94" i="148"/>
  <c r="P93" i="148"/>
  <c r="O93" i="148"/>
  <c r="Q93" i="148" s="1" a="1"/>
  <c r="Q93" i="148" s="1"/>
  <c r="P92" i="148"/>
  <c r="O92" i="148"/>
  <c r="Q92" i="148" s="1" a="1"/>
  <c r="Q92" i="148" s="1"/>
  <c r="P91" i="148"/>
  <c r="O91" i="148"/>
  <c r="Q91" i="148" s="1" a="1"/>
  <c r="Q91" i="148" s="1"/>
  <c r="P90" i="148"/>
  <c r="O90" i="148"/>
  <c r="Q90" i="148" s="1" a="1"/>
  <c r="Q90" i="148" s="1"/>
  <c r="P89" i="148"/>
  <c r="Q89" i="148" s="1" a="1"/>
  <c r="Q89" i="148" s="1"/>
  <c r="O89" i="148"/>
  <c r="Q88" i="148" a="1"/>
  <c r="Q88" i="148" s="1"/>
  <c r="P88" i="148"/>
  <c r="O88" i="148"/>
  <c r="P87" i="148"/>
  <c r="O87" i="148"/>
  <c r="Q87" i="148" s="1" a="1"/>
  <c r="Q87" i="148" s="1"/>
  <c r="Q86" i="148" a="1"/>
  <c r="Q86" i="148" s="1"/>
  <c r="P86" i="148"/>
  <c r="O86" i="148"/>
  <c r="P85" i="148"/>
  <c r="O85" i="148"/>
  <c r="Q85" i="148" s="1" a="1"/>
  <c r="Q85" i="148" s="1"/>
  <c r="P84" i="148"/>
  <c r="O84" i="148"/>
  <c r="Q84" i="148" s="1" a="1"/>
  <c r="Q84" i="148" s="1"/>
  <c r="P83" i="148"/>
  <c r="O83" i="148"/>
  <c r="Q83" i="148" s="1" a="1"/>
  <c r="Q83" i="148" s="1"/>
  <c r="P82" i="148"/>
  <c r="O82" i="148"/>
  <c r="Q82" i="148" s="1" a="1"/>
  <c r="Q82" i="148" s="1"/>
  <c r="P81" i="148"/>
  <c r="Q81" i="148" s="1" a="1"/>
  <c r="Q81" i="148" s="1"/>
  <c r="O81" i="148"/>
  <c r="Q80" i="148" a="1"/>
  <c r="Q80" i="148" s="1"/>
  <c r="P80" i="148"/>
  <c r="O80" i="148"/>
  <c r="P79" i="148"/>
  <c r="O79" i="148"/>
  <c r="Q79" i="148" s="1" a="1"/>
  <c r="Q79" i="148" s="1"/>
  <c r="Q78" i="148" a="1"/>
  <c r="Q78" i="148" s="1"/>
  <c r="P78" i="148"/>
  <c r="O78" i="148"/>
  <c r="P77" i="148"/>
  <c r="O77" i="148"/>
  <c r="Q77" i="148" s="1" a="1"/>
  <c r="Q77" i="148" s="1"/>
  <c r="P76" i="148"/>
  <c r="O76" i="148"/>
  <c r="Q76" i="148" s="1" a="1"/>
  <c r="Q76" i="148" s="1"/>
  <c r="P75" i="148"/>
  <c r="O75" i="148"/>
  <c r="Q75" i="148" s="1" a="1"/>
  <c r="Q75" i="148" s="1"/>
  <c r="P74" i="148"/>
  <c r="O74" i="148"/>
  <c r="Q74" i="148" s="1" a="1"/>
  <c r="Q74" i="148" s="1"/>
  <c r="P73" i="148"/>
  <c r="Q73" i="148" s="1" a="1"/>
  <c r="Q73" i="148" s="1"/>
  <c r="O73" i="148"/>
  <c r="Q72" i="148" a="1"/>
  <c r="Q72" i="148" s="1"/>
  <c r="P72" i="148"/>
  <c r="O72" i="148"/>
  <c r="P71" i="148"/>
  <c r="O71" i="148"/>
  <c r="Q71" i="148" s="1" a="1"/>
  <c r="Q71" i="148" s="1"/>
  <c r="Q70" i="148" a="1"/>
  <c r="Q70" i="148" s="1"/>
  <c r="P70" i="148"/>
  <c r="O70" i="148"/>
  <c r="P69" i="148"/>
  <c r="O69" i="148"/>
  <c r="Q69" i="148" s="1" a="1"/>
  <c r="Q69" i="148" s="1"/>
  <c r="P68" i="148"/>
  <c r="O68" i="148"/>
  <c r="Q68" i="148" s="1" a="1"/>
  <c r="Q68" i="148" s="1"/>
  <c r="P67" i="148"/>
  <c r="O67" i="148"/>
  <c r="Q67" i="148" s="1" a="1"/>
  <c r="Q67" i="148" s="1"/>
  <c r="P66" i="148"/>
  <c r="O66" i="148"/>
  <c r="Q66" i="148" s="1" a="1"/>
  <c r="Q66" i="148" s="1"/>
  <c r="P65" i="148"/>
  <c r="Q65" i="148" s="1" a="1"/>
  <c r="Q65" i="148" s="1"/>
  <c r="O65" i="148"/>
  <c r="P64" i="148"/>
  <c r="O64" i="148"/>
  <c r="P63" i="148"/>
  <c r="O63" i="148"/>
  <c r="P62" i="148"/>
  <c r="O62" i="148"/>
  <c r="P61" i="148"/>
  <c r="O61" i="148"/>
  <c r="P60" i="148"/>
  <c r="O60" i="148"/>
  <c r="P59" i="148"/>
  <c r="O59" i="148"/>
  <c r="Q59" i="148" s="1" a="1"/>
  <c r="Q59" i="148" s="1"/>
  <c r="P58" i="148"/>
  <c r="O58" i="148"/>
  <c r="P57" i="148"/>
  <c r="O57" i="148"/>
  <c r="P56" i="148"/>
  <c r="O56" i="148"/>
  <c r="P55" i="148"/>
  <c r="O55" i="148"/>
  <c r="P54" i="148"/>
  <c r="O54" i="148"/>
  <c r="P53" i="148"/>
  <c r="O53" i="148"/>
  <c r="P52" i="148"/>
  <c r="O52" i="148"/>
  <c r="P51" i="148"/>
  <c r="O51" i="148"/>
  <c r="P50" i="148"/>
  <c r="O50" i="148"/>
  <c r="P49" i="148"/>
  <c r="Q49" i="148" s="1" a="1"/>
  <c r="Q49" i="148" s="1"/>
  <c r="B59" i="149" s="1"/>
  <c r="O49" i="148"/>
  <c r="P48" i="148"/>
  <c r="O48" i="148"/>
  <c r="P47" i="148"/>
  <c r="O47" i="148"/>
  <c r="P46" i="148"/>
  <c r="O46" i="148"/>
  <c r="P45" i="148"/>
  <c r="O45" i="148"/>
  <c r="P44" i="148"/>
  <c r="O44" i="148"/>
  <c r="P43" i="148"/>
  <c r="O43" i="148"/>
  <c r="P42" i="148"/>
  <c r="O42" i="148"/>
  <c r="P41" i="148"/>
  <c r="O41" i="148"/>
  <c r="P40" i="148"/>
  <c r="O40" i="148"/>
  <c r="P39" i="148"/>
  <c r="O39" i="148"/>
  <c r="Q39" i="148" s="1" a="1"/>
  <c r="Q39" i="148" s="1"/>
  <c r="B49" i="149" s="1"/>
  <c r="P38" i="148"/>
  <c r="O38" i="148"/>
  <c r="P37" i="148"/>
  <c r="O37" i="148"/>
  <c r="P36" i="148"/>
  <c r="O36" i="148"/>
  <c r="P35" i="148"/>
  <c r="O35" i="148"/>
  <c r="P34" i="148"/>
  <c r="O34" i="148"/>
  <c r="P33" i="148"/>
  <c r="O33" i="148"/>
  <c r="P32" i="148"/>
  <c r="O32" i="148"/>
  <c r="P31" i="148"/>
  <c r="O31" i="148"/>
  <c r="P30" i="148"/>
  <c r="O30" i="148"/>
  <c r="P29" i="148"/>
  <c r="O29" i="148"/>
  <c r="Q29" i="148" s="1" a="1"/>
  <c r="Q29" i="148" s="1"/>
  <c r="B39" i="149" s="1"/>
  <c r="P28" i="148"/>
  <c r="O28" i="148"/>
  <c r="P27" i="148"/>
  <c r="O27" i="148"/>
  <c r="P26" i="148"/>
  <c r="O26" i="148"/>
  <c r="P25" i="148"/>
  <c r="O25" i="148"/>
  <c r="P24" i="148"/>
  <c r="O24" i="148"/>
  <c r="P23" i="148"/>
  <c r="O23" i="148"/>
  <c r="P22" i="148"/>
  <c r="O22" i="148"/>
  <c r="P21" i="148"/>
  <c r="O21" i="148"/>
  <c r="Q21" i="148" s="1" a="1"/>
  <c r="Q21" i="148" s="1"/>
  <c r="B31" i="149" s="1"/>
  <c r="P20" i="148"/>
  <c r="O20" i="148"/>
  <c r="Q64" i="148" a="1"/>
  <c r="Q64" i="148" s="1"/>
  <c r="Q62" i="148" a="1"/>
  <c r="Q62" i="148" s="1"/>
  <c r="P19" i="148"/>
  <c r="O19" i="148"/>
  <c r="P18" i="148"/>
  <c r="O18" i="148"/>
  <c r="Q54" i="148" a="1"/>
  <c r="Q54" i="148" s="1"/>
  <c r="P17" i="148"/>
  <c r="O17" i="148"/>
  <c r="L17" i="148"/>
  <c r="K17" i="148"/>
  <c r="Q48" i="148" s="1" a="1"/>
  <c r="Q48" i="148" s="1"/>
  <c r="B58" i="149" s="1"/>
  <c r="I17" i="148"/>
  <c r="Q46" i="148" s="1" a="1"/>
  <c r="Q46" i="148" s="1"/>
  <c r="B56" i="149" s="1"/>
  <c r="P16" i="148"/>
  <c r="O16" i="148"/>
  <c r="L16" i="148"/>
  <c r="K16" i="148"/>
  <c r="I16" i="148"/>
  <c r="P15" i="148"/>
  <c r="O15" i="148"/>
  <c r="L15" i="148"/>
  <c r="K15" i="148"/>
  <c r="Q38" i="148" s="1" a="1"/>
  <c r="Q38" i="148" s="1"/>
  <c r="B48" i="149" s="1"/>
  <c r="P14" i="148"/>
  <c r="O14" i="148"/>
  <c r="Q14" i="148" s="1" a="1"/>
  <c r="Q14" i="148" s="1"/>
  <c r="B24" i="149" s="1"/>
  <c r="L14" i="148"/>
  <c r="I14" i="148"/>
  <c r="Q30" i="148" a="1"/>
  <c r="Q30" i="148" s="1"/>
  <c r="B40" i="149" s="1"/>
  <c r="P13" i="148"/>
  <c r="O13" i="148"/>
  <c r="L13" i="148"/>
  <c r="K13" i="148"/>
  <c r="I13" i="148"/>
  <c r="P12" i="148"/>
  <c r="O12" i="148"/>
  <c r="L12" i="148"/>
  <c r="K12" i="148"/>
  <c r="I12" i="148"/>
  <c r="Q11" i="148" a="1"/>
  <c r="Q11" i="148" s="1"/>
  <c r="B21" i="149" s="1"/>
  <c r="P11" i="148"/>
  <c r="O11" i="148"/>
  <c r="L11" i="148"/>
  <c r="Q19" i="148" s="1" a="1"/>
  <c r="Q19" i="148" s="1"/>
  <c r="B29" i="149" s="1"/>
  <c r="K11" i="148"/>
  <c r="I11" i="148"/>
  <c r="Q16" i="148" s="1" a="1"/>
  <c r="Q16" i="148" s="1"/>
  <c r="B26" i="149" s="1"/>
  <c r="P10" i="148"/>
  <c r="O10" i="148"/>
  <c r="L10" i="148"/>
  <c r="K10" i="148"/>
  <c r="Q12" i="148" a="1"/>
  <c r="Q12" i="148" s="1"/>
  <c r="B22" i="149" s="1"/>
  <c r="I10" i="148"/>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31" i="156" l="1"/>
  <c r="C72" i="158" s="1"/>
  <c r="C10" i="158"/>
  <c r="C18" i="158"/>
  <c r="L11" i="156"/>
  <c r="C52" i="158" s="1"/>
  <c r="C12" i="158"/>
  <c r="L19" i="156"/>
  <c r="C60" i="158" s="1"/>
  <c r="C20" i="158"/>
  <c r="C26" i="158"/>
  <c r="L27" i="156"/>
  <c r="C68" i="158" s="1"/>
  <c r="C28" i="158"/>
  <c r="C34" i="158"/>
  <c r="L35" i="156"/>
  <c r="C76" i="158" s="1"/>
  <c r="C36" i="158"/>
  <c r="L8" i="156"/>
  <c r="C49" i="158" s="1"/>
  <c r="L16" i="156"/>
  <c r="C57" i="158" s="1"/>
  <c r="L24" i="156"/>
  <c r="C65" i="158" s="1"/>
  <c r="L32" i="156"/>
  <c r="C73" i="158" s="1"/>
  <c r="L40" i="156"/>
  <c r="C81" i="158" s="1"/>
  <c r="L9" i="156"/>
  <c r="C50" i="158" s="1"/>
  <c r="L17" i="156"/>
  <c r="C58" i="158" s="1"/>
  <c r="L25" i="156"/>
  <c r="C66" i="158" s="1"/>
  <c r="L37" i="156"/>
  <c r="C78" i="158" s="1"/>
  <c r="C14" i="158"/>
  <c r="C22" i="158"/>
  <c r="C30" i="158"/>
  <c r="C38" i="158"/>
  <c r="L13" i="156"/>
  <c r="C54" i="158" s="1"/>
  <c r="L21" i="156"/>
  <c r="C62" i="158" s="1"/>
  <c r="L29" i="156"/>
  <c r="C70" i="158" s="1"/>
  <c r="L33" i="156"/>
  <c r="C74" i="158" s="1"/>
  <c r="L41" i="156"/>
  <c r="C82" i="158" s="1"/>
  <c r="H10" i="154"/>
  <c r="Q10" i="154" s="1" a="1"/>
  <c r="Q10" i="154" s="1"/>
  <c r="B20" i="155" s="1"/>
  <c r="Q11" i="154" a="1"/>
  <c r="Q11" i="154" s="1"/>
  <c r="B21" i="155" s="1"/>
  <c r="Q36" i="154" a="1"/>
  <c r="Q36" i="154" s="1"/>
  <c r="B46" i="155" s="1"/>
  <c r="Q16" i="154" a="1"/>
  <c r="Q16" i="154" s="1"/>
  <c r="B26" i="155" s="1"/>
  <c r="Q22" i="154" a="1"/>
  <c r="Q22" i="154" s="1"/>
  <c r="B32" i="155" s="1"/>
  <c r="Q26" i="154" a="1"/>
  <c r="Q26" i="154" s="1"/>
  <c r="B36" i="155" s="1"/>
  <c r="Q46" i="154" a="1"/>
  <c r="Q46" i="154" s="1"/>
  <c r="B56" i="155" s="1"/>
  <c r="Q42" i="154" a="1"/>
  <c r="Q42" i="154" s="1"/>
  <c r="B52" i="155" s="1"/>
  <c r="Q87" i="154" a="1"/>
  <c r="Q87" i="154" s="1"/>
  <c r="Q90" i="154" a="1"/>
  <c r="Q90" i="154" s="1"/>
  <c r="Q103" i="154" a="1"/>
  <c r="Q103" i="154" s="1"/>
  <c r="Q106" i="154" a="1"/>
  <c r="Q106" i="154" s="1"/>
  <c r="Q119" i="154" a="1"/>
  <c r="Q119" i="154" s="1"/>
  <c r="Q122" i="154" a="1"/>
  <c r="Q122" i="154" s="1"/>
  <c r="B11" i="154"/>
  <c r="H11" i="154" s="1"/>
  <c r="Q15" i="154" s="1" a="1"/>
  <c r="Q15" i="154" s="1"/>
  <c r="B25" i="155" s="1"/>
  <c r="B15" i="154"/>
  <c r="H15" i="154" s="1"/>
  <c r="Q35" i="154" s="1" a="1"/>
  <c r="Q35" i="154" s="1"/>
  <c r="B45" i="155" s="1"/>
  <c r="B13" i="154"/>
  <c r="H13" i="154" s="1"/>
  <c r="Q25" i="154" s="1" a="1"/>
  <c r="Q25" i="154" s="1"/>
  <c r="B35" i="155" s="1"/>
  <c r="B17" i="154"/>
  <c r="H17" i="154" s="1"/>
  <c r="Q45" i="154" s="1" a="1"/>
  <c r="Q45" i="154" s="1"/>
  <c r="B55" i="155" s="1"/>
  <c r="Q85" i="154" a="1"/>
  <c r="Q85" i="154" s="1"/>
  <c r="Q88" i="154" a="1"/>
  <c r="Q88" i="154" s="1"/>
  <c r="Q101" i="154" a="1"/>
  <c r="Q101" i="154" s="1"/>
  <c r="Q104" i="154" a="1"/>
  <c r="Q104" i="154" s="1"/>
  <c r="Q117" i="154" a="1"/>
  <c r="Q117" i="154" s="1"/>
  <c r="Q120" i="154" a="1"/>
  <c r="Q120" i="154" s="1"/>
  <c r="B12" i="154"/>
  <c r="H12" i="154" s="1"/>
  <c r="Q20" i="154" s="1" a="1"/>
  <c r="Q20" i="154" s="1"/>
  <c r="B30" i="155" s="1"/>
  <c r="B14" i="154"/>
  <c r="H14" i="154" s="1"/>
  <c r="Q30" i="154" s="1" a="1"/>
  <c r="Q30" i="154" s="1"/>
  <c r="B40" i="155" s="1"/>
  <c r="Q86" i="154" a="1"/>
  <c r="Q86" i="154" s="1"/>
  <c r="Q99" i="154" a="1"/>
  <c r="Q99" i="154" s="1"/>
  <c r="Q102" i="154" a="1"/>
  <c r="Q102" i="154" s="1"/>
  <c r="Q115" i="154" a="1"/>
  <c r="Q115" i="154" s="1"/>
  <c r="Q118" i="154" a="1"/>
  <c r="Q118" i="154" s="1"/>
  <c r="Q22" i="148" a="1"/>
  <c r="Q22" i="148" s="1"/>
  <c r="B32" i="149" s="1"/>
  <c r="Q17" i="148" a="1"/>
  <c r="Q17" i="148" s="1"/>
  <c r="B27" i="149" s="1"/>
  <c r="Q37" i="148" a="1"/>
  <c r="Q37" i="148" s="1"/>
  <c r="B47" i="149" s="1"/>
  <c r="Q34" i="148" a="1"/>
  <c r="Q34" i="148" s="1"/>
  <c r="B44" i="149" s="1"/>
  <c r="Q24" i="148" a="1"/>
  <c r="Q24" i="148" s="1"/>
  <c r="B34" i="149" s="1"/>
  <c r="Q44" i="148" a="1"/>
  <c r="Q44" i="148" s="1"/>
  <c r="B54" i="149" s="1"/>
  <c r="Q41" i="148" a="1"/>
  <c r="Q41" i="148" s="1"/>
  <c r="B51" i="149" s="1"/>
  <c r="Q50" i="148" a="1"/>
  <c r="Q50" i="148" s="1"/>
  <c r="B60" i="149" s="1"/>
  <c r="Q26" i="148" a="1"/>
  <c r="Q26" i="148" s="1"/>
  <c r="B36" i="149" s="1"/>
  <c r="Q31" i="148" a="1"/>
  <c r="Q31" i="148" s="1"/>
  <c r="B41" i="149" s="1"/>
  <c r="Q51" i="148" a="1"/>
  <c r="Q51" i="148" s="1"/>
  <c r="B61" i="149" s="1"/>
  <c r="Q43" i="148" a="1"/>
  <c r="Q43" i="148" s="1"/>
  <c r="B53" i="149" s="1"/>
  <c r="Q47" i="148" a="1"/>
  <c r="Q47" i="148" s="1"/>
  <c r="B57" i="149" s="1"/>
  <c r="Q63" i="148" a="1"/>
  <c r="Q63" i="148" s="1"/>
  <c r="Q18" i="148" a="1"/>
  <c r="Q18" i="148" s="1"/>
  <c r="B28" i="149" s="1"/>
  <c r="Q28" i="148" a="1"/>
  <c r="Q28" i="148" s="1"/>
  <c r="B38" i="149" s="1"/>
  <c r="Q52" i="148" a="1"/>
  <c r="Q52" i="148" s="1"/>
  <c r="B62" i="149" s="1"/>
  <c r="Q57" i="148" a="1"/>
  <c r="Q57" i="148" s="1"/>
  <c r="Q53" i="148" a="1"/>
  <c r="Q53" i="148" s="1"/>
  <c r="Q58" i="148" a="1"/>
  <c r="Q58" i="148" s="1"/>
  <c r="Q13" i="148" a="1"/>
  <c r="Q13" i="148" s="1"/>
  <c r="B23" i="149" s="1"/>
  <c r="Q23" i="148" a="1"/>
  <c r="Q23" i="148" s="1"/>
  <c r="B33" i="149" s="1"/>
  <c r="Q33" i="148" a="1"/>
  <c r="Q33" i="148" s="1"/>
  <c r="B43" i="149" s="1"/>
  <c r="Q61" i="148" a="1"/>
  <c r="Q61" i="148" s="1"/>
  <c r="Q27" i="148" a="1"/>
  <c r="Q27" i="148" s="1"/>
  <c r="B37" i="149" s="1"/>
  <c r="Q36" i="148" a="1"/>
  <c r="Q36" i="148" s="1"/>
  <c r="B46" i="149" s="1"/>
  <c r="Q15" i="148" a="1"/>
  <c r="Q15" i="148" s="1"/>
  <c r="B25" i="149" s="1"/>
  <c r="Q10" i="148" a="1"/>
  <c r="Q10" i="148" s="1"/>
  <c r="B20" i="149" s="1"/>
  <c r="Q20" i="148" a="1"/>
  <c r="Q20" i="148" s="1"/>
  <c r="B30" i="149" s="1"/>
  <c r="Q32" i="148" a="1"/>
  <c r="Q32" i="148" s="1"/>
  <c r="B42" i="149" s="1"/>
  <c r="Q40" i="148" a="1"/>
  <c r="Q40" i="148" s="1"/>
  <c r="B50" i="149" s="1"/>
  <c r="Q55" i="148" a="1"/>
  <c r="Q55" i="148" s="1"/>
  <c r="Q60" i="148" a="1"/>
  <c r="Q60" i="148" s="1"/>
  <c r="Q25" i="148" a="1"/>
  <c r="Q25" i="148" s="1"/>
  <c r="B35" i="149" s="1"/>
  <c r="Q35" i="148" a="1"/>
  <c r="Q35" i="148" s="1"/>
  <c r="B45" i="149" s="1"/>
  <c r="Q45" i="148" a="1"/>
  <c r="Q45" i="148" s="1"/>
  <c r="B55" i="149"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51" i="110"/>
  <c r="C41" i="110"/>
  <c r="C42" i="110"/>
  <c r="C43" i="110"/>
  <c r="C44" i="110"/>
  <c r="C45" i="110"/>
  <c r="C46" i="110"/>
  <c r="C47" i="110"/>
  <c r="C48" i="110"/>
  <c r="C49" i="110"/>
  <c r="C50" i="110"/>
  <c r="I17" i="108"/>
  <c r="C17" i="110" s="1"/>
  <c r="I18" i="108"/>
  <c r="I19" i="108"/>
  <c r="I20" i="108"/>
  <c r="C9" i="110"/>
  <c r="C10" i="110"/>
  <c r="C11" i="110"/>
  <c r="C12" i="110"/>
  <c r="C13" i="110"/>
  <c r="C14" i="110"/>
  <c r="C15" i="110"/>
  <c r="C16" i="110"/>
  <c r="E11" i="109"/>
  <c r="E12" i="109"/>
  <c r="E13" i="109"/>
  <c r="E14" i="109"/>
  <c r="E15" i="109"/>
  <c r="E16" i="109"/>
  <c r="E17" i="109"/>
  <c r="E18" i="109"/>
  <c r="E19" i="109"/>
  <c r="E20" i="109"/>
  <c r="E21" i="109"/>
  <c r="E22" i="109"/>
  <c r="E23" i="109"/>
  <c r="E24" i="109"/>
  <c r="B20" i="109"/>
  <c r="B21" i="109"/>
  <c r="B22" i="109"/>
  <c r="B23" i="109"/>
  <c r="B24" i="109"/>
  <c r="B25" i="109"/>
  <c r="B26" i="109"/>
  <c r="B27" i="109"/>
  <c r="B28" i="109"/>
  <c r="B29" i="109"/>
  <c r="B30" i="109"/>
  <c r="B31" i="109"/>
  <c r="B32" i="109"/>
  <c r="B33" i="109"/>
  <c r="B19" i="109"/>
  <c r="B15" i="109"/>
  <c r="B16" i="109"/>
  <c r="B14" i="109"/>
  <c r="B11" i="109"/>
  <c r="B12" i="109"/>
  <c r="B13" i="109"/>
  <c r="B17" i="109"/>
  <c r="B18" i="109"/>
  <c r="B10" i="109"/>
  <c r="B9" i="109"/>
  <c r="C7" i="109" s="1"/>
  <c r="Q42" i="148" l="1" a="1"/>
  <c r="Q42" i="148" s="1"/>
  <c r="B52" i="149" s="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32" i="145" a="1"/>
  <c r="Q32" i="145" s="1"/>
  <c r="B42"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E25" i="109"/>
  <c r="I10" i="108"/>
  <c r="I12" i="108"/>
  <c r="I13" i="108"/>
  <c r="I14" i="108"/>
  <c r="I15" i="108"/>
  <c r="I16" i="108"/>
  <c r="E8" i="109"/>
  <c r="C37" i="110" s="1"/>
  <c r="I9" i="108"/>
  <c r="I11" i="108"/>
  <c r="C31" i="110"/>
  <c r="C30" i="110"/>
  <c r="C2" i="110"/>
  <c r="C1" i="110"/>
  <c r="E10" i="109"/>
  <c r="C40" i="110" s="1"/>
  <c r="E9" i="109"/>
  <c r="C39" i="110" s="1"/>
  <c r="E7" i="109"/>
  <c r="C36" i="110" s="1"/>
  <c r="E6" i="109"/>
  <c r="C35" i="110" s="1"/>
  <c r="E5" i="109"/>
  <c r="C34" i="110" s="1"/>
  <c r="E4" i="109"/>
  <c r="C33" i="110" s="1"/>
  <c r="E3" i="109"/>
  <c r="C32" i="110" s="1"/>
  <c r="I8" i="108"/>
  <c r="C8" i="110" s="1"/>
  <c r="I7" i="108"/>
  <c r="C7" i="110" s="1"/>
  <c r="I6" i="108"/>
  <c r="C6" i="110" s="1"/>
  <c r="I5" i="108"/>
  <c r="C5" i="110" s="1"/>
  <c r="I4" i="108"/>
  <c r="C4" i="110" s="1"/>
  <c r="I3" i="108"/>
  <c r="C3" i="110"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<sst xmlns="http://schemas.openxmlformats.org/spreadsheetml/2006/main" count="4739" uniqueCount="1739">
  <si>
    <t>CodeableConcept</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</si>
  <si>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</si>
  <si>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</si>
  <si>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</si>
  <si>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</si>
  <si>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</si>
  <si>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</si>
  <si>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</si>
  <si>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</si>
  <si>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</si>
  <si>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</si>
  <si>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</si>
  <si>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</si>
  <si>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</si>
  <si>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</si>
  <si>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</si>
  <si>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</si>
  <si>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</si>
  <si>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</si>
  <si>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</si>
  <si>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</si>
  <si>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</si>
  <si>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</si>
  <si>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</si>
  <si>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</si>
  <si>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</si>
  <si>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</si>
  <si>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</si>
  <si>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</si>
  <si>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</si>
  <si>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</si>
  <si>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</si>
  <si>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</si>
  <si>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</si>
  <si>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</si>
  <si>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</si>
  <si>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</si>
  <si>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</si>
  <si>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</si>
  <si>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</si>
  <si>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</si>
  <si>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</si>
  <si>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</si>
  <si>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</si>
  <si>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</si>
  <si>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</si>
  <si>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</si>
  <si>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</si>
  <si>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</si>
  <si>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</si>
  <si>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</si>
  <si>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</si>
  <si>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</si>
  <si>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</si>
  <si>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</si>
  <si>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</si>
  <si>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</si>
  <si>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</si>
  <si>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</si>
  <si>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</si>
  <si>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</si>
  <si>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</si>
  <si>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</si>
  <si>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</si>
  <si>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</si>
  <si>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</si>
  <si>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</si>
  <si>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</si>
  <si>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</si>
  <si>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</si>
  <si>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</si>
  <si>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</si>
  <si>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</si>
  <si>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</si>
  <si>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</si>
  <si>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</si>
  <si>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</si>
  <si>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</si>
  <si>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</si>
  <si>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</si>
  <si>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</si>
  <si>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</si>
  <si>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</si>
  <si>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</si>
  <si>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</si>
  <si>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</si>
  <si>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</si>
  <si>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</si>
  <si>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</si>
  <si>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</si>
  <si>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</si>
  <si>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</si>
  <si>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</si>
  <si>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</si>
  <si>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</si>
  <si>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</si>
  <si>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</si>
  <si>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</si>
  <si>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</si>
  <si>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</si>
  <si>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</si>
  <si>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</si>
  <si>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</si>
  <si>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</si>
  <si>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</si>
  <si>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</si>
  <si>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</si>
  <si>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</si>
  <si>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</si>
  <si>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</si>
  <si>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</si>
  <si>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</si>
  <si>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</si>
  <si>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</si>
  <si>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</si>
  <si>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</si>
  <si>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</si>
  <si>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</si>
  <si>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</si>
  <si>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</si>
  <si>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</si>
  <si>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</si>
  <si>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</si>
  <si>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</si>
  <si>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</si>
  <si>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</si>
  <si>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</si>
  <si>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</si>
  <si>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</si>
  <si>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</si>
  <si>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</si>
  <si>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</si>
  <si>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</si>
  <si>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</si>
  <si>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</si>
  <si>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</si>
  <si>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</si>
  <si>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</si>
  <si>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</si>
  <si>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</si>
  <si>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</si>
  <si>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</si>
  <si>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</si>
  <si>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</si>
  <si>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</si>
  <si>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</si>
  <si>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</si>
  <si>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</si>
  <si>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</si>
  <si>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</si>
  <si>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</si>
  <si>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</si>
  <si>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</si>
  <si>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</si>
  <si>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</si>
  <si>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</si>
  <si>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</si>
  <si>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dateOfBirth</t>
  </si>
  <si>
    <t>dateOfBirth.date</t>
  </si>
  <si>
    <t>dateOfBirth.unknown</t>
  </si>
  <si>
    <t>maritalStatus</t>
  </si>
  <si>
    <t>sexOrGender</t>
  </si>
  <si>
    <t>race</t>
  </si>
  <si>
    <t>countryOfResidence</t>
  </si>
  <si>
    <t>date</t>
  </si>
  <si>
    <t>boolean</t>
  </si>
  <si>
    <t>Gender/Sex</t>
  </si>
  <si>
    <r>
      <t xml:space="preserve">Describes biological sex </t>
    </r>
    <r>
      <rPr>
        <b/>
        <sz val="11"/>
        <color theme="1"/>
        <rFont val="Arial Narrow"/>
        <family val="2"/>
      </rPr>
      <t>as recorded in the patient's identity document or in the hospital record.</t>
    </r>
    <r>
      <rPr>
        <sz val="11"/>
        <color theme="1"/>
        <rFont val="Arial Narrow"/>
        <family val="2"/>
      </rPr>
      <t xml:space="preserve"> In the absence of documentation, the one declared by the patient will be recorded</t>
    </r>
  </si>
  <si>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</si>
  <si>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</si>
  <si>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</si>
  <si>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</si>
  <si>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</si>
  <si>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</si>
  <si>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</si>
  <si>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</si>
  <si>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</si>
  <si>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</si>
  <si>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</si>
  <si>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</si>
  <si>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</si>
  <si>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</si>
  <si>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</si>
  <si>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</si>
  <si>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</si>
  <si>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</si>
  <si>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</si>
  <si>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</si>
  <si>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</si>
  <si>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</si>
  <si>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</si>
  <si>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</si>
  <si>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</si>
  <si>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</si>
  <si>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</si>
  <si>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</si>
  <si>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</si>
  <si>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</si>
  <si>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</si>
  <si>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</si>
  <si>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</si>
  <si>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</si>
  <si>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</si>
  <si>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</si>
  <si>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</si>
  <si>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</si>
  <si>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</si>
  <si>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</si>
  <si>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</si>
  <si>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</si>
  <si>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</si>
  <si>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</si>
  <si>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</si>
  <si>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</si>
  <si>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</si>
  <si>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</si>
  <si>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</si>
  <si>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</si>
  <si>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</si>
  <si>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</si>
  <si>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</si>
  <si>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</si>
  <si>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</si>
  <si>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</si>
  <si>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</si>
  <si>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</si>
  <si>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</si>
  <si>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</si>
  <si>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</si>
  <si>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</si>
  <si>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</si>
  <si>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</si>
  <si>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</si>
  <si>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</si>
  <si>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</si>
  <si>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</si>
  <si>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</si>
  <si>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</si>
  <si>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</si>
  <si>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</si>
  <si>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</si>
  <si>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</si>
  <si>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</si>
  <si>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</si>
  <si>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</si>
  <si>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</si>
  <si>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</si>
  <si>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</si>
  <si>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</si>
  <si>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</si>
  <si>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</si>
  <si>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</si>
  <si>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</si>
  <si>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</si>
  <si>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</si>
  <si>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</si>
  <si>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</si>
  <si>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</si>
  <si>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</si>
  <si>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</si>
  <si>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</si>
  <si>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</si>
  <si>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</si>
  <si>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</si>
  <si>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</si>
  <si>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</si>
  <si>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</si>
  <si>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</si>
  <si>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</si>
  <si>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</si>
  <si>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</si>
  <si>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</si>
  <si>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</si>
  <si>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</si>
  <si>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</si>
  <si>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</si>
  <si>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</si>
  <si>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</si>
  <si>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</si>
  <si>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</si>
  <si>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</si>
  <si>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</si>
  <si>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</si>
  <si>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</si>
  <si>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</si>
  <si>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</si>
  <si>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</si>
  <si>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</si>
  <si>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</si>
  <si>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</si>
  <si>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</si>
  <si>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</si>
  <si>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</si>
  <si>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</si>
  <si>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</si>
  <si>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</si>
  <si>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</si>
  <si>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</si>
  <si>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</si>
  <si>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</si>
  <si>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</si>
  <si>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</si>
  <si>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</si>
  <si>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</si>
  <si>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</si>
  <si>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</si>
  <si>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</si>
  <si>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</si>
  <si>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</si>
  <si>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</si>
  <si>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</si>
  <si>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</si>
  <si>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</si>
  <si>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</si>
  <si>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</si>
  <si>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</si>
  <si>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</si>
  <si>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</si>
  <si>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</si>
  <si>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</si>
  <si>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</si>
  <si>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</si>
  <si>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</si>
  <si>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</si>
  <si>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</si>
  <si>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</si>
  <si>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</si>
  <si>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</si>
  <si>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</si>
  <si>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</si>
  <si>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</si>
  <si>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</si>
  <si>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</si>
  <si>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</si>
  <si>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</si>
  <si>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</si>
  <si>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</si>
  <si>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</si>
  <si>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</si>
  <si>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</si>
  <si>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</si>
  <si>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</si>
  <si>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</si>
  <si>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</si>
  <si>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</si>
  <si>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</si>
  <si>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</si>
  <si>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</si>
  <si>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</si>
  <si>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</si>
  <si>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</si>
  <si>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</si>
  <si>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</si>
  <si>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</si>
  <si>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</si>
  <si>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</si>
  <si>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</si>
  <si>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</si>
  <si>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</si>
  <si>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</si>
  <si>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</si>
  <si>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</si>
  <si>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</si>
  <si>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</si>
  <si>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</si>
  <si>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</si>
  <si>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</si>
  <si>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</si>
  <si>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</si>
  <si>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</si>
  <si>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</si>
  <si>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</si>
  <si>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</si>
  <si>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</si>
  <si>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</si>
  <si>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</si>
  <si>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</si>
  <si>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</si>
  <si>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</si>
  <si>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</si>
  <si>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</si>
  <si>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</si>
  <si>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</si>
  <si>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</si>
  <si>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</si>
  <si>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</si>
  <si>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</si>
  <si>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</si>
  <si>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</si>
  <si>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</si>
  <si>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</si>
  <si>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</si>
  <si>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</si>
  <si>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</si>
  <si>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</si>
  <si>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</si>
  <si>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</si>
  <si>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</si>
  <si>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</si>
  <si>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</si>
  <si>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</si>
  <si>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</si>
  <si>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</si>
  <si>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</si>
  <si>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</si>
  <si>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</si>
  <si>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</si>
  <si>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</si>
  <si>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</si>
  <si>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</si>
  <si>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</si>
  <si>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</si>
  <si>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</si>
  <si>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</si>
  <si>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</si>
  <si>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</si>
  <si>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</si>
  <si>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</si>
  <si>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</si>
  <si>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</si>
  <si>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</si>
  <si>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</si>
  <si>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</si>
  <si>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</si>
  <si>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</si>
  <si>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</si>
  <si>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</si>
  <si>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</si>
  <si>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</si>
  <si>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</si>
  <si>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</si>
  <si>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</si>
  <si>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</si>
  <si>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</si>
  <si>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</si>
  <si>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</si>
  <si>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</si>
  <si>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</si>
  <si>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</si>
  <si>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</si>
  <si>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</si>
  <si>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</si>
  <si>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</si>
  <si>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</si>
  <si>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</si>
  <si>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</si>
  <si>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</si>
  <si>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</si>
  <si>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</si>
  <si>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</si>
  <si>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</si>
  <si>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</si>
  <si>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</si>
  <si>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</si>
  <si>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</si>
  <si>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</si>
  <si>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</si>
  <si>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</si>
  <si>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</si>
  <si>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</si>
  <si>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</si>
  <si>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</si>
  <si>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</si>
  <si>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</si>
  <si>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</si>
  <si>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</si>
  <si>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</si>
  <si>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</si>
  <si>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</si>
  <si>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</si>
  <si>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</si>
  <si>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</si>
  <si>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</si>
  <si>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</si>
  <si>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</si>
  <si>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</si>
  <si>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</si>
  <si>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</si>
  <si>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</si>
  <si>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</si>
  <si>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</si>
  <si>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</si>
  <si>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</si>
  <si>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</si>
  <si>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</si>
  <si>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</si>
  <si>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</si>
  <si>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</si>
  <si>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</si>
  <si>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</si>
  <si>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</si>
  <si>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</si>
  <si>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</si>
  <si>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</si>
  <si>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</si>
  <si>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</si>
  <si>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</si>
  <si>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</si>
  <si>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</si>
  <si>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</si>
  <si>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</si>
  <si>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</si>
  <si>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</si>
  <si>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</si>
  <si>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</si>
  <si>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</si>
  <si>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</si>
  <si>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</si>
  <si>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</si>
  <si>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</si>
  <si>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</si>
  <si>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</si>
  <si>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</si>
  <si>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</si>
  <si>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</si>
  <si>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</si>
  <si>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</si>
  <si>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</si>
  <si>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</si>
  <si>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</si>
  <si>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</si>
  <si>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</si>
  <si>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</si>
  <si>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</si>
  <si>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</si>
  <si>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</si>
  <si>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</si>
  <si>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</si>
  <si>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</si>
  <si>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</si>
  <si>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</si>
  <si>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</si>
  <si>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</si>
  <si>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</si>
  <si>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</si>
  <si>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</si>
  <si>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</si>
  <si>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</si>
  <si>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</si>
  <si>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</si>
  <si>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</si>
  <si>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</si>
  <si>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</si>
  <si>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</si>
  <si>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</si>
  <si>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</si>
  <si>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</si>
  <si>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</si>
  <si>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</si>
  <si>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</si>
  <si>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</si>
  <si>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</si>
  <si>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</si>
  <si>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</si>
  <si>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</si>
  <si>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</si>
  <si>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</si>
  <si>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</si>
  <si>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</si>
  <si>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</si>
  <si>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</si>
  <si>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</si>
  <si>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</si>
  <si>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</si>
  <si>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</si>
  <si>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</si>
  <si>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</si>
  <si>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</si>
  <si>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</si>
  <si>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</si>
  <si>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</si>
  <si>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</si>
  <si>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</si>
  <si>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</si>
  <si>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</si>
  <si>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</si>
  <si>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</si>
  <si>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</si>
  <si>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</si>
  <si>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</si>
  <si>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</si>
  <si>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</si>
  <si>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</si>
  <si>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</si>
  <si>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</si>
  <si>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</si>
  <si>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</si>
  <si>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</si>
  <si>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</si>
  <si>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</si>
  <si>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</si>
  <si>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</si>
  <si>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</si>
  <si>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</si>
  <si>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</si>
  <si>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</si>
  <si>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</si>
  <si>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</si>
  <si>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</si>
  <si>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</si>
  <si>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</si>
  <si>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</si>
  <si>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</si>
  <si>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</si>
  <si>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</si>
  <si>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</si>
  <si>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</si>
  <si>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</si>
  <si>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</si>
  <si>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</si>
  <si>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</si>
  <si>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</si>
  <si>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</si>
  <si>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</si>
  <si>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</si>
  <si>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</si>
  <si>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</si>
  <si>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</si>
  <si>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</si>
  <si>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</si>
  <si>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</si>
  <si>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</si>
  <si>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</si>
  <si>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</si>
  <si>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</si>
  <si>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</si>
  <si>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</si>
  <si>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</si>
  <si>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</si>
  <si>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</si>
  <si>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</si>
  <si>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</si>
  <si>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</si>
  <si>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</si>
  <si>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</si>
  <si>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</si>
  <si>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</si>
  <si>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</si>
  <si>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</si>
  <si>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</si>
  <si>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</si>
  <si>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</si>
  <si>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</si>
  <si>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</si>
  <si>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</si>
  <si>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</si>
  <si>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</si>
  <si>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</si>
  <si>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</si>
  <si>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</si>
  <si>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</si>
  <si>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</si>
  <si>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</si>
  <si>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</si>
  <si>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</si>
  <si>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</si>
  <si>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</si>
  <si>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</si>
  <si>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</si>
  <si>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</si>
  <si>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</si>
  <si>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</si>
  <si>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</si>
  <si>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</si>
  <si>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</si>
  <si>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</si>
  <si>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</si>
  <si>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</si>
  <si>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</si>
  <si>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</si>
  <si>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</si>
  <si>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</si>
  <si>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</si>
  <si>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</si>
  <si>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</si>
  <si>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</si>
  <si>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</si>
  <si>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</si>
  <si>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</si>
  <si>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</si>
  <si>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</si>
  <si>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</si>
  <si>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</si>
  <si>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</si>
  <si>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</si>
  <si>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</si>
  <si>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</si>
  <si>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</si>
  <si>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</si>
  <si>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</si>
  <si>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</si>
  <si>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</si>
  <si>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</si>
  <si>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</si>
  <si>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</si>
  <si>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</si>
  <si>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</si>
  <si>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</si>
  <si>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</si>
  <si>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</si>
  <si>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</si>
  <si>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</si>
  <si>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</si>
  <si>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</si>
  <si>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</si>
  <si>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</si>
  <si>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</si>
  <si>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</si>
  <si>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</si>
  <si>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</si>
  <si>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</si>
  <si>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</si>
  <si>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</si>
  <si>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</si>
  <si>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</si>
  <si>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</si>
  <si>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</si>
  <si>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</si>
  <si>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</si>
  <si>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</si>
  <si>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</si>
  <si>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</si>
  <si>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</si>
  <si>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</si>
  <si>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</si>
  <si>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</si>
  <si>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</si>
  <si>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</si>
  <si>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</si>
  <si>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</si>
  <si>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</si>
  <si>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</si>
  <si>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</si>
  <si>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</si>
  <si>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</si>
  <si>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</si>
  <si>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</si>
  <si>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</si>
  <si>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</si>
  <si>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</si>
  <si>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</si>
  <si>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</si>
  <si>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</si>
  <si>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</si>
  <si>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</si>
  <si>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</si>
  <si>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</si>
  <si>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</si>
  <si>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</si>
  <si>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</si>
  <si>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</si>
  <si>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</si>
  <si>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</si>
  <si>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</si>
  <si>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</si>
  <si>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</si>
  <si>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</si>
  <si>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</si>
  <si>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</si>
  <si>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</si>
  <si>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</si>
  <si>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</si>
  <si>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</si>
  <si>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</si>
  <si>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</si>
  <si>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</si>
  <si>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</si>
  <si>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</si>
  <si>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</si>
  <si>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</si>
  <si>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</si>
  <si>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</si>
  <si>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</si>
  <si>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</si>
  <si>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</si>
  <si>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</si>
  <si>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</si>
  <si>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</si>
  <si>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</si>
  <si>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</si>
  <si>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</si>
  <si>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</si>
  <si>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</si>
  <si>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</si>
  <si>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</si>
  <si>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</si>
  <si>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</si>
  <si>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</si>
  <si>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</si>
  <si>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</si>
  <si>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</si>
  <si>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</si>
  <si>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</si>
  <si>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</si>
  <si>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</si>
  <si>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</si>
  <si>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</si>
  <si>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</si>
  <si>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</si>
  <si>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</si>
  <si>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</si>
  <si>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</si>
  <si>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</si>
  <si>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</si>
  <si>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</si>
  <si>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</si>
  <si>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</si>
  <si>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</si>
  <si>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</si>
  <si>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</si>
  <si>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</si>
  <si>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</si>
  <si>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</si>
  <si>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</si>
  <si>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</si>
  <si>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</si>
  <si>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</si>
  <si>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</si>
  <si>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</si>
  <si>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</si>
  <si>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</si>
  <si>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</si>
  <si>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</si>
  <si>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</si>
  <si>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</si>
  <si>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</si>
  <si>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</si>
  <si>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</si>
  <si>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</si>
  <si>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</si>
  <si>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</si>
  <si>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</si>
  <si>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</si>
  <si>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</si>
  <si>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</si>
  <si>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</si>
  <si>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</si>
  <si>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</si>
  <si>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</si>
  <si>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</si>
  <si>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</si>
  <si>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</si>
  <si>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</si>
  <si>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</si>
  <si>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</si>
  <si>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</si>
  <si>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</si>
  <si>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</si>
  <si>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</si>
  <si>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</si>
  <si>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</si>
  <si>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</si>
  <si>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</si>
  <si>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</si>
  <si>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</si>
  <si>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</si>
  <si>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</si>
  <si>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</si>
  <si>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</si>
  <si>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</si>
  <si>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</si>
  <si>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</si>
  <si>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</si>
  <si>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</si>
  <si>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</si>
  <si>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</si>
  <si>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</si>
  <si>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</si>
  <si>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</si>
  <si>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</si>
  <si>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</si>
  <si>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</si>
  <si>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</si>
  <si>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</si>
  <si>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</si>
  <si>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</si>
  <si>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</si>
  <si>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</si>
  <si>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</si>
  <si>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</si>
  <si>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</si>
  <si>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</si>
  <si>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</si>
  <si>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</si>
  <si>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</si>
  <si>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</si>
  <si>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</si>
  <si>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</si>
  <si>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</si>
  <si>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</si>
  <si>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</si>
  <si>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</si>
  <si>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</si>
  <si>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</si>
  <si>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</si>
  <si>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</si>
  <si>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</si>
  <si>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</si>
  <si>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</si>
  <si>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</si>
  <si>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</si>
  <si>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</si>
  <si>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</si>
  <si>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</si>
  <si>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</si>
  <si>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</si>
  <si>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</si>
  <si>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</si>
  <si>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</si>
  <si>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</si>
  <si>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</si>
  <si>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</si>
  <si>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</si>
  <si>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</si>
  <si>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</si>
  <si>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</si>
  <si>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</si>
  <si>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</si>
  <si>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</si>
  <si>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</si>
  <si>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</si>
  <si>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</si>
  <si>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</si>
  <si>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</si>
  <si>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</si>
  <si>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</si>
  <si>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</si>
  <si>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</si>
  <si>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</si>
  <si>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</si>
  <si>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</si>
  <si>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</si>
  <si>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</si>
  <si>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</si>
  <si>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</si>
  <si>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</si>
  <si>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</si>
  <si>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</si>
  <si>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</si>
  <si>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</si>
  <si>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</si>
  <si>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</si>
  <si>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</si>
  <si>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</si>
  <si>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</si>
  <si>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</si>
  <si>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</si>
  <si>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</si>
  <si>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</si>
  <si>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</si>
  <si>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</si>
  <si>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</si>
  <si>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</si>
  <si>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</si>
  <si>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</si>
  <si>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</si>
  <si>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</si>
  <si>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</si>
  <si>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</si>
  <si>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</si>
  <si>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</si>
  <si>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</si>
  <si>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</si>
  <si>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</si>
  <si>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</si>
  <si>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</si>
  <si>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</si>
  <si>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</si>
  <si>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</si>
  <si>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</si>
  <si>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</si>
  <si>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</si>
  <si>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</si>
  <si>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</si>
  <si>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</si>
  <si>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</si>
  <si>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</si>
  <si>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</si>
  <si>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</si>
  <si>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</si>
  <si>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</si>
  <si>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</si>
  <si>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</si>
  <si>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</si>
  <si>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</si>
  <si>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</si>
  <si>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</si>
  <si>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</si>
  <si>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</si>
  <si>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</si>
  <si>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</si>
  <si>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</si>
  <si>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</si>
  <si>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</si>
  <si>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</si>
  <si>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</si>
  <si>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</si>
  <si>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</si>
  <si>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</si>
  <si>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</si>
  <si>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</si>
  <si>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</si>
  <si>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</si>
  <si>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</si>
  <si>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</si>
  <si>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</si>
  <si>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</si>
  <si>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</si>
  <si>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</si>
  <si>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</si>
  <si>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</si>
  <si>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</si>
  <si>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</si>
  <si>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</si>
  <si>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</si>
  <si>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</si>
  <si>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</si>
  <si>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</si>
  <si>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</si>
  <si>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</si>
  <si>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</si>
  <si>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</si>
  <si>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</si>
  <si>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</si>
  <si>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</si>
  <si>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</si>
  <si>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</si>
  <si>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</si>
  <si>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</si>
  <si>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</si>
  <si>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</si>
  <si>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</si>
  <si>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</si>
  <si>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</si>
  <si>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</si>
  <si>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</si>
  <si>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</si>
  <si>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</si>
  <si>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</si>
  <si>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</si>
  <si>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</si>
  <si>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</si>
  <si>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</si>
  <si>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</si>
  <si>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</si>
  <si>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</si>
  <si>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</si>
  <si>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</si>
  <si>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</si>
  <si>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</si>
  <si>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</si>
  <si>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</si>
  <si>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</si>
  <si>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</si>
  <si>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</si>
  <si>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</si>
  <si>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</si>
  <si>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</si>
  <si>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</si>
  <si>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</si>
  <si>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</si>
  <si>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</si>
  <si>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</si>
  <si>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</si>
  <si>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</si>
  <si>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</si>
  <si>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</si>
  <si>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</si>
  <si>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</si>
  <si>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</si>
  <si>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</si>
  <si>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</si>
  <si>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</si>
  <si>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</si>
  <si>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</si>
  <si>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</si>
  <si>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</si>
  <si>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</si>
  <si>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</si>
  <si>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</si>
  <si>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</si>
  <si>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</si>
  <si>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</si>
  <si>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</si>
  <si>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</si>
  <si>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</si>
  <si>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</si>
  <si>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</si>
  <si>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</si>
  <si>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</si>
  <si>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</si>
  <si>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</si>
  <si>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</si>
  <si>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</si>
  <si>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</si>
  <si>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</si>
  <si>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</si>
  <si>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</si>
  <si>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</si>
  <si>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</si>
  <si>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</si>
  <si>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</si>
  <si>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</si>
  <si>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</si>
  <si>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</si>
  <si>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</si>
  <si>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</si>
  <si>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</si>
  <si>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</si>
  <si>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</si>
  <si>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</si>
  <si>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</si>
  <si>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</si>
  <si>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</si>
  <si>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</si>
  <si>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</si>
  <si>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</si>
  <si>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</si>
  <si>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</si>
  <si>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</si>
  <si>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</si>
  <si>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</si>
  <si>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</si>
  <si>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</si>
  <si>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</si>
  <si>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</si>
  <si>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</si>
  <si>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</si>
  <si>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</si>
  <si>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</si>
  <si>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</si>
  <si>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</si>
  <si>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</si>
  <si>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</si>
  <si>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</si>
  <si>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</si>
  <si>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</si>
  <si>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</si>
  <si>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</si>
  <si>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</si>
  <si>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</si>
  <si>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</si>
  <si>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</si>
  <si>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</si>
  <si>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</si>
  <si>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</si>
  <si>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</si>
  <si>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</si>
  <si>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</si>
  <si>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</si>
  <si>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</si>
  <si>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</si>
  <si>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</si>
  <si>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</si>
  <si>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</si>
  <si>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</si>
  <si>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</si>
  <si>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</si>
  <si>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</si>
  <si>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</si>
  <si>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</si>
  <si>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</si>
  <si>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</si>
  <si>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</si>
  <si>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</si>
  <si>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</si>
  <si>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</si>
  <si>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</si>
  <si>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</si>
  <si>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</si>
  <si>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</si>
  <si>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</si>
  <si>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</si>
  <si>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</si>
  <si>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</si>
  <si>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</si>
  <si>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</si>
  <si>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</si>
  <si>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</si>
  <si>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</si>
  <si>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</si>
  <si>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</si>
  <si>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</si>
  <si>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</si>
  <si>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</si>
  <si>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</si>
  <si>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</si>
  <si>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</si>
  <si>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</si>
  <si>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</si>
  <si>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</si>
  <si>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</si>
  <si>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</si>
  <si>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</si>
  <si>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</si>
  <si>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</si>
  <si>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</si>
  <si>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</si>
  <si>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</si>
  <si>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</si>
  <si>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</si>
  <si>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</si>
  <si>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</si>
  <si>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</si>
  <si>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</si>
  <si>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</si>
  <si>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</si>
  <si>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</si>
  <si>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</si>
  <si>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</si>
  <si>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</si>
  <si>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</si>
  <si>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</si>
  <si>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</si>
  <si>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</si>
  <si>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</si>
  <si>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</si>
  <si>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</si>
  <si>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</si>
  <si>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</si>
  <si>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</si>
  <si>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</si>
  <si>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</si>
  <si>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</si>
  <si>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</si>
  <si>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</si>
  <si>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</si>
  <si>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</si>
  <si>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</si>
  <si>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</si>
  <si>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</si>
  <si>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</si>
  <si>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</si>
  <si>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</si>
  <si>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</si>
  <si>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</si>
  <si>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</si>
  <si>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</si>
  <si>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</si>
  <si>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</si>
  <si>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</si>
  <si>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</si>
  <si>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</si>
  <si>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</si>
  <si>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</si>
  <si>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</si>
  <si>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</si>
  <si>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</si>
  <si>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</si>
  <si>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</si>
  <si>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</si>
  <si>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</si>
  <si>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</si>
  <si>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</si>
  <si>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</si>
  <si>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</si>
  <si>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</si>
  <si>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</si>
  <si>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</si>
  <si>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</si>
  <si>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</si>
  <si>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</si>
  <si>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</si>
  <si>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</si>
  <si>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</si>
  <si>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</si>
  <si>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</si>
  <si>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</si>
  <si>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</si>
  <si>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</si>
  <si>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</si>
  <si>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</si>
  <si>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</si>
  <si>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</si>
  <si>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</si>
  <si>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</si>
  <si>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</si>
  <si>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</si>
  <si>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</si>
  <si>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</si>
  <si>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</si>
  <si>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</si>
  <si>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</si>
  <si>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</si>
  <si>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</si>
  <si>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</si>
  <si>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</si>
  <si>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</si>
  <si>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</si>
  <si>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</si>
  <si>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</si>
  <si>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</si>
  <si>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</si>
  <si>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</si>
  <si>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</si>
  <si>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</si>
  <si>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</si>
  <si>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</si>
  <si>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</si>
  <si>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</si>
  <si>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</si>
  <si>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</si>
  <si>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</si>
  <si>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</si>
  <si>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</si>
  <si>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</si>
  <si>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</si>
  <si>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</si>
  <si>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</si>
  <si>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</si>
  <si>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</si>
  <si>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</si>
  <si>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</si>
  <si>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</si>
  <si>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</si>
  <si>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</si>
  <si>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</si>
  <si>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</si>
  <si>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</si>
  <si>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</si>
  <si>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</si>
  <si>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</si>
  <si>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</si>
  <si>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</si>
  <si>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</si>
  <si>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</si>
  <si>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</si>
  <si>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</si>
  <si>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</si>
  <si>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</si>
  <si>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</si>
  <si>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</si>
  <si>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</si>
  <si>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</si>
  <si>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</si>
  <si>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</si>
  <si>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</si>
  <si>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</si>
  <si>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</si>
  <si>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</si>
  <si>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</si>
  <si>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</si>
  <si>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</si>
  <si>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</si>
  <si>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</si>
  <si>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</si>
  <si>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</si>
  <si>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</si>
  <si>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</si>
  <si>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</si>
  <si>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</si>
  <si>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</si>
  <si>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</si>
  <si>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</si>
  <si>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</si>
  <si>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</si>
  <si>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</si>
  <si>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</si>
  <si>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</si>
  <si>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</si>
  <si>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</si>
  <si>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</si>
  <si>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</si>
  <si>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</si>
  <si>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</si>
  <si>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</si>
  <si>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</si>
  <si>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</si>
  <si>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</si>
  <si>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</si>
  <si>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</si>
  <si>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</si>
  <si>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</si>
  <si>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</si>
  <si>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</si>
  <si>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</si>
  <si>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</si>
  <si>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</si>
  <si>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</si>
  <si>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</si>
  <si>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</si>
  <si>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</si>
  <si>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</si>
  <si>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</si>
  <si>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</si>
  <si>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</si>
  <si>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</si>
  <si>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</si>
  <si>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</si>
  <si>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</si>
  <si>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</si>
  <si>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</si>
  <si>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</si>
  <si>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</si>
  <si>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</si>
  <si>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</si>
  <si>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</si>
  <si>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</si>
  <si>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</si>
  <si>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</si>
  <si>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</si>
  <si>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</si>
  <si>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</si>
  <si>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</si>
  <si>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</si>
  <si>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</si>
  <si>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</si>
  <si>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</si>
  <si>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</si>
  <si>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</si>
  <si>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</si>
  <si>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</si>
  <si>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</si>
  <si>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</si>
  <si>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</si>
  <si>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</si>
  <si>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</si>
  <si>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</si>
  <si>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</si>
  <si>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</si>
  <si>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</si>
  <si>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</si>
  <si>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</si>
  <si>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</si>
  <si>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</si>
  <si>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</si>
  <si>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</si>
  <si>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</si>
  <si>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</si>
  <si>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</si>
  <si>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</si>
  <si>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</si>
  <si>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</si>
  <si>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</si>
  <si>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</si>
  <si>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</si>
  <si>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</si>
  <si>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</si>
  <si>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</si>
  <si>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</si>
  <si>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</si>
  <si>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</si>
  <si>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</si>
  <si>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</si>
  <si>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</si>
  <si>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</si>
  <si>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</si>
  <si>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</si>
  <si>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</si>
  <si>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</si>
  <si>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</si>
  <si>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</si>
  <si>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</si>
  <si>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</si>
  <si>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</si>
  <si>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</si>
  <si>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</si>
  <si>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</si>
  <si>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</si>
  <si>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</si>
  <si>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</si>
  <si>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</si>
  <si>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</si>
  <si>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</si>
  <si>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</si>
  <si>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</si>
  <si>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</si>
  <si>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</si>
  <si>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</si>
  <si>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</si>
  <si>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</si>
  <si>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</si>
  <si>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</si>
  <si>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</si>
  <si>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</si>
  <si>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</si>
  <si>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</si>
  <si>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</si>
  <si>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</si>
  <si>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</si>
  <si>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</si>
  <si>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</si>
  <si>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</si>
  <si>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</si>
  <si>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</si>
  <si>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</si>
  <si>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</si>
  <si>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</si>
  <si>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</si>
  <si>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</si>
  <si>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</si>
  <si>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</si>
  <si>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</si>
  <si>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</si>
  <si>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</si>
  <si>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</si>
  <si>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</si>
  <si>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</si>
  <si>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</si>
  <si>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</si>
  <si>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</si>
  <si>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</si>
  <si>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</si>
  <si>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</si>
  <si>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</si>
  <si>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</si>
  <si>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</si>
  <si>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</si>
  <si>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</si>
  <si>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</si>
  <si>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</si>
  <si>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</si>
  <si>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</si>
  <si>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</si>
  <si>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</si>
  <si>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</si>
  <si>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</si>
  <si>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</si>
  <si>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</si>
  <si>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</si>
  <si>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</si>
  <si>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</si>
  <si>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</si>
  <si>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</si>
  <si>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</si>
  <si>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</si>
  <si>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</si>
  <si>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</si>
  <si>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</si>
  <si>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</si>
  <si>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</si>
  <si>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</si>
  <si>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</si>
  <si>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</si>
  <si>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</si>
  <si>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</si>
  <si>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</si>
  <si>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</si>
  <si>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</si>
  <si>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</si>
  <si>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</si>
  <si>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</si>
  <si>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</si>
  <si>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</si>
  <si>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</si>
  <si>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</si>
  <si>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</si>
  <si>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</si>
  <si>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</si>
  <si>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</si>
  <si>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</si>
  <si>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</si>
  <si>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</si>
  <si>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</si>
  <si>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</si>
  <si>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</si>
  <si>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</si>
  <si>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</si>
  <si>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</si>
  <si>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</si>
  <si>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</si>
  <si>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</si>
  <si>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</si>
  <si>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</si>
  <si>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</si>
  <si>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</si>
  <si>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</si>
  <si>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</si>
  <si>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</si>
  <si>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</si>
  <si>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</si>
  <si>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</si>
  <si>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</si>
  <si>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</si>
  <si>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</si>
  <si>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</si>
  <si>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</si>
  <si>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</si>
  <si>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</si>
  <si>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</si>
  <si>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</si>
  <si>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</si>
  <si>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</si>
  <si>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</si>
  <si>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</si>
  <si>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</si>
  <si>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</si>
  <si>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</si>
  <si>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</si>
  <si>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</si>
  <si>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</si>
  <si>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</si>
  <si>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</si>
  <si>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</si>
  <si>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</si>
  <si>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</si>
  <si>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</si>
  <si>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</si>
  <si>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</si>
  <si>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</si>
  <si>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</si>
  <si>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</si>
  <si>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</si>
  <si>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</si>
  <si>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</si>
  <si>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</si>
  <si>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</si>
  <si>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</si>
  <si>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</si>
  <si>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</si>
  <si>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</si>
  <si>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</si>
  <si>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</si>
  <si>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</si>
  <si>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</si>
  <si>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</si>
  <si>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</si>
  <si>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</si>
  <si>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</si>
  <si>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</si>
  <si>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</si>
  <si>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</si>
  <si>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</si>
  <si>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</si>
  <si>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</si>
  <si>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</si>
  <si>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</si>
  <si>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</si>
  <si>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</si>
  <si>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diagnosisDate</t>
  </si>
  <si>
    <t>ageAtDiagnosis</t>
  </si>
  <si>
    <t>integer</t>
  </si>
  <si>
    <t>Age of the patient at the time of the diagnosis.
required if date of diagnosis known</t>
  </si>
  <si>
    <t>histologySubgroup.histology (WHO 2017) subgroup</t>
  </si>
  <si>
    <t>histologySubgroup.histologySquamous</t>
  </si>
  <si>
    <t>histologySubgroup.histologyAdenocarcinoma</t>
  </si>
  <si>
    <t>histologySubgroup.histologyNeuroendocrine</t>
  </si>
  <si>
    <t>histologySubgroup.histologyOdontogenicCarcinoma</t>
  </si>
  <si>
    <t>histologySubgroup.histologySNUC</t>
  </si>
  <si>
    <t>siteRare</t>
  </si>
  <si>
    <t>siteCommonAndRare</t>
  </si>
  <si>
    <t>histologyGroup</t>
  </si>
  <si>
    <t>Specifies the histological subgroup for neuroendocrine cancers</t>
  </si>
  <si>
    <t>Histology of prymary tumour according to WHO 2017 clasification.</t>
  </si>
  <si>
    <t>Specifies the histological subgroup</t>
  </si>
  <si>
    <t>subSite</t>
  </si>
  <si>
    <t>subSite.nasalCavityAndParanasalSinusesSubsite</t>
  </si>
  <si>
    <t>subSite.nasopharynxSubsite</t>
  </si>
  <si>
    <t>subSite.hypopharynxSubsite</t>
  </si>
  <si>
    <t>subSite.oropharynxSubsite</t>
  </si>
  <si>
    <t>subSite.oralCavitySubsite</t>
  </si>
  <si>
    <t>subSite.lipSubsite</t>
  </si>
  <si>
    <t>subSite.larynxSubsite</t>
  </si>
  <si>
    <t>Specifies the subsite</t>
  </si>
  <si>
    <t>Nasopharynx subsite</t>
  </si>
  <si>
    <t>PlasmaticEbvDnaAtBaseline</t>
  </si>
  <si>
    <t>PrimerType</t>
  </si>
  <si>
    <t>HpvStatus</t>
  </si>
  <si>
    <t>HpvStatusDetectedBy</t>
  </si>
  <si>
    <t>P16</t>
  </si>
  <si>
    <t>Pd-L1Method</t>
  </si>
  <si>
    <t>Pd-L1CpsValue</t>
  </si>
  <si>
    <t>Pd-L1TpsValue</t>
  </si>
  <si>
    <t>InstrumentStatus</t>
  </si>
  <si>
    <t>Describes the result of EBV DNA plasma testing before treatment in NPC type II and III (WHO)</t>
  </si>
  <si>
    <t>Describes the primer used for EBV DNA plasma testing t in NPC type II and Type III (WHO)</t>
  </si>
  <si>
    <t>Describes the result of HPV tumor testing in oral carcinoma</t>
  </si>
  <si>
    <t>CRP – C reactive protein tested</t>
  </si>
  <si>
    <t>Quantity</t>
  </si>
  <si>
    <t>Cancer Under Study</t>
  </si>
  <si>
    <t>I4RCCancerUnderStudy2Fhir</t>
  </si>
  <si>
    <t>TBD</t>
  </si>
  <si>
    <t>i4rc-cancerUnderStudy.fsh</t>
  </si>
  <si>
    <t>histologySubgroup</t>
  </si>
  <si>
    <t>CancerUnderStudyI4rc</t>
  </si>
  <si>
    <t>CancerUnderStudy</t>
  </si>
  <si>
    <t>PdL1</t>
  </si>
  <si>
    <t>Crp-CReactiveProteinTested</t>
  </si>
  <si>
    <t>CReactiveProtein-Crp-MgDl</t>
  </si>
  <si>
    <t>Comment</t>
  </si>
  <si>
    <t>//  Comments</t>
  </si>
  <si>
    <t>//===================================================</t>
  </si>
  <si>
    <t>//--------------------------------------------------------------------------------</t>
  </si>
  <si>
    <t>i4rc-cancerUnderStudy-test.fsh</t>
  </si>
  <si>
    <t>CancerUnderStudyI4rcTest</t>
  </si>
  <si>
    <t>CancerUnderStudyTest</t>
  </si>
  <si>
    <t>CancerUnderStudy.diagnosisDate</t>
  </si>
  <si>
    <t>Date of diagnosis biopsy or surgical piece</t>
  </si>
  <si>
    <t>Date of the procedure from which the specimen was obtained that allowed the histological diagnosis</t>
  </si>
  <si>
    <t>CancerUnderStudy.ageAtDiagnosis</t>
  </si>
  <si>
    <t>Age of the patient at the time of the diagnosis</t>
  </si>
  <si>
    <t>CancerUnderStudy.histologyGroup</t>
  </si>
  <si>
    <t>Histology WHO 2017 group</t>
  </si>
  <si>
    <t>Histology of prymary tumour  according to WHO 2017 clasification</t>
  </si>
  <si>
    <t>CancerUnderStudy.histologyWho2017Subgroup</t>
  </si>
  <si>
    <t>Histology WHO 2017 subgroup</t>
  </si>
  <si>
    <t>CancerUnderStudy.histologySquamous</t>
  </si>
  <si>
    <t>CancerUnderStudy.histologyAdenocarcinoma</t>
  </si>
  <si>
    <t>CancerUnderStudy.histologyNeuroendocrine</t>
  </si>
  <si>
    <t>CancerUnderStudy.histologyOdontogenicCarcinoma</t>
  </si>
  <si>
    <t>CancerUnderStudy.histologySNUC</t>
  </si>
  <si>
    <t>Histology subgroup Sinonasal undifferentiated carcinoma SNUC</t>
  </si>
  <si>
    <t>CancerUnderStudy.siteRare</t>
  </si>
  <si>
    <t>Site  rare AJCC</t>
  </si>
  <si>
    <t xml:space="preserve">Describe the primary tumor site according to AJCC </t>
  </si>
  <si>
    <t>CancerUnderStudy.siteCommonAndRare</t>
  </si>
  <si>
    <t>Site common and rare AJCC</t>
  </si>
  <si>
    <t>CancerUnderStudy.subsite</t>
  </si>
  <si>
    <t>CancerUnderStudy.nasalCavityAndParanasalSinusesSubsite</t>
  </si>
  <si>
    <t>CancerUnderStudy.nasopharynxSubsite</t>
  </si>
  <si>
    <t>CancerUnderStudy.hypopharynxSubsite</t>
  </si>
  <si>
    <t>CancerUnderStudy.oropharynxSubsite</t>
  </si>
  <si>
    <t>CancerUnderStudy.larynxSubsite</t>
  </si>
  <si>
    <t>CancerUnderStudy.oralCavitySubsite</t>
  </si>
  <si>
    <t>CancerUnderStudy.lipSubsite</t>
  </si>
  <si>
    <t>CancerUnderStudy.plasmaticEbvDnaAtBaseline</t>
  </si>
  <si>
    <t xml:space="preserve">Describes the result of EBV DNA plasma testing before treatment in NPC type II and III WHO </t>
  </si>
  <si>
    <t>CancerUnderStudy.primerType</t>
  </si>
  <si>
    <t xml:space="preserve">Describes the primer used for EBV DNA plasma testing t in NPC type II and Type III WHO </t>
  </si>
  <si>
    <t>CancerUnderStudy.copyNumber</t>
  </si>
  <si>
    <t>CancerUnderStudy.hpvStatus</t>
  </si>
  <si>
    <t>CancerUnderStudy.hpvStatusDetectedBy</t>
  </si>
  <si>
    <t>CancerUnderStudy.p16</t>
  </si>
  <si>
    <t>CancerUnderStudy.pdL1</t>
  </si>
  <si>
    <t>PDL1</t>
  </si>
  <si>
    <t>CancerUnderStudy.pdL1Method</t>
  </si>
  <si>
    <t>PDL1 Method</t>
  </si>
  <si>
    <t>CancerUnderStudy.pdL1CpsValue</t>
  </si>
  <si>
    <t>PDL1 CPS value</t>
  </si>
  <si>
    <t>Result of PDL1CPS testing when performed</t>
  </si>
  <si>
    <t>CancerUnderStudy.pdL1TpsValue</t>
  </si>
  <si>
    <t>PDL1 TPS value</t>
  </si>
  <si>
    <t>Result of PDL1TPS testing when performed</t>
  </si>
  <si>
    <t>CancerUnderStudy.crpCReactiveProteinTested</t>
  </si>
  <si>
    <t xml:space="preserve">CRP  C reactive protein tested </t>
  </si>
  <si>
    <t>CancerUnderStudy.cReactiveProteinCrpMgDl</t>
  </si>
  <si>
    <t>C reactive protein  CRP mgdl</t>
  </si>
  <si>
    <t>Result of CRP testing when performed</t>
  </si>
  <si>
    <t>CancerUnderStudy.instrumentStatus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</si>
</sst>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s>
  <borders count="2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6">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2" applyNumberFormat="0" applyFont="0" applyAlignment="0" applyProtection="0"/>
    <xf numFmtId="0" fontId="19" fillId="0" borderId="0"/>
  </cellStyleXfs>
  <cellXfs count="116">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0" fillId="0" borderId="8" xfId="0" applyBorder="1"/>
    <xf numFmtId="0" fontId="1" fillId="0" borderId="6" xfId="0" applyFont="1" applyBorder="1"/>
    <xf numFmtId="0" fontId="6" fillId="7" borderId="11"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2" xfId="0" applyFont="1" applyFill="1" applyBorder="1"/>
    <xf numFmtId="0" fontId="1" fillId="0" borderId="13" xfId="0" applyFont="1" applyBorder="1" applyAlignment="1">
      <alignment wrapText="1"/>
    </xf>
    <xf numFmtId="0" fontId="1" fillId="0" borderId="14" xfId="0" applyFont="1" applyBorder="1" applyAlignment="1">
      <alignment wrapText="1"/>
    </xf>
    <xf numFmtId="0" fontId="1" fillId="0" borderId="15" xfId="0" applyFont="1" applyBorder="1" applyAlignment="1">
      <alignment wrapText="1"/>
    </xf>
    <xf numFmtId="0" fontId="6" fillId="7" borderId="0" xfId="2" applyBorder="1" applyAlignment="1">
      <alignment wrapText="1"/>
    </xf>
    <xf numFmtId="0" fontId="8" fillId="7" borderId="11" xfId="2" applyFont="1" applyBorder="1" applyAlignment="1">
      <alignment wrapText="1"/>
    </xf>
    <xf numFmtId="0" fontId="8" fillId="7" borderId="0" xfId="2" applyFont="1" applyBorder="1" applyAlignment="1">
      <alignment wrapText="1"/>
    </xf>
    <xf numFmtId="0" fontId="0" fillId="0" borderId="16" xfId="0" applyBorder="1"/>
    <xf numFmtId="0" fontId="1" fillId="0" borderId="17"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8"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9" xfId="0" applyFont="1" applyBorder="1"/>
    <xf numFmtId="0" fontId="0" fillId="0" borderId="9" xfId="0" applyBorder="1"/>
    <xf numFmtId="0" fontId="0" fillId="0" borderId="10" xfId="0" applyBorder="1"/>
    <xf numFmtId="0" fontId="0" fillId="9" borderId="8" xfId="0" applyFill="1" applyBorder="1"/>
    <xf numFmtId="0" fontId="10" fillId="9" borderId="0" xfId="0" applyFont="1" applyFill="1" applyAlignment="1">
      <alignment horizontal="left" vertical="top" wrapText="1"/>
    </xf>
    <xf numFmtId="0" fontId="0" fillId="0" borderId="10"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9" xfId="0" applyBorder="1"/>
    <xf numFmtId="0" fontId="1" fillId="6" borderId="20" xfId="0" applyFont="1" applyFill="1" applyBorder="1"/>
    <xf numFmtId="0" fontId="0" fillId="0" borderId="21"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2"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3" xfId="5" applyFont="1" applyFill="1" applyBorder="1" applyAlignment="1">
      <alignment horizontal="center" vertical="center" wrapText="1"/>
    </xf>
    <xf numFmtId="0" fontId="25" fillId="13" borderId="24"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24" fillId="13" borderId="25"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0" fillId="0" borderId="8" xfId="0" applyBorder="1" applyAlignment="1">
      <alignment wrapText="1"/>
    </xf>
    <xf numFmtId="0" fontId="0" fillId="9" borderId="8" xfId="0" applyFill="1" applyBorder="1" applyAlignment="1">
      <alignment wrapText="1"/>
    </xf>
    <xf numFmtId="0" fontId="26" fillId="0" borderId="0" xfId="0" applyFont="1"/>
    <xf numFmtId="0" fontId="6" fillId="8" borderId="1" xfId="3" applyBorder="1" applyAlignment="1">
      <alignment wrapText="1"/>
    </xf>
    <xf numFmtId="0" fontId="20" fillId="0" borderId="0" xfId="5" applyFont="1" applyAlignment="1">
      <alignment vertical="center" wrapText="1"/>
    </xf>
    <xf numFmtId="0" fontId="19" fillId="0" borderId="0" xfId="5"/>
    <xf numFmtId="0" fontId="31" fillId="0" borderId="24" xfId="5" applyFont="1" applyBorder="1" applyAlignment="1">
      <alignment horizontal="center" vertical="center" wrapText="1"/>
    </xf>
    <xf numFmtId="0" fontId="32" fillId="0" borderId="24" xfId="5" applyFont="1" applyBorder="1"/>
    <xf numFmtId="0" fontId="36" fillId="0" borderId="24"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41" fillId="0" borderId="1" xfId="0" applyFont="1" applyBorder="1" applyAlignment="1">
      <alignment horizontal="center" vertical="top"/>
    </xf>
  </cellXfs>
  <cellStyles count="6">
    <cellStyle name="Collegamento ipertestuale" xfId="1" builtinId="8"/>
    <cellStyle name="Colore 1" xfId="2" builtinId="29"/>
    <cellStyle name="Colore 2" xfId="3" builtinId="33"/>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95</xdr:row>
          <xdr:rowOff>171450</xdr:rowOff>
        </xdr:from>
        <xdr:to>
          <xdr:col>2</xdr:col>
          <xdr:colOff>1117600</xdr:colOff>
          <xdr:row>97</xdr:row>
          <xdr:rowOff>88900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684FC987-2D80-4ECA-B7BB-617DCA23350B}"/>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27348DE8-B438-4940-8A7A-6C956F96F993}"/>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95</xdr:row>
          <xdr:rowOff>171450</xdr:rowOff>
        </xdr:from>
        <xdr:to>
          <xdr:col>2</xdr:col>
          <xdr:colOff>1117600</xdr:colOff>
          <xdr:row>97</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6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6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800-000001D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B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B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D00-000001C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1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2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2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4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trlProp" Target="../ctrlProps/ctrlProp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5831-5BFF-480E-9F65-493C0CFB2512}">
  <sheetPr codeName="Foglio29">
    <tabColor theme="7" tint="0.39997558519241921"/>
  </sheetPr>
  <dimension ref="A1:M44"/>
  <sheetViews>
    <sheetView tabSelected="1" zoomScale="115" zoomScaleNormal="115" workbookViewId="0">
      <selection activeCell="B11" sqref="B11:B12"/>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1681</v>
      </c>
      <c r="L1" s="24" t="s">
        <v>21</v>
      </c>
    </row>
    <row r="2" spans="1:12">
      <c r="J2" s="25" t="s">
        <v>20</v>
      </c>
      <c r="L2" s="25" t="s">
        <v>1680</v>
      </c>
    </row>
    <row r="3" spans="1:12" ht="17.75" customHeight="1" thickBot="1">
      <c r="J3" s="25" t="str">
        <f>J1</f>
        <v>//===================================================</v>
      </c>
      <c r="L3" s="25" t="str">
        <f>L1</f>
        <v>// -------------------------------------------------------------------------------</v>
      </c>
    </row>
    <row r="4" spans="1:12">
      <c r="A4" s="5" t="s">
        <v>12</v>
      </c>
      <c r="B4" s="46" t="s">
        <v>1684</v>
      </c>
      <c r="J4" s="17" t="str">
        <f>CONCATENATE("Logical: ",B4)</f>
        <v>Logical: CancerUnderStudyI4rcTest</v>
      </c>
    </row>
    <row r="5" spans="1:12">
      <c r="A5" s="15" t="s">
        <v>17</v>
      </c>
      <c r="B5" s="47" t="s">
        <v>1685</v>
      </c>
      <c r="J5" s="17" t="str">
        <f>CONCATENATE("Id: ",B5)</f>
        <v>Id: CancerUnderStudyTest</v>
      </c>
    </row>
    <row r="6" spans="1:12">
      <c r="A6" s="15" t="s">
        <v>11</v>
      </c>
      <c r="B6" s="48" t="s">
        <v>1669</v>
      </c>
      <c r="J6" s="18" t="str">
        <f>CONCATENATE("Title: ##34#",B6,"##34#")</f>
        <v>Title: ##34#Cancer Under Study##34#</v>
      </c>
    </row>
    <row r="7" spans="1:12" ht="30.25" thickBot="1">
      <c r="A7" s="27" t="s">
        <v>3</v>
      </c>
      <c r="B7" s="49" t="s">
        <v>156</v>
      </c>
      <c r="C7" s="9" t="s">
        <v>4</v>
      </c>
      <c r="D7" s="1" t="s">
        <v>5</v>
      </c>
      <c r="E7" s="3" t="s">
        <v>6</v>
      </c>
      <c r="F7" s="3" t="s">
        <v>7</v>
      </c>
      <c r="G7" s="3" t="s">
        <v>8</v>
      </c>
      <c r="H7" s="107" t="s">
        <v>1679</v>
      </c>
      <c r="J7" s="18" t="str">
        <f>CONCATENATE("Description: "," ##334#",B7,"##334#",)</f>
        <v>Description:  ##334#Subject of care 
Maturity Level: 0 Draft##334#</v>
      </c>
    </row>
    <row r="8" spans="1:12" ht="73.75">
      <c r="A8" s="115">
        <v>0</v>
      </c>
      <c r="B8" t="s">
        <v>1686</v>
      </c>
      <c r="C8" t="s">
        <v>1687</v>
      </c>
      <c r="D8" t="s">
        <v>1688</v>
      </c>
      <c r="E8">
        <v>0</v>
      </c>
      <c r="F8">
        <v>1</v>
      </c>
      <c r="G8" t="s">
        <v>164</v>
      </c>
      <c r="H8" s="12"/>
      <c r="I8" s="26"/>
      <c r="J8" s="12" t="str">
        <f t="shared" ref="J8:J44" si="0">CONCATENATE("* ",B8, " ",E8,"..",F8," ",G8," ##34#",C8,"##34# ##334#",D8,"##334#")</f>
        <v>* CancerUnderStudy.diagnosisDate 0..1 date ##34#Date of diagnosis biopsy or surgical piece##34# ##334#Date of the procedure from which the specimen was obtained that allowed the histological diagnosis##334#</v>
      </c>
      <c r="L8" s="12" t="str">
        <f>IF(H8="",IF(J8="*  ..  ##34###34# ##334###334#",J8,""),IF(J8="*  ..  ##34###34# ##334###334#",J8,CONCATENATE("* ",B8," ^comment = ##334#",H8,"##334#")))</f>
        <v/>
      </c>
    </row>
    <row r="9" spans="1:12" ht="44.25">
      <c r="A9" s="115">
        <v>1</v>
      </c>
      <c r="B9" t="s">
        <v>1689</v>
      </c>
      <c r="C9" t="s">
        <v>1502</v>
      </c>
      <c r="D9" t="s">
        <v>1690</v>
      </c>
      <c r="E9">
        <v>0</v>
      </c>
      <c r="F9">
        <v>1</v>
      </c>
      <c r="G9" t="s">
        <v>1631</v>
      </c>
      <c r="H9" s="12"/>
      <c r="I9" s="26"/>
      <c r="J9" s="12" t="str">
        <f t="shared" si="0"/>
        <v>* CancerUnderStudy.ageAtDiagnosis 0..1 integer ##34#Age at diagnosis manual##34# ##334#Age of the patient at the time of the diagnosis##334#</v>
      </c>
      <c r="L9" s="12" t="str">
        <f t="shared" ref="L9:L44" si="1">IF(H9="",IF(J9="*  ..  ##34###34# ##334###334#",J9,""),IF(J9="*  ..  ##34###34# ##334###334#",J9,CONCATENATE("* ",B9," ^comment = ##334#",H9,"##334#")))</f>
        <v/>
      </c>
    </row>
    <row r="10" spans="1:12" ht="44.25">
      <c r="A10" s="115">
        <v>2</v>
      </c>
      <c r="B10" t="s">
        <v>1691</v>
      </c>
      <c r="C10" t="s">
        <v>1692</v>
      </c>
      <c r="D10" t="s">
        <v>1693</v>
      </c>
      <c r="E10">
        <v>0</v>
      </c>
      <c r="F10">
        <v>1</v>
      </c>
      <c r="G10" t="s">
        <v>1</v>
      </c>
      <c r="H10" s="12"/>
      <c r="I10" s="26"/>
      <c r="J10" s="12" t="str">
        <f t="shared" si="0"/>
        <v>* CancerUnderStudy.histologyGroup 0..1 string ##34#Histology WHO 2017 group##34# ##334#Histology of prymary tumour  according to WHO 2017 clasification##334#</v>
      </c>
      <c r="L10" s="12" t="str">
        <f t="shared" si="1"/>
        <v/>
      </c>
    </row>
    <row r="11" spans="1:12" ht="29.5">
      <c r="A11" s="115">
        <v>3</v>
      </c>
      <c r="B11" t="s">
        <v>1694</v>
      </c>
      <c r="C11" t="s">
        <v>1695</v>
      </c>
      <c r="E11">
        <v>0</v>
      </c>
      <c r="F11">
        <v>1</v>
      </c>
      <c r="G11" t="s">
        <v>2</v>
      </c>
      <c r="I11" s="26"/>
      <c r="J11" s="12" t="str">
        <f t="shared" si="0"/>
        <v>* CancerUnderStudy.histologyWho2017Subgroup 0..1 BackboneElement ##34#Histology WHO 2017 subgroup##34# ##334###334#</v>
      </c>
      <c r="L11" s="12" t="str">
        <f t="shared" si="1"/>
        <v/>
      </c>
    </row>
    <row r="12" spans="1:12" ht="44.25">
      <c r="A12" s="115">
        <v>4</v>
      </c>
      <c r="B12" t="s">
        <v>1696</v>
      </c>
      <c r="C12" t="s">
        <v>1518</v>
      </c>
      <c r="D12" t="s">
        <v>1521</v>
      </c>
      <c r="E12">
        <v>0</v>
      </c>
      <c r="F12">
        <v>1</v>
      </c>
      <c r="G12" t="s">
        <v>1</v>
      </c>
      <c r="H12" s="12"/>
      <c r="I12" s="26"/>
      <c r="J12" s="12" t="str">
        <f t="shared" si="0"/>
        <v>* CancerUnderStudy.histologySquamous 0..1 string ##34#Histology subgroup Squamous##34# ##334#Specifies the histological subgroup for squamous cancers##334#</v>
      </c>
      <c r="L12" s="12" t="str">
        <f t="shared" si="1"/>
        <v/>
      </c>
    </row>
    <row r="13" spans="1:12" ht="44.25">
      <c r="A13" s="115">
        <v>5</v>
      </c>
      <c r="B13" t="s">
        <v>1697</v>
      </c>
      <c r="C13" t="s">
        <v>1524</v>
      </c>
      <c r="D13" t="s">
        <v>1527</v>
      </c>
      <c r="E13">
        <v>0</v>
      </c>
      <c r="F13">
        <v>1</v>
      </c>
      <c r="G13" t="s">
        <v>1</v>
      </c>
      <c r="I13" s="26"/>
      <c r="J13" s="12" t="str">
        <f t="shared" si="0"/>
        <v>* CancerUnderStudy.histologyAdenocarcinoma 0..1 string ##34#Histology subgroup Adenocarcinoma##34# ##334#Specifies the histological subgroup for adenocarcinomas##334#</v>
      </c>
      <c r="L13" s="12" t="str">
        <f t="shared" si="1"/>
        <v/>
      </c>
    </row>
    <row r="14" spans="1:12" ht="44.25">
      <c r="A14" s="115">
        <v>6</v>
      </c>
      <c r="B14" t="s">
        <v>1698</v>
      </c>
      <c r="C14" t="s">
        <v>1530</v>
      </c>
      <c r="D14" t="s">
        <v>1533</v>
      </c>
      <c r="E14">
        <v>0</v>
      </c>
      <c r="F14">
        <v>1</v>
      </c>
      <c r="G14" t="s">
        <v>1</v>
      </c>
      <c r="H14" s="12"/>
      <c r="I14" s="26"/>
      <c r="J14" s="12" t="str">
        <f t="shared" si="0"/>
        <v>* CancerUnderStudy.histologyNeuroendocrine 0..1 string ##34#Histology subgroup Neuroendocrine##34# ##334#Specifies the histological subgroup for neuroendocrine cancers ##334#</v>
      </c>
      <c r="L14" s="12" t="str">
        <f t="shared" si="1"/>
        <v/>
      </c>
    </row>
    <row r="15" spans="1:12" ht="44.25">
      <c r="A15" s="115">
        <v>7</v>
      </c>
      <c r="B15" t="s">
        <v>1699</v>
      </c>
      <c r="C15" t="s">
        <v>1536</v>
      </c>
      <c r="D15" t="s">
        <v>1539</v>
      </c>
      <c r="E15">
        <v>0</v>
      </c>
      <c r="F15">
        <v>1</v>
      </c>
      <c r="G15" t="s">
        <v>1</v>
      </c>
      <c r="H15" s="12"/>
      <c r="I15" s="26"/>
      <c r="J15" s="12" t="str">
        <f t="shared" si="0"/>
        <v>* CancerUnderStudy.histologyOdontogenicCarcinoma 0..1 string ##34#Histology subgroup Odontogenic carcinoma##34# ##334#Specifies the histological subgroup for odontogenic carcinomas##334#</v>
      </c>
      <c r="L15" s="12" t="str">
        <f t="shared" si="1"/>
        <v/>
      </c>
    </row>
    <row r="16" spans="1:12" ht="44.25">
      <c r="A16" s="115">
        <v>8</v>
      </c>
      <c r="B16" t="s">
        <v>1700</v>
      </c>
      <c r="C16" t="s">
        <v>1701</v>
      </c>
      <c r="D16" t="s">
        <v>1545</v>
      </c>
      <c r="E16">
        <v>0</v>
      </c>
      <c r="F16">
        <v>1</v>
      </c>
      <c r="G16" t="s">
        <v>1</v>
      </c>
      <c r="H16" s="12"/>
      <c r="I16" s="26"/>
      <c r="J16" s="12" t="str">
        <f t="shared" si="0"/>
        <v>* CancerUnderStudy.histologySNUC 0..1 string ##34#Histology subgroup Sinonasal undifferentiated carcinoma SNUC##34# ##334#Specifies the histological subgroup for sinonasl undifferentiated carcinomas##334#</v>
      </c>
      <c r="L16" s="12" t="str">
        <f t="shared" si="1"/>
        <v/>
      </c>
    </row>
    <row r="17" spans="1:13" ht="29.5">
      <c r="A17" s="115">
        <v>9</v>
      </c>
      <c r="B17" t="s">
        <v>1702</v>
      </c>
      <c r="C17" t="s">
        <v>1703</v>
      </c>
      <c r="D17" t="s">
        <v>1704</v>
      </c>
      <c r="E17">
        <v>0</v>
      </c>
      <c r="F17">
        <v>1</v>
      </c>
      <c r="G17" t="s">
        <v>1</v>
      </c>
      <c r="H17" s="12"/>
      <c r="I17" s="26"/>
      <c r="J17" s="12" t="str">
        <f t="shared" si="0"/>
        <v>* CancerUnderStudy.siteRare 0..1 string ##34#Site  rare AJCC##34# ##334#Describe the primary tumor site according to AJCC ##334#</v>
      </c>
      <c r="L17" s="12" t="str">
        <f t="shared" si="1"/>
        <v/>
      </c>
    </row>
    <row r="18" spans="1:13" ht="44.25">
      <c r="A18" s="115">
        <v>10</v>
      </c>
      <c r="B18" t="s">
        <v>1705</v>
      </c>
      <c r="C18" t="s">
        <v>1706</v>
      </c>
      <c r="D18" t="s">
        <v>1704</v>
      </c>
      <c r="E18">
        <v>0</v>
      </c>
      <c r="F18">
        <v>1</v>
      </c>
      <c r="G18" t="s">
        <v>1</v>
      </c>
      <c r="H18" s="12"/>
      <c r="J18" s="12" t="str">
        <f t="shared" si="0"/>
        <v>* CancerUnderStudy.siteCommonAndRare 0..1 string ##34#Site common and rare AJCC##34# ##334#Describe the primary tumor site according to AJCC ##334#</v>
      </c>
      <c r="L18" s="12" t="str">
        <f t="shared" si="1"/>
        <v/>
      </c>
    </row>
    <row r="19" spans="1:13" ht="29.5">
      <c r="A19" s="115">
        <v>11</v>
      </c>
      <c r="B19" t="s">
        <v>1707</v>
      </c>
      <c r="C19" t="s">
        <v>1559</v>
      </c>
      <c r="E19">
        <v>0</v>
      </c>
      <c r="F19">
        <v>1</v>
      </c>
      <c r="G19" t="s">
        <v>2</v>
      </c>
      <c r="H19" s="12"/>
      <c r="J19" s="12" t="str">
        <f t="shared" si="0"/>
        <v>* CancerUnderStudy.subsite 0..1 BackboneElement ##34#Subsite##34# ##334###334#</v>
      </c>
      <c r="L19" s="12" t="str">
        <f t="shared" si="1"/>
        <v/>
      </c>
    </row>
    <row r="20" spans="1:13" ht="44.25">
      <c r="A20" s="115">
        <v>12</v>
      </c>
      <c r="B20" t="s">
        <v>1708</v>
      </c>
      <c r="C20" t="s">
        <v>1560</v>
      </c>
      <c r="D20" t="s">
        <v>1562</v>
      </c>
      <c r="E20">
        <v>0</v>
      </c>
      <c r="F20">
        <v>1</v>
      </c>
      <c r="G20" t="s">
        <v>1</v>
      </c>
      <c r="H20" s="12"/>
      <c r="J20" s="12" t="str">
        <f t="shared" si="0"/>
        <v>* CancerUnderStudy.nasalCavityAndParanasalSinusesSubsite 0..1 string ##34#Nasal cavity and paranasal sinuses subsite##34# ##334#Specifies the subsite for cancers occurred in nasal cavity and paranasal sinusess##334#</v>
      </c>
      <c r="L20" s="12" t="str">
        <f t="shared" si="1"/>
        <v/>
      </c>
    </row>
    <row r="21" spans="1:13" ht="44.25">
      <c r="A21" s="115">
        <v>13</v>
      </c>
      <c r="B21" t="s">
        <v>1709</v>
      </c>
      <c r="C21" t="s">
        <v>1566</v>
      </c>
      <c r="D21" t="s">
        <v>1567</v>
      </c>
      <c r="E21">
        <v>0</v>
      </c>
      <c r="F21">
        <v>1</v>
      </c>
      <c r="G21" t="s">
        <v>1</v>
      </c>
      <c r="H21" s="12"/>
      <c r="J21" s="12" t="str">
        <f t="shared" si="0"/>
        <v>* CancerUnderStudy.nasopharynxSubsite 0..1 string ##34#Nasopharynx  subsite##34# ##334#Specifies the subsite for cancers occurred in nasopharynx##334#</v>
      </c>
      <c r="L21" s="12" t="str">
        <f t="shared" si="1"/>
        <v/>
      </c>
      <c r="M21"/>
    </row>
    <row r="22" spans="1:13" ht="44.25">
      <c r="A22" s="115">
        <v>14</v>
      </c>
      <c r="B22" t="s">
        <v>1710</v>
      </c>
      <c r="C22" t="s">
        <v>1569</v>
      </c>
      <c r="D22" t="s">
        <v>1570</v>
      </c>
      <c r="E22">
        <v>0</v>
      </c>
      <c r="F22">
        <v>1</v>
      </c>
      <c r="G22" t="s">
        <v>1</v>
      </c>
      <c r="H22" s="12"/>
      <c r="J22" s="12" t="str">
        <f t="shared" si="0"/>
        <v>* CancerUnderStudy.hypopharynxSubsite 0..1 string ##34#Hypopharynx subsite##34# ##334#Specifies the subsite for cancers occurred in hypopharynx##334#</v>
      </c>
      <c r="L22" s="12" t="str">
        <f t="shared" si="1"/>
        <v/>
      </c>
      <c r="M22"/>
    </row>
    <row r="23" spans="1:13" ht="44.25">
      <c r="A23" s="115">
        <v>15</v>
      </c>
      <c r="B23" t="s">
        <v>1711</v>
      </c>
      <c r="C23" t="s">
        <v>1572</v>
      </c>
      <c r="D23" t="s">
        <v>1573</v>
      </c>
      <c r="E23">
        <v>0</v>
      </c>
      <c r="F23">
        <v>1</v>
      </c>
      <c r="G23" t="s">
        <v>1</v>
      </c>
      <c r="H23" s="12"/>
      <c r="J23" s="12" t="str">
        <f t="shared" si="0"/>
        <v>* CancerUnderStudy.oropharynxSubsite 0..1 string ##34#Oropharynx subsite##34# ##334#Specifies the subsite for cancers occurred in oropharynx##334#</v>
      </c>
      <c r="L23" s="12" t="str">
        <f t="shared" si="1"/>
        <v/>
      </c>
      <c r="M23"/>
    </row>
    <row r="24" spans="1:13" ht="29.5">
      <c r="A24" s="115">
        <v>16</v>
      </c>
      <c r="B24" t="s">
        <v>1712</v>
      </c>
      <c r="C24" t="s">
        <v>1575</v>
      </c>
      <c r="D24" t="s">
        <v>1576</v>
      </c>
      <c r="E24">
        <v>0</v>
      </c>
      <c r="F24">
        <v>1</v>
      </c>
      <c r="G24" t="s">
        <v>1</v>
      </c>
      <c r="H24" s="12"/>
      <c r="J24" s="12" t="str">
        <f t="shared" si="0"/>
        <v>* CancerUnderStudy.larynxSubsite 0..1 string ##34#Larynx subsite##34# ##334#Specifies the subsite for cancers occurred in larynx##334#</v>
      </c>
      <c r="L24" s="12" t="str">
        <f t="shared" si="1"/>
        <v/>
      </c>
      <c r="M24"/>
    </row>
    <row r="25" spans="1:13" ht="44.25">
      <c r="A25" s="115">
        <v>17</v>
      </c>
      <c r="B25" t="s">
        <v>1713</v>
      </c>
      <c r="C25" t="s">
        <v>1578</v>
      </c>
      <c r="D25" t="s">
        <v>1579</v>
      </c>
      <c r="E25">
        <v>0</v>
      </c>
      <c r="F25">
        <v>1</v>
      </c>
      <c r="G25" t="s">
        <v>1</v>
      </c>
      <c r="H25" s="12"/>
      <c r="J25" s="12" t="str">
        <f t="shared" si="0"/>
        <v>* CancerUnderStudy.oralCavitySubsite 0..1 string ##34#Oral cavity subsite##34# ##334#Specifies the subsite for cancers occurred in oral cavity##334#</v>
      </c>
      <c r="L25" s="12" t="str">
        <f t="shared" si="1"/>
        <v/>
      </c>
      <c r="M25"/>
    </row>
    <row r="26" spans="1:13" ht="29.5">
      <c r="A26" s="115">
        <v>18</v>
      </c>
      <c r="B26" t="s">
        <v>1714</v>
      </c>
      <c r="C26" t="s">
        <v>1581</v>
      </c>
      <c r="D26" t="s">
        <v>1582</v>
      </c>
      <c r="E26">
        <v>0</v>
      </c>
      <c r="F26">
        <v>1</v>
      </c>
      <c r="G26" t="s">
        <v>1</v>
      </c>
      <c r="H26" s="12"/>
      <c r="J26" s="12" t="str">
        <f t="shared" si="0"/>
        <v>* CancerUnderStudy.lipSubsite 0..1 string ##34#Lip subsite##34# ##334#Specifies the subsite for cancers occurred in lip##334#</v>
      </c>
      <c r="L26" s="12" t="str">
        <f t="shared" si="1"/>
        <v/>
      </c>
      <c r="M26"/>
    </row>
    <row r="27" spans="1:13" ht="44.25">
      <c r="A27" s="115">
        <v>19</v>
      </c>
      <c r="B27" t="s">
        <v>1715</v>
      </c>
      <c r="C27" t="s">
        <v>1584</v>
      </c>
      <c r="D27" t="s">
        <v>1716</v>
      </c>
      <c r="E27">
        <v>0</v>
      </c>
      <c r="F27">
        <v>1</v>
      </c>
      <c r="G27" t="s">
        <v>1</v>
      </c>
      <c r="H27" s="12"/>
      <c r="J27" s="12" t="str">
        <f t="shared" si="0"/>
        <v>* CancerUnderStudy.plasmaticEbvDnaAtBaseline 0..1 string ##34#Plasmatic EBV DNA at baseline##34# ##334#Describes the result of EBV DNA plasma testing before treatment in NPC type II and III WHO ##334#</v>
      </c>
      <c r="L27" s="12" t="str">
        <f t="shared" si="1"/>
        <v/>
      </c>
      <c r="M27"/>
    </row>
    <row r="28" spans="1:13" ht="44.25">
      <c r="A28" s="115">
        <v>20</v>
      </c>
      <c r="B28" t="s">
        <v>1717</v>
      </c>
      <c r="C28" t="s">
        <v>1588</v>
      </c>
      <c r="D28" t="s">
        <v>1718</v>
      </c>
      <c r="E28">
        <v>0</v>
      </c>
      <c r="F28">
        <v>1</v>
      </c>
      <c r="G28" t="s">
        <v>1</v>
      </c>
      <c r="H28" s="12"/>
      <c r="J28" s="12" t="str">
        <f t="shared" si="0"/>
        <v>* CancerUnderStudy.primerType 0..1 string ##34#Primer type##34# ##334#Describes the primer used for EBV DNA plasma testing t in NPC type II and Type III WHO ##334#</v>
      </c>
      <c r="L28" s="12" t="str">
        <f t="shared" si="1"/>
        <v/>
      </c>
      <c r="M28"/>
    </row>
    <row r="29" spans="1:13" ht="29.5">
      <c r="A29" s="115">
        <v>21</v>
      </c>
      <c r="B29" t="s">
        <v>1719</v>
      </c>
      <c r="C29" t="s">
        <v>876</v>
      </c>
      <c r="D29" t="s">
        <v>1593</v>
      </c>
      <c r="E29">
        <v>0</v>
      </c>
      <c r="F29">
        <v>1</v>
      </c>
      <c r="G29" t="s">
        <v>1631</v>
      </c>
      <c r="H29" s="12"/>
      <c r="I29" s="2"/>
      <c r="J29" s="12" t="str">
        <f t="shared" si="0"/>
        <v>* CancerUnderStudy.copyNumber 0..1 integer ##34#Copy Number##34# ##334#Copy number of EBVDNA##334#</v>
      </c>
      <c r="L29" s="12" t="str">
        <f t="shared" si="1"/>
        <v/>
      </c>
      <c r="M29"/>
    </row>
    <row r="30" spans="1:13" ht="44.25">
      <c r="A30" s="115">
        <v>22</v>
      </c>
      <c r="B30" t="s">
        <v>1720</v>
      </c>
      <c r="C30" t="s">
        <v>1595</v>
      </c>
      <c r="D30" t="s">
        <v>1596</v>
      </c>
      <c r="E30">
        <v>0</v>
      </c>
      <c r="F30">
        <v>1</v>
      </c>
      <c r="G30" t="s">
        <v>1</v>
      </c>
      <c r="H30" s="12"/>
      <c r="J30" s="12" t="str">
        <f t="shared" si="0"/>
        <v>* CancerUnderStudy.hpvStatus 0..1 string ##34#HPV status##34# ##334#Describes the result of HPV tumor testing in oral carcinoma ##334#</v>
      </c>
      <c r="L30" s="12" t="str">
        <f t="shared" si="1"/>
        <v/>
      </c>
    </row>
    <row r="31" spans="1:13" ht="44.25">
      <c r="A31" s="115">
        <v>23</v>
      </c>
      <c r="B31" t="s">
        <v>1721</v>
      </c>
      <c r="C31" t="s">
        <v>1599</v>
      </c>
      <c r="D31" t="s">
        <v>1601</v>
      </c>
      <c r="E31">
        <v>0</v>
      </c>
      <c r="F31">
        <v>1</v>
      </c>
      <c r="G31" t="s">
        <v>1</v>
      </c>
      <c r="H31" s="12"/>
      <c r="J31" s="12" t="str">
        <f t="shared" si="0"/>
        <v>* CancerUnderStudy.hpvStatusDetectedBy 0..1 string ##34#HPV status detected by##34# ##334#Describes the technique used for HPV tumour testing in orall carcinoma##334#</v>
      </c>
      <c r="L31" s="12" t="str">
        <f t="shared" si="1"/>
        <v/>
      </c>
    </row>
    <row r="32" spans="1:13" ht="44.25">
      <c r="A32" s="115">
        <v>24</v>
      </c>
      <c r="B32" t="s">
        <v>1722</v>
      </c>
      <c r="C32" t="s">
        <v>1604</v>
      </c>
      <c r="D32" t="s">
        <v>1605</v>
      </c>
      <c r="E32">
        <v>0</v>
      </c>
      <c r="F32">
        <v>1</v>
      </c>
      <c r="G32" t="s">
        <v>1</v>
      </c>
      <c r="H32" s="12"/>
      <c r="J32" s="12" t="str">
        <f t="shared" si="0"/>
        <v>* CancerUnderStudy.p16 0..1 string ##34#p16##34# ##334#Describes the result of p16 tumour testing in oral carcinoma##334#</v>
      </c>
      <c r="L32" s="12" t="str">
        <f t="shared" si="1"/>
        <v/>
      </c>
    </row>
    <row r="33" spans="1:12" ht="44.25">
      <c r="A33" s="115">
        <v>25</v>
      </c>
      <c r="B33" t="s">
        <v>1723</v>
      </c>
      <c r="C33" t="s">
        <v>1724</v>
      </c>
      <c r="D33" t="s">
        <v>1608</v>
      </c>
      <c r="E33">
        <v>0</v>
      </c>
      <c r="F33">
        <v>1</v>
      </c>
      <c r="G33" t="s">
        <v>1</v>
      </c>
      <c r="H33" s="12"/>
      <c r="J33" s="12" t="str">
        <f t="shared" si="0"/>
        <v>* CancerUnderStudy.pdL1 0..1 string ##34#PDL1##34# ##334#Describes the result of PDL tumour testing in oral carcinoma##334#</v>
      </c>
      <c r="L33" s="12" t="str">
        <f t="shared" si="1"/>
        <v/>
      </c>
    </row>
    <row r="34" spans="1:12" ht="44.25">
      <c r="A34" s="115">
        <v>26</v>
      </c>
      <c r="B34" t="s">
        <v>1725</v>
      </c>
      <c r="C34" t="s">
        <v>1726</v>
      </c>
      <c r="D34" t="s">
        <v>1611</v>
      </c>
      <c r="E34">
        <v>0</v>
      </c>
      <c r="F34">
        <v>1</v>
      </c>
      <c r="G34" t="s">
        <v>1</v>
      </c>
      <c r="H34" s="12"/>
      <c r="J34" s="12" t="str">
        <f t="shared" si="0"/>
        <v>* CancerUnderStudy.pdL1Method 0..1 string ##34#PDL1 Method##34# ##334#Describes the technique used for PDL tumour testing in oral carcinoma##334#</v>
      </c>
      <c r="L34" s="12" t="str">
        <f t="shared" si="1"/>
        <v/>
      </c>
    </row>
    <row r="35" spans="1:12" ht="29.5">
      <c r="A35" s="115">
        <v>27</v>
      </c>
      <c r="B35" t="s">
        <v>1727</v>
      </c>
      <c r="C35" t="s">
        <v>1728</v>
      </c>
      <c r="D35" t="s">
        <v>1729</v>
      </c>
      <c r="E35">
        <v>0</v>
      </c>
      <c r="F35">
        <v>1</v>
      </c>
      <c r="G35" t="s">
        <v>1631</v>
      </c>
      <c r="H35" s="12"/>
      <c r="J35" s="12" t="str">
        <f t="shared" si="0"/>
        <v>* CancerUnderStudy.pdL1CpsValue 0..1 integer ##34#PDL1 CPS value##34# ##334#Result of PDL1CPS testing when performed##334#</v>
      </c>
      <c r="L35" s="12" t="str">
        <f t="shared" si="1"/>
        <v/>
      </c>
    </row>
    <row r="36" spans="1:12" ht="29.5">
      <c r="A36" s="115">
        <v>28</v>
      </c>
      <c r="B36" t="s">
        <v>1730</v>
      </c>
      <c r="C36" t="s">
        <v>1731</v>
      </c>
      <c r="D36" t="s">
        <v>1732</v>
      </c>
      <c r="E36">
        <v>0</v>
      </c>
      <c r="F36">
        <v>1</v>
      </c>
      <c r="G36" t="s">
        <v>1631</v>
      </c>
      <c r="H36" s="12"/>
      <c r="J36" s="12" t="str">
        <f t="shared" si="0"/>
        <v>* CancerUnderStudy.pdL1TpsValue 0..1 integer ##34#PDL1 TPS value##34# ##334#Result of PDL1TPS testing when performed##334#</v>
      </c>
      <c r="L36" s="12" t="str">
        <f t="shared" si="1"/>
        <v/>
      </c>
    </row>
    <row r="37" spans="1:12" ht="44.25">
      <c r="A37" s="115">
        <v>29</v>
      </c>
      <c r="B37" t="s">
        <v>1733</v>
      </c>
      <c r="C37" t="s">
        <v>1734</v>
      </c>
      <c r="D37" t="s">
        <v>1622</v>
      </c>
      <c r="E37">
        <v>0</v>
      </c>
      <c r="F37">
        <v>1</v>
      </c>
      <c r="G37" t="s">
        <v>1</v>
      </c>
      <c r="H37" s="12"/>
      <c r="J37" s="12" t="str">
        <f t="shared" si="0"/>
        <v>* CancerUnderStudy.crpCReactiveProteinTested 0..1 string ##34#CRP  C reactive protein tested ##34# ##334#Describes the result of C reactive protein testing##334#</v>
      </c>
      <c r="L37" s="12" t="str">
        <f t="shared" si="1"/>
        <v/>
      </c>
    </row>
    <row r="38" spans="1:12" ht="29.5">
      <c r="A38" s="115">
        <v>30</v>
      </c>
      <c r="B38" t="s">
        <v>1735</v>
      </c>
      <c r="C38" t="s">
        <v>1736</v>
      </c>
      <c r="D38" t="s">
        <v>1737</v>
      </c>
      <c r="E38">
        <v>0</v>
      </c>
      <c r="F38">
        <v>1</v>
      </c>
      <c r="G38" t="s">
        <v>1631</v>
      </c>
      <c r="H38" s="12"/>
      <c r="J38" s="12" t="str">
        <f t="shared" si="0"/>
        <v>* CancerUnderStudy.cReactiveProteinCrpMgDl 0..1 integer ##34#C reactive protein  CRP mgdl##34# ##334#Result of CRP testing when performed##334#</v>
      </c>
      <c r="L38" s="12" t="str">
        <f t="shared" si="1"/>
        <v/>
      </c>
    </row>
    <row r="39" spans="1:12" ht="29.5">
      <c r="A39" s="115">
        <v>31</v>
      </c>
      <c r="B39" t="s">
        <v>1738</v>
      </c>
      <c r="C39" t="s">
        <v>1626</v>
      </c>
      <c r="D39" t="s">
        <v>153</v>
      </c>
      <c r="E39">
        <v>0</v>
      </c>
      <c r="F39">
        <v>1</v>
      </c>
      <c r="G39" t="s">
        <v>165</v>
      </c>
      <c r="H39" s="12"/>
      <c r="J39" s="12" t="str">
        <f t="shared" si="0"/>
        <v>* CancerUnderStudy.instrumentStatus 0..1 boolean ##34#Instrument status##34# ##334#Describe if the instument is fully compiled or not##334#</v>
      </c>
      <c r="L39" s="12" t="str">
        <f t="shared" si="1"/>
        <v/>
      </c>
    </row>
    <row r="40" spans="1:12">
      <c r="J40" s="12" t="str">
        <f t="shared" si="0"/>
        <v>*  ..  ##34###34# ##334###334#</v>
      </c>
      <c r="L40" s="12" t="str">
        <f t="shared" si="1"/>
        <v>*  ..  ##34###34# ##334###334#</v>
      </c>
    </row>
    <row r="41" spans="1:12">
      <c r="J41" s="12" t="str">
        <f t="shared" si="0"/>
        <v>*  ..  ##34###34# ##334###334#</v>
      </c>
      <c r="L41" s="12" t="str">
        <f t="shared" si="1"/>
        <v>*  ..  ##34###34# ##334###334#</v>
      </c>
    </row>
    <row r="42" spans="1:12">
      <c r="J42" s="12" t="str">
        <f t="shared" si="0"/>
        <v>*  ..  ##34###34# ##334###334#</v>
      </c>
      <c r="L42" s="12" t="str">
        <f t="shared" si="1"/>
        <v>*  ..  ##34###34# ##334###334#</v>
      </c>
    </row>
    <row r="43" spans="1:12">
      <c r="J43" s="12" t="str">
        <f t="shared" si="0"/>
        <v>*  ..  ##34###34# ##334###334#</v>
      </c>
      <c r="L43" s="12" t="str">
        <f t="shared" si="1"/>
        <v>*  ..  ##34###34# ##334###334#</v>
      </c>
    </row>
    <row r="44" spans="1:12">
      <c r="J44" s="12" t="str">
        <f t="shared" si="0"/>
        <v>*  ..  ##34###34# ##334###334#</v>
      </c>
      <c r="L44" s="12" t="str">
        <f t="shared" si="1"/>
        <v>*  ..  ##34###34# ##334###334#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8E7A6-8F71-491B-98D0-90CB3B431D7B}">
  <sheetPr codeName="Foglio46"/>
  <dimension ref="A1:O48"/>
  <sheetViews>
    <sheetView workbookViewId="0">
      <selection activeCell="C51" sqref="C5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1670</v>
      </c>
      <c r="E4" s="20" t="str">
        <f>CONCATENATE("Mapping: ",C4)</f>
        <v>Mapping: I4RCCancerUnderStudy2Fhir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CancerUnderStudyTest</v>
      </c>
      <c r="E7" s="21" t="str">
        <f>CONCATENATE("Source: ",C7)</f>
        <v>Source: CancerUnderStudyTest</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'CancerUnderStudy-test'!B5</f>
        <v>CancerUnderStudyTest</v>
      </c>
      <c r="C9" s="6" t="s">
        <v>1671</v>
      </c>
      <c r="E9" s="28" t="str">
        <f>CONCATENATE("* -&gt; ##34#",C9,"##34#")</f>
        <v>* -&gt; ##34#TBD##34#</v>
      </c>
      <c r="H9" s="7"/>
      <c r="I9" s="7"/>
      <c r="J9" s="7"/>
      <c r="K9" s="7"/>
      <c r="L9" s="7"/>
      <c r="M9" s="7"/>
      <c r="N9" s="7"/>
      <c r="O9" s="7"/>
    </row>
    <row r="10" spans="1:15">
      <c r="A10" s="11"/>
      <c r="B10" s="11" t="str">
        <f>'CancerUnderStudy-test'!B8</f>
        <v>CancerUnderStudy.diagnosisDate</v>
      </c>
      <c r="C10" s="11" t="s">
        <v>1671</v>
      </c>
      <c r="E10" s="12" t="str">
        <f t="shared" ref="E10:E45" si="0">IF(B10=0,"*  -&gt; ##34###34#",CONCATENATE("* ",B10," -&gt; ##34#",C10,"##34#"))</f>
        <v>* CancerUnderStudy.diagnosisDate -&gt; ##34#TBD##34#</v>
      </c>
      <c r="H10" s="7"/>
      <c r="I10" s="7"/>
      <c r="J10" s="7"/>
      <c r="K10" s="7"/>
      <c r="L10" s="7"/>
      <c r="M10" s="7"/>
      <c r="N10" s="7"/>
      <c r="O10" s="7"/>
    </row>
    <row r="11" spans="1:15">
      <c r="A11" s="11"/>
      <c r="B11" s="11" t="str">
        <f>'CancerUnderStudy-test'!B9</f>
        <v>CancerUnderStudy.ageAtDiagnosis</v>
      </c>
      <c r="C11" s="11" t="s">
        <v>1671</v>
      </c>
      <c r="E11" s="12" t="str">
        <f t="shared" si="0"/>
        <v>* CancerUnderStudy.ageAtDiagnosis -&gt; ##34#TBD##34#</v>
      </c>
      <c r="H11" s="7"/>
      <c r="I11" s="7"/>
      <c r="J11" s="7"/>
      <c r="K11" s="7"/>
      <c r="L11" s="7"/>
      <c r="M11" s="7"/>
      <c r="N11" s="7"/>
      <c r="O11" s="7"/>
    </row>
    <row r="12" spans="1:15">
      <c r="A12" s="11"/>
      <c r="B12" s="11" t="str">
        <f>'CancerUnderStudy-test'!B10</f>
        <v>CancerUnderStudy.histologyGroup</v>
      </c>
      <c r="C12" s="11" t="s">
        <v>1671</v>
      </c>
      <c r="E12" s="12" t="str">
        <f t="shared" si="0"/>
        <v>* CancerUnderStudy.histologyGroup -&gt; ##34#TBD##34#</v>
      </c>
      <c r="H12" s="7"/>
      <c r="I12" s="7"/>
      <c r="J12" s="7"/>
      <c r="K12" s="7"/>
      <c r="L12" s="7"/>
      <c r="M12" s="7"/>
      <c r="N12" s="7"/>
      <c r="O12" s="7"/>
    </row>
    <row r="13" spans="1:15">
      <c r="A13" s="11"/>
      <c r="B13" s="11" t="str">
        <f>'CancerUnderStudy-test'!B11</f>
        <v>CancerUnderStudy.histologyWho2017Subgroup</v>
      </c>
      <c r="C13" s="11" t="s">
        <v>1671</v>
      </c>
      <c r="E13" s="12" t="str">
        <f t="shared" si="0"/>
        <v>* CancerUnderStudy.histologyWho2017Subgroup -&gt; ##34#TBD##34#</v>
      </c>
      <c r="H13" s="7"/>
      <c r="I13" s="7"/>
      <c r="J13" s="7"/>
      <c r="K13" s="7"/>
      <c r="L13" s="7"/>
      <c r="M13" s="7"/>
      <c r="N13" s="7"/>
      <c r="O13" s="7"/>
    </row>
    <row r="14" spans="1:15">
      <c r="A14" s="11"/>
      <c r="B14" s="11" t="str">
        <f>'CancerUnderStudy-test'!B12</f>
        <v>CancerUnderStudy.histologySquamous</v>
      </c>
      <c r="C14" s="11" t="s">
        <v>1671</v>
      </c>
      <c r="E14" s="12" t="str">
        <f t="shared" si="0"/>
        <v>* CancerUnderStudy.histologySquamous -&gt; ##34#TBD##34#</v>
      </c>
      <c r="H14" s="7"/>
      <c r="I14" s="7"/>
      <c r="J14" s="7"/>
      <c r="K14" s="7"/>
      <c r="L14" s="7"/>
      <c r="M14" s="7"/>
      <c r="N14" s="7"/>
      <c r="O14" s="7"/>
    </row>
    <row r="15" spans="1:15">
      <c r="A15" s="11"/>
      <c r="B15" s="11" t="str">
        <f>'CancerUnderStudy-test'!B13</f>
        <v>CancerUnderStudy.histologyAdenocarcinoma</v>
      </c>
      <c r="C15" s="11" t="s">
        <v>1671</v>
      </c>
      <c r="E15" s="12" t="str">
        <f t="shared" si="0"/>
        <v>* CancerUnderStudy.histologyAdenocarcinoma -&gt; ##34#TBD##34#</v>
      </c>
      <c r="H15" s="7"/>
      <c r="I15" s="7"/>
      <c r="J15" s="7"/>
      <c r="K15" s="7"/>
      <c r="L15" s="7"/>
      <c r="M15" s="7"/>
      <c r="N15" s="7"/>
      <c r="O15" s="7"/>
    </row>
    <row r="16" spans="1:15">
      <c r="A16" s="11"/>
      <c r="B16" s="11" t="str">
        <f>'CancerUnderStudy-test'!B14</f>
        <v>CancerUnderStudy.histologyNeuroendocrine</v>
      </c>
      <c r="C16" s="11" t="s">
        <v>1671</v>
      </c>
      <c r="E16" s="12" t="str">
        <f t="shared" si="0"/>
        <v>* CancerUnderStudy.histologyNeuroendocrine -&gt; ##34#TBD##34#</v>
      </c>
      <c r="H16" s="7"/>
      <c r="I16" s="7"/>
      <c r="J16" s="7"/>
      <c r="K16" s="7"/>
      <c r="L16" s="7"/>
      <c r="M16" s="7"/>
      <c r="N16" s="7"/>
      <c r="O16" s="7"/>
    </row>
    <row r="17" spans="1:5">
      <c r="A17" s="11"/>
      <c r="B17" s="11" t="str">
        <f>'CancerUnderStudy-test'!B15</f>
        <v>CancerUnderStudy.histologyOdontogenicCarcinoma</v>
      </c>
      <c r="C17" s="11" t="s">
        <v>1671</v>
      </c>
      <c r="E17" s="12" t="str">
        <f t="shared" si="0"/>
        <v>* CancerUnderStudy.histologyOdontogenicCarcinoma -&gt; ##34#TBD##34#</v>
      </c>
    </row>
    <row r="18" spans="1:5">
      <c r="A18" s="11"/>
      <c r="B18" s="11" t="str">
        <f>'CancerUnderStudy-test'!B16</f>
        <v>CancerUnderStudy.histologySNUC</v>
      </c>
      <c r="C18" s="11" t="s">
        <v>1671</v>
      </c>
      <c r="E18" s="12" t="str">
        <f t="shared" si="0"/>
        <v>* CancerUnderStudy.histologySNUC -&gt; ##34#TBD##34#</v>
      </c>
    </row>
    <row r="19" spans="1:5">
      <c r="A19" s="11"/>
      <c r="B19" s="11" t="str">
        <f>'CancerUnderStudy-test'!B17</f>
        <v>CancerUnderStudy.siteRare</v>
      </c>
      <c r="C19" s="11" t="s">
        <v>1671</v>
      </c>
      <c r="E19" s="12" t="str">
        <f t="shared" si="0"/>
        <v>* CancerUnderStudy.siteRare -&gt; ##34#TBD##34#</v>
      </c>
    </row>
    <row r="20" spans="1:5">
      <c r="A20" s="11"/>
      <c r="B20" s="11" t="str">
        <f>'CancerUnderStudy-test'!B18</f>
        <v>CancerUnderStudy.siteCommonAndRare</v>
      </c>
      <c r="C20" s="11" t="s">
        <v>1671</v>
      </c>
      <c r="E20" s="12" t="str">
        <f t="shared" si="0"/>
        <v>* CancerUnderStudy.siteCommonAndRare -&gt; ##34#TBD##34#</v>
      </c>
    </row>
    <row r="21" spans="1:5">
      <c r="B21" s="11" t="str">
        <f>'CancerUnderStudy-test'!B19</f>
        <v>CancerUnderStudy.subsite</v>
      </c>
      <c r="C21" s="11" t="s">
        <v>1671</v>
      </c>
      <c r="E21" s="12" t="str">
        <f t="shared" si="0"/>
        <v>* CancerUnderStudy.subsite -&gt; ##34#TBD##34#</v>
      </c>
    </row>
    <row r="22" spans="1:5">
      <c r="B22" s="11" t="str">
        <f>'CancerUnderStudy-test'!B20</f>
        <v>CancerUnderStudy.nasalCavityAndParanasalSinusesSubsite</v>
      </c>
      <c r="C22" s="11" t="s">
        <v>1671</v>
      </c>
      <c r="E22" s="12" t="str">
        <f t="shared" si="0"/>
        <v>* CancerUnderStudy.nasalCavityAndParanasalSinusesSubsite -&gt; ##34#TBD##34#</v>
      </c>
    </row>
    <row r="23" spans="1:5">
      <c r="B23" s="11" t="str">
        <f>'CancerUnderStudy-test'!B21</f>
        <v>CancerUnderStudy.nasopharynxSubsite</v>
      </c>
      <c r="C23" s="11" t="s">
        <v>1671</v>
      </c>
      <c r="E23" s="12" t="str">
        <f t="shared" si="0"/>
        <v>* CancerUnderStudy.nasopharynxSubsite -&gt; ##34#TBD##34#</v>
      </c>
    </row>
    <row r="24" spans="1:5">
      <c r="B24" s="11" t="str">
        <f>'CancerUnderStudy-test'!B22</f>
        <v>CancerUnderStudy.hypopharynxSubsite</v>
      </c>
      <c r="C24" s="11" t="s">
        <v>1671</v>
      </c>
      <c r="E24" s="12" t="str">
        <f t="shared" si="0"/>
        <v>* CancerUnderStudy.hypopharynxSubsite -&gt; ##34#TBD##34#</v>
      </c>
    </row>
    <row r="25" spans="1:5">
      <c r="B25" s="11" t="str">
        <f>'CancerUnderStudy-test'!B23</f>
        <v>CancerUnderStudy.oropharynxSubsite</v>
      </c>
      <c r="C25" s="11" t="s">
        <v>1671</v>
      </c>
      <c r="E25" s="12" t="str">
        <f t="shared" si="0"/>
        <v>* CancerUnderStudy.oropharynxSubsite -&gt; ##34#TBD##34#</v>
      </c>
    </row>
    <row r="26" spans="1:5">
      <c r="B26" s="11" t="str">
        <f>'CancerUnderStudy-test'!B24</f>
        <v>CancerUnderStudy.larynxSubsite</v>
      </c>
      <c r="C26" s="11" t="s">
        <v>1671</v>
      </c>
      <c r="E26" s="12" t="str">
        <f t="shared" si="0"/>
        <v>* CancerUnderStudy.larynxSubsite -&gt; ##34#TBD##34#</v>
      </c>
    </row>
    <row r="27" spans="1:5">
      <c r="B27" s="11" t="str">
        <f>'CancerUnderStudy-test'!B25</f>
        <v>CancerUnderStudy.oralCavitySubsite</v>
      </c>
      <c r="C27" s="11" t="s">
        <v>1671</v>
      </c>
      <c r="E27" s="12" t="str">
        <f t="shared" si="0"/>
        <v>* CancerUnderStudy.oralCavitySubsite -&gt; ##34#TBD##34#</v>
      </c>
    </row>
    <row r="28" spans="1:5">
      <c r="B28" s="11" t="str">
        <f>'CancerUnderStudy-test'!B26</f>
        <v>CancerUnderStudy.lipSubsite</v>
      </c>
      <c r="C28" s="11" t="s">
        <v>1671</v>
      </c>
      <c r="E28" s="12" t="str">
        <f t="shared" si="0"/>
        <v>* CancerUnderStudy.lipSubsite -&gt; ##34#TBD##34#</v>
      </c>
    </row>
    <row r="29" spans="1:5">
      <c r="B29" s="11" t="str">
        <f>'CancerUnderStudy-test'!B27</f>
        <v>CancerUnderStudy.plasmaticEbvDnaAtBaseline</v>
      </c>
      <c r="C29" s="11" t="s">
        <v>1671</v>
      </c>
      <c r="E29" s="12" t="str">
        <f t="shared" si="0"/>
        <v>* CancerUnderStudy.plasmaticEbvDnaAtBaseline -&gt; ##34#TBD##34#</v>
      </c>
    </row>
    <row r="30" spans="1:5">
      <c r="B30" s="11" t="str">
        <f>'CancerUnderStudy-test'!B28</f>
        <v>CancerUnderStudy.primerType</v>
      </c>
      <c r="C30" s="11" t="s">
        <v>1671</v>
      </c>
      <c r="E30" s="12" t="str">
        <f t="shared" si="0"/>
        <v>* CancerUnderStudy.primerType -&gt; ##34#TBD##34#</v>
      </c>
    </row>
    <row r="31" spans="1:5">
      <c r="B31" s="11" t="str">
        <f>'CancerUnderStudy-test'!B29</f>
        <v>CancerUnderStudy.copyNumber</v>
      </c>
      <c r="C31" s="11" t="s">
        <v>1671</v>
      </c>
      <c r="E31" s="12" t="str">
        <f t="shared" si="0"/>
        <v>* CancerUnderStudy.copyNumber -&gt; ##34#TBD##34#</v>
      </c>
    </row>
    <row r="32" spans="1:5">
      <c r="B32" s="11" t="str">
        <f>'CancerUnderStudy-test'!B30</f>
        <v>CancerUnderStudy.hpvStatus</v>
      </c>
      <c r="C32" s="11" t="s">
        <v>1671</v>
      </c>
      <c r="E32" s="12" t="str">
        <f t="shared" si="0"/>
        <v>* CancerUnderStudy.hpvStatus -&gt; ##34#TBD##34#</v>
      </c>
    </row>
    <row r="33" spans="2:5">
      <c r="B33" s="11" t="str">
        <f>'CancerUnderStudy-test'!B31</f>
        <v>CancerUnderStudy.hpvStatusDetectedBy</v>
      </c>
      <c r="C33" s="11" t="s">
        <v>1671</v>
      </c>
      <c r="E33" s="12" t="str">
        <f t="shared" si="0"/>
        <v>* CancerUnderStudy.hpvStatusDetectedBy -&gt; ##34#TBD##34#</v>
      </c>
    </row>
    <row r="34" spans="2:5">
      <c r="B34" s="11" t="str">
        <f>'CancerUnderStudy-test'!B32</f>
        <v>CancerUnderStudy.p16</v>
      </c>
      <c r="C34" s="11" t="s">
        <v>1671</v>
      </c>
      <c r="E34" s="12" t="str">
        <f t="shared" si="0"/>
        <v>* CancerUnderStudy.p16 -&gt; ##34#TBD##34#</v>
      </c>
    </row>
    <row r="35" spans="2:5">
      <c r="B35" s="11" t="str">
        <f>'CancerUnderStudy-test'!B33</f>
        <v>CancerUnderStudy.pdL1</v>
      </c>
      <c r="C35" s="11" t="s">
        <v>1671</v>
      </c>
      <c r="E35" s="12" t="str">
        <f t="shared" si="0"/>
        <v>* CancerUnderStudy.pdL1 -&gt; ##34#TBD##34#</v>
      </c>
    </row>
    <row r="36" spans="2:5">
      <c r="B36" s="11" t="str">
        <f>'CancerUnderStudy-test'!B34</f>
        <v>CancerUnderStudy.pdL1Method</v>
      </c>
      <c r="C36" s="11" t="s">
        <v>1671</v>
      </c>
      <c r="E36" s="12" t="str">
        <f t="shared" si="0"/>
        <v>* CancerUnderStudy.pdL1Method -&gt; ##34#TBD##34#</v>
      </c>
    </row>
    <row r="37" spans="2:5">
      <c r="B37" s="11" t="str">
        <f>'CancerUnderStudy-test'!B35</f>
        <v>CancerUnderStudy.pdL1CpsValue</v>
      </c>
      <c r="C37" s="11" t="s">
        <v>1671</v>
      </c>
      <c r="E37" s="12" t="str">
        <f t="shared" si="0"/>
        <v>* CancerUnderStudy.pdL1CpsValue -&gt; ##34#TBD##34#</v>
      </c>
    </row>
    <row r="38" spans="2:5">
      <c r="B38" s="11" t="str">
        <f>'CancerUnderStudy-test'!B36</f>
        <v>CancerUnderStudy.pdL1TpsValue</v>
      </c>
      <c r="C38" s="11" t="s">
        <v>1671</v>
      </c>
      <c r="E38" s="12" t="str">
        <f t="shared" si="0"/>
        <v>* CancerUnderStudy.pdL1TpsValue -&gt; ##34#TBD##34#</v>
      </c>
    </row>
    <row r="39" spans="2:5">
      <c r="B39" s="11" t="str">
        <f>'CancerUnderStudy-test'!B37</f>
        <v>CancerUnderStudy.crpCReactiveProteinTested</v>
      </c>
      <c r="C39" s="11" t="s">
        <v>1671</v>
      </c>
      <c r="E39" s="12" t="str">
        <f t="shared" si="0"/>
        <v>* CancerUnderStudy.crpCReactiveProteinTested -&gt; ##34#TBD##34#</v>
      </c>
    </row>
    <row r="40" spans="2:5">
      <c r="B40" s="11" t="str">
        <f>'CancerUnderStudy-test'!B38</f>
        <v>CancerUnderStudy.cReactiveProteinCrpMgDl</v>
      </c>
      <c r="C40" s="11" t="s">
        <v>1671</v>
      </c>
      <c r="E40" s="12" t="str">
        <f t="shared" si="0"/>
        <v>* CancerUnderStudy.cReactiveProteinCrpMgDl -&gt; ##34#TBD##34#</v>
      </c>
    </row>
    <row r="41" spans="2:5">
      <c r="B41" s="11" t="str">
        <f>'CancerUnderStudy-test'!B39</f>
        <v>CancerUnderStudy.instrumentStatus</v>
      </c>
      <c r="C41" s="11" t="s">
        <v>1671</v>
      </c>
      <c r="E41" s="12" t="str">
        <f t="shared" si="0"/>
        <v>* CancerUnderStudy.instrumentStatus -&gt; ##34#TBD##34#</v>
      </c>
    </row>
    <row r="42" spans="2:5">
      <c r="B42" s="11"/>
      <c r="C42" s="11"/>
      <c r="E42" s="12" t="str">
        <f t="shared" si="0"/>
        <v>*  -&gt; ##34###34#</v>
      </c>
    </row>
    <row r="43" spans="2:5">
      <c r="B43" s="11"/>
      <c r="C43" s="11"/>
      <c r="E43" s="12" t="str">
        <f t="shared" si="0"/>
        <v>*  -&gt; ##34###34#</v>
      </c>
    </row>
    <row r="44" spans="2:5">
      <c r="B44" s="11"/>
      <c r="C44" s="11"/>
      <c r="E44" s="12" t="str">
        <f t="shared" si="0"/>
        <v>*  -&gt; ##34###34#</v>
      </c>
    </row>
    <row r="45" spans="2:5">
      <c r="B45" s="11"/>
      <c r="C45" s="11"/>
      <c r="E45" s="12" t="str">
        <f t="shared" si="0"/>
        <v>*  -&gt; ##34###34#</v>
      </c>
    </row>
    <row r="46" spans="2:5">
      <c r="B46" s="11"/>
      <c r="C46" s="11"/>
    </row>
    <row r="47" spans="2:5">
      <c r="B47" s="11"/>
    </row>
    <row r="48" spans="2:5">
      <c r="B48" s="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F16B5-84C3-42BB-B6A9-44654C6A8709}">
  <sheetPr codeName="Foglio20">
    <tabColor theme="8" tint="-0.249977111117893"/>
  </sheetPr>
  <dimension ref="C1:G130"/>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4" t="str">
        <f>'CancerUnderStudy-test'!J1</f>
        <v>//===================================================</v>
      </c>
    </row>
    <row r="2" spans="3:7" ht="16.75" thickBot="1">
      <c r="C2" s="25" t="str">
        <f>'CancerUnderStudy-test'!J2</f>
        <v>//  Logical Model</v>
      </c>
      <c r="G2" s="30" t="s">
        <v>1683</v>
      </c>
    </row>
    <row r="3" spans="3:7">
      <c r="C3" s="25" t="str">
        <f>'CancerUnderStudy-test'!J3</f>
        <v>//===================================================</v>
      </c>
    </row>
    <row r="4" spans="3:7">
      <c r="C4" s="17" t="str">
        <f>'CancerUnderStudy-test'!J4</f>
        <v>Logical: CancerUnderStudyI4rcTest</v>
      </c>
    </row>
    <row r="5" spans="3:7">
      <c r="C5" s="17" t="str">
        <f>'CancerUnderStudy-test'!J5</f>
        <v>Id: CancerUnderStudyTest</v>
      </c>
    </row>
    <row r="6" spans="3:7">
      <c r="C6" s="17" t="str">
        <f>'CancerUnderStudy-test'!J6</f>
        <v>Title: ##34#Cancer Under Study##34#</v>
      </c>
    </row>
    <row r="7" spans="3:7" ht="29.5">
      <c r="C7" s="17" t="str">
        <f>'CancerUnderStudy-test'!J7</f>
        <v>Description:  ##334#Subject of care 
Maturity Level: 0 Draft##334#</v>
      </c>
    </row>
    <row r="8" spans="3:7" ht="29.5">
      <c r="C8" s="12" t="str">
        <f>IF('CancerUnderStudy-test'!J8="*  ..  ##34###34# ##334###334#","//--- END",'CancerUnderStudy-test'!J8)</f>
        <v>* CancerUnderStudy.diagnosisDate 0..1 date ##34#Date of diagnosis biopsy or surgical piece##34# ##334#Date of the procedure from which the specimen was obtained that allowed the histological diagnosis##334#</v>
      </c>
    </row>
    <row r="9" spans="3:7" ht="29.5">
      <c r="C9" s="12" t="str">
        <f>IF('CancerUnderStudy-test'!J9="*  ..  ##34###34# ##334###334#","//--- END",'CancerUnderStudy-test'!J9)</f>
        <v>* CancerUnderStudy.ageAtDiagnosis 0..1 integer ##34#Age at diagnosis manual##34# ##334#Age of the patient at the time of the diagnosis##334#</v>
      </c>
    </row>
    <row r="10" spans="3:7" ht="29.5">
      <c r="C10" s="12" t="str">
        <f>IF('CancerUnderStudy-test'!J10="*  ..  ##34###34# ##334###334#","//--- END",'CancerUnderStudy-test'!J10)</f>
        <v>* CancerUnderStudy.histologyGroup 0..1 string ##34#Histology WHO 2017 group##34# ##334#Histology of prymary tumour  according to WHO 2017 clasification##334#</v>
      </c>
    </row>
    <row r="11" spans="3:7" ht="29.5">
      <c r="C11" s="12" t="str">
        <f>IF('CancerUnderStudy-test'!J11="*  ..  ##34###34# ##334###334#","//--- END",'CancerUnderStudy-test'!J11)</f>
        <v>* CancerUnderStudy.histologyWho2017Subgroup 0..1 BackboneElement ##34#Histology WHO 2017 subgroup##34# ##334###334#</v>
      </c>
    </row>
    <row r="12" spans="3:7" ht="29.5">
      <c r="C12" s="12" t="str">
        <f>IF('CancerUnderStudy-test'!J12="*  ..  ##34###34# ##334###334#","//--- END",'CancerUnderStudy-test'!J12)</f>
        <v>* CancerUnderStudy.histologySquamous 0..1 string ##34#Histology subgroup Squamous##34# ##334#Specifies the histological subgroup for squamous cancers##334#</v>
      </c>
    </row>
    <row r="13" spans="3:7" ht="29.5">
      <c r="C13" s="12" t="str">
        <f>IF('CancerUnderStudy-test'!J13="*  ..  ##34###34# ##334###334#","//--- END",'CancerUnderStudy-test'!J13)</f>
        <v>* CancerUnderStudy.histologyAdenocarcinoma 0..1 string ##34#Histology subgroup Adenocarcinoma##34# ##334#Specifies the histological subgroup for adenocarcinomas##334#</v>
      </c>
    </row>
    <row r="14" spans="3:7" ht="29.5">
      <c r="C14" s="12" t="str">
        <f>IF('CancerUnderStudy-test'!J14="*  ..  ##34###34# ##334###334#","//--- END",'CancerUnderStudy-test'!J14)</f>
        <v>* CancerUnderStudy.histologyNeuroendocrine 0..1 string ##34#Histology subgroup Neuroendocrine##34# ##334#Specifies the histological subgroup for neuroendocrine cancers ##334#</v>
      </c>
    </row>
    <row r="15" spans="3:7" ht="29.5">
      <c r="C15" s="12" t="str">
        <f>IF('CancerUnderStudy-test'!J15="*  ..  ##34###34# ##334###334#","//--- END",'CancerUnderStudy-test'!J15)</f>
        <v>* CancerUnderStudy.histologyOdontogenicCarcinoma 0..1 string ##34#Histology subgroup Odontogenic carcinoma##34# ##334#Specifies the histological subgroup for odontogenic carcinomas##334#</v>
      </c>
    </row>
    <row r="16" spans="3:7" ht="29.5">
      <c r="C16" s="12" t="str">
        <f>IF('CancerUnderStudy-test'!J16="*  ..  ##34###34# ##334###334#","//--- END",'CancerUnderStudy-test'!J16)</f>
        <v>* CancerUnderStudy.histologySNUC 0..1 string ##34#Histology subgroup Sinonasal undifferentiated carcinoma SNUC##34# ##334#Specifies the histological subgroup for sinonasl undifferentiated carcinomas##334#</v>
      </c>
    </row>
    <row r="17" spans="3:3">
      <c r="C17" s="12" t="str">
        <f>IF('CancerUnderStudy-test'!J17="*  ..  ##34###34# ##334###334#","//--- END",'CancerUnderStudy-test'!J17)</f>
        <v>* CancerUnderStudy.siteRare 0..1 string ##34#Site  rare AJCC##34# ##334#Describe the primary tumor site according to AJCC ##334#</v>
      </c>
    </row>
    <row r="18" spans="3:3" ht="29.5">
      <c r="C18" s="12" t="str">
        <f>IF('CancerUnderStudy-test'!J18="*  ..  ##34###34# ##334###334#","//--- END",'CancerUnderStudy-test'!J18)</f>
        <v>* CancerUnderStudy.siteCommonAndRare 0..1 string ##34#Site common and rare AJCC##34# ##334#Describe the primary tumor site according to AJCC ##334#</v>
      </c>
    </row>
    <row r="19" spans="3:3">
      <c r="C19" s="12" t="str">
        <f>IF('CancerUnderStudy-test'!J19="*  ..  ##34###34# ##334###334#","//--- END",'CancerUnderStudy-test'!J19)</f>
        <v>* CancerUnderStudy.subsite 0..1 BackboneElement ##34#Subsite##34# ##334###334#</v>
      </c>
    </row>
    <row r="20" spans="3:3" ht="29.5">
      <c r="C20" s="12" t="str">
        <f>IF('CancerUnderStudy-test'!J20="*  ..  ##34###34# ##334###334#","//--- END",'CancerUnderStudy-test'!J20)</f>
        <v>* CancerUnderStudy.nasalCavityAndParanasalSinusesSubsite 0..1 string ##34#Nasal cavity and paranasal sinuses subsite##34# ##334#Specifies the subsite for cancers occurred in nasal cavity and paranasal sinusess##334#</v>
      </c>
    </row>
    <row r="21" spans="3:3" ht="29.5">
      <c r="C21" s="12" t="str">
        <f>IF('CancerUnderStudy-test'!J21="*  ..  ##34###34# ##334###334#","//--- END",'CancerUnderStudy-test'!J21)</f>
        <v>* CancerUnderStudy.nasopharynxSubsite 0..1 string ##34#Nasopharynx  subsite##34# ##334#Specifies the subsite for cancers occurred in nasopharynx##334#</v>
      </c>
    </row>
    <row r="22" spans="3:3" ht="29.5">
      <c r="C22" s="12" t="str">
        <f>IF('CancerUnderStudy-test'!J22="*  ..  ##34###34# ##334###334#","//--- END",'CancerUnderStudy-test'!J22)</f>
        <v>* CancerUnderStudy.hypopharynxSubsite 0..1 string ##34#Hypopharynx subsite##34# ##334#Specifies the subsite for cancers occurred in hypopharynx##334#</v>
      </c>
    </row>
    <row r="23" spans="3:3" ht="29.5">
      <c r="C23" s="12" t="str">
        <f>IF('CancerUnderStudy-test'!J23="*  ..  ##34###34# ##334###334#","//--- END",'CancerUnderStudy-test'!J23)</f>
        <v>* CancerUnderStudy.oropharynxSubsite 0..1 string ##34#Oropharynx subsite##34# ##334#Specifies the subsite for cancers occurred in oropharynx##334#</v>
      </c>
    </row>
    <row r="24" spans="3:3" ht="29.5">
      <c r="C24" s="12" t="str">
        <f>IF('CancerUnderStudy-test'!J24="*  ..  ##34###34# ##334###334#","//--- END",'CancerUnderStudy-test'!J24)</f>
        <v>* CancerUnderStudy.larynxSubsite 0..1 string ##34#Larynx subsite##34# ##334#Specifies the subsite for cancers occurred in larynx##334#</v>
      </c>
    </row>
    <row r="25" spans="3:3" ht="29.5">
      <c r="C25" s="12" t="str">
        <f>IF('CancerUnderStudy-test'!J25="*  ..  ##34###34# ##334###334#","//--- END",'CancerUnderStudy-test'!J25)</f>
        <v>* CancerUnderStudy.oralCavitySubsite 0..1 string ##34#Oral cavity subsite##34# ##334#Specifies the subsite for cancers occurred in oral cavity##334#</v>
      </c>
    </row>
    <row r="26" spans="3:3">
      <c r="C26" s="12" t="str">
        <f>IF('CancerUnderStudy-test'!J26="*  ..  ##34###34# ##334###334#","//--- END",'CancerUnderStudy-test'!J26)</f>
        <v>* CancerUnderStudy.lipSubsite 0..1 string ##34#Lip subsite##34# ##334#Specifies the subsite for cancers occurred in lip##334#</v>
      </c>
    </row>
    <row r="27" spans="3:3" ht="29.5">
      <c r="C27" s="12" t="str">
        <f>IF('CancerUnderStudy-test'!J27="*  ..  ##34###34# ##334###334#","//--- END",'CancerUnderStudy-test'!J27)</f>
        <v>* CancerUnderStudy.plasmaticEbvDnaAtBaseline 0..1 string ##34#Plasmatic EBV DNA at baseline##34# ##334#Describes the result of EBV DNA plasma testing before treatment in NPC type II and III WHO ##334#</v>
      </c>
    </row>
    <row r="28" spans="3:3" ht="29.5">
      <c r="C28" s="12" t="str">
        <f>IF('CancerUnderStudy-test'!J28="*  ..  ##34###34# ##334###334#","//--- END",'CancerUnderStudy-test'!J28)</f>
        <v>* CancerUnderStudy.primerType 0..1 string ##34#Primer type##34# ##334#Describes the primer used for EBV DNA plasma testing t in NPC type II and Type III WHO ##334#</v>
      </c>
    </row>
    <row r="29" spans="3:3">
      <c r="C29" s="12" t="str">
        <f>IF('CancerUnderStudy-test'!J29="*  ..  ##34###34# ##334###334#","//--- END",'CancerUnderStudy-test'!J29)</f>
        <v>* CancerUnderStudy.copyNumber 0..1 integer ##34#Copy Number##34# ##334#Copy number of EBVDNA##334#</v>
      </c>
    </row>
    <row r="30" spans="3:3" ht="29.5">
      <c r="C30" s="12" t="str">
        <f>IF('CancerUnderStudy-test'!J30="*  ..  ##34###34# ##334###334#","//--- END",'CancerUnderStudy-test'!J30)</f>
        <v>* CancerUnderStudy.hpvStatus 0..1 string ##34#HPV status##34# ##334#Describes the result of HPV tumor testing in oral carcinoma ##334#</v>
      </c>
    </row>
    <row r="31" spans="3:3" ht="29.5">
      <c r="C31" s="12" t="str">
        <f>IF('CancerUnderStudy-test'!J31="*  ..  ##34###34# ##334###334#","//--- END",'CancerUnderStudy-test'!J31)</f>
        <v>* CancerUnderStudy.hpvStatusDetectedBy 0..1 string ##34#HPV status detected by##34# ##334#Describes the technique used for HPV tumour testing in orall carcinoma##334#</v>
      </c>
    </row>
    <row r="32" spans="3:3">
      <c r="C32" s="12" t="str">
        <f>IF('CancerUnderStudy-test'!J32="*  ..  ##34###34# ##334###334#","//--- END",'CancerUnderStudy-test'!J32)</f>
        <v>* CancerUnderStudy.p16 0..1 string ##34#p16##34# ##334#Describes the result of p16 tumour testing in oral carcinoma##334#</v>
      </c>
    </row>
    <row r="33" spans="3:3">
      <c r="C33" s="12" t="str">
        <f>IF('CancerUnderStudy-test'!J33="*  ..  ##34###34# ##334###334#","//--- END",'CancerUnderStudy-test'!J33)</f>
        <v>* CancerUnderStudy.pdL1 0..1 string ##34#PDL1##34# ##334#Describes the result of PDL tumour testing in oral carcinoma##334#</v>
      </c>
    </row>
    <row r="34" spans="3:3" ht="29.5">
      <c r="C34" s="12" t="str">
        <f>IF('CancerUnderStudy-test'!J34="*  ..  ##34###34# ##334###334#","//--- END",'CancerUnderStudy-test'!J34)</f>
        <v>* CancerUnderStudy.pdL1Method 0..1 string ##34#PDL1 Method##34# ##334#Describes the technique used for PDL tumour testing in oral carcinoma##334#</v>
      </c>
    </row>
    <row r="35" spans="3:3">
      <c r="C35" s="12" t="str">
        <f>IF('CancerUnderStudy-test'!J35="*  ..  ##34###34# ##334###334#","//--- END",'CancerUnderStudy-test'!J35)</f>
        <v>* CancerUnderStudy.pdL1CpsValue 0..1 integer ##34#PDL1 CPS value##34# ##334#Result of PDL1CPS testing when performed##334#</v>
      </c>
    </row>
    <row r="36" spans="3:3">
      <c r="C36" s="12" t="str">
        <f>IF('CancerUnderStudy-test'!J36="*  ..  ##34###34# ##334###334#","//--- END",'CancerUnderStudy-test'!J36)</f>
        <v>* CancerUnderStudy.pdL1TpsValue 0..1 integer ##34#PDL1 TPS value##34# ##334#Result of PDL1TPS testing when performed##334#</v>
      </c>
    </row>
    <row r="37" spans="3:3" ht="29.5">
      <c r="C37" s="12" t="str">
        <f>IF('CancerUnderStudy-test'!J37="*  ..  ##34###34# ##334###334#","//--- END",'CancerUnderStudy-test'!J37)</f>
        <v>* CancerUnderStudy.crpCReactiveProteinTested 0..1 string ##34#CRP  C reactive protein tested ##34# ##334#Describes the result of C reactive protein testing##334#</v>
      </c>
    </row>
    <row r="38" spans="3:3" ht="29.5">
      <c r="C38" s="12" t="str">
        <f>IF('CancerUnderStudy-test'!J38="*  ..  ##34###34# ##334###334#","//--- END",'CancerUnderStudy-test'!J38)</f>
        <v>* CancerUnderStudy.cReactiveProteinCrpMgDl 0..1 integer ##34#C reactive protein  CRP mgdl##34# ##334#Result of CRP testing when performed##334#</v>
      </c>
    </row>
    <row r="39" spans="3:3" ht="29.5">
      <c r="C39" s="12" t="str">
        <f>IF('CancerUnderStudy-test'!J39="*  ..  ##34###34# ##334###334#","//--- END",'CancerUnderStudy-test'!J39)</f>
        <v>* CancerUnderStudy.instrumentStatus 0..1 boolean ##34#Instrument status##34# ##334#Describe if the instument is fully compiled or not##334#</v>
      </c>
    </row>
    <row r="40" spans="3:3">
      <c r="C40" s="12" t="str">
        <f>IF('CancerUnderStudy-test'!J40="*  ..  ##34###34# ##334###334#","//--- END",'CancerUnderStudy-test'!J40)</f>
        <v>//--- END</v>
      </c>
    </row>
    <row r="41" spans="3:3">
      <c r="C41" s="12" t="str">
        <f>IF('CancerUnderStudy-test'!J41="*  ..  ##34###34# ##334###334#","//--- END",'CancerUnderStudy-test'!J41)</f>
        <v>//--- END</v>
      </c>
    </row>
    <row r="42" spans="3:3">
      <c r="C42" s="12" t="str">
        <f>IF('CancerUnderStudy-test'!J42="*  ..  ##34###34# ##334###334#","//--- END",'CancerUnderStudy-test'!J42)</f>
        <v>//--- END</v>
      </c>
    </row>
    <row r="43" spans="3:3">
      <c r="C43" s="12" t="str">
        <f>IF('CancerUnderStudy-test'!J43="*  ..  ##34###34# ##334###334#","//--- END",'CancerUnderStudy-test'!J43)</f>
        <v>//--- END</v>
      </c>
    </row>
    <row r="46" spans="3:3">
      <c r="C46" s="24" t="s">
        <v>1682</v>
      </c>
    </row>
    <row r="47" spans="3:3">
      <c r="C47" s="25" t="s">
        <v>20</v>
      </c>
    </row>
    <row r="48" spans="3:3">
      <c r="C48" s="25" t="s">
        <v>1682</v>
      </c>
    </row>
    <row r="49" spans="3:3" ht="44.25">
      <c r="C49" s="12" t="str">
        <f>IF('CancerUnderStudy-test'!L8="*  ..  ##34###34# ##334###334#","//--- END",'CancerUnderStudy-test'!L8)</f>
        <v/>
      </c>
    </row>
    <row r="50" spans="3:3" ht="29.5">
      <c r="C50" s="12" t="str">
        <f>IF('CancerUnderStudy-test'!L9="*  ..  ##34###34# ##334###334#","//--- END",'CancerUnderStudy-test'!L9)</f>
        <v/>
      </c>
    </row>
    <row r="51" spans="3:3">
      <c r="C51" s="12" t="str">
        <f>IF('CancerUnderStudy-test'!L10="*  ..  ##34###34# ##334###334#","//--- END",'CancerUnderStudy-test'!L10)</f>
        <v/>
      </c>
    </row>
    <row r="52" spans="3:3">
      <c r="C52" s="12" t="str">
        <f>IF('CancerUnderStudy-test'!L11="*  ..  ##34###34# ##334###334#","//--- END",'CancerUnderStudy-test'!L11)</f>
        <v/>
      </c>
    </row>
    <row r="53" spans="3:3">
      <c r="C53" s="12" t="str">
        <f>IF('CancerUnderStudy-test'!L12="*  ..  ##34###34# ##334###334#","//--- END",'CancerUnderStudy-test'!L12)</f>
        <v/>
      </c>
    </row>
    <row r="54" spans="3:3" ht="29.5">
      <c r="C54" s="12" t="str">
        <f>IF('CancerUnderStudy-test'!L13="*  ..  ##34###34# ##334###334#","//--- END",'CancerUnderStudy-test'!L13)</f>
        <v/>
      </c>
    </row>
    <row r="55" spans="3:3" ht="29.5">
      <c r="C55" s="12" t="str">
        <f>IF('CancerUnderStudy-test'!L14="*  ..  ##34###34# ##334###334#","//--- END",'CancerUnderStudy-test'!L14)</f>
        <v/>
      </c>
    </row>
    <row r="56" spans="3:3" ht="29.5">
      <c r="C56" s="12" t="str">
        <f>IF('CancerUnderStudy-test'!L15="*  ..  ##34###34# ##334###334#","//--- END",'CancerUnderStudy-test'!L15)</f>
        <v/>
      </c>
    </row>
    <row r="57" spans="3:3">
      <c r="C57" s="12" t="str">
        <f>IF('CancerUnderStudy-test'!L16="*  ..  ##34###34# ##334###334#","//--- END",'CancerUnderStudy-test'!L16)</f>
        <v/>
      </c>
    </row>
    <row r="58" spans="3:3">
      <c r="C58" s="12" t="str">
        <f>IF('CancerUnderStudy-test'!L17="*  ..  ##34###34# ##334###334#","//--- END",'CancerUnderStudy-test'!L17)</f>
        <v/>
      </c>
    </row>
    <row r="59" spans="3:3">
      <c r="C59" s="12" t="str">
        <f>IF('CancerUnderStudy-test'!L18="*  ..  ##34###34# ##334###334#","//--- END",'CancerUnderStudy-test'!L18)</f>
        <v/>
      </c>
    </row>
    <row r="60" spans="3:3">
      <c r="C60" s="12" t="str">
        <f>IF('CancerUnderStudy-test'!L19="*  ..  ##34###34# ##334###334#","//--- END",'CancerUnderStudy-test'!L19)</f>
        <v/>
      </c>
    </row>
    <row r="61" spans="3:3" ht="29.5">
      <c r="C61" s="12" t="str">
        <f>IF('CancerUnderStudy-test'!L20="*  ..  ##34###34# ##334###334#","//--- END",'CancerUnderStudy-test'!L20)</f>
        <v/>
      </c>
    </row>
    <row r="62" spans="3:3">
      <c r="C62" s="12" t="str">
        <f>IF('CancerUnderStudy-test'!L21="*  ..  ##34###34# ##334###334#","//--- END",'CancerUnderStudy-test'!L21)</f>
        <v/>
      </c>
    </row>
    <row r="63" spans="3:3">
      <c r="C63" s="12" t="str">
        <f>IF('CancerUnderStudy-test'!L22="*  ..  ##34###34# ##334###334#","//--- END",'CancerUnderStudy-test'!L22)</f>
        <v/>
      </c>
    </row>
    <row r="64" spans="3:3">
      <c r="C64" s="12" t="str">
        <f>IF('CancerUnderStudy-test'!L23="*  ..  ##34###34# ##334###334#","//--- END",'CancerUnderStudy-test'!L23)</f>
        <v/>
      </c>
    </row>
    <row r="65" spans="3:3">
      <c r="C65" s="12" t="str">
        <f>IF('CancerUnderStudy-test'!L24="*  ..  ##34###34# ##334###334#","//--- END",'CancerUnderStudy-test'!L24)</f>
        <v/>
      </c>
    </row>
    <row r="66" spans="3:3">
      <c r="C66" s="12" t="str">
        <f>IF('CancerUnderStudy-test'!L25="*  ..  ##34###34# ##334###334#","//--- END",'CancerUnderStudy-test'!L25)</f>
        <v/>
      </c>
    </row>
    <row r="67" spans="3:3">
      <c r="C67" s="12" t="str">
        <f>IF('CancerUnderStudy-test'!L26="*  ..  ##34###34# ##334###334#","//--- END",'CancerUnderStudy-test'!L26)</f>
        <v/>
      </c>
    </row>
    <row r="68" spans="3:3" ht="29.5">
      <c r="C68" s="12" t="str">
        <f>IF('CancerUnderStudy-test'!L27="*  ..  ##34###34# ##334###334#","//--- END",'CancerUnderStudy-test'!L27)</f>
        <v/>
      </c>
    </row>
    <row r="69" spans="3:3">
      <c r="C69" s="12" t="str">
        <f>IF('CancerUnderStudy-test'!L28="*  ..  ##34###34# ##334###334#","//--- END",'CancerUnderStudy-test'!L28)</f>
        <v/>
      </c>
    </row>
    <row r="70" spans="3:3">
      <c r="C70" s="12" t="str">
        <f>IF('CancerUnderStudy-test'!L29="*  ..  ##34###34# ##334###334#","//--- END",'CancerUnderStudy-test'!L29)</f>
        <v/>
      </c>
    </row>
    <row r="71" spans="3:3" ht="29.5">
      <c r="C71" s="12" t="str">
        <f>IF('CancerUnderStudy-test'!L30="*  ..  ##34###34# ##334###334#","//--- END",'CancerUnderStudy-test'!L30)</f>
        <v/>
      </c>
    </row>
    <row r="72" spans="3:3" ht="29.5">
      <c r="C72" s="12" t="str">
        <f>IF('CancerUnderStudy-test'!L31="*  ..  ##34###34# ##334###334#","//--- END",'CancerUnderStudy-test'!L31)</f>
        <v/>
      </c>
    </row>
    <row r="73" spans="3:3" ht="29.5">
      <c r="C73" s="12" t="str">
        <f>IF('CancerUnderStudy-test'!L32="*  ..  ##34###34# ##334###334#","//--- END",'CancerUnderStudy-test'!L32)</f>
        <v/>
      </c>
    </row>
    <row r="74" spans="3:3" ht="29.5">
      <c r="C74" s="12" t="str">
        <f>IF('CancerUnderStudy-test'!L33="*  ..  ##34###34# ##334###334#","//--- END",'CancerUnderStudy-test'!L33)</f>
        <v/>
      </c>
    </row>
    <row r="75" spans="3:3">
      <c r="C75" s="12" t="str">
        <f>IF('CancerUnderStudy-test'!L34="*  ..  ##34###34# ##334###334#","//--- END",'CancerUnderStudy-test'!L34)</f>
        <v/>
      </c>
    </row>
    <row r="76" spans="3:3">
      <c r="C76" s="12" t="str">
        <f>IF('CancerUnderStudy-test'!L35="*  ..  ##34###34# ##334###334#","//--- END",'CancerUnderStudy-test'!L35)</f>
        <v/>
      </c>
    </row>
    <row r="77" spans="3:3">
      <c r="C77" s="12" t="str">
        <f>IF('CancerUnderStudy-test'!L36="*  ..  ##34###34# ##334###334#","//--- END",'CancerUnderStudy-test'!L36)</f>
        <v/>
      </c>
    </row>
    <row r="78" spans="3:3" ht="29.5">
      <c r="C78" s="12" t="str">
        <f>IF('CancerUnderStudy-test'!L37="*  ..  ##34###34# ##334###334#","//--- END",'CancerUnderStudy-test'!L37)</f>
        <v/>
      </c>
    </row>
    <row r="79" spans="3:3">
      <c r="C79" s="12" t="str">
        <f>IF('CancerUnderStudy-test'!L38="*  ..  ##34###34# ##334###334#","//--- END",'CancerUnderStudy-test'!L38)</f>
        <v/>
      </c>
    </row>
    <row r="80" spans="3:3">
      <c r="C80" s="12" t="str">
        <f>IF('CancerUnderStudy-test'!L39="*  ..  ##34###34# ##334###334#","//--- END",'CancerUnderStudy-test'!L39)</f>
        <v/>
      </c>
    </row>
    <row r="81" spans="3:3">
      <c r="C81" s="12" t="str">
        <f>IF('CancerUnderStudy-test'!L40="*  ..  ##34###34# ##334###334#","//--- END",'CancerUnderStudy-test'!L40)</f>
        <v>//--- END</v>
      </c>
    </row>
    <row r="82" spans="3:3">
      <c r="C82" s="12" t="str">
        <f>IF('CancerUnderStudy-test'!L41="*  ..  ##34###34# ##334###334#","//--- END",'CancerUnderStudy-test'!L41)</f>
        <v>//--- END</v>
      </c>
    </row>
    <row r="83" spans="3:3">
      <c r="C83" s="12" t="str">
        <f>IF('CancerUnderStudy-test'!L42="*  ..  ##34###34# ##334###334#","//--- END",'CancerUnderStudy-test'!L42)</f>
        <v>//--- END</v>
      </c>
    </row>
    <row r="84" spans="3:3">
      <c r="C84"/>
    </row>
    <row r="86" spans="3:3">
      <c r="C86" s="24" t="str">
        <f>'CancerUnderStudy-Map-1-test'!E1</f>
        <v>// -------------------------------------------------------------------------------</v>
      </c>
    </row>
    <row r="87" spans="3:3">
      <c r="C87" s="25" t="str">
        <f>'CancerUnderStudy-Map-1-test'!E2</f>
        <v>//  Map to FHIR R4</v>
      </c>
    </row>
    <row r="88" spans="3:3">
      <c r="C88" s="25" t="str">
        <f>'CancerUnderStudy-Map-1-test'!E3</f>
        <v>// -------------------------------------------------------------------------------</v>
      </c>
    </row>
    <row r="89" spans="3:3">
      <c r="C89" s="12" t="str">
        <f>'CancerUnderStudy-Map-1-test'!E4</f>
        <v>Mapping: I4RCCancerUnderStudy2Fhir</v>
      </c>
    </row>
    <row r="90" spans="3:3">
      <c r="C90" s="12" t="str">
        <f>'CancerUnderStudy-Map-1-test'!E5</f>
        <v>Id: fhir</v>
      </c>
    </row>
    <row r="91" spans="3:3">
      <c r="C91" s="12" t="str">
        <f>'CancerUnderStudy-Map-1-test'!E6</f>
        <v>Title: ##34#Idea4RC Subject model to FHIR R4 Map##34#</v>
      </c>
    </row>
    <row r="92" spans="3:3">
      <c r="C92" s="12" t="str">
        <f>'CancerUnderStudy-Map-1-test'!E7</f>
        <v>Source: CancerUnderStudyTest</v>
      </c>
    </row>
    <row r="93" spans="3:3">
      <c r="C93" s="12" t="str">
        <f>'CancerUnderStudy-Map-1-test'!E8</f>
        <v>Target: ##34#hl7.org/fhir/r4##34#</v>
      </c>
    </row>
    <row r="95" spans="3:3">
      <c r="C95" s="4" t="str">
        <f>'CancerUnderStudy-Map-1-test'!E9</f>
        <v>* -&gt; ##34#TBD##34#</v>
      </c>
    </row>
    <row r="96" spans="3:3">
      <c r="C96" s="12" t="str">
        <f>IF('CancerUnderStudy-Map-1-test'!E10="*  -&gt; ##34###34#","// --END",'CancerUnderStudy-Map-1-test'!E10)</f>
        <v>* CancerUnderStudy.diagnosisDate -&gt; ##34#TBD##34#</v>
      </c>
    </row>
    <row r="97" spans="3:3">
      <c r="C97" s="12" t="str">
        <f>IF('CancerUnderStudy-Map-1-test'!E11="*  -&gt; ##34###34#","// --END",'CancerUnderStudy-Map-1-test'!E11)</f>
        <v>* CancerUnderStudy.ageAtDiagnosis -&gt; ##34#TBD##34#</v>
      </c>
    </row>
    <row r="98" spans="3:3">
      <c r="C98" s="12" t="str">
        <f>IF('CancerUnderStudy-Map-1-test'!E12="*  -&gt; ##34###34#","// --END",'CancerUnderStudy-Map-1-test'!E12)</f>
        <v>* CancerUnderStudy.histologyGroup -&gt; ##34#TBD##34#</v>
      </c>
    </row>
    <row r="99" spans="3:3">
      <c r="C99" s="12" t="str">
        <f>IF('CancerUnderStudy-Map-1-test'!E13="*  -&gt; ##34###34#","// --END",'CancerUnderStudy-Map-1-test'!E13)</f>
        <v>* CancerUnderStudy.histologyWho2017Subgroup -&gt; ##34#TBD##34#</v>
      </c>
    </row>
    <row r="100" spans="3:3">
      <c r="C100" s="12" t="str">
        <f>IF('CancerUnderStudy-Map-1-test'!E14="*  -&gt; ##34###34#","// --END",'CancerUnderStudy-Map-1-test'!E14)</f>
        <v>* CancerUnderStudy.histologySquamous -&gt; ##34#TBD##34#</v>
      </c>
    </row>
    <row r="101" spans="3:3">
      <c r="C101" s="12" t="str">
        <f>IF('CancerUnderStudy-Map-1-test'!E15="*  -&gt; ##34###34#","// --END",'CancerUnderStudy-Map-1-test'!E15)</f>
        <v>* CancerUnderStudy.histologyAdenocarcinoma -&gt; ##34#TBD##34#</v>
      </c>
    </row>
    <row r="102" spans="3:3">
      <c r="C102" s="12" t="str">
        <f>IF('CancerUnderStudy-Map-1-test'!E16="*  -&gt; ##34###34#","// --END",'CancerUnderStudy-Map-1-test'!E16)</f>
        <v>* CancerUnderStudy.histologyNeuroendocrine -&gt; ##34#TBD##34#</v>
      </c>
    </row>
    <row r="103" spans="3:3">
      <c r="C103" s="12" t="str">
        <f>IF('CancerUnderStudy-Map-1-test'!E17="*  -&gt; ##34###34#","// --END",'CancerUnderStudy-Map-1-test'!E17)</f>
        <v>* CancerUnderStudy.histologyOdontogenicCarcinoma -&gt; ##34#TBD##34#</v>
      </c>
    </row>
    <row r="104" spans="3:3">
      <c r="C104" s="12" t="str">
        <f>IF('CancerUnderStudy-Map-1-test'!E18="*  -&gt; ##34###34#","// --END",'CancerUnderStudy-Map-1-test'!E18)</f>
        <v>* CancerUnderStudy.histologySNUC -&gt; ##34#TBD##34#</v>
      </c>
    </row>
    <row r="105" spans="3:3">
      <c r="C105" s="12" t="str">
        <f>IF('CancerUnderStudy-Map-1-test'!E19="*  -&gt; ##34###34#","// --END",'CancerUnderStudy-Map-1-test'!E19)</f>
        <v>* CancerUnderStudy.siteRare -&gt; ##34#TBD##34#</v>
      </c>
    </row>
    <row r="106" spans="3:3">
      <c r="C106" s="12" t="str">
        <f>IF('CancerUnderStudy-Map-1-test'!E20="*  -&gt; ##34###34#","// --END",'CancerUnderStudy-Map-1-test'!E20)</f>
        <v>* CancerUnderStudy.siteCommonAndRare -&gt; ##34#TBD##34#</v>
      </c>
    </row>
    <row r="107" spans="3:3">
      <c r="C107" s="12" t="str">
        <f>IF('CancerUnderStudy-Map-1-test'!E21="*  -&gt; ##34###34#","// --END",'CancerUnderStudy-Map-1-test'!E21)</f>
        <v>* CancerUnderStudy.subsite -&gt; ##34#TBD##34#</v>
      </c>
    </row>
    <row r="108" spans="3:3">
      <c r="C108" s="12" t="str">
        <f>IF('CancerUnderStudy-Map-1-test'!E22="*  -&gt; ##34###34#","// --END",'CancerUnderStudy-Map-1-test'!E22)</f>
        <v>* CancerUnderStudy.nasalCavityAndParanasalSinusesSubsite -&gt; ##34#TBD##34#</v>
      </c>
    </row>
    <row r="109" spans="3:3">
      <c r="C109" s="12" t="str">
        <f>IF('CancerUnderStudy-Map-1-test'!E23="*  -&gt; ##34###34#","// --END",'CancerUnderStudy-Map-1-test'!E23)</f>
        <v>* CancerUnderStudy.nasopharynxSubsite -&gt; ##34#TBD##34#</v>
      </c>
    </row>
    <row r="110" spans="3:3">
      <c r="C110" s="12" t="str">
        <f>IF('CancerUnderStudy-Map-1-test'!E24="*  -&gt; ##34###34#","// --END",'CancerUnderStudy-Map-1-test'!E24)</f>
        <v>* CancerUnderStudy.hypopharynxSubsite -&gt; ##34#TBD##34#</v>
      </c>
    </row>
    <row r="111" spans="3:3">
      <c r="C111" s="12" t="str">
        <f>IF('CancerUnderStudy-Map-1-test'!E25="*  -&gt; ##34###34#","// --END",'CancerUnderStudy-Map-1-test'!E25)</f>
        <v>* CancerUnderStudy.oropharynxSubsite -&gt; ##34#TBD##34#</v>
      </c>
    </row>
    <row r="112" spans="3:3">
      <c r="C112" s="12" t="str">
        <f>IF('CancerUnderStudy-Map-1-test'!E26="*  -&gt; ##34###34#","// --END",'CancerUnderStudy-Map-1-test'!E26)</f>
        <v>* CancerUnderStudy.larynxSubsite -&gt; ##34#TBD##34#</v>
      </c>
    </row>
    <row r="113" spans="3:3">
      <c r="C113" s="12" t="str">
        <f>IF('CancerUnderStudy-Map-1-test'!E27="*  -&gt; ##34###34#","// --END",'CancerUnderStudy-Map-1-test'!E27)</f>
        <v>* CancerUnderStudy.oralCavitySubsite -&gt; ##34#TBD##34#</v>
      </c>
    </row>
    <row r="114" spans="3:3">
      <c r="C114" s="12" t="str">
        <f>IF('CancerUnderStudy-Map-1-test'!E28="*  -&gt; ##34###34#","// --END",'CancerUnderStudy-Map-1-test'!E28)</f>
        <v>* CancerUnderStudy.lipSubsite -&gt; ##34#TBD##34#</v>
      </c>
    </row>
    <row r="115" spans="3:3">
      <c r="C115" s="12" t="str">
        <f>IF('CancerUnderStudy-Map-1-test'!E29="*  -&gt; ##34###34#","// --END",'CancerUnderStudy-Map-1-test'!E29)</f>
        <v>* CancerUnderStudy.plasmaticEbvDnaAtBaseline -&gt; ##34#TBD##34#</v>
      </c>
    </row>
    <row r="116" spans="3:3">
      <c r="C116" s="12" t="str">
        <f>IF('CancerUnderStudy-Map-1-test'!E30="*  -&gt; ##34###34#","// --END",'CancerUnderStudy-Map-1-test'!E30)</f>
        <v>* CancerUnderStudy.primerType -&gt; ##34#TBD##34#</v>
      </c>
    </row>
    <row r="117" spans="3:3">
      <c r="C117" s="12" t="str">
        <f>IF('CancerUnderStudy-Map-1-test'!E31="*  -&gt; ##34###34#","// --END",'CancerUnderStudy-Map-1-test'!E31)</f>
        <v>* CancerUnderStudy.copyNumber -&gt; ##34#TBD##34#</v>
      </c>
    </row>
    <row r="118" spans="3:3">
      <c r="C118" s="12" t="str">
        <f>IF('CancerUnderStudy-Map-1-test'!E32="*  -&gt; ##34###34#","// --END",'CancerUnderStudy-Map-1-test'!E32)</f>
        <v>* CancerUnderStudy.hpvStatus -&gt; ##34#TBD##34#</v>
      </c>
    </row>
    <row r="119" spans="3:3">
      <c r="C119" s="12" t="str">
        <f>IF('CancerUnderStudy-Map-1-test'!E33="*  -&gt; ##34###34#","// --END",'CancerUnderStudy-Map-1-test'!E33)</f>
        <v>* CancerUnderStudy.hpvStatusDetectedBy -&gt; ##34#TBD##34#</v>
      </c>
    </row>
    <row r="120" spans="3:3">
      <c r="C120" s="12" t="str">
        <f>IF('CancerUnderStudy-Map-1-test'!E34="*  -&gt; ##34###34#","// --END",'CancerUnderStudy-Map-1-test'!E34)</f>
        <v>* CancerUnderStudy.p16 -&gt; ##34#TBD##34#</v>
      </c>
    </row>
    <row r="121" spans="3:3">
      <c r="C121" s="12" t="str">
        <f>IF('CancerUnderStudy-Map-1-test'!E35="*  -&gt; ##34###34#","// --END",'CancerUnderStudy-Map-1-test'!E35)</f>
        <v>* CancerUnderStudy.pdL1 -&gt; ##34#TBD##34#</v>
      </c>
    </row>
    <row r="122" spans="3:3">
      <c r="C122" s="12" t="str">
        <f>IF('CancerUnderStudy-Map-1-test'!E36="*  -&gt; ##34###34#","// --END",'CancerUnderStudy-Map-1-test'!E36)</f>
        <v>* CancerUnderStudy.pdL1Method -&gt; ##34#TBD##34#</v>
      </c>
    </row>
    <row r="123" spans="3:3">
      <c r="C123" s="12" t="str">
        <f>IF('CancerUnderStudy-Map-1-test'!E37="*  -&gt; ##34###34#","// --END",'CancerUnderStudy-Map-1-test'!E37)</f>
        <v>* CancerUnderStudy.pdL1CpsValue -&gt; ##34#TBD##34#</v>
      </c>
    </row>
    <row r="124" spans="3:3">
      <c r="C124" s="12" t="str">
        <f>IF('CancerUnderStudy-Map-1-test'!E38="*  -&gt; ##34###34#","// --END",'CancerUnderStudy-Map-1-test'!E38)</f>
        <v>* CancerUnderStudy.pdL1TpsValue -&gt; ##34#TBD##34#</v>
      </c>
    </row>
    <row r="125" spans="3:3">
      <c r="C125" s="12" t="str">
        <f>IF('CancerUnderStudy-Map-1-test'!E39="*  -&gt; ##34###34#","// --END",'CancerUnderStudy-Map-1-test'!E39)</f>
        <v>* CancerUnderStudy.crpCReactiveProteinTested -&gt; ##34#TBD##34#</v>
      </c>
    </row>
    <row r="126" spans="3:3">
      <c r="C126" s="12" t="str">
        <f>IF('CancerUnderStudy-Map-1-test'!E40="*  -&gt; ##34###34#","// --END",'CancerUnderStudy-Map-1-test'!E40)</f>
        <v>* CancerUnderStudy.cReactiveProteinCrpMgDl -&gt; ##34#TBD##34#</v>
      </c>
    </row>
    <row r="127" spans="3:3">
      <c r="C127" s="12" t="str">
        <f>IF('CancerUnderStudy-Map-1-test'!E41="*  -&gt; ##34###34#","// --END",'CancerUnderStudy-Map-1-test'!E41)</f>
        <v>* CancerUnderStudy.instrumentStatus -&gt; ##34#TBD##34#</v>
      </c>
    </row>
    <row r="128" spans="3:3">
      <c r="C128" s="12" t="str">
        <f>IF('CancerUnderStudy-Map-1-test'!E42="*  -&gt; ##34###34#","// --END",'CancerUnderStudy-Map-1-test'!E42)</f>
        <v>// --END</v>
      </c>
    </row>
    <row r="129" spans="3:3">
      <c r="C129" s="12" t="str">
        <f>IF('CancerUnderStudy-Map-1-test'!E43="*  -&gt; ##34###34#","// --END",'CancerUnderStudy-Map-1-test'!E43)</f>
        <v>// --END</v>
      </c>
    </row>
    <row r="130" spans="3:3">
      <c r="C130" s="12" t="str">
        <f>IF('CancerUnderStudy-Map-1-test'!E44="*  -&gt; ##34###34#","// --END",'CancerUnderStudy-Map-1-test'!E44)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export">
                <anchor moveWithCells="1">
                  <from>
                    <xdr:col>2</xdr:col>
                    <xdr:colOff>444500</xdr:colOff>
                    <xdr:row>95</xdr:row>
                    <xdr:rowOff>171450</xdr:rowOff>
                  </from>
                  <to>
                    <xdr:col>2</xdr:col>
                    <xdr:colOff>1117600</xdr:colOff>
                    <xdr:row>97</xdr:row>
                    <xdr:rowOff>88900</xdr:rowOff>
                  </to>
                </anchor>
              </controlPr>
            </control>
          </mc:Choice>
        </mc:AlternateContent>
        <mc:AlternateContent xmlns:mc="http://schemas.openxmlformats.org/markup-compatibility/2006">
          <mc:Choice Requires="x14">
            <control shapeId="6349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outlinePr summaryBelow="0" summaryRight="0"/>
  </sheetPr>
  <dimension ref="A1:Z1000"/>
  <sheetViews>
    <sheetView topLeftCell="E9" zoomScale="115" zoomScaleNormal="115" workbookViewId="0">
      <selection activeCell="J16" sqref="J16"/>
    </sheetView>
  </sheetViews>
  <sheetFormatPr defaultColWidth="12.6328125" defaultRowHeight="15.75" customHeight="1"/>
  <cols>
    <col min="1" max="1" width="36.86328125" style="78" customWidth="1"/>
    <col min="2" max="2" width="17.36328125" style="78" customWidth="1"/>
    <col min="3" max="3" width="21" style="78" customWidth="1"/>
    <col min="4" max="4" width="23.7265625" style="78" customWidth="1"/>
    <col min="5" max="5" width="29.1328125" style="78" customWidth="1"/>
    <col min="6" max="6" width="31.2265625" style="78" customWidth="1"/>
    <col min="7" max="7" width="30.36328125" style="78" customWidth="1"/>
    <col min="8" max="8" width="14.5" style="78" customWidth="1"/>
    <col min="9" max="9" width="38.6328125" style="78" customWidth="1"/>
    <col min="10" max="10" width="34.5" style="78" customWidth="1"/>
    <col min="11" max="11" width="12.6328125" style="78"/>
    <col min="12" max="12" width="21.86328125" style="78" customWidth="1"/>
    <col min="13" max="16384" width="12.6328125" style="78"/>
  </cols>
  <sheetData>
    <row r="1" spans="1:26" ht="74.25" customHeight="1">
      <c r="A1" s="108" t="s">
        <v>1483</v>
      </c>
      <c r="B1" s="109"/>
      <c r="C1" s="109"/>
      <c r="D1" s="109"/>
      <c r="E1" s="109"/>
      <c r="F1" s="109"/>
      <c r="G1" s="109"/>
      <c r="H1" s="109"/>
      <c r="I1" s="109"/>
      <c r="J1" s="109"/>
      <c r="K1" s="109"/>
      <c r="L1" s="109"/>
      <c r="M1" s="79"/>
      <c r="N1" s="79"/>
      <c r="O1" s="79"/>
      <c r="P1" s="79"/>
      <c r="Q1" s="79"/>
      <c r="R1" s="79"/>
      <c r="S1" s="79"/>
      <c r="T1" s="79"/>
      <c r="U1" s="79"/>
      <c r="V1" s="79"/>
      <c r="W1" s="79"/>
      <c r="X1" s="79"/>
      <c r="Y1" s="79"/>
      <c r="Z1" s="79"/>
    </row>
    <row r="2" spans="1:26" ht="13.5">
      <c r="A2" s="80"/>
    </row>
    <row r="3" spans="1:26" ht="30.75" customHeight="1">
      <c r="A3" s="81" t="s">
        <v>1484</v>
      </c>
      <c r="B3" s="82" t="s">
        <v>178</v>
      </c>
      <c r="C3" s="82" t="s">
        <v>1485</v>
      </c>
      <c r="D3" s="82" t="s">
        <v>1486</v>
      </c>
      <c r="E3" s="82" t="s">
        <v>1487</v>
      </c>
      <c r="F3" s="82" t="s">
        <v>188</v>
      </c>
      <c r="G3" s="82" t="s">
        <v>1488</v>
      </c>
      <c r="H3" s="82" t="s">
        <v>186</v>
      </c>
      <c r="I3" s="82" t="s">
        <v>1489</v>
      </c>
      <c r="J3" s="82" t="s">
        <v>1490</v>
      </c>
      <c r="K3" s="82" t="s">
        <v>1491</v>
      </c>
      <c r="L3" s="82" t="s">
        <v>1492</v>
      </c>
      <c r="M3" s="83"/>
      <c r="N3" s="83"/>
      <c r="O3" s="83"/>
      <c r="P3" s="83"/>
      <c r="Q3" s="83"/>
      <c r="R3" s="83"/>
      <c r="S3" s="83"/>
      <c r="T3" s="83"/>
      <c r="U3" s="83"/>
      <c r="V3" s="83"/>
      <c r="W3" s="83"/>
      <c r="X3" s="83"/>
      <c r="Y3" s="83"/>
      <c r="Z3" s="84"/>
    </row>
    <row r="4" spans="1:26" ht="65.25" customHeight="1">
      <c r="A4" s="85" t="s">
        <v>1493</v>
      </c>
      <c r="B4" s="86" t="s">
        <v>1494</v>
      </c>
      <c r="C4" s="86" t="s">
        <v>292</v>
      </c>
      <c r="D4" s="86" t="str">
        <f t="array" ref="D4">"CUS_"&amp;C4</f>
        <v>CUS_DiagnosisDate</v>
      </c>
      <c r="E4" s="86" t="s">
        <v>1495</v>
      </c>
      <c r="F4" s="86" t="s">
        <v>1496</v>
      </c>
      <c r="G4" s="86" t="s">
        <v>219</v>
      </c>
      <c r="H4" s="86" t="s">
        <v>211</v>
      </c>
      <c r="I4" s="86" t="s">
        <v>1497</v>
      </c>
      <c r="J4" s="86" t="s">
        <v>1498</v>
      </c>
      <c r="K4" s="86" t="s">
        <v>223</v>
      </c>
      <c r="L4" s="87"/>
      <c r="M4" s="87"/>
      <c r="N4" s="87"/>
      <c r="O4" s="87"/>
      <c r="P4" s="87"/>
      <c r="Q4" s="87"/>
      <c r="R4" s="87"/>
      <c r="S4" s="87"/>
      <c r="T4" s="87"/>
      <c r="U4" s="87"/>
      <c r="V4" s="87"/>
      <c r="W4" s="87"/>
      <c r="X4" s="87"/>
      <c r="Y4" s="87"/>
      <c r="Z4" s="87"/>
    </row>
    <row r="5" spans="1:26" ht="65.25" customHeight="1">
      <c r="A5" s="88" t="s">
        <v>1499</v>
      </c>
      <c r="B5" s="89" t="s">
        <v>1494</v>
      </c>
      <c r="C5" s="89"/>
      <c r="D5" s="89"/>
      <c r="E5" s="89"/>
      <c r="F5" s="89"/>
      <c r="G5" s="89"/>
      <c r="H5" s="89"/>
      <c r="I5" s="89"/>
      <c r="J5" s="89"/>
      <c r="K5" s="89"/>
      <c r="L5" s="90"/>
      <c r="M5" s="90"/>
      <c r="N5" s="90"/>
      <c r="O5" s="90"/>
      <c r="P5" s="90"/>
      <c r="Q5" s="90"/>
      <c r="R5" s="90"/>
      <c r="S5" s="90"/>
      <c r="T5" s="90"/>
      <c r="U5" s="90"/>
      <c r="V5" s="90"/>
      <c r="W5" s="90"/>
      <c r="X5" s="90"/>
      <c r="Y5" s="90"/>
      <c r="Z5" s="90"/>
    </row>
    <row r="6" spans="1:26" ht="65.25" customHeight="1">
      <c r="A6" s="91" t="s">
        <v>1500</v>
      </c>
      <c r="B6" s="92" t="s">
        <v>1494</v>
      </c>
      <c r="C6" s="92" t="s">
        <v>1501</v>
      </c>
      <c r="D6" s="92" t="str">
        <f t="array" ref="D6">"CUS_ "&amp;C6</f>
        <v>CUS_ BiopsyDoneBy</v>
      </c>
      <c r="E6" s="92"/>
      <c r="F6" s="92"/>
      <c r="G6" s="92"/>
      <c r="H6" s="92"/>
      <c r="I6" s="92"/>
      <c r="J6" s="92"/>
      <c r="K6" s="92"/>
      <c r="L6" s="93"/>
      <c r="M6" s="93"/>
      <c r="N6" s="93"/>
      <c r="O6" s="93"/>
      <c r="P6" s="93"/>
      <c r="Q6" s="93"/>
      <c r="R6" s="93"/>
      <c r="S6" s="93"/>
      <c r="T6" s="93"/>
      <c r="U6" s="93"/>
      <c r="V6" s="93"/>
      <c r="W6" s="93"/>
      <c r="X6" s="93"/>
      <c r="Y6" s="93"/>
      <c r="Z6" s="93"/>
    </row>
    <row r="7" spans="1:26" ht="65.25" customHeight="1">
      <c r="A7" s="85" t="s">
        <v>1502</v>
      </c>
      <c r="B7" s="86" t="s">
        <v>1494</v>
      </c>
      <c r="C7" s="86" t="s">
        <v>1503</v>
      </c>
      <c r="D7" s="86" t="str">
        <f t="array" ref="D7">"CUS_"&amp;C7</f>
        <v>CUS_AgeAtDiagnosis</v>
      </c>
      <c r="E7" s="86" t="s">
        <v>1504</v>
      </c>
      <c r="F7" s="86" t="s">
        <v>1505</v>
      </c>
      <c r="G7" s="86" t="s">
        <v>1506</v>
      </c>
      <c r="H7" s="86" t="s">
        <v>1507</v>
      </c>
      <c r="I7" s="86" t="s">
        <v>1508</v>
      </c>
      <c r="J7" s="86" t="s">
        <v>1509</v>
      </c>
      <c r="K7" s="86">
        <v>62</v>
      </c>
      <c r="L7" s="87"/>
      <c r="M7" s="87"/>
      <c r="N7" s="87"/>
      <c r="O7" s="87"/>
      <c r="P7" s="87"/>
      <c r="Q7" s="87"/>
      <c r="R7" s="87"/>
      <c r="S7" s="87"/>
      <c r="T7" s="87"/>
      <c r="U7" s="87"/>
      <c r="V7" s="87"/>
      <c r="W7" s="87"/>
      <c r="X7" s="87"/>
      <c r="Y7" s="87"/>
      <c r="Z7" s="87"/>
    </row>
    <row r="8" spans="1:26" ht="65.25" customHeight="1">
      <c r="A8" s="88" t="s">
        <v>1502</v>
      </c>
      <c r="B8" s="89" t="s">
        <v>1494</v>
      </c>
      <c r="C8" s="89"/>
      <c r="D8" s="89" t="str">
        <f t="array" ref="D8">"CUS_ "&amp;C8</f>
        <v xml:space="preserve">CUS_ </v>
      </c>
      <c r="E8" s="89"/>
      <c r="F8" s="89"/>
      <c r="G8" s="89"/>
      <c r="H8" s="89"/>
      <c r="I8" s="89"/>
      <c r="J8" s="89"/>
      <c r="K8" s="89"/>
      <c r="L8" s="90"/>
      <c r="M8" s="90"/>
      <c r="N8" s="90"/>
      <c r="O8" s="90"/>
      <c r="P8" s="90"/>
      <c r="Q8" s="90"/>
      <c r="R8" s="90"/>
      <c r="S8" s="90"/>
      <c r="T8" s="90"/>
      <c r="U8" s="90"/>
      <c r="V8" s="90"/>
      <c r="W8" s="90"/>
      <c r="X8" s="90"/>
      <c r="Y8" s="90"/>
      <c r="Z8" s="90"/>
    </row>
    <row r="9" spans="1:26" ht="138.75" customHeight="1">
      <c r="A9" s="85" t="s">
        <v>1510</v>
      </c>
      <c r="B9" s="86" t="s">
        <v>1494</v>
      </c>
      <c r="C9" s="86" t="s">
        <v>1511</v>
      </c>
      <c r="D9" s="86" t="str">
        <f t="array" ref="D9">"CUS_"&amp;C9</f>
        <v>CUS_HistologyGroup</v>
      </c>
      <c r="E9" s="86" t="s">
        <v>1510</v>
      </c>
      <c r="F9" s="86" t="s">
        <v>1512</v>
      </c>
      <c r="G9" s="86" t="s">
        <v>195</v>
      </c>
      <c r="H9" s="86" t="s">
        <v>211</v>
      </c>
      <c r="I9" s="86" t="s">
        <v>1513</v>
      </c>
      <c r="J9" s="94" t="s">
        <v>1514</v>
      </c>
      <c r="K9" s="86" t="s">
        <v>1515</v>
      </c>
      <c r="L9" s="95" t="s">
        <v>1516</v>
      </c>
      <c r="M9" s="87"/>
      <c r="N9" s="87"/>
      <c r="O9" s="87"/>
      <c r="P9" s="87"/>
      <c r="Q9" s="87"/>
      <c r="R9" s="87"/>
      <c r="S9" s="87"/>
      <c r="T9" s="87"/>
      <c r="U9" s="87"/>
      <c r="V9" s="87"/>
      <c r="W9" s="87"/>
      <c r="X9" s="87"/>
      <c r="Y9" s="87"/>
      <c r="Z9" s="87"/>
    </row>
    <row r="10" spans="1:26" ht="65.25" customHeight="1">
      <c r="A10" s="110" t="s">
        <v>1517</v>
      </c>
      <c r="B10" s="111"/>
      <c r="C10" s="111"/>
      <c r="D10" s="111"/>
      <c r="E10" s="111"/>
      <c r="F10" s="111"/>
      <c r="G10" s="111"/>
      <c r="H10" s="111"/>
      <c r="I10" s="111"/>
      <c r="J10" s="111"/>
      <c r="K10" s="111"/>
      <c r="L10" s="87"/>
      <c r="M10" s="87"/>
      <c r="N10" s="87"/>
      <c r="O10" s="87"/>
      <c r="P10" s="87"/>
      <c r="Q10" s="87"/>
      <c r="R10" s="87"/>
      <c r="S10" s="87"/>
      <c r="T10" s="87"/>
      <c r="U10" s="87"/>
      <c r="V10" s="87"/>
      <c r="W10" s="87"/>
      <c r="X10" s="87"/>
      <c r="Y10" s="87"/>
      <c r="Z10" s="87"/>
    </row>
    <row r="11" spans="1:26" ht="65.25" customHeight="1">
      <c r="A11" s="85" t="s">
        <v>1518</v>
      </c>
      <c r="B11" s="86" t="s">
        <v>1511</v>
      </c>
      <c r="C11" s="86" t="s">
        <v>1519</v>
      </c>
      <c r="D11" s="86" t="str">
        <f t="array" ref="D11">"CUS_"&amp;C11</f>
        <v>CUS_HistologySquamous</v>
      </c>
      <c r="E11" s="86" t="s">
        <v>1520</v>
      </c>
      <c r="F11" s="86" t="s">
        <v>1521</v>
      </c>
      <c r="G11" s="86" t="s">
        <v>195</v>
      </c>
      <c r="H11" s="86" t="s">
        <v>211</v>
      </c>
      <c r="I11" s="86" t="s">
        <v>1522</v>
      </c>
      <c r="J11" s="94" t="s">
        <v>1523</v>
      </c>
      <c r="K11" s="86"/>
      <c r="L11" s="95" t="s">
        <v>1516</v>
      </c>
      <c r="M11" s="87"/>
      <c r="N11" s="87"/>
      <c r="O11" s="87"/>
      <c r="P11" s="87"/>
      <c r="Q11" s="87"/>
      <c r="R11" s="87"/>
      <c r="S11" s="87"/>
      <c r="T11" s="87"/>
      <c r="U11" s="87"/>
      <c r="V11" s="87"/>
      <c r="W11" s="87"/>
      <c r="X11" s="87"/>
      <c r="Y11" s="87"/>
      <c r="Z11" s="87"/>
    </row>
    <row r="12" spans="1:26" ht="65.25" customHeight="1">
      <c r="A12" s="85" t="s">
        <v>1524</v>
      </c>
      <c r="B12" s="86" t="s">
        <v>1511</v>
      </c>
      <c r="C12" s="86" t="s">
        <v>1525</v>
      </c>
      <c r="D12" s="86" t="str">
        <f t="array" ref="D12">"CUS_"&amp;C12</f>
        <v>CUS_HistologyAdenocarcinoma</v>
      </c>
      <c r="E12" s="86" t="s">
        <v>1526</v>
      </c>
      <c r="F12" s="96" t="s">
        <v>1527</v>
      </c>
      <c r="G12" s="86" t="s">
        <v>195</v>
      </c>
      <c r="H12" s="86" t="s">
        <v>211</v>
      </c>
      <c r="I12" s="86" t="s">
        <v>1528</v>
      </c>
      <c r="J12" s="94" t="s">
        <v>1529</v>
      </c>
      <c r="K12" s="86"/>
      <c r="L12" s="95" t="s">
        <v>1516</v>
      </c>
      <c r="M12" s="87"/>
      <c r="N12" s="87"/>
      <c r="O12" s="87"/>
      <c r="P12" s="87"/>
      <c r="Q12" s="87"/>
      <c r="R12" s="87"/>
      <c r="S12" s="87"/>
      <c r="T12" s="87"/>
      <c r="U12" s="87"/>
      <c r="V12" s="87"/>
      <c r="W12" s="87"/>
      <c r="X12" s="87"/>
      <c r="Y12" s="87"/>
      <c r="Z12" s="87"/>
    </row>
    <row r="13" spans="1:26" ht="65.25" customHeight="1">
      <c r="A13" s="85" t="s">
        <v>1530</v>
      </c>
      <c r="B13" s="86" t="s">
        <v>1511</v>
      </c>
      <c r="C13" s="86" t="s">
        <v>1531</v>
      </c>
      <c r="D13" s="86" t="str">
        <f t="array" ref="D13">"CUS_"&amp;C13</f>
        <v>CUS_HistologyNeuroendocrine</v>
      </c>
      <c r="E13" s="86" t="s">
        <v>1532</v>
      </c>
      <c r="F13" s="97" t="s">
        <v>1533</v>
      </c>
      <c r="G13" s="86" t="s">
        <v>195</v>
      </c>
      <c r="H13" s="86" t="s">
        <v>211</v>
      </c>
      <c r="I13" s="86" t="s">
        <v>1534</v>
      </c>
      <c r="J13" s="94" t="s">
        <v>1535</v>
      </c>
      <c r="K13" s="86"/>
      <c r="L13" s="95" t="s">
        <v>1516</v>
      </c>
      <c r="M13" s="87"/>
      <c r="N13" s="87"/>
      <c r="O13" s="87"/>
      <c r="P13" s="87"/>
      <c r="Q13" s="87"/>
      <c r="R13" s="87"/>
      <c r="S13" s="87"/>
      <c r="T13" s="87"/>
      <c r="U13" s="87"/>
      <c r="V13" s="87"/>
      <c r="W13" s="87"/>
      <c r="X13" s="87"/>
      <c r="Y13" s="87"/>
      <c r="Z13" s="87"/>
    </row>
    <row r="14" spans="1:26" ht="65.25" customHeight="1">
      <c r="A14" s="85" t="s">
        <v>1536</v>
      </c>
      <c r="B14" s="86" t="s">
        <v>1511</v>
      </c>
      <c r="C14" s="86" t="s">
        <v>1537</v>
      </c>
      <c r="D14" s="86" t="str">
        <f t="array" ref="D14">"CUS_"&amp;C14</f>
        <v>CUS_HistologyOdontogenicCarcinoma</v>
      </c>
      <c r="E14" s="86" t="s">
        <v>1538</v>
      </c>
      <c r="F14" s="97" t="s">
        <v>1539</v>
      </c>
      <c r="G14" s="86" t="s">
        <v>195</v>
      </c>
      <c r="H14" s="86" t="s">
        <v>211</v>
      </c>
      <c r="I14" s="86" t="s">
        <v>1540</v>
      </c>
      <c r="J14" s="94" t="s">
        <v>1541</v>
      </c>
      <c r="K14" s="86"/>
      <c r="L14" s="95" t="s">
        <v>1516</v>
      </c>
      <c r="M14" s="87"/>
      <c r="N14" s="87"/>
      <c r="O14" s="87"/>
      <c r="P14" s="87"/>
      <c r="Q14" s="87"/>
      <c r="R14" s="87"/>
      <c r="S14" s="87"/>
      <c r="T14" s="87"/>
      <c r="U14" s="87"/>
      <c r="V14" s="87"/>
      <c r="W14" s="87"/>
      <c r="X14" s="87"/>
      <c r="Y14" s="87"/>
      <c r="Z14" s="87"/>
    </row>
    <row r="15" spans="1:26" ht="65.25" customHeight="1">
      <c r="A15" s="85" t="s">
        <v>1542</v>
      </c>
      <c r="B15" s="86" t="s">
        <v>1511</v>
      </c>
      <c r="C15" s="86" t="s">
        <v>1543</v>
      </c>
      <c r="D15" s="86" t="str">
        <f t="array" ref="D15">"CUS_"&amp;C15</f>
        <v>CUS_HistologySNUC</v>
      </c>
      <c r="E15" s="86" t="s">
        <v>1544</v>
      </c>
      <c r="F15" s="97" t="s">
        <v>1545</v>
      </c>
      <c r="G15" s="86" t="s">
        <v>195</v>
      </c>
      <c r="H15" s="86" t="s">
        <v>211</v>
      </c>
      <c r="I15" s="86" t="s">
        <v>1546</v>
      </c>
      <c r="J15" s="94" t="s">
        <v>1547</v>
      </c>
      <c r="K15" s="86"/>
      <c r="L15" s="95" t="s">
        <v>1516</v>
      </c>
      <c r="M15" s="87"/>
      <c r="N15" s="87"/>
      <c r="O15" s="87"/>
      <c r="P15" s="87"/>
      <c r="Q15" s="87"/>
      <c r="R15" s="87"/>
      <c r="S15" s="87"/>
      <c r="T15" s="87"/>
      <c r="U15" s="87"/>
      <c r="V15" s="87"/>
      <c r="W15" s="87"/>
      <c r="X15" s="87"/>
      <c r="Y15" s="87"/>
      <c r="Z15" s="87"/>
    </row>
    <row r="16" spans="1:26" ht="65.25" customHeight="1">
      <c r="A16" s="85" t="s">
        <v>1548</v>
      </c>
      <c r="B16" s="86" t="s">
        <v>1494</v>
      </c>
      <c r="C16" s="86" t="s">
        <v>1549</v>
      </c>
      <c r="D16" s="86" t="str">
        <f t="array" ref="D16">"CUS_"&amp;C16</f>
        <v>CUS_SiteRare</v>
      </c>
      <c r="E16" s="86" t="s">
        <v>1550</v>
      </c>
      <c r="F16" s="98" t="s">
        <v>1551</v>
      </c>
      <c r="G16" s="86" t="s">
        <v>195</v>
      </c>
      <c r="H16" s="86" t="s">
        <v>211</v>
      </c>
      <c r="I16" s="86" t="s">
        <v>1552</v>
      </c>
      <c r="J16" s="94" t="s">
        <v>1553</v>
      </c>
      <c r="K16" s="86"/>
      <c r="L16" s="95" t="s">
        <v>1554</v>
      </c>
      <c r="M16" s="87"/>
      <c r="N16" s="87"/>
      <c r="O16" s="87"/>
      <c r="P16" s="87"/>
      <c r="Q16" s="87"/>
      <c r="R16" s="87"/>
      <c r="S16" s="87"/>
      <c r="T16" s="87"/>
      <c r="U16" s="87"/>
      <c r="V16" s="87"/>
      <c r="W16" s="87"/>
      <c r="X16" s="87"/>
      <c r="Y16" s="87"/>
      <c r="Z16" s="87"/>
    </row>
    <row r="17" spans="1:26" ht="65.25" customHeight="1">
      <c r="A17" s="85" t="s">
        <v>1555</v>
      </c>
      <c r="B17" s="86" t="s">
        <v>1494</v>
      </c>
      <c r="C17" s="86" t="s">
        <v>1556</v>
      </c>
      <c r="D17" s="86" t="str">
        <f t="array" ref="D17">"CUS_"&amp;C17</f>
        <v>CUS_SiteCommonAndRare</v>
      </c>
      <c r="E17" s="86" t="s">
        <v>1557</v>
      </c>
      <c r="F17" s="98" t="s">
        <v>1551</v>
      </c>
      <c r="G17" s="86" t="s">
        <v>195</v>
      </c>
      <c r="H17" s="86" t="s">
        <v>211</v>
      </c>
      <c r="I17" s="86" t="s">
        <v>1552</v>
      </c>
      <c r="J17" s="94" t="s">
        <v>1558</v>
      </c>
      <c r="K17" s="86"/>
      <c r="L17" s="95" t="s">
        <v>1554</v>
      </c>
      <c r="M17" s="87"/>
      <c r="N17" s="87"/>
      <c r="O17" s="87"/>
      <c r="P17" s="87"/>
      <c r="Q17" s="87"/>
      <c r="R17" s="87"/>
      <c r="S17" s="87"/>
      <c r="T17" s="87"/>
      <c r="U17" s="87"/>
      <c r="V17" s="87"/>
      <c r="W17" s="87"/>
      <c r="X17" s="87"/>
      <c r="Y17" s="87"/>
      <c r="Z17" s="87"/>
    </row>
    <row r="18" spans="1:26" ht="65.25" customHeight="1">
      <c r="A18" s="112" t="s">
        <v>1559</v>
      </c>
      <c r="B18" s="111"/>
      <c r="C18" s="111"/>
      <c r="D18" s="111"/>
      <c r="E18" s="111"/>
      <c r="F18" s="111"/>
      <c r="G18" s="111"/>
      <c r="H18" s="111"/>
      <c r="I18" s="111"/>
      <c r="J18" s="111"/>
      <c r="K18" s="86"/>
      <c r="L18" s="87"/>
      <c r="M18" s="87"/>
      <c r="N18" s="87"/>
      <c r="O18" s="87"/>
      <c r="P18" s="87"/>
      <c r="Q18" s="87"/>
      <c r="R18" s="87"/>
      <c r="S18" s="87"/>
      <c r="T18" s="87"/>
      <c r="U18" s="87"/>
      <c r="V18" s="87"/>
      <c r="W18" s="87"/>
      <c r="X18" s="87"/>
      <c r="Y18" s="87"/>
      <c r="Z18" s="87"/>
    </row>
    <row r="19" spans="1:26" ht="65.25" customHeight="1">
      <c r="A19" s="85" t="s">
        <v>1560</v>
      </c>
      <c r="B19" s="86" t="s">
        <v>1561</v>
      </c>
      <c r="C19" s="86" t="str">
        <f t="shared" ref="C19:C39" si="0">SUBSTITUTE(PROPER(A19), " ","")</f>
        <v>NasalCavityAndParanasalSinusesSubsite</v>
      </c>
      <c r="D19" s="86" t="str">
        <f t="array" ref="D19">"CUS_"&amp;C19</f>
        <v>CUS_NasalCavityAndParanasalSinusesSubsite</v>
      </c>
      <c r="E19" s="86" t="s">
        <v>1560</v>
      </c>
      <c r="F19" s="86" t="s">
        <v>1562</v>
      </c>
      <c r="G19" s="86" t="s">
        <v>195</v>
      </c>
      <c r="H19" s="86" t="s">
        <v>211</v>
      </c>
      <c r="I19" s="86" t="s">
        <v>1563</v>
      </c>
      <c r="J19" s="94" t="s">
        <v>1564</v>
      </c>
      <c r="K19" s="86"/>
      <c r="L19" s="95" t="s">
        <v>1554</v>
      </c>
      <c r="M19" s="95" t="s">
        <v>1565</v>
      </c>
      <c r="N19" s="87"/>
      <c r="O19" s="87"/>
      <c r="P19" s="87"/>
      <c r="Q19" s="87"/>
      <c r="R19" s="87"/>
      <c r="S19" s="87"/>
      <c r="T19" s="87"/>
      <c r="U19" s="87"/>
      <c r="V19" s="87"/>
      <c r="W19" s="87"/>
      <c r="X19" s="87"/>
      <c r="Y19" s="87"/>
      <c r="Z19" s="87"/>
    </row>
    <row r="20" spans="1:26" ht="65.25" customHeight="1">
      <c r="A20" s="85" t="s">
        <v>1566</v>
      </c>
      <c r="B20" s="86" t="s">
        <v>1561</v>
      </c>
      <c r="C20" s="86" t="str">
        <f t="shared" si="0"/>
        <v>NasopharynxSubsite</v>
      </c>
      <c r="D20" s="86" t="str">
        <f t="array" ref="D20">"CUS_"&amp;C20</f>
        <v>CUS_NasopharynxSubsite</v>
      </c>
      <c r="E20" s="86" t="s">
        <v>1566</v>
      </c>
      <c r="F20" s="86" t="s">
        <v>1567</v>
      </c>
      <c r="G20" s="86" t="s">
        <v>195</v>
      </c>
      <c r="H20" s="86" t="s">
        <v>211</v>
      </c>
      <c r="I20" s="86" t="s">
        <v>1563</v>
      </c>
      <c r="J20" s="99" t="s">
        <v>1568</v>
      </c>
      <c r="K20" s="86"/>
      <c r="L20" s="95" t="s">
        <v>1554</v>
      </c>
      <c r="M20" s="87"/>
      <c r="N20" s="87"/>
      <c r="O20" s="87"/>
      <c r="P20" s="87"/>
      <c r="Q20" s="87"/>
      <c r="R20" s="87"/>
      <c r="S20" s="87"/>
      <c r="T20" s="87"/>
      <c r="U20" s="87"/>
      <c r="V20" s="87"/>
      <c r="W20" s="87"/>
      <c r="X20" s="87"/>
      <c r="Y20" s="87"/>
      <c r="Z20" s="87"/>
    </row>
    <row r="21" spans="1:26" ht="65.25" customHeight="1">
      <c r="A21" s="85" t="s">
        <v>1569</v>
      </c>
      <c r="B21" s="86" t="s">
        <v>1561</v>
      </c>
      <c r="C21" s="86" t="str">
        <f t="shared" si="0"/>
        <v>HypopharynxSubsite</v>
      </c>
      <c r="D21" s="86" t="str">
        <f t="array" ref="D21">"CUS_"&amp;C21</f>
        <v>CUS_HypopharynxSubsite</v>
      </c>
      <c r="E21" s="86" t="s">
        <v>1569</v>
      </c>
      <c r="F21" s="86" t="s">
        <v>1570</v>
      </c>
      <c r="G21" s="86" t="s">
        <v>195</v>
      </c>
      <c r="H21" s="86" t="s">
        <v>211</v>
      </c>
      <c r="I21" s="86" t="s">
        <v>1563</v>
      </c>
      <c r="J21" s="99" t="s">
        <v>1571</v>
      </c>
      <c r="K21" s="86"/>
      <c r="L21" s="95" t="s">
        <v>1554</v>
      </c>
      <c r="M21" s="87"/>
      <c r="N21" s="87"/>
      <c r="O21" s="87"/>
      <c r="P21" s="87"/>
      <c r="Q21" s="87"/>
      <c r="R21" s="87"/>
      <c r="S21" s="87"/>
      <c r="T21" s="87"/>
      <c r="U21" s="87"/>
      <c r="V21" s="87"/>
      <c r="W21" s="87"/>
      <c r="X21" s="87"/>
      <c r="Y21" s="87"/>
      <c r="Z21" s="87"/>
    </row>
    <row r="22" spans="1:26" ht="65.25" customHeight="1">
      <c r="A22" s="85" t="s">
        <v>1572</v>
      </c>
      <c r="B22" s="86" t="s">
        <v>1561</v>
      </c>
      <c r="C22" s="86" t="str">
        <f t="shared" si="0"/>
        <v>OropharynxSubsite</v>
      </c>
      <c r="D22" s="86" t="str">
        <f t="array" ref="D22">"CUS_"&amp;C22</f>
        <v>CUS_OropharynxSubsite</v>
      </c>
      <c r="E22" s="86" t="s">
        <v>1572</v>
      </c>
      <c r="F22" s="86" t="s">
        <v>1573</v>
      </c>
      <c r="G22" s="86" t="s">
        <v>195</v>
      </c>
      <c r="H22" s="86" t="s">
        <v>211</v>
      </c>
      <c r="I22" s="86" t="s">
        <v>1563</v>
      </c>
      <c r="J22" s="99" t="s">
        <v>1574</v>
      </c>
      <c r="K22" s="86"/>
      <c r="L22" s="95" t="s">
        <v>1554</v>
      </c>
      <c r="M22" s="87"/>
      <c r="N22" s="87"/>
      <c r="O22" s="87"/>
      <c r="P22" s="87"/>
      <c r="Q22" s="87"/>
      <c r="R22" s="87"/>
      <c r="S22" s="87"/>
      <c r="T22" s="87"/>
      <c r="U22" s="87"/>
      <c r="V22" s="87"/>
      <c r="W22" s="87"/>
      <c r="X22" s="87"/>
      <c r="Y22" s="87"/>
      <c r="Z22" s="87"/>
    </row>
    <row r="23" spans="1:26" ht="65.25" customHeight="1">
      <c r="A23" s="85" t="s">
        <v>1575</v>
      </c>
      <c r="B23" s="86" t="s">
        <v>1561</v>
      </c>
      <c r="C23" s="86" t="str">
        <f t="shared" si="0"/>
        <v>LarynxSubsite</v>
      </c>
      <c r="D23" s="86" t="str">
        <f t="array" ref="D23">"CUS_"&amp;C23</f>
        <v>CUS_LarynxSubsite</v>
      </c>
      <c r="E23" s="86" t="s">
        <v>1575</v>
      </c>
      <c r="F23" s="86" t="s">
        <v>1576</v>
      </c>
      <c r="G23" s="86" t="s">
        <v>195</v>
      </c>
      <c r="H23" s="86" t="s">
        <v>211</v>
      </c>
      <c r="I23" s="86" t="s">
        <v>1563</v>
      </c>
      <c r="J23" s="99" t="s">
        <v>1577</v>
      </c>
      <c r="K23" s="86"/>
      <c r="L23" s="95" t="s">
        <v>1554</v>
      </c>
      <c r="M23" s="87"/>
      <c r="N23" s="87"/>
      <c r="O23" s="87"/>
      <c r="P23" s="87"/>
      <c r="Q23" s="87"/>
      <c r="R23" s="87"/>
      <c r="S23" s="87"/>
      <c r="T23" s="87"/>
      <c r="U23" s="87"/>
      <c r="V23" s="87"/>
      <c r="W23" s="87"/>
      <c r="X23" s="87"/>
      <c r="Y23" s="87"/>
      <c r="Z23" s="87"/>
    </row>
    <row r="24" spans="1:26" ht="65.25" customHeight="1">
      <c r="A24" s="85" t="s">
        <v>1578</v>
      </c>
      <c r="B24" s="86" t="s">
        <v>1561</v>
      </c>
      <c r="C24" s="86" t="str">
        <f t="shared" si="0"/>
        <v>OralCavitySubsite</v>
      </c>
      <c r="D24" s="86" t="str">
        <f t="array" ref="D24">"CUS_"&amp;C24</f>
        <v>CUS_OralCavitySubsite</v>
      </c>
      <c r="E24" s="86" t="s">
        <v>1578</v>
      </c>
      <c r="F24" s="86" t="s">
        <v>1579</v>
      </c>
      <c r="G24" s="86" t="s">
        <v>195</v>
      </c>
      <c r="H24" s="86" t="s">
        <v>211</v>
      </c>
      <c r="I24" s="86" t="s">
        <v>1563</v>
      </c>
      <c r="J24" s="100" t="s">
        <v>1580</v>
      </c>
      <c r="K24" s="86"/>
      <c r="L24" s="95" t="s">
        <v>1554</v>
      </c>
      <c r="M24" s="87"/>
      <c r="N24" s="87"/>
      <c r="O24" s="87"/>
      <c r="P24" s="87"/>
      <c r="Q24" s="87"/>
      <c r="R24" s="87"/>
      <c r="S24" s="87"/>
      <c r="T24" s="87"/>
      <c r="U24" s="87"/>
      <c r="V24" s="87"/>
      <c r="W24" s="87"/>
      <c r="X24" s="87"/>
      <c r="Y24" s="87"/>
      <c r="Z24" s="87"/>
    </row>
    <row r="25" spans="1:26" ht="65.25" customHeight="1">
      <c r="A25" s="85" t="s">
        <v>1581</v>
      </c>
      <c r="B25" s="86" t="s">
        <v>1561</v>
      </c>
      <c r="C25" s="86" t="str">
        <f t="shared" si="0"/>
        <v>LipSubsite</v>
      </c>
      <c r="D25" s="86" t="str">
        <f t="array" ref="D25">"CUS_"&amp;C25</f>
        <v>CUS_LipSubsite</v>
      </c>
      <c r="E25" s="86" t="s">
        <v>1581</v>
      </c>
      <c r="F25" s="86" t="s">
        <v>1582</v>
      </c>
      <c r="G25" s="86" t="s">
        <v>195</v>
      </c>
      <c r="H25" s="86" t="s">
        <v>211</v>
      </c>
      <c r="I25" s="86" t="s">
        <v>1563</v>
      </c>
      <c r="J25" s="100" t="s">
        <v>1583</v>
      </c>
      <c r="K25" s="86"/>
      <c r="L25" s="95" t="s">
        <v>1554</v>
      </c>
      <c r="M25" s="87"/>
      <c r="N25" s="87"/>
      <c r="O25" s="87"/>
      <c r="P25" s="87"/>
      <c r="Q25" s="87"/>
      <c r="R25" s="87"/>
      <c r="S25" s="87"/>
      <c r="T25" s="87"/>
      <c r="U25" s="87"/>
      <c r="V25" s="87"/>
      <c r="W25" s="87"/>
      <c r="X25" s="87"/>
      <c r="Y25" s="87"/>
      <c r="Z25" s="87"/>
    </row>
    <row r="26" spans="1:26" ht="65.25" customHeight="1">
      <c r="A26" s="85" t="s">
        <v>1584</v>
      </c>
      <c r="B26" s="86" t="s">
        <v>1494</v>
      </c>
      <c r="C26" s="86" t="str">
        <f t="shared" si="0"/>
        <v>PlasmaticEbvDnaAtBaseline</v>
      </c>
      <c r="D26" s="86" t="str">
        <f t="array" ref="D26">"CUS_"&amp;C26</f>
        <v>CUS_PlasmaticEbvDnaAtBaseline</v>
      </c>
      <c r="E26" s="86" t="s">
        <v>1584</v>
      </c>
      <c r="F26" s="86" t="s">
        <v>1585</v>
      </c>
      <c r="G26" s="86" t="s">
        <v>195</v>
      </c>
      <c r="H26" s="86" t="s">
        <v>211</v>
      </c>
      <c r="I26" s="86" t="s">
        <v>1586</v>
      </c>
      <c r="J26" s="86" t="s">
        <v>1587</v>
      </c>
      <c r="K26" s="86"/>
      <c r="L26" s="87"/>
      <c r="M26" s="87"/>
      <c r="N26" s="87"/>
      <c r="O26" s="87"/>
      <c r="P26" s="87"/>
      <c r="Q26" s="87"/>
      <c r="R26" s="87"/>
      <c r="S26" s="87"/>
      <c r="T26" s="87"/>
      <c r="U26" s="87"/>
      <c r="V26" s="87"/>
      <c r="W26" s="87"/>
      <c r="X26" s="87"/>
      <c r="Y26" s="87"/>
      <c r="Z26" s="87"/>
    </row>
    <row r="27" spans="1:26" ht="65.25" customHeight="1">
      <c r="A27" s="85" t="s">
        <v>1588</v>
      </c>
      <c r="B27" s="86" t="s">
        <v>1494</v>
      </c>
      <c r="C27" s="86" t="str">
        <f t="shared" si="0"/>
        <v>PrimerType</v>
      </c>
      <c r="D27" s="86" t="str">
        <f t="array" ref="D27">"CUS_"&amp;C27</f>
        <v>CUS_PrimerType</v>
      </c>
      <c r="E27" s="86" t="s">
        <v>1588</v>
      </c>
      <c r="F27" s="86" t="s">
        <v>1589</v>
      </c>
      <c r="G27" s="86" t="s">
        <v>195</v>
      </c>
      <c r="H27" s="86" t="s">
        <v>211</v>
      </c>
      <c r="I27" s="86" t="s">
        <v>1590</v>
      </c>
      <c r="J27" s="86" t="s">
        <v>1591</v>
      </c>
      <c r="K27" s="86"/>
      <c r="L27" s="87"/>
      <c r="M27" s="87"/>
      <c r="N27" s="87"/>
      <c r="O27" s="87"/>
      <c r="P27" s="87"/>
      <c r="Q27" s="87"/>
      <c r="R27" s="87"/>
      <c r="S27" s="87"/>
      <c r="T27" s="87"/>
      <c r="U27" s="87"/>
      <c r="V27" s="87"/>
      <c r="W27" s="87"/>
      <c r="X27" s="87"/>
      <c r="Y27" s="87"/>
      <c r="Z27" s="87"/>
    </row>
    <row r="28" spans="1:26" ht="65.25" customHeight="1">
      <c r="A28" s="101" t="s">
        <v>1592</v>
      </c>
      <c r="B28" s="102"/>
      <c r="C28" s="102" t="str">
        <f t="shared" si="0"/>
        <v>Other(PleaseSpecify)</v>
      </c>
      <c r="D28" s="102" t="str">
        <f t="array" ref="D28">"CUS_"&amp;C28</f>
        <v>CUS_Other(PleaseSpecify)</v>
      </c>
      <c r="E28" s="102"/>
      <c r="F28" s="102"/>
      <c r="G28" s="102"/>
      <c r="H28" s="102"/>
      <c r="I28" s="102"/>
      <c r="J28" s="102"/>
      <c r="K28" s="102"/>
      <c r="L28" s="103"/>
      <c r="M28" s="103"/>
      <c r="N28" s="103"/>
      <c r="O28" s="103"/>
      <c r="P28" s="103"/>
      <c r="Q28" s="103"/>
      <c r="R28" s="103"/>
      <c r="S28" s="103"/>
      <c r="T28" s="103"/>
      <c r="U28" s="103"/>
      <c r="V28" s="103"/>
      <c r="W28" s="103"/>
      <c r="X28" s="103"/>
      <c r="Y28" s="103"/>
      <c r="Z28" s="103"/>
    </row>
    <row r="29" spans="1:26" ht="65.25" customHeight="1">
      <c r="A29" s="85" t="s">
        <v>876</v>
      </c>
      <c r="B29" s="86" t="s">
        <v>1494</v>
      </c>
      <c r="C29" s="86" t="str">
        <f t="shared" si="0"/>
        <v>CopyNumber</v>
      </c>
      <c r="D29" s="86" t="str">
        <f t="array" ref="D29">"CUS_"&amp;C29</f>
        <v>CUS_CopyNumber</v>
      </c>
      <c r="E29" s="86" t="s">
        <v>876</v>
      </c>
      <c r="F29" s="86" t="s">
        <v>1593</v>
      </c>
      <c r="G29" s="86" t="s">
        <v>354</v>
      </c>
      <c r="H29" s="86" t="s">
        <v>211</v>
      </c>
      <c r="I29" s="86" t="s">
        <v>1594</v>
      </c>
      <c r="J29" s="86" t="s">
        <v>354</v>
      </c>
      <c r="K29" s="86"/>
      <c r="L29" s="87"/>
      <c r="M29" s="87"/>
      <c r="N29" s="87"/>
      <c r="O29" s="87"/>
      <c r="P29" s="87"/>
      <c r="Q29" s="87"/>
      <c r="R29" s="87"/>
      <c r="S29" s="87"/>
      <c r="T29" s="87"/>
      <c r="U29" s="87"/>
      <c r="V29" s="87"/>
      <c r="W29" s="87"/>
      <c r="X29" s="87"/>
      <c r="Y29" s="87"/>
      <c r="Z29" s="87"/>
    </row>
    <row r="30" spans="1:26" ht="65.25" customHeight="1">
      <c r="A30" s="85" t="s">
        <v>1595</v>
      </c>
      <c r="B30" s="86" t="s">
        <v>1494</v>
      </c>
      <c r="C30" s="86" t="str">
        <f t="shared" si="0"/>
        <v>HpvStatus</v>
      </c>
      <c r="D30" s="86" t="str">
        <f t="array" ref="D30">"CUS_"&amp;C30</f>
        <v>CUS_HpvStatus</v>
      </c>
      <c r="E30" s="86" t="s">
        <v>1595</v>
      </c>
      <c r="F30" s="86" t="s">
        <v>1596</v>
      </c>
      <c r="G30" s="86" t="s">
        <v>195</v>
      </c>
      <c r="H30" s="86" t="s">
        <v>211</v>
      </c>
      <c r="I30" s="86" t="s">
        <v>1597</v>
      </c>
      <c r="J30" s="86" t="s">
        <v>1598</v>
      </c>
      <c r="K30" s="86"/>
      <c r="L30" s="87"/>
      <c r="M30" s="87"/>
      <c r="N30" s="87"/>
      <c r="O30" s="87"/>
      <c r="P30" s="87"/>
      <c r="Q30" s="87"/>
      <c r="R30" s="87"/>
      <c r="S30" s="87"/>
      <c r="T30" s="87"/>
      <c r="U30" s="87"/>
      <c r="V30" s="87"/>
      <c r="W30" s="87"/>
      <c r="X30" s="87"/>
      <c r="Y30" s="87"/>
      <c r="Z30" s="87"/>
    </row>
    <row r="31" spans="1:26" ht="65.25" customHeight="1">
      <c r="A31" s="85" t="s">
        <v>1599</v>
      </c>
      <c r="B31" s="86" t="s">
        <v>1494</v>
      </c>
      <c r="C31" s="86" t="str">
        <f t="shared" si="0"/>
        <v>HpvStatusDetectedBy</v>
      </c>
      <c r="D31" s="86" t="str">
        <f t="array" ref="D31">"CUS_"&amp;C31</f>
        <v>CUS_HpvStatusDetectedBy</v>
      </c>
      <c r="E31" s="86" t="s">
        <v>1600</v>
      </c>
      <c r="F31" s="86" t="s">
        <v>1601</v>
      </c>
      <c r="G31" s="86" t="s">
        <v>195</v>
      </c>
      <c r="H31" s="86" t="s">
        <v>211</v>
      </c>
      <c r="I31" s="86" t="s">
        <v>1602</v>
      </c>
      <c r="J31" s="86" t="s">
        <v>1603</v>
      </c>
      <c r="K31" s="86"/>
      <c r="L31" s="87"/>
      <c r="M31" s="87"/>
      <c r="N31" s="87"/>
      <c r="O31" s="87"/>
      <c r="P31" s="87"/>
      <c r="Q31" s="87"/>
      <c r="R31" s="87"/>
      <c r="S31" s="87"/>
      <c r="T31" s="87"/>
      <c r="U31" s="87"/>
      <c r="V31" s="87"/>
      <c r="W31" s="87"/>
      <c r="X31" s="87"/>
      <c r="Y31" s="87"/>
      <c r="Z31" s="87"/>
    </row>
    <row r="32" spans="1:26" ht="65.25" customHeight="1">
      <c r="A32" s="85" t="s">
        <v>1604</v>
      </c>
      <c r="B32" s="86" t="s">
        <v>1494</v>
      </c>
      <c r="C32" s="86" t="str">
        <f t="shared" si="0"/>
        <v>P16</v>
      </c>
      <c r="D32" s="86" t="str">
        <f t="array" ref="D32">"CUS_"&amp;C32</f>
        <v>CUS_P16</v>
      </c>
      <c r="E32" s="86" t="s">
        <v>1604</v>
      </c>
      <c r="F32" s="86" t="s">
        <v>1605</v>
      </c>
      <c r="G32" s="86" t="s">
        <v>195</v>
      </c>
      <c r="H32" s="86" t="s">
        <v>211</v>
      </c>
      <c r="I32" s="86" t="s">
        <v>1597</v>
      </c>
      <c r="J32" s="86" t="s">
        <v>1606</v>
      </c>
      <c r="K32" s="86"/>
      <c r="L32" s="87"/>
      <c r="M32" s="87"/>
      <c r="N32" s="87"/>
      <c r="O32" s="87"/>
      <c r="P32" s="87"/>
      <c r="Q32" s="87"/>
      <c r="R32" s="87"/>
      <c r="S32" s="87"/>
      <c r="T32" s="87"/>
      <c r="U32" s="87"/>
      <c r="V32" s="87"/>
      <c r="W32" s="87"/>
      <c r="X32" s="87"/>
      <c r="Y32" s="87"/>
      <c r="Z32" s="87"/>
    </row>
    <row r="33" spans="1:26" ht="65.25" customHeight="1">
      <c r="A33" s="85" t="s">
        <v>1607</v>
      </c>
      <c r="B33" s="86" t="s">
        <v>1494</v>
      </c>
      <c r="C33" s="86" t="str">
        <f t="shared" si="0"/>
        <v>Pd-L1</v>
      </c>
      <c r="D33" s="86" t="str">
        <f t="array" ref="D33">"CUS_"&amp;C33</f>
        <v>CUS_Pd-L1</v>
      </c>
      <c r="E33" s="86" t="s">
        <v>1607</v>
      </c>
      <c r="F33" s="86" t="s">
        <v>1608</v>
      </c>
      <c r="G33" s="86" t="s">
        <v>195</v>
      </c>
      <c r="H33" s="86" t="s">
        <v>211</v>
      </c>
      <c r="I33" s="86" t="s">
        <v>1597</v>
      </c>
      <c r="J33" s="86" t="s">
        <v>1609</v>
      </c>
      <c r="K33" s="86"/>
      <c r="L33" s="87"/>
      <c r="M33" s="87"/>
      <c r="N33" s="87"/>
      <c r="O33" s="87"/>
      <c r="P33" s="87"/>
      <c r="Q33" s="87"/>
      <c r="R33" s="87"/>
      <c r="S33" s="87"/>
      <c r="T33" s="87"/>
      <c r="U33" s="87"/>
      <c r="V33" s="87"/>
      <c r="W33" s="87"/>
      <c r="X33" s="87"/>
      <c r="Y33" s="87"/>
      <c r="Z33" s="87"/>
    </row>
    <row r="34" spans="1:26" ht="65.25" customHeight="1">
      <c r="A34" s="85" t="s">
        <v>1610</v>
      </c>
      <c r="B34" s="86" t="s">
        <v>1494</v>
      </c>
      <c r="C34" s="86" t="str">
        <f t="shared" si="0"/>
        <v>Pd-L1Method</v>
      </c>
      <c r="D34" s="86" t="str">
        <f t="array" ref="D34">"CUS_"&amp;C34</f>
        <v>CUS_Pd-L1Method</v>
      </c>
      <c r="E34" s="86" t="s">
        <v>1610</v>
      </c>
      <c r="F34" s="86" t="s">
        <v>1611</v>
      </c>
      <c r="G34" s="86" t="s">
        <v>195</v>
      </c>
      <c r="H34" s="86" t="s">
        <v>211</v>
      </c>
      <c r="I34" s="86" t="s">
        <v>1602</v>
      </c>
      <c r="J34" s="86" t="s">
        <v>1612</v>
      </c>
      <c r="K34" s="86"/>
      <c r="L34" s="87"/>
      <c r="M34" s="87"/>
      <c r="N34" s="87"/>
      <c r="O34" s="87"/>
      <c r="P34" s="87"/>
      <c r="Q34" s="87"/>
      <c r="R34" s="87"/>
      <c r="S34" s="87"/>
      <c r="T34" s="87"/>
      <c r="U34" s="87"/>
      <c r="V34" s="87"/>
      <c r="W34" s="87"/>
      <c r="X34" s="87"/>
      <c r="Y34" s="87"/>
      <c r="Z34" s="87"/>
    </row>
    <row r="35" spans="1:26" ht="65.25" customHeight="1">
      <c r="A35" s="85" t="s">
        <v>1613</v>
      </c>
      <c r="B35" s="86" t="s">
        <v>1494</v>
      </c>
      <c r="C35" s="86" t="str">
        <f t="shared" si="0"/>
        <v>Pd-L1CpsValue</v>
      </c>
      <c r="D35" s="86" t="str">
        <f t="array" ref="D35">"CUS_"&amp;C35</f>
        <v>CUS_Pd-L1CpsValue</v>
      </c>
      <c r="E35" s="86" t="s">
        <v>1614</v>
      </c>
      <c r="F35" s="86" t="s">
        <v>1615</v>
      </c>
      <c r="G35" s="86" t="s">
        <v>354</v>
      </c>
      <c r="H35" s="86" t="s">
        <v>211</v>
      </c>
      <c r="I35" s="86" t="s">
        <v>1616</v>
      </c>
      <c r="J35" s="86" t="s">
        <v>81</v>
      </c>
      <c r="K35" s="86"/>
      <c r="L35" s="87"/>
      <c r="M35" s="87"/>
      <c r="N35" s="87"/>
      <c r="O35" s="87"/>
      <c r="P35" s="87"/>
      <c r="Q35" s="87"/>
      <c r="R35" s="87"/>
      <c r="S35" s="87"/>
      <c r="T35" s="87"/>
      <c r="U35" s="87"/>
      <c r="V35" s="87"/>
      <c r="W35" s="87"/>
      <c r="X35" s="87"/>
      <c r="Y35" s="87"/>
      <c r="Z35" s="87"/>
    </row>
    <row r="36" spans="1:26" ht="65.25" customHeight="1">
      <c r="A36" s="85" t="s">
        <v>1617</v>
      </c>
      <c r="B36" s="86" t="s">
        <v>1494</v>
      </c>
      <c r="C36" s="86" t="str">
        <f t="shared" si="0"/>
        <v>Pd-L1TpsValue</v>
      </c>
      <c r="D36" s="86" t="str">
        <f t="array" ref="D36">"CUS_"&amp;C36</f>
        <v>CUS_Pd-L1TpsValue</v>
      </c>
      <c r="E36" s="86" t="s">
        <v>1618</v>
      </c>
      <c r="F36" s="86" t="s">
        <v>1619</v>
      </c>
      <c r="G36" s="86" t="s">
        <v>354</v>
      </c>
      <c r="H36" s="86" t="s">
        <v>211</v>
      </c>
      <c r="I36" s="86" t="s">
        <v>1620</v>
      </c>
      <c r="J36" s="86" t="s">
        <v>81</v>
      </c>
      <c r="K36" s="86"/>
      <c r="L36" s="87"/>
      <c r="M36" s="87"/>
      <c r="N36" s="87"/>
      <c r="O36" s="87"/>
      <c r="P36" s="87"/>
      <c r="Q36" s="87"/>
      <c r="R36" s="87"/>
      <c r="S36" s="87"/>
      <c r="T36" s="87"/>
      <c r="U36" s="87"/>
      <c r="V36" s="87"/>
      <c r="W36" s="87"/>
      <c r="X36" s="87"/>
      <c r="Y36" s="87"/>
      <c r="Z36" s="87"/>
    </row>
    <row r="37" spans="1:26" ht="65.25" customHeight="1">
      <c r="A37" s="85" t="s">
        <v>1621</v>
      </c>
      <c r="B37" s="86"/>
      <c r="C37" s="86" t="str">
        <f t="shared" si="0"/>
        <v>Crp–CReactiveProteinTested</v>
      </c>
      <c r="D37" s="86" t="str">
        <f t="array" ref="D37">"CUS_"&amp;C37</f>
        <v>CUS_Crp–CReactiveProteinTested</v>
      </c>
      <c r="E37" s="86" t="s">
        <v>1621</v>
      </c>
      <c r="F37" s="86" t="s">
        <v>1622</v>
      </c>
      <c r="G37" s="86" t="s">
        <v>195</v>
      </c>
      <c r="H37" s="86" t="s">
        <v>211</v>
      </c>
      <c r="I37" s="86" t="s">
        <v>1597</v>
      </c>
      <c r="J37" s="86" t="s">
        <v>1606</v>
      </c>
      <c r="K37" s="86"/>
      <c r="L37" s="87"/>
      <c r="M37" s="87"/>
      <c r="N37" s="87"/>
      <c r="O37" s="87"/>
      <c r="P37" s="87"/>
      <c r="Q37" s="87"/>
      <c r="R37" s="87"/>
      <c r="S37" s="87"/>
      <c r="T37" s="87"/>
      <c r="U37" s="87"/>
      <c r="V37" s="87"/>
      <c r="W37" s="87"/>
      <c r="X37" s="87"/>
      <c r="Y37" s="87"/>
      <c r="Z37" s="87"/>
    </row>
    <row r="38" spans="1:26" ht="65.25" customHeight="1">
      <c r="A38" s="85" t="s">
        <v>1623</v>
      </c>
      <c r="B38" s="86"/>
      <c r="C38" s="86" t="str">
        <f t="shared" si="0"/>
        <v>CReactiveProtein-Crp(Mg/Dl)</v>
      </c>
      <c r="D38" s="86" t="str">
        <f t="array" ref="D38">"CUS_"&amp;C38</f>
        <v>CUS_CReactiveProtein-Crp(Mg/Dl)</v>
      </c>
      <c r="E38" s="86" t="s">
        <v>1623</v>
      </c>
      <c r="F38" s="86" t="s">
        <v>1624</v>
      </c>
      <c r="G38" s="86" t="s">
        <v>195</v>
      </c>
      <c r="H38" s="86" t="s">
        <v>211</v>
      </c>
      <c r="I38" s="86" t="s">
        <v>1625</v>
      </c>
      <c r="J38" s="86" t="s">
        <v>81</v>
      </c>
      <c r="K38" s="86"/>
      <c r="L38" s="87"/>
      <c r="M38" s="87"/>
      <c r="N38" s="87"/>
      <c r="O38" s="87"/>
      <c r="P38" s="87"/>
      <c r="Q38" s="87"/>
      <c r="R38" s="87"/>
      <c r="S38" s="87"/>
      <c r="T38" s="87"/>
      <c r="U38" s="87"/>
      <c r="V38" s="87"/>
      <c r="W38" s="87"/>
      <c r="X38" s="87"/>
      <c r="Y38" s="87"/>
      <c r="Z38" s="87"/>
    </row>
    <row r="39" spans="1:26" ht="65.25" customHeight="1">
      <c r="A39" s="85" t="s">
        <v>1626</v>
      </c>
      <c r="B39" s="86"/>
      <c r="C39" s="86" t="str">
        <f t="shared" si="0"/>
        <v>InstrumentStatus</v>
      </c>
      <c r="D39" s="86" t="str">
        <f t="array" ref="D39">"CUS_"&amp;C39</f>
        <v>CUS_InstrumentStatus</v>
      </c>
      <c r="E39" s="86" t="s">
        <v>1626</v>
      </c>
      <c r="F39" s="86" t="s">
        <v>153</v>
      </c>
      <c r="G39" s="86" t="s">
        <v>1627</v>
      </c>
      <c r="H39" s="86" t="s">
        <v>211</v>
      </c>
      <c r="I39" s="86" t="s">
        <v>1628</v>
      </c>
      <c r="J39" s="86" t="s">
        <v>152</v>
      </c>
      <c r="K39" s="86"/>
      <c r="L39" s="87"/>
      <c r="M39" s="87"/>
      <c r="N39" s="87"/>
      <c r="O39" s="87"/>
      <c r="P39" s="87"/>
      <c r="Q39" s="87"/>
      <c r="R39" s="87"/>
      <c r="S39" s="87"/>
      <c r="T39" s="87"/>
      <c r="U39" s="87"/>
      <c r="V39" s="87"/>
      <c r="W39" s="87"/>
      <c r="X39" s="87"/>
      <c r="Y39" s="87"/>
      <c r="Z39" s="87"/>
    </row>
    <row r="40" spans="1:26" ht="13.5">
      <c r="A40" s="80"/>
    </row>
    <row r="41" spans="1:26" ht="13.5">
      <c r="A41" s="80"/>
    </row>
    <row r="42" spans="1:26" ht="13.5">
      <c r="A42" s="80"/>
    </row>
    <row r="43" spans="1:26" ht="13.5">
      <c r="A43" s="80"/>
    </row>
    <row r="44" spans="1:26" ht="13.5">
      <c r="A44" s="80"/>
    </row>
    <row r="45" spans="1:26" ht="13.5">
      <c r="A45" s="80"/>
    </row>
    <row r="46" spans="1:26" ht="13.5">
      <c r="A46" s="80"/>
    </row>
    <row r="47" spans="1:26" ht="13.5">
      <c r="A47" s="80"/>
    </row>
    <row r="48" spans="1:26" ht="13.5">
      <c r="A48" s="80"/>
    </row>
    <row r="49" spans="1:1" ht="13.5">
      <c r="A49" s="80"/>
    </row>
    <row r="50" spans="1:1" ht="13.5">
      <c r="A50" s="80"/>
    </row>
    <row r="51" spans="1:1" ht="13.5">
      <c r="A51" s="80"/>
    </row>
    <row r="52" spans="1:1" ht="13.5">
      <c r="A52" s="80"/>
    </row>
    <row r="53" spans="1:1" ht="13.5">
      <c r="A53" s="80"/>
    </row>
    <row r="54" spans="1:1" ht="13.5">
      <c r="A54" s="80"/>
    </row>
    <row r="55" spans="1:1" ht="13.5">
      <c r="A55" s="80"/>
    </row>
    <row r="56" spans="1:1" ht="13.5">
      <c r="A56" s="80"/>
    </row>
    <row r="57" spans="1:1" ht="13.5">
      <c r="A57" s="80"/>
    </row>
    <row r="58" spans="1:1" ht="13.5">
      <c r="A58" s="80"/>
    </row>
    <row r="59" spans="1:1" ht="13.5">
      <c r="A59" s="80"/>
    </row>
    <row r="60" spans="1:1" ht="13.5">
      <c r="A60" s="80"/>
    </row>
    <row r="61" spans="1:1" ht="13.5">
      <c r="A61" s="80"/>
    </row>
    <row r="62" spans="1:1" ht="13.5">
      <c r="A62" s="80"/>
    </row>
    <row r="63" spans="1:1" ht="13.5">
      <c r="A63" s="80"/>
    </row>
    <row r="64" spans="1:1" ht="13.5">
      <c r="A64" s="80"/>
    </row>
    <row r="65" spans="1:1" ht="13.5">
      <c r="A65" s="80"/>
    </row>
    <row r="66" spans="1:1" ht="13.5">
      <c r="A66" s="80"/>
    </row>
    <row r="67" spans="1:1" ht="13.5">
      <c r="A67" s="80"/>
    </row>
    <row r="68" spans="1:1" ht="13.5">
      <c r="A68" s="80"/>
    </row>
    <row r="69" spans="1:1" ht="13.5">
      <c r="A69" s="80"/>
    </row>
    <row r="70" spans="1:1" ht="13.5">
      <c r="A70" s="80"/>
    </row>
    <row r="71" spans="1:1" ht="13.5">
      <c r="A71" s="80"/>
    </row>
    <row r="72" spans="1:1" ht="13.5">
      <c r="A72" s="80"/>
    </row>
    <row r="73" spans="1:1" ht="13.5">
      <c r="A73" s="80"/>
    </row>
    <row r="74" spans="1:1" ht="13.5">
      <c r="A74" s="80"/>
    </row>
    <row r="75" spans="1:1" ht="13.5">
      <c r="A75" s="80"/>
    </row>
    <row r="76" spans="1:1" ht="13.5">
      <c r="A76" s="80"/>
    </row>
    <row r="77" spans="1:1" ht="13.5">
      <c r="A77" s="80"/>
    </row>
    <row r="78" spans="1:1" ht="13.5">
      <c r="A78" s="80"/>
    </row>
    <row r="79" spans="1:1" ht="13.5">
      <c r="A79" s="80"/>
    </row>
    <row r="80" spans="1:1" ht="13.5">
      <c r="A80" s="80"/>
    </row>
    <row r="81" spans="1:1" ht="13.5">
      <c r="A81" s="80"/>
    </row>
    <row r="82" spans="1:1" ht="13.5">
      <c r="A82" s="80"/>
    </row>
    <row r="83" spans="1:1" ht="13.5">
      <c r="A83" s="80"/>
    </row>
    <row r="84" spans="1:1" ht="13.5">
      <c r="A84" s="80"/>
    </row>
    <row r="85" spans="1:1" ht="13.5">
      <c r="A85" s="80"/>
    </row>
    <row r="86" spans="1:1" ht="13.5">
      <c r="A86" s="80"/>
    </row>
    <row r="87" spans="1:1" ht="13.5">
      <c r="A87" s="80"/>
    </row>
    <row r="88" spans="1:1" ht="13.5">
      <c r="A88" s="80"/>
    </row>
    <row r="89" spans="1:1" ht="13.5">
      <c r="A89" s="80"/>
    </row>
    <row r="90" spans="1:1" ht="13.5">
      <c r="A90" s="80"/>
    </row>
    <row r="91" spans="1:1" ht="13.5">
      <c r="A91" s="80"/>
    </row>
    <row r="92" spans="1:1" ht="13.5">
      <c r="A92" s="80"/>
    </row>
    <row r="93" spans="1:1" ht="13.5">
      <c r="A93" s="80"/>
    </row>
    <row r="94" spans="1:1" ht="13.5">
      <c r="A94" s="80"/>
    </row>
    <row r="95" spans="1:1" ht="13.5">
      <c r="A95" s="80"/>
    </row>
    <row r="96" spans="1:1" ht="13.5">
      <c r="A96" s="80"/>
    </row>
    <row r="97" spans="1:1" ht="13.5">
      <c r="A97" s="80"/>
    </row>
    <row r="98" spans="1:1" ht="13.5">
      <c r="A98" s="80"/>
    </row>
    <row r="99" spans="1:1" ht="13.5">
      <c r="A99" s="80"/>
    </row>
    <row r="100" spans="1:1" ht="13.5">
      <c r="A100" s="80"/>
    </row>
    <row r="101" spans="1:1" ht="13.5">
      <c r="A101" s="80"/>
    </row>
    <row r="102" spans="1:1" ht="13.5">
      <c r="A102" s="80"/>
    </row>
    <row r="103" spans="1:1" ht="13.5">
      <c r="A103" s="80"/>
    </row>
    <row r="104" spans="1:1" ht="13.5">
      <c r="A104" s="80"/>
    </row>
    <row r="105" spans="1:1" ht="13.5">
      <c r="A105" s="80"/>
    </row>
    <row r="106" spans="1:1" ht="13.5">
      <c r="A106" s="80"/>
    </row>
    <row r="107" spans="1:1" ht="13.5">
      <c r="A107" s="80"/>
    </row>
    <row r="108" spans="1:1" ht="13.5">
      <c r="A108" s="80"/>
    </row>
    <row r="109" spans="1:1" ht="13.5">
      <c r="A109" s="80"/>
    </row>
    <row r="110" spans="1:1" ht="13.5">
      <c r="A110" s="80"/>
    </row>
    <row r="111" spans="1:1" ht="13.5">
      <c r="A111" s="80"/>
    </row>
    <row r="112" spans="1:1" ht="13.5">
      <c r="A112" s="80"/>
    </row>
    <row r="113" spans="1:1" ht="13.5">
      <c r="A113" s="80"/>
    </row>
    <row r="114" spans="1:1" ht="13.5">
      <c r="A114" s="80"/>
    </row>
    <row r="115" spans="1:1" ht="13.5">
      <c r="A115" s="80"/>
    </row>
    <row r="116" spans="1:1" ht="13.5">
      <c r="A116" s="80"/>
    </row>
    <row r="117" spans="1:1" ht="13.5">
      <c r="A117" s="80"/>
    </row>
    <row r="118" spans="1:1" ht="13.5">
      <c r="A118" s="80"/>
    </row>
    <row r="119" spans="1:1" ht="13.5">
      <c r="A119" s="80"/>
    </row>
    <row r="120" spans="1:1" ht="13.5">
      <c r="A120" s="80"/>
    </row>
    <row r="121" spans="1:1" ht="13.5">
      <c r="A121" s="80"/>
    </row>
    <row r="122" spans="1:1" ht="13.5">
      <c r="A122" s="80"/>
    </row>
    <row r="123" spans="1:1" ht="13.5">
      <c r="A123" s="80"/>
    </row>
    <row r="124" spans="1:1" ht="13.5">
      <c r="A124" s="80"/>
    </row>
    <row r="125" spans="1:1" ht="13.5">
      <c r="A125" s="80"/>
    </row>
    <row r="126" spans="1:1" ht="13.5">
      <c r="A126" s="80"/>
    </row>
    <row r="127" spans="1:1" ht="13.5">
      <c r="A127" s="80"/>
    </row>
    <row r="128" spans="1:1" ht="13.5">
      <c r="A128" s="80"/>
    </row>
    <row r="129" spans="1:1" ht="13.5">
      <c r="A129" s="80"/>
    </row>
    <row r="130" spans="1:1" ht="13.5">
      <c r="A130" s="80"/>
    </row>
    <row r="131" spans="1:1" ht="13.5">
      <c r="A131" s="80"/>
    </row>
    <row r="132" spans="1:1" ht="13.5">
      <c r="A132" s="80"/>
    </row>
    <row r="133" spans="1:1" ht="13.5">
      <c r="A133" s="80"/>
    </row>
    <row r="134" spans="1:1" ht="13.5">
      <c r="A134" s="80"/>
    </row>
    <row r="135" spans="1:1" ht="13.5">
      <c r="A135" s="80"/>
    </row>
    <row r="136" spans="1:1" ht="13.5">
      <c r="A136" s="80"/>
    </row>
    <row r="137" spans="1:1" ht="13.5">
      <c r="A137" s="80"/>
    </row>
    <row r="138" spans="1:1" ht="13.5">
      <c r="A138" s="80"/>
    </row>
    <row r="139" spans="1:1" ht="13.5">
      <c r="A139" s="80"/>
    </row>
    <row r="140" spans="1:1" ht="13.5">
      <c r="A140" s="80"/>
    </row>
    <row r="141" spans="1:1" ht="13.5">
      <c r="A141" s="80"/>
    </row>
    <row r="142" spans="1:1" ht="13.5">
      <c r="A142" s="80"/>
    </row>
    <row r="143" spans="1:1" ht="13.5">
      <c r="A143" s="80"/>
    </row>
    <row r="144" spans="1:1" ht="13.5">
      <c r="A144" s="80"/>
    </row>
    <row r="145" spans="1:1" ht="13.5">
      <c r="A145" s="80"/>
    </row>
    <row r="146" spans="1:1" ht="13.5">
      <c r="A146" s="80"/>
    </row>
    <row r="147" spans="1:1" ht="13.5">
      <c r="A147" s="80"/>
    </row>
    <row r="148" spans="1:1" ht="13.5">
      <c r="A148" s="80"/>
    </row>
    <row r="149" spans="1:1" ht="13.5">
      <c r="A149" s="80"/>
    </row>
    <row r="150" spans="1:1" ht="13.5">
      <c r="A150" s="80"/>
    </row>
    <row r="151" spans="1:1" ht="13.5">
      <c r="A151" s="80"/>
    </row>
    <row r="152" spans="1:1" ht="13.5">
      <c r="A152" s="80"/>
    </row>
    <row r="153" spans="1:1" ht="13.5">
      <c r="A153" s="80"/>
    </row>
    <row r="154" spans="1:1" ht="13.5">
      <c r="A154" s="80"/>
    </row>
    <row r="155" spans="1:1" ht="13.5">
      <c r="A155" s="80"/>
    </row>
    <row r="156" spans="1:1" ht="13.5">
      <c r="A156" s="80"/>
    </row>
    <row r="157" spans="1:1" ht="13.5">
      <c r="A157" s="80"/>
    </row>
    <row r="158" spans="1:1" ht="13.5">
      <c r="A158" s="80"/>
    </row>
    <row r="159" spans="1:1" ht="13.5">
      <c r="A159" s="80"/>
    </row>
    <row r="160" spans="1:1" ht="13.5">
      <c r="A160" s="80"/>
    </row>
    <row r="161" spans="1:1" ht="13.5">
      <c r="A161" s="80"/>
    </row>
    <row r="162" spans="1:1" ht="13.5">
      <c r="A162" s="80"/>
    </row>
    <row r="163" spans="1:1" ht="13.5">
      <c r="A163" s="80"/>
    </row>
    <row r="164" spans="1:1" ht="13.5">
      <c r="A164" s="80"/>
    </row>
    <row r="165" spans="1:1" ht="13.5">
      <c r="A165" s="80"/>
    </row>
    <row r="166" spans="1:1" ht="13.5">
      <c r="A166" s="80"/>
    </row>
    <row r="167" spans="1:1" ht="13.5">
      <c r="A167" s="80"/>
    </row>
    <row r="168" spans="1:1" ht="13.5">
      <c r="A168" s="80"/>
    </row>
    <row r="169" spans="1:1" ht="13.5">
      <c r="A169" s="80"/>
    </row>
    <row r="170" spans="1:1" ht="13.5">
      <c r="A170" s="80"/>
    </row>
    <row r="171" spans="1:1" ht="13.5">
      <c r="A171" s="80"/>
    </row>
    <row r="172" spans="1:1" ht="13.5">
      <c r="A172" s="80"/>
    </row>
    <row r="173" spans="1:1" ht="13.5">
      <c r="A173" s="80"/>
    </row>
    <row r="174" spans="1:1" ht="13.5">
      <c r="A174" s="80"/>
    </row>
    <row r="175" spans="1:1" ht="13.5">
      <c r="A175" s="80"/>
    </row>
    <row r="176" spans="1:1" ht="13.5">
      <c r="A176" s="80"/>
    </row>
    <row r="177" spans="1:1" ht="13.5">
      <c r="A177" s="80"/>
    </row>
    <row r="178" spans="1:1" ht="13.5">
      <c r="A178" s="80"/>
    </row>
    <row r="179" spans="1:1" ht="13.5">
      <c r="A179" s="80"/>
    </row>
    <row r="180" spans="1:1" ht="13.5">
      <c r="A180" s="80"/>
    </row>
    <row r="181" spans="1:1" ht="13.5">
      <c r="A181" s="80"/>
    </row>
    <row r="182" spans="1:1" ht="13.5">
      <c r="A182" s="80"/>
    </row>
    <row r="183" spans="1:1" ht="13.5">
      <c r="A183" s="80"/>
    </row>
    <row r="184" spans="1:1" ht="13.5">
      <c r="A184" s="80"/>
    </row>
    <row r="185" spans="1:1" ht="13.5">
      <c r="A185" s="80"/>
    </row>
    <row r="186" spans="1:1" ht="13.5">
      <c r="A186" s="80"/>
    </row>
    <row r="187" spans="1:1" ht="13.5">
      <c r="A187" s="80"/>
    </row>
    <row r="188" spans="1:1" ht="13.5">
      <c r="A188" s="80"/>
    </row>
    <row r="189" spans="1:1" ht="13.5">
      <c r="A189" s="80"/>
    </row>
    <row r="190" spans="1:1" ht="13.5">
      <c r="A190" s="80"/>
    </row>
    <row r="191" spans="1:1" ht="13.5">
      <c r="A191" s="80"/>
    </row>
    <row r="192" spans="1:1" ht="13.5">
      <c r="A192" s="80"/>
    </row>
    <row r="193" spans="1:1" ht="13.5">
      <c r="A193" s="80"/>
    </row>
    <row r="194" spans="1:1" ht="13.5">
      <c r="A194" s="80"/>
    </row>
    <row r="195" spans="1:1" ht="13.5">
      <c r="A195" s="80"/>
    </row>
    <row r="196" spans="1:1" ht="13.5">
      <c r="A196" s="80"/>
    </row>
    <row r="197" spans="1:1" ht="13.5">
      <c r="A197" s="80"/>
    </row>
    <row r="198" spans="1:1" ht="13.5">
      <c r="A198" s="80"/>
    </row>
    <row r="199" spans="1:1" ht="13.5">
      <c r="A199" s="80"/>
    </row>
    <row r="200" spans="1:1" ht="13.5">
      <c r="A200" s="80"/>
    </row>
    <row r="201" spans="1:1" ht="13.5">
      <c r="A201" s="80"/>
    </row>
    <row r="202" spans="1:1" ht="13.5">
      <c r="A202" s="80"/>
    </row>
    <row r="203" spans="1:1" ht="13.5">
      <c r="A203" s="80"/>
    </row>
    <row r="204" spans="1:1" ht="13.5">
      <c r="A204" s="80"/>
    </row>
    <row r="205" spans="1:1" ht="13.5">
      <c r="A205" s="80"/>
    </row>
    <row r="206" spans="1:1" ht="13.5">
      <c r="A206" s="80"/>
    </row>
    <row r="207" spans="1:1" ht="13.5">
      <c r="A207" s="80"/>
    </row>
    <row r="208" spans="1:1" ht="13.5">
      <c r="A208" s="80"/>
    </row>
    <row r="209" spans="1:1" ht="13.5">
      <c r="A209" s="80"/>
    </row>
    <row r="210" spans="1:1" ht="13.5">
      <c r="A210" s="80"/>
    </row>
    <row r="211" spans="1:1" ht="13.5">
      <c r="A211" s="80"/>
    </row>
    <row r="212" spans="1:1" ht="13.5">
      <c r="A212" s="80"/>
    </row>
    <row r="213" spans="1:1" ht="13.5">
      <c r="A213" s="80"/>
    </row>
    <row r="214" spans="1:1" ht="13.5">
      <c r="A214" s="80"/>
    </row>
    <row r="215" spans="1:1" ht="13.5">
      <c r="A215" s="80"/>
    </row>
    <row r="216" spans="1:1" ht="13.5">
      <c r="A216" s="80"/>
    </row>
    <row r="217" spans="1:1" ht="13.5">
      <c r="A217" s="80"/>
    </row>
    <row r="218" spans="1:1" ht="13.5">
      <c r="A218" s="80"/>
    </row>
    <row r="219" spans="1:1" ht="13.5">
      <c r="A219" s="80"/>
    </row>
    <row r="220" spans="1:1" ht="13.5">
      <c r="A220" s="80"/>
    </row>
    <row r="221" spans="1:1" ht="13.5">
      <c r="A221" s="80"/>
    </row>
    <row r="222" spans="1:1" ht="13.5">
      <c r="A222" s="80"/>
    </row>
    <row r="223" spans="1:1" ht="13.5">
      <c r="A223" s="80"/>
    </row>
    <row r="224" spans="1:1" ht="13.5">
      <c r="A224" s="80"/>
    </row>
    <row r="225" spans="1:1" ht="13.5">
      <c r="A225" s="80"/>
    </row>
    <row r="226" spans="1:1" ht="13.5">
      <c r="A226" s="80"/>
    </row>
    <row r="227" spans="1:1" ht="13.5">
      <c r="A227" s="80"/>
    </row>
    <row r="228" spans="1:1" ht="13.5">
      <c r="A228" s="80"/>
    </row>
    <row r="229" spans="1:1" ht="13.5">
      <c r="A229" s="80"/>
    </row>
    <row r="230" spans="1:1" ht="13.5">
      <c r="A230" s="80"/>
    </row>
    <row r="231" spans="1:1" ht="13.5">
      <c r="A231" s="80"/>
    </row>
    <row r="232" spans="1:1" ht="13.5">
      <c r="A232" s="80"/>
    </row>
    <row r="233" spans="1:1" ht="13.5">
      <c r="A233" s="80"/>
    </row>
    <row r="234" spans="1:1" ht="13.5">
      <c r="A234" s="80"/>
    </row>
    <row r="235" spans="1:1" ht="13.5">
      <c r="A235" s="80"/>
    </row>
    <row r="236" spans="1:1" ht="13.5">
      <c r="A236" s="80"/>
    </row>
    <row r="237" spans="1:1" ht="13.5">
      <c r="A237" s="80"/>
    </row>
    <row r="238" spans="1:1" ht="13.5">
      <c r="A238" s="80"/>
    </row>
    <row r="239" spans="1:1" ht="13.5">
      <c r="A239" s="80"/>
    </row>
    <row r="240" spans="1:1" ht="13.5">
      <c r="A240" s="80"/>
    </row>
    <row r="241" spans="1:1" ht="13.5">
      <c r="A241" s="80"/>
    </row>
    <row r="242" spans="1:1" ht="13.5">
      <c r="A242" s="80"/>
    </row>
    <row r="243" spans="1:1" ht="13.5">
      <c r="A243" s="80"/>
    </row>
    <row r="244" spans="1:1" ht="13.5">
      <c r="A244" s="80"/>
    </row>
    <row r="245" spans="1:1" ht="13.5">
      <c r="A245" s="80"/>
    </row>
    <row r="246" spans="1:1" ht="13.5">
      <c r="A246" s="80"/>
    </row>
    <row r="247" spans="1:1" ht="13.5">
      <c r="A247" s="80"/>
    </row>
    <row r="248" spans="1:1" ht="13.5">
      <c r="A248" s="80"/>
    </row>
    <row r="249" spans="1:1" ht="13.5">
      <c r="A249" s="80"/>
    </row>
    <row r="250" spans="1:1" ht="13.5">
      <c r="A250" s="80"/>
    </row>
    <row r="251" spans="1:1" ht="13.5">
      <c r="A251" s="80"/>
    </row>
    <row r="252" spans="1:1" ht="13.5">
      <c r="A252" s="80"/>
    </row>
    <row r="253" spans="1:1" ht="13.5">
      <c r="A253" s="80"/>
    </row>
    <row r="254" spans="1:1" ht="13.5">
      <c r="A254" s="80"/>
    </row>
    <row r="255" spans="1:1" ht="13.5">
      <c r="A255" s="80"/>
    </row>
    <row r="256" spans="1:1" ht="13.5">
      <c r="A256" s="80"/>
    </row>
    <row r="257" spans="1:1" ht="13.5">
      <c r="A257" s="80"/>
    </row>
    <row r="258" spans="1:1" ht="13.5">
      <c r="A258" s="80"/>
    </row>
    <row r="259" spans="1:1" ht="13.5">
      <c r="A259" s="80"/>
    </row>
    <row r="260" spans="1:1" ht="13.5">
      <c r="A260" s="80"/>
    </row>
    <row r="261" spans="1:1" ht="13.5">
      <c r="A261" s="80"/>
    </row>
    <row r="262" spans="1:1" ht="13.5">
      <c r="A262" s="80"/>
    </row>
    <row r="263" spans="1:1" ht="13.5">
      <c r="A263" s="80"/>
    </row>
    <row r="264" spans="1:1" ht="13.5">
      <c r="A264" s="80"/>
    </row>
    <row r="265" spans="1:1" ht="13.5">
      <c r="A265" s="80"/>
    </row>
    <row r="266" spans="1:1" ht="13.5">
      <c r="A266" s="80"/>
    </row>
    <row r="267" spans="1:1" ht="13.5">
      <c r="A267" s="80"/>
    </row>
    <row r="268" spans="1:1" ht="13.5">
      <c r="A268" s="80"/>
    </row>
    <row r="269" spans="1:1" ht="13.5">
      <c r="A269" s="80"/>
    </row>
    <row r="270" spans="1:1" ht="13.5">
      <c r="A270" s="80"/>
    </row>
    <row r="271" spans="1:1" ht="13.5">
      <c r="A271" s="80"/>
    </row>
    <row r="272" spans="1:1" ht="13.5">
      <c r="A272" s="80"/>
    </row>
    <row r="273" spans="1:1" ht="13.5">
      <c r="A273" s="80"/>
    </row>
    <row r="274" spans="1:1" ht="13.5">
      <c r="A274" s="80"/>
    </row>
    <row r="275" spans="1:1" ht="13.5">
      <c r="A275" s="80"/>
    </row>
    <row r="276" spans="1:1" ht="13.5">
      <c r="A276" s="80"/>
    </row>
    <row r="277" spans="1:1" ht="13.5">
      <c r="A277" s="80"/>
    </row>
    <row r="278" spans="1:1" ht="13.5">
      <c r="A278" s="80"/>
    </row>
    <row r="279" spans="1:1" ht="13.5">
      <c r="A279" s="80"/>
    </row>
    <row r="280" spans="1:1" ht="13.5">
      <c r="A280" s="80"/>
    </row>
    <row r="281" spans="1:1" ht="13.5">
      <c r="A281" s="80"/>
    </row>
    <row r="282" spans="1:1" ht="13.5">
      <c r="A282" s="80"/>
    </row>
    <row r="283" spans="1:1" ht="13.5">
      <c r="A283" s="80"/>
    </row>
    <row r="284" spans="1:1" ht="13.5">
      <c r="A284" s="80"/>
    </row>
    <row r="285" spans="1:1" ht="13.5">
      <c r="A285" s="80"/>
    </row>
    <row r="286" spans="1:1" ht="13.5">
      <c r="A286" s="80"/>
    </row>
    <row r="287" spans="1:1" ht="13.5">
      <c r="A287" s="80"/>
    </row>
    <row r="288" spans="1:1" ht="13.5">
      <c r="A288" s="80"/>
    </row>
    <row r="289" spans="1:1" ht="13.5">
      <c r="A289" s="80"/>
    </row>
    <row r="290" spans="1:1" ht="13.5">
      <c r="A290" s="80"/>
    </row>
    <row r="291" spans="1:1" ht="13.5">
      <c r="A291" s="80"/>
    </row>
    <row r="292" spans="1:1" ht="13.5">
      <c r="A292" s="80"/>
    </row>
    <row r="293" spans="1:1" ht="13.5">
      <c r="A293" s="80"/>
    </row>
    <row r="294" spans="1:1" ht="13.5">
      <c r="A294" s="80"/>
    </row>
    <row r="295" spans="1:1" ht="13.5">
      <c r="A295" s="80"/>
    </row>
    <row r="296" spans="1:1" ht="13.5">
      <c r="A296" s="80"/>
    </row>
    <row r="297" spans="1:1" ht="13.5">
      <c r="A297" s="80"/>
    </row>
    <row r="298" spans="1:1" ht="13.5">
      <c r="A298" s="80"/>
    </row>
    <row r="299" spans="1:1" ht="13.5">
      <c r="A299" s="80"/>
    </row>
    <row r="300" spans="1:1" ht="13.5">
      <c r="A300" s="80"/>
    </row>
    <row r="301" spans="1:1" ht="13.5">
      <c r="A301" s="80"/>
    </row>
    <row r="302" spans="1:1" ht="13.5">
      <c r="A302" s="80"/>
    </row>
    <row r="303" spans="1:1" ht="13.5">
      <c r="A303" s="80"/>
    </row>
    <row r="304" spans="1:1" ht="13.5">
      <c r="A304" s="80"/>
    </row>
    <row r="305" spans="1:1" ht="13.5">
      <c r="A305" s="80"/>
    </row>
    <row r="306" spans="1:1" ht="13.5">
      <c r="A306" s="80"/>
    </row>
    <row r="307" spans="1:1" ht="13.5">
      <c r="A307" s="80"/>
    </row>
    <row r="308" spans="1:1" ht="13.5">
      <c r="A308" s="80"/>
    </row>
    <row r="309" spans="1:1" ht="13.5">
      <c r="A309" s="80"/>
    </row>
    <row r="310" spans="1:1" ht="13.5">
      <c r="A310" s="80"/>
    </row>
    <row r="311" spans="1:1" ht="13.5">
      <c r="A311" s="80"/>
    </row>
    <row r="312" spans="1:1" ht="13.5">
      <c r="A312" s="80"/>
    </row>
    <row r="313" spans="1:1" ht="13.5">
      <c r="A313" s="80"/>
    </row>
    <row r="314" spans="1:1" ht="13.5">
      <c r="A314" s="80"/>
    </row>
    <row r="315" spans="1:1" ht="13.5">
      <c r="A315" s="80"/>
    </row>
    <row r="316" spans="1:1" ht="13.5">
      <c r="A316" s="80"/>
    </row>
    <row r="317" spans="1:1" ht="13.5">
      <c r="A317" s="80"/>
    </row>
    <row r="318" spans="1:1" ht="13.5">
      <c r="A318" s="80"/>
    </row>
    <row r="319" spans="1:1" ht="13.5">
      <c r="A319" s="80"/>
    </row>
    <row r="320" spans="1:1" ht="13.5">
      <c r="A320" s="80"/>
    </row>
    <row r="321" spans="1:1" ht="13.5">
      <c r="A321" s="80"/>
    </row>
    <row r="322" spans="1:1" ht="13.5">
      <c r="A322" s="80"/>
    </row>
    <row r="323" spans="1:1" ht="13.5">
      <c r="A323" s="80"/>
    </row>
    <row r="324" spans="1:1" ht="13.5">
      <c r="A324" s="80"/>
    </row>
    <row r="325" spans="1:1" ht="13.5">
      <c r="A325" s="80"/>
    </row>
    <row r="326" spans="1:1" ht="13.5">
      <c r="A326" s="80"/>
    </row>
    <row r="327" spans="1:1" ht="13.5">
      <c r="A327" s="80"/>
    </row>
    <row r="328" spans="1:1" ht="13.5">
      <c r="A328" s="80"/>
    </row>
    <row r="329" spans="1:1" ht="13.5">
      <c r="A329" s="80"/>
    </row>
    <row r="330" spans="1:1" ht="13.5">
      <c r="A330" s="80"/>
    </row>
    <row r="331" spans="1:1" ht="13.5">
      <c r="A331" s="80"/>
    </row>
    <row r="332" spans="1:1" ht="13.5">
      <c r="A332" s="80"/>
    </row>
    <row r="333" spans="1:1" ht="13.5">
      <c r="A333" s="80"/>
    </row>
    <row r="334" spans="1:1" ht="13.5">
      <c r="A334" s="80"/>
    </row>
    <row r="335" spans="1:1" ht="13.5">
      <c r="A335" s="80"/>
    </row>
    <row r="336" spans="1:1" ht="13.5">
      <c r="A336" s="80"/>
    </row>
    <row r="337" spans="1:1" ht="13.5">
      <c r="A337" s="80"/>
    </row>
    <row r="338" spans="1:1" ht="13.5">
      <c r="A338" s="80"/>
    </row>
    <row r="339" spans="1:1" ht="13.5">
      <c r="A339" s="80"/>
    </row>
    <row r="340" spans="1:1" ht="13.5">
      <c r="A340" s="80"/>
    </row>
    <row r="341" spans="1:1" ht="13.5">
      <c r="A341" s="80"/>
    </row>
    <row r="342" spans="1:1" ht="13.5">
      <c r="A342" s="80"/>
    </row>
    <row r="343" spans="1:1" ht="13.5">
      <c r="A343" s="80"/>
    </row>
    <row r="344" spans="1:1" ht="13.5">
      <c r="A344" s="80"/>
    </row>
    <row r="345" spans="1:1" ht="13.5">
      <c r="A345" s="80"/>
    </row>
    <row r="346" spans="1:1" ht="13.5">
      <c r="A346" s="80"/>
    </row>
    <row r="347" spans="1:1" ht="13.5">
      <c r="A347" s="80"/>
    </row>
    <row r="348" spans="1:1" ht="13.5">
      <c r="A348" s="80"/>
    </row>
    <row r="349" spans="1:1" ht="13.5">
      <c r="A349" s="80"/>
    </row>
    <row r="350" spans="1:1" ht="13.5">
      <c r="A350" s="80"/>
    </row>
    <row r="351" spans="1:1" ht="13.5">
      <c r="A351" s="80"/>
    </row>
    <row r="352" spans="1:1" ht="13.5">
      <c r="A352" s="80"/>
    </row>
    <row r="353" spans="1:1" ht="13.5">
      <c r="A353" s="80"/>
    </row>
    <row r="354" spans="1:1" ht="13.5">
      <c r="A354" s="80"/>
    </row>
    <row r="355" spans="1:1" ht="13.5">
      <c r="A355" s="80"/>
    </row>
    <row r="356" spans="1:1" ht="13.5">
      <c r="A356" s="80"/>
    </row>
    <row r="357" spans="1:1" ht="13.5">
      <c r="A357" s="80"/>
    </row>
    <row r="358" spans="1:1" ht="13.5">
      <c r="A358" s="80"/>
    </row>
    <row r="359" spans="1:1" ht="13.5">
      <c r="A359" s="80"/>
    </row>
    <row r="360" spans="1:1" ht="13.5">
      <c r="A360" s="80"/>
    </row>
    <row r="361" spans="1:1" ht="13.5">
      <c r="A361" s="80"/>
    </row>
    <row r="362" spans="1:1" ht="13.5">
      <c r="A362" s="80"/>
    </row>
    <row r="363" spans="1:1" ht="13.5">
      <c r="A363" s="80"/>
    </row>
    <row r="364" spans="1:1" ht="13.5">
      <c r="A364" s="80"/>
    </row>
    <row r="365" spans="1:1" ht="13.5">
      <c r="A365" s="80"/>
    </row>
    <row r="366" spans="1:1" ht="13.5">
      <c r="A366" s="80"/>
    </row>
    <row r="367" spans="1:1" ht="13.5">
      <c r="A367" s="80"/>
    </row>
    <row r="368" spans="1:1" ht="13.5">
      <c r="A368" s="80"/>
    </row>
    <row r="369" spans="1:1" ht="13.5">
      <c r="A369" s="80"/>
    </row>
    <row r="370" spans="1:1" ht="13.5">
      <c r="A370" s="80"/>
    </row>
    <row r="371" spans="1:1" ht="13.5">
      <c r="A371" s="80"/>
    </row>
    <row r="372" spans="1:1" ht="13.5">
      <c r="A372" s="80"/>
    </row>
    <row r="373" spans="1:1" ht="13.5">
      <c r="A373" s="80"/>
    </row>
    <row r="374" spans="1:1" ht="13.5">
      <c r="A374" s="80"/>
    </row>
    <row r="375" spans="1:1" ht="13.5">
      <c r="A375" s="80"/>
    </row>
    <row r="376" spans="1:1" ht="13.5">
      <c r="A376" s="80"/>
    </row>
    <row r="377" spans="1:1" ht="13.5">
      <c r="A377" s="80"/>
    </row>
    <row r="378" spans="1:1" ht="13.5">
      <c r="A378" s="80"/>
    </row>
    <row r="379" spans="1:1" ht="13.5">
      <c r="A379" s="80"/>
    </row>
    <row r="380" spans="1:1" ht="13.5">
      <c r="A380" s="80"/>
    </row>
    <row r="381" spans="1:1" ht="13.5">
      <c r="A381" s="80"/>
    </row>
    <row r="382" spans="1:1" ht="13.5">
      <c r="A382" s="80"/>
    </row>
    <row r="383" spans="1:1" ht="13.5">
      <c r="A383" s="80"/>
    </row>
    <row r="384" spans="1:1" ht="13.5">
      <c r="A384" s="80"/>
    </row>
    <row r="385" spans="1:1" ht="13.5">
      <c r="A385" s="80"/>
    </row>
    <row r="386" spans="1:1" ht="13.5">
      <c r="A386" s="80"/>
    </row>
    <row r="387" spans="1:1" ht="13.5">
      <c r="A387" s="80"/>
    </row>
    <row r="388" spans="1:1" ht="13.5">
      <c r="A388" s="80"/>
    </row>
    <row r="389" spans="1:1" ht="13.5">
      <c r="A389" s="80"/>
    </row>
    <row r="390" spans="1:1" ht="13.5">
      <c r="A390" s="80"/>
    </row>
    <row r="391" spans="1:1" ht="13.5">
      <c r="A391" s="80"/>
    </row>
    <row r="392" spans="1:1" ht="13.5">
      <c r="A392" s="80"/>
    </row>
    <row r="393" spans="1:1" ht="13.5">
      <c r="A393" s="80"/>
    </row>
    <row r="394" spans="1:1" ht="13.5">
      <c r="A394" s="80"/>
    </row>
    <row r="395" spans="1:1" ht="13.5">
      <c r="A395" s="80"/>
    </row>
    <row r="396" spans="1:1" ht="13.5">
      <c r="A396" s="80"/>
    </row>
    <row r="397" spans="1:1" ht="13.5">
      <c r="A397" s="80"/>
    </row>
    <row r="398" spans="1:1" ht="13.5">
      <c r="A398" s="80"/>
    </row>
    <row r="399" spans="1:1" ht="13.5">
      <c r="A399" s="80"/>
    </row>
    <row r="400" spans="1:1" ht="13.5">
      <c r="A400" s="80"/>
    </row>
    <row r="401" spans="1:1" ht="13.5">
      <c r="A401" s="80"/>
    </row>
    <row r="402" spans="1:1" ht="13.5">
      <c r="A402" s="80"/>
    </row>
    <row r="403" spans="1:1" ht="13.5">
      <c r="A403" s="80"/>
    </row>
    <row r="404" spans="1:1" ht="13.5">
      <c r="A404" s="80"/>
    </row>
    <row r="405" spans="1:1" ht="13.5">
      <c r="A405" s="80"/>
    </row>
    <row r="406" spans="1:1" ht="13.5">
      <c r="A406" s="80"/>
    </row>
    <row r="407" spans="1:1" ht="13.5">
      <c r="A407" s="80"/>
    </row>
    <row r="408" spans="1:1" ht="13.5">
      <c r="A408" s="80"/>
    </row>
    <row r="409" spans="1:1" ht="13.5">
      <c r="A409" s="80"/>
    </row>
    <row r="410" spans="1:1" ht="13.5">
      <c r="A410" s="80"/>
    </row>
    <row r="411" spans="1:1" ht="13.5">
      <c r="A411" s="80"/>
    </row>
    <row r="412" spans="1:1" ht="13.5">
      <c r="A412" s="80"/>
    </row>
    <row r="413" spans="1:1" ht="13.5">
      <c r="A413" s="80"/>
    </row>
    <row r="414" spans="1:1" ht="13.5">
      <c r="A414" s="80"/>
    </row>
    <row r="415" spans="1:1" ht="13.5">
      <c r="A415" s="80"/>
    </row>
    <row r="416" spans="1:1" ht="13.5">
      <c r="A416" s="80"/>
    </row>
    <row r="417" spans="1:1" ht="13.5">
      <c r="A417" s="80"/>
    </row>
    <row r="418" spans="1:1" ht="13.5">
      <c r="A418" s="80"/>
    </row>
    <row r="419" spans="1:1" ht="13.5">
      <c r="A419" s="80"/>
    </row>
    <row r="420" spans="1:1" ht="13.5">
      <c r="A420" s="80"/>
    </row>
    <row r="421" spans="1:1" ht="13.5">
      <c r="A421" s="80"/>
    </row>
    <row r="422" spans="1:1" ht="13.5">
      <c r="A422" s="80"/>
    </row>
    <row r="423" spans="1:1" ht="13.5">
      <c r="A423" s="80"/>
    </row>
    <row r="424" spans="1:1" ht="13.5">
      <c r="A424" s="80"/>
    </row>
    <row r="425" spans="1:1" ht="13.5">
      <c r="A425" s="80"/>
    </row>
    <row r="426" spans="1:1" ht="13.5">
      <c r="A426" s="80"/>
    </row>
    <row r="427" spans="1:1" ht="13.5">
      <c r="A427" s="80"/>
    </row>
    <row r="428" spans="1:1" ht="13.5">
      <c r="A428" s="80"/>
    </row>
    <row r="429" spans="1:1" ht="13.5">
      <c r="A429" s="80"/>
    </row>
    <row r="430" spans="1:1" ht="13.5">
      <c r="A430" s="80"/>
    </row>
    <row r="431" spans="1:1" ht="13.5">
      <c r="A431" s="80"/>
    </row>
    <row r="432" spans="1:1" ht="13.5">
      <c r="A432" s="80"/>
    </row>
    <row r="433" spans="1:1" ht="13.5">
      <c r="A433" s="80"/>
    </row>
    <row r="434" spans="1:1" ht="13.5">
      <c r="A434" s="80"/>
    </row>
    <row r="435" spans="1:1" ht="13.5">
      <c r="A435" s="80"/>
    </row>
    <row r="436" spans="1:1" ht="13.5">
      <c r="A436" s="80"/>
    </row>
    <row r="437" spans="1:1" ht="13.5">
      <c r="A437" s="80"/>
    </row>
    <row r="438" spans="1:1" ht="13.5">
      <c r="A438" s="80"/>
    </row>
    <row r="439" spans="1:1" ht="13.5">
      <c r="A439" s="80"/>
    </row>
    <row r="440" spans="1:1" ht="13.5">
      <c r="A440" s="80"/>
    </row>
    <row r="441" spans="1:1" ht="13.5">
      <c r="A441" s="80"/>
    </row>
    <row r="442" spans="1:1" ht="13.5">
      <c r="A442" s="80"/>
    </row>
    <row r="443" spans="1:1" ht="13.5">
      <c r="A443" s="80"/>
    </row>
    <row r="444" spans="1:1" ht="13.5">
      <c r="A444" s="80"/>
    </row>
    <row r="445" spans="1:1" ht="13.5">
      <c r="A445" s="80"/>
    </row>
    <row r="446" spans="1:1" ht="13.5">
      <c r="A446" s="80"/>
    </row>
    <row r="447" spans="1:1" ht="13.5">
      <c r="A447" s="80"/>
    </row>
    <row r="448" spans="1:1" ht="13.5">
      <c r="A448" s="80"/>
    </row>
    <row r="449" spans="1:1" ht="13.5">
      <c r="A449" s="80"/>
    </row>
    <row r="450" spans="1:1" ht="13.5">
      <c r="A450" s="80"/>
    </row>
    <row r="451" spans="1:1" ht="13.5">
      <c r="A451" s="80"/>
    </row>
    <row r="452" spans="1:1" ht="13.5">
      <c r="A452" s="80"/>
    </row>
    <row r="453" spans="1:1" ht="13.5">
      <c r="A453" s="80"/>
    </row>
    <row r="454" spans="1:1" ht="13.5">
      <c r="A454" s="80"/>
    </row>
    <row r="455" spans="1:1" ht="13.5">
      <c r="A455" s="80"/>
    </row>
    <row r="456" spans="1:1" ht="13.5">
      <c r="A456" s="80"/>
    </row>
    <row r="457" spans="1:1" ht="13.5">
      <c r="A457" s="80"/>
    </row>
    <row r="458" spans="1:1" ht="13.5">
      <c r="A458" s="80"/>
    </row>
    <row r="459" spans="1:1" ht="13.5">
      <c r="A459" s="80"/>
    </row>
    <row r="460" spans="1:1" ht="13.5">
      <c r="A460" s="80"/>
    </row>
    <row r="461" spans="1:1" ht="13.5">
      <c r="A461" s="80"/>
    </row>
    <row r="462" spans="1:1" ht="13.5">
      <c r="A462" s="80"/>
    </row>
    <row r="463" spans="1:1" ht="13.5">
      <c r="A463" s="80"/>
    </row>
    <row r="464" spans="1:1" ht="13.5">
      <c r="A464" s="80"/>
    </row>
    <row r="465" spans="1:1" ht="13.5">
      <c r="A465" s="80"/>
    </row>
    <row r="466" spans="1:1" ht="13.5">
      <c r="A466" s="80"/>
    </row>
    <row r="467" spans="1:1" ht="13.5">
      <c r="A467" s="80"/>
    </row>
    <row r="468" spans="1:1" ht="13.5">
      <c r="A468" s="80"/>
    </row>
    <row r="469" spans="1:1" ht="13.5">
      <c r="A469" s="80"/>
    </row>
    <row r="470" spans="1:1" ht="13.5">
      <c r="A470" s="80"/>
    </row>
    <row r="471" spans="1:1" ht="13.5">
      <c r="A471" s="80"/>
    </row>
    <row r="472" spans="1:1" ht="13.5">
      <c r="A472" s="80"/>
    </row>
    <row r="473" spans="1:1" ht="13.5">
      <c r="A473" s="80"/>
    </row>
    <row r="474" spans="1:1" ht="13.5">
      <c r="A474" s="80"/>
    </row>
    <row r="475" spans="1:1" ht="13.5">
      <c r="A475" s="80"/>
    </row>
    <row r="476" spans="1:1" ht="13.5">
      <c r="A476" s="80"/>
    </row>
    <row r="477" spans="1:1" ht="13.5">
      <c r="A477" s="80"/>
    </row>
    <row r="478" spans="1:1" ht="13.5">
      <c r="A478" s="80"/>
    </row>
    <row r="479" spans="1:1" ht="13.5">
      <c r="A479" s="80"/>
    </row>
    <row r="480" spans="1:1" ht="13.5">
      <c r="A480" s="80"/>
    </row>
    <row r="481" spans="1:1" ht="13.5">
      <c r="A481" s="80"/>
    </row>
    <row r="482" spans="1:1" ht="13.5">
      <c r="A482" s="80"/>
    </row>
    <row r="483" spans="1:1" ht="13.5">
      <c r="A483" s="80"/>
    </row>
    <row r="484" spans="1:1" ht="13.5">
      <c r="A484" s="80"/>
    </row>
    <row r="485" spans="1:1" ht="13.5">
      <c r="A485" s="80"/>
    </row>
    <row r="486" spans="1:1" ht="13.5">
      <c r="A486" s="80"/>
    </row>
    <row r="487" spans="1:1" ht="13.5">
      <c r="A487" s="80"/>
    </row>
    <row r="488" spans="1:1" ht="13.5">
      <c r="A488" s="80"/>
    </row>
    <row r="489" spans="1:1" ht="13.5">
      <c r="A489" s="80"/>
    </row>
    <row r="490" spans="1:1" ht="13.5">
      <c r="A490" s="80"/>
    </row>
    <row r="491" spans="1:1" ht="13.5">
      <c r="A491" s="80"/>
    </row>
    <row r="492" spans="1:1" ht="13.5">
      <c r="A492" s="80"/>
    </row>
    <row r="493" spans="1:1" ht="13.5">
      <c r="A493" s="80"/>
    </row>
    <row r="494" spans="1:1" ht="13.5">
      <c r="A494" s="80"/>
    </row>
    <row r="495" spans="1:1" ht="13.5">
      <c r="A495" s="80"/>
    </row>
    <row r="496" spans="1:1" ht="13.5">
      <c r="A496" s="80"/>
    </row>
    <row r="497" spans="1:1" ht="13.5">
      <c r="A497" s="80"/>
    </row>
    <row r="498" spans="1:1" ht="13.5">
      <c r="A498" s="80"/>
    </row>
    <row r="499" spans="1:1" ht="13.5">
      <c r="A499" s="80"/>
    </row>
    <row r="500" spans="1:1" ht="13.5">
      <c r="A500" s="80"/>
    </row>
    <row r="501" spans="1:1" ht="13.5">
      <c r="A501" s="80"/>
    </row>
    <row r="502" spans="1:1" ht="13.5">
      <c r="A502" s="80"/>
    </row>
    <row r="503" spans="1:1" ht="13.5">
      <c r="A503" s="80"/>
    </row>
    <row r="504" spans="1:1" ht="13.5">
      <c r="A504" s="80"/>
    </row>
    <row r="505" spans="1:1" ht="13.5">
      <c r="A505" s="80"/>
    </row>
    <row r="506" spans="1:1" ht="13.5">
      <c r="A506" s="80"/>
    </row>
    <row r="507" spans="1:1" ht="13.5">
      <c r="A507" s="80"/>
    </row>
    <row r="508" spans="1:1" ht="13.5">
      <c r="A508" s="80"/>
    </row>
    <row r="509" spans="1:1" ht="13.5">
      <c r="A509" s="80"/>
    </row>
    <row r="510" spans="1:1" ht="13.5">
      <c r="A510" s="80"/>
    </row>
    <row r="511" spans="1:1" ht="13.5">
      <c r="A511" s="80"/>
    </row>
    <row r="512" spans="1:1" ht="13.5">
      <c r="A512" s="80"/>
    </row>
    <row r="513" spans="1:1" ht="13.5">
      <c r="A513" s="80"/>
    </row>
    <row r="514" spans="1:1" ht="13.5">
      <c r="A514" s="80"/>
    </row>
    <row r="515" spans="1:1" ht="13.5">
      <c r="A515" s="80"/>
    </row>
    <row r="516" spans="1:1" ht="13.5">
      <c r="A516" s="80"/>
    </row>
    <row r="517" spans="1:1" ht="13.5">
      <c r="A517" s="80"/>
    </row>
    <row r="518" spans="1:1" ht="13.5">
      <c r="A518" s="80"/>
    </row>
    <row r="519" spans="1:1" ht="13.5">
      <c r="A519" s="80"/>
    </row>
    <row r="520" spans="1:1" ht="13.5">
      <c r="A520" s="80"/>
    </row>
    <row r="521" spans="1:1" ht="13.5">
      <c r="A521" s="80"/>
    </row>
    <row r="522" spans="1:1" ht="13.5">
      <c r="A522" s="80"/>
    </row>
    <row r="523" spans="1:1" ht="13.5">
      <c r="A523" s="80"/>
    </row>
    <row r="524" spans="1:1" ht="13.5">
      <c r="A524" s="80"/>
    </row>
    <row r="525" spans="1:1" ht="13.5">
      <c r="A525" s="80"/>
    </row>
    <row r="526" spans="1:1" ht="13.5">
      <c r="A526" s="80"/>
    </row>
    <row r="527" spans="1:1" ht="13.5">
      <c r="A527" s="80"/>
    </row>
    <row r="528" spans="1:1" ht="13.5">
      <c r="A528" s="80"/>
    </row>
    <row r="529" spans="1:1" ht="13.5">
      <c r="A529" s="80"/>
    </row>
    <row r="530" spans="1:1" ht="13.5">
      <c r="A530" s="80"/>
    </row>
    <row r="531" spans="1:1" ht="13.5">
      <c r="A531" s="80"/>
    </row>
    <row r="532" spans="1:1" ht="13.5">
      <c r="A532" s="80"/>
    </row>
    <row r="533" spans="1:1" ht="13.5">
      <c r="A533" s="80"/>
    </row>
    <row r="534" spans="1:1" ht="13.5">
      <c r="A534" s="80"/>
    </row>
    <row r="535" spans="1:1" ht="13.5">
      <c r="A535" s="80"/>
    </row>
    <row r="536" spans="1:1" ht="13.5">
      <c r="A536" s="80"/>
    </row>
    <row r="537" spans="1:1" ht="13.5">
      <c r="A537" s="80"/>
    </row>
    <row r="538" spans="1:1" ht="13.5">
      <c r="A538" s="80"/>
    </row>
    <row r="539" spans="1:1" ht="13.5">
      <c r="A539" s="80"/>
    </row>
    <row r="540" spans="1:1" ht="13.5">
      <c r="A540" s="80"/>
    </row>
    <row r="541" spans="1:1" ht="13.5">
      <c r="A541" s="80"/>
    </row>
    <row r="542" spans="1:1" ht="13.5">
      <c r="A542" s="80"/>
    </row>
    <row r="543" spans="1:1" ht="13.5">
      <c r="A543" s="80"/>
    </row>
    <row r="544" spans="1:1" ht="13.5">
      <c r="A544" s="80"/>
    </row>
    <row r="545" spans="1:1" ht="13.5">
      <c r="A545" s="80"/>
    </row>
    <row r="546" spans="1:1" ht="13.5">
      <c r="A546" s="80"/>
    </row>
    <row r="547" spans="1:1" ht="13.5">
      <c r="A547" s="80"/>
    </row>
    <row r="548" spans="1:1" ht="13.5">
      <c r="A548" s="80"/>
    </row>
    <row r="549" spans="1:1" ht="13.5">
      <c r="A549" s="80"/>
    </row>
    <row r="550" spans="1:1" ht="13.5">
      <c r="A550" s="80"/>
    </row>
    <row r="551" spans="1:1" ht="13.5">
      <c r="A551" s="80"/>
    </row>
    <row r="552" spans="1:1" ht="13.5">
      <c r="A552" s="80"/>
    </row>
    <row r="553" spans="1:1" ht="13.5">
      <c r="A553" s="80"/>
    </row>
    <row r="554" spans="1:1" ht="13.5">
      <c r="A554" s="80"/>
    </row>
    <row r="555" spans="1:1" ht="13.5">
      <c r="A555" s="80"/>
    </row>
    <row r="556" spans="1:1" ht="13.5">
      <c r="A556" s="80"/>
    </row>
    <row r="557" spans="1:1" ht="13.5">
      <c r="A557" s="80"/>
    </row>
    <row r="558" spans="1:1" ht="13.5">
      <c r="A558" s="80"/>
    </row>
    <row r="559" spans="1:1" ht="13.5">
      <c r="A559" s="80"/>
    </row>
    <row r="560" spans="1:1" ht="13.5">
      <c r="A560" s="80"/>
    </row>
    <row r="561" spans="1:1" ht="13.5">
      <c r="A561" s="80"/>
    </row>
    <row r="562" spans="1:1" ht="13.5">
      <c r="A562" s="80"/>
    </row>
    <row r="563" spans="1:1" ht="13.5">
      <c r="A563" s="80"/>
    </row>
    <row r="564" spans="1:1" ht="13.5">
      <c r="A564" s="80"/>
    </row>
    <row r="565" spans="1:1" ht="13.5">
      <c r="A565" s="80"/>
    </row>
    <row r="566" spans="1:1" ht="13.5">
      <c r="A566" s="80"/>
    </row>
    <row r="567" spans="1:1" ht="13.5">
      <c r="A567" s="80"/>
    </row>
    <row r="568" spans="1:1" ht="13.5">
      <c r="A568" s="80"/>
    </row>
    <row r="569" spans="1:1" ht="13.5">
      <c r="A569" s="80"/>
    </row>
    <row r="570" spans="1:1" ht="13.5">
      <c r="A570" s="80"/>
    </row>
    <row r="571" spans="1:1" ht="13.5">
      <c r="A571" s="80"/>
    </row>
    <row r="572" spans="1:1" ht="13.5">
      <c r="A572" s="80"/>
    </row>
    <row r="573" spans="1:1" ht="13.5">
      <c r="A573" s="80"/>
    </row>
    <row r="574" spans="1:1" ht="13.5">
      <c r="A574" s="80"/>
    </row>
    <row r="575" spans="1:1" ht="13.5">
      <c r="A575" s="80"/>
    </row>
    <row r="576" spans="1:1" ht="13.5">
      <c r="A576" s="80"/>
    </row>
    <row r="577" spans="1:1" ht="13.5">
      <c r="A577" s="80"/>
    </row>
    <row r="578" spans="1:1" ht="13.5">
      <c r="A578" s="80"/>
    </row>
    <row r="579" spans="1:1" ht="13.5">
      <c r="A579" s="80"/>
    </row>
    <row r="580" spans="1:1" ht="13.5">
      <c r="A580" s="80"/>
    </row>
    <row r="581" spans="1:1" ht="13.5">
      <c r="A581" s="80"/>
    </row>
    <row r="582" spans="1:1" ht="13.5">
      <c r="A582" s="80"/>
    </row>
    <row r="583" spans="1:1" ht="13.5">
      <c r="A583" s="80"/>
    </row>
    <row r="584" spans="1:1" ht="13.5">
      <c r="A584" s="80"/>
    </row>
    <row r="585" spans="1:1" ht="13.5">
      <c r="A585" s="80"/>
    </row>
    <row r="586" spans="1:1" ht="13.5">
      <c r="A586" s="80"/>
    </row>
    <row r="587" spans="1:1" ht="13.5">
      <c r="A587" s="80"/>
    </row>
    <row r="588" spans="1:1" ht="13.5">
      <c r="A588" s="80"/>
    </row>
    <row r="589" spans="1:1" ht="13.5">
      <c r="A589" s="80"/>
    </row>
    <row r="590" spans="1:1" ht="13.5">
      <c r="A590" s="80"/>
    </row>
    <row r="591" spans="1:1" ht="13.5">
      <c r="A591" s="80"/>
    </row>
    <row r="592" spans="1:1" ht="13.5">
      <c r="A592" s="80"/>
    </row>
    <row r="593" spans="1:1" ht="13.5">
      <c r="A593" s="80"/>
    </row>
    <row r="594" spans="1:1" ht="13.5">
      <c r="A594" s="80"/>
    </row>
    <row r="595" spans="1:1" ht="13.5">
      <c r="A595" s="80"/>
    </row>
    <row r="596" spans="1:1" ht="13.5">
      <c r="A596" s="80"/>
    </row>
    <row r="597" spans="1:1" ht="13.5">
      <c r="A597" s="80"/>
    </row>
    <row r="598" spans="1:1" ht="13.5">
      <c r="A598" s="80"/>
    </row>
    <row r="599" spans="1:1" ht="13.5">
      <c r="A599" s="80"/>
    </row>
    <row r="600" spans="1:1" ht="13.5">
      <c r="A600" s="80"/>
    </row>
    <row r="601" spans="1:1" ht="13.5">
      <c r="A601" s="80"/>
    </row>
    <row r="602" spans="1:1" ht="13.5">
      <c r="A602" s="80"/>
    </row>
    <row r="603" spans="1:1" ht="13.5">
      <c r="A603" s="80"/>
    </row>
    <row r="604" spans="1:1" ht="13.5">
      <c r="A604" s="80"/>
    </row>
    <row r="605" spans="1:1" ht="13.5">
      <c r="A605" s="80"/>
    </row>
    <row r="606" spans="1:1" ht="13.5">
      <c r="A606" s="80"/>
    </row>
    <row r="607" spans="1:1" ht="13.5">
      <c r="A607" s="80"/>
    </row>
    <row r="608" spans="1:1" ht="13.5">
      <c r="A608" s="80"/>
    </row>
    <row r="609" spans="1:1" ht="13.5">
      <c r="A609" s="80"/>
    </row>
    <row r="610" spans="1:1" ht="13.5">
      <c r="A610" s="80"/>
    </row>
    <row r="611" spans="1:1" ht="13.5">
      <c r="A611" s="80"/>
    </row>
    <row r="612" spans="1:1" ht="13.5">
      <c r="A612" s="80"/>
    </row>
    <row r="613" spans="1:1" ht="13.5">
      <c r="A613" s="80"/>
    </row>
    <row r="614" spans="1:1" ht="13.5">
      <c r="A614" s="80"/>
    </row>
    <row r="615" spans="1:1" ht="13.5">
      <c r="A615" s="80"/>
    </row>
    <row r="616" spans="1:1" ht="13.5">
      <c r="A616" s="80"/>
    </row>
    <row r="617" spans="1:1" ht="13.5">
      <c r="A617" s="80"/>
    </row>
    <row r="618" spans="1:1" ht="13.5">
      <c r="A618" s="80"/>
    </row>
    <row r="619" spans="1:1" ht="13.5">
      <c r="A619" s="80"/>
    </row>
    <row r="620" spans="1:1" ht="13.5">
      <c r="A620" s="80"/>
    </row>
    <row r="621" spans="1:1" ht="13.5">
      <c r="A621" s="80"/>
    </row>
    <row r="622" spans="1:1" ht="13.5">
      <c r="A622" s="80"/>
    </row>
    <row r="623" spans="1:1" ht="13.5">
      <c r="A623" s="80"/>
    </row>
    <row r="624" spans="1:1" ht="13.5">
      <c r="A624" s="80"/>
    </row>
    <row r="625" spans="1:1" ht="13.5">
      <c r="A625" s="80"/>
    </row>
    <row r="626" spans="1:1" ht="13.5">
      <c r="A626" s="80"/>
    </row>
    <row r="627" spans="1:1" ht="13.5">
      <c r="A627" s="80"/>
    </row>
    <row r="628" spans="1:1" ht="13.5">
      <c r="A628" s="80"/>
    </row>
    <row r="629" spans="1:1" ht="13.5">
      <c r="A629" s="80"/>
    </row>
    <row r="630" spans="1:1" ht="13.5">
      <c r="A630" s="80"/>
    </row>
    <row r="631" spans="1:1" ht="13.5">
      <c r="A631" s="80"/>
    </row>
    <row r="632" spans="1:1" ht="13.5">
      <c r="A632" s="80"/>
    </row>
    <row r="633" spans="1:1" ht="13.5">
      <c r="A633" s="80"/>
    </row>
    <row r="634" spans="1:1" ht="13.5">
      <c r="A634" s="80"/>
    </row>
    <row r="635" spans="1:1" ht="13.5">
      <c r="A635" s="80"/>
    </row>
    <row r="636" spans="1:1" ht="13.5">
      <c r="A636" s="80"/>
    </row>
    <row r="637" spans="1:1" ht="13.5">
      <c r="A637" s="80"/>
    </row>
    <row r="638" spans="1:1" ht="13.5">
      <c r="A638" s="80"/>
    </row>
    <row r="639" spans="1:1" ht="13.5">
      <c r="A639" s="80"/>
    </row>
    <row r="640" spans="1:1" ht="13.5">
      <c r="A640" s="80"/>
    </row>
    <row r="641" spans="1:1" ht="13.5">
      <c r="A641" s="80"/>
    </row>
    <row r="642" spans="1:1" ht="13.5">
      <c r="A642" s="80"/>
    </row>
    <row r="643" spans="1:1" ht="13.5">
      <c r="A643" s="80"/>
    </row>
    <row r="644" spans="1:1" ht="13.5">
      <c r="A644" s="80"/>
    </row>
    <row r="645" spans="1:1" ht="13.5">
      <c r="A645" s="80"/>
    </row>
    <row r="646" spans="1:1" ht="13.5">
      <c r="A646" s="80"/>
    </row>
    <row r="647" spans="1:1" ht="13.5">
      <c r="A647" s="80"/>
    </row>
    <row r="648" spans="1:1" ht="13.5">
      <c r="A648" s="80"/>
    </row>
    <row r="649" spans="1:1" ht="13.5">
      <c r="A649" s="80"/>
    </row>
    <row r="650" spans="1:1" ht="13.5">
      <c r="A650" s="80"/>
    </row>
    <row r="651" spans="1:1" ht="13.5">
      <c r="A651" s="80"/>
    </row>
    <row r="652" spans="1:1" ht="13.5">
      <c r="A652" s="80"/>
    </row>
    <row r="653" spans="1:1" ht="13.5">
      <c r="A653" s="80"/>
    </row>
    <row r="654" spans="1:1" ht="13.5">
      <c r="A654" s="80"/>
    </row>
    <row r="655" spans="1:1" ht="13.5">
      <c r="A655" s="80"/>
    </row>
    <row r="656" spans="1:1" ht="13.5">
      <c r="A656" s="80"/>
    </row>
    <row r="657" spans="1:1" ht="13.5">
      <c r="A657" s="80"/>
    </row>
    <row r="658" spans="1:1" ht="13.5">
      <c r="A658" s="80"/>
    </row>
    <row r="659" spans="1:1" ht="13.5">
      <c r="A659" s="80"/>
    </row>
    <row r="660" spans="1:1" ht="13.5">
      <c r="A660" s="80"/>
    </row>
    <row r="661" spans="1:1" ht="13.5">
      <c r="A661" s="80"/>
    </row>
    <row r="662" spans="1:1" ht="13.5">
      <c r="A662" s="80"/>
    </row>
    <row r="663" spans="1:1" ht="13.5">
      <c r="A663" s="80"/>
    </row>
    <row r="664" spans="1:1" ht="13.5">
      <c r="A664" s="80"/>
    </row>
    <row r="665" spans="1:1" ht="13.5">
      <c r="A665" s="80"/>
    </row>
    <row r="666" spans="1:1" ht="13.5">
      <c r="A666" s="80"/>
    </row>
    <row r="667" spans="1:1" ht="13.5">
      <c r="A667" s="80"/>
    </row>
    <row r="668" spans="1:1" ht="13.5">
      <c r="A668" s="80"/>
    </row>
    <row r="669" spans="1:1" ht="13.5">
      <c r="A669" s="80"/>
    </row>
    <row r="670" spans="1:1" ht="13.5">
      <c r="A670" s="80"/>
    </row>
    <row r="671" spans="1:1" ht="13.5">
      <c r="A671" s="80"/>
    </row>
    <row r="672" spans="1:1" ht="13.5">
      <c r="A672" s="80"/>
    </row>
    <row r="673" spans="1:1" ht="13.5">
      <c r="A673" s="80"/>
    </row>
    <row r="674" spans="1:1" ht="13.5">
      <c r="A674" s="80"/>
    </row>
    <row r="675" spans="1:1" ht="13.5">
      <c r="A675" s="80"/>
    </row>
    <row r="676" spans="1:1" ht="13.5">
      <c r="A676" s="80"/>
    </row>
    <row r="677" spans="1:1" ht="13.5">
      <c r="A677" s="80"/>
    </row>
    <row r="678" spans="1:1" ht="13.5">
      <c r="A678" s="80"/>
    </row>
    <row r="679" spans="1:1" ht="13.5">
      <c r="A679" s="80"/>
    </row>
    <row r="680" spans="1:1" ht="13.5">
      <c r="A680" s="80"/>
    </row>
    <row r="681" spans="1:1" ht="13.5">
      <c r="A681" s="80"/>
    </row>
    <row r="682" spans="1:1" ht="13.5">
      <c r="A682" s="80"/>
    </row>
    <row r="683" spans="1:1" ht="13.5">
      <c r="A683" s="80"/>
    </row>
    <row r="684" spans="1:1" ht="13.5">
      <c r="A684" s="80"/>
    </row>
    <row r="685" spans="1:1" ht="13.5">
      <c r="A685" s="80"/>
    </row>
    <row r="686" spans="1:1" ht="13.5">
      <c r="A686" s="80"/>
    </row>
    <row r="687" spans="1:1" ht="13.5">
      <c r="A687" s="80"/>
    </row>
    <row r="688" spans="1:1" ht="13.5">
      <c r="A688" s="80"/>
    </row>
    <row r="689" spans="1:1" ht="13.5">
      <c r="A689" s="80"/>
    </row>
    <row r="690" spans="1:1" ht="13.5">
      <c r="A690" s="80"/>
    </row>
    <row r="691" spans="1:1" ht="13.5">
      <c r="A691" s="80"/>
    </row>
    <row r="692" spans="1:1" ht="13.5">
      <c r="A692" s="80"/>
    </row>
    <row r="693" spans="1:1" ht="13.5">
      <c r="A693" s="80"/>
    </row>
    <row r="694" spans="1:1" ht="13.5">
      <c r="A694" s="80"/>
    </row>
    <row r="695" spans="1:1" ht="13.5">
      <c r="A695" s="80"/>
    </row>
    <row r="696" spans="1:1" ht="13.5">
      <c r="A696" s="80"/>
    </row>
    <row r="697" spans="1:1" ht="13.5">
      <c r="A697" s="80"/>
    </row>
    <row r="698" spans="1:1" ht="13.5">
      <c r="A698" s="80"/>
    </row>
    <row r="699" spans="1:1" ht="13.5">
      <c r="A699" s="80"/>
    </row>
    <row r="700" spans="1:1" ht="13.5">
      <c r="A700" s="80"/>
    </row>
    <row r="701" spans="1:1" ht="13.5">
      <c r="A701" s="80"/>
    </row>
    <row r="702" spans="1:1" ht="13.5">
      <c r="A702" s="80"/>
    </row>
    <row r="703" spans="1:1" ht="13.5">
      <c r="A703" s="80"/>
    </row>
    <row r="704" spans="1:1" ht="13.5">
      <c r="A704" s="80"/>
    </row>
    <row r="705" spans="1:1" ht="13.5">
      <c r="A705" s="80"/>
    </row>
    <row r="706" spans="1:1" ht="13.5">
      <c r="A706" s="80"/>
    </row>
    <row r="707" spans="1:1" ht="13.5">
      <c r="A707" s="80"/>
    </row>
    <row r="708" spans="1:1" ht="13.5">
      <c r="A708" s="80"/>
    </row>
    <row r="709" spans="1:1" ht="13.5">
      <c r="A709" s="80"/>
    </row>
    <row r="710" spans="1:1" ht="13.5">
      <c r="A710" s="80"/>
    </row>
    <row r="711" spans="1:1" ht="13.5">
      <c r="A711" s="80"/>
    </row>
    <row r="712" spans="1:1" ht="13.5">
      <c r="A712" s="80"/>
    </row>
    <row r="713" spans="1:1" ht="13.5">
      <c r="A713" s="80"/>
    </row>
    <row r="714" spans="1:1" ht="13.5">
      <c r="A714" s="80"/>
    </row>
    <row r="715" spans="1:1" ht="13.5">
      <c r="A715" s="80"/>
    </row>
    <row r="716" spans="1:1" ht="13.5">
      <c r="A716" s="80"/>
    </row>
    <row r="717" spans="1:1" ht="13.5">
      <c r="A717" s="80"/>
    </row>
    <row r="718" spans="1:1" ht="13.5">
      <c r="A718" s="80"/>
    </row>
    <row r="719" spans="1:1" ht="13.5">
      <c r="A719" s="80"/>
    </row>
    <row r="720" spans="1:1" ht="13.5">
      <c r="A720" s="80"/>
    </row>
    <row r="721" spans="1:1" ht="13.5">
      <c r="A721" s="80"/>
    </row>
    <row r="722" spans="1:1" ht="13.5">
      <c r="A722" s="80"/>
    </row>
    <row r="723" spans="1:1" ht="13.5">
      <c r="A723" s="80"/>
    </row>
    <row r="724" spans="1:1" ht="13.5">
      <c r="A724" s="80"/>
    </row>
    <row r="725" spans="1:1" ht="13.5">
      <c r="A725" s="80"/>
    </row>
    <row r="726" spans="1:1" ht="13.5">
      <c r="A726" s="80"/>
    </row>
    <row r="727" spans="1:1" ht="13.5">
      <c r="A727" s="80"/>
    </row>
    <row r="728" spans="1:1" ht="13.5">
      <c r="A728" s="80"/>
    </row>
    <row r="729" spans="1:1" ht="13.5">
      <c r="A729" s="80"/>
    </row>
    <row r="730" spans="1:1" ht="13.5">
      <c r="A730" s="80"/>
    </row>
    <row r="731" spans="1:1" ht="13.5">
      <c r="A731" s="80"/>
    </row>
    <row r="732" spans="1:1" ht="13.5">
      <c r="A732" s="80"/>
    </row>
    <row r="733" spans="1:1" ht="13.5">
      <c r="A733" s="80"/>
    </row>
    <row r="734" spans="1:1" ht="13.5">
      <c r="A734" s="80"/>
    </row>
    <row r="735" spans="1:1" ht="13.5">
      <c r="A735" s="80"/>
    </row>
    <row r="736" spans="1:1" ht="13.5">
      <c r="A736" s="80"/>
    </row>
    <row r="737" spans="1:1" ht="13.5">
      <c r="A737" s="80"/>
    </row>
    <row r="738" spans="1:1" ht="13.5">
      <c r="A738" s="80"/>
    </row>
    <row r="739" spans="1:1" ht="13.5">
      <c r="A739" s="80"/>
    </row>
    <row r="740" spans="1:1" ht="13.5">
      <c r="A740" s="80"/>
    </row>
    <row r="741" spans="1:1" ht="13.5">
      <c r="A741" s="80"/>
    </row>
    <row r="742" spans="1:1" ht="13.5">
      <c r="A742" s="80"/>
    </row>
    <row r="743" spans="1:1" ht="13.5">
      <c r="A743" s="80"/>
    </row>
    <row r="744" spans="1:1" ht="13.5">
      <c r="A744" s="80"/>
    </row>
    <row r="745" spans="1:1" ht="13.5">
      <c r="A745" s="80"/>
    </row>
    <row r="746" spans="1:1" ht="13.5">
      <c r="A746" s="80"/>
    </row>
    <row r="747" spans="1:1" ht="13.5">
      <c r="A747" s="80"/>
    </row>
    <row r="748" spans="1:1" ht="13.5">
      <c r="A748" s="80"/>
    </row>
    <row r="749" spans="1:1" ht="13.5">
      <c r="A749" s="80"/>
    </row>
    <row r="750" spans="1:1" ht="13.5">
      <c r="A750" s="80"/>
    </row>
    <row r="751" spans="1:1" ht="13.5">
      <c r="A751" s="80"/>
    </row>
    <row r="752" spans="1:1" ht="13.5">
      <c r="A752" s="80"/>
    </row>
    <row r="753" spans="1:1" ht="13.5">
      <c r="A753" s="80"/>
    </row>
    <row r="754" spans="1:1" ht="13.5">
      <c r="A754" s="80"/>
    </row>
    <row r="755" spans="1:1" ht="13.5">
      <c r="A755" s="80"/>
    </row>
    <row r="756" spans="1:1" ht="13.5">
      <c r="A756" s="80"/>
    </row>
    <row r="757" spans="1:1" ht="13.5">
      <c r="A757" s="80"/>
    </row>
    <row r="758" spans="1:1" ht="13.5">
      <c r="A758" s="80"/>
    </row>
    <row r="759" spans="1:1" ht="13.5">
      <c r="A759" s="80"/>
    </row>
    <row r="760" spans="1:1" ht="13.5">
      <c r="A760" s="80"/>
    </row>
    <row r="761" spans="1:1" ht="13.5">
      <c r="A761" s="80"/>
    </row>
    <row r="762" spans="1:1" ht="13.5">
      <c r="A762" s="80"/>
    </row>
    <row r="763" spans="1:1" ht="13.5">
      <c r="A763" s="80"/>
    </row>
    <row r="764" spans="1:1" ht="13.5">
      <c r="A764" s="80"/>
    </row>
    <row r="765" spans="1:1" ht="13.5">
      <c r="A765" s="80"/>
    </row>
    <row r="766" spans="1:1" ht="13.5">
      <c r="A766" s="80"/>
    </row>
    <row r="767" spans="1:1" ht="13.5">
      <c r="A767" s="80"/>
    </row>
    <row r="768" spans="1:1" ht="13.5">
      <c r="A768" s="80"/>
    </row>
    <row r="769" spans="1:1" ht="13.5">
      <c r="A769" s="80"/>
    </row>
    <row r="770" spans="1:1" ht="13.5">
      <c r="A770" s="80"/>
    </row>
    <row r="771" spans="1:1" ht="13.5">
      <c r="A771" s="80"/>
    </row>
    <row r="772" spans="1:1" ht="13.5">
      <c r="A772" s="80"/>
    </row>
    <row r="773" spans="1:1" ht="13.5">
      <c r="A773" s="80"/>
    </row>
    <row r="774" spans="1:1" ht="13.5">
      <c r="A774" s="80"/>
    </row>
    <row r="775" spans="1:1" ht="13.5">
      <c r="A775" s="80"/>
    </row>
    <row r="776" spans="1:1" ht="13.5">
      <c r="A776" s="80"/>
    </row>
    <row r="777" spans="1:1" ht="13.5">
      <c r="A777" s="80"/>
    </row>
    <row r="778" spans="1:1" ht="13.5">
      <c r="A778" s="80"/>
    </row>
    <row r="779" spans="1:1" ht="13.5">
      <c r="A779" s="80"/>
    </row>
    <row r="780" spans="1:1" ht="13.5">
      <c r="A780" s="80"/>
    </row>
    <row r="781" spans="1:1" ht="13.5">
      <c r="A781" s="80"/>
    </row>
    <row r="782" spans="1:1" ht="13.5">
      <c r="A782" s="80"/>
    </row>
    <row r="783" spans="1:1" ht="13.5">
      <c r="A783" s="80"/>
    </row>
    <row r="784" spans="1:1" ht="13.5">
      <c r="A784" s="80"/>
    </row>
    <row r="785" spans="1:1" ht="13.5">
      <c r="A785" s="80"/>
    </row>
    <row r="786" spans="1:1" ht="13.5">
      <c r="A786" s="80"/>
    </row>
    <row r="787" spans="1:1" ht="13.5">
      <c r="A787" s="80"/>
    </row>
    <row r="788" spans="1:1" ht="13.5">
      <c r="A788" s="80"/>
    </row>
    <row r="789" spans="1:1" ht="13.5">
      <c r="A789" s="80"/>
    </row>
    <row r="790" spans="1:1" ht="13.5">
      <c r="A790" s="80"/>
    </row>
    <row r="791" spans="1:1" ht="13.5">
      <c r="A791" s="80"/>
    </row>
    <row r="792" spans="1:1" ht="13.5">
      <c r="A792" s="80"/>
    </row>
    <row r="793" spans="1:1" ht="13.5">
      <c r="A793" s="80"/>
    </row>
    <row r="794" spans="1:1" ht="13.5">
      <c r="A794" s="80"/>
    </row>
    <row r="795" spans="1:1" ht="13.5">
      <c r="A795" s="80"/>
    </row>
    <row r="796" spans="1:1" ht="13.5">
      <c r="A796" s="80"/>
    </row>
    <row r="797" spans="1:1" ht="13.5">
      <c r="A797" s="80"/>
    </row>
    <row r="798" spans="1:1" ht="13.5">
      <c r="A798" s="80"/>
    </row>
    <row r="799" spans="1:1" ht="13.5">
      <c r="A799" s="80"/>
    </row>
    <row r="800" spans="1:1" ht="13.5">
      <c r="A800" s="80"/>
    </row>
    <row r="801" spans="1:1" ht="13.5">
      <c r="A801" s="80"/>
    </row>
    <row r="802" spans="1:1" ht="13.5">
      <c r="A802" s="80"/>
    </row>
    <row r="803" spans="1:1" ht="13.5">
      <c r="A803" s="80"/>
    </row>
    <row r="804" spans="1:1" ht="13.5">
      <c r="A804" s="80"/>
    </row>
    <row r="805" spans="1:1" ht="13.5">
      <c r="A805" s="80"/>
    </row>
    <row r="806" spans="1:1" ht="13.5">
      <c r="A806" s="80"/>
    </row>
    <row r="807" spans="1:1" ht="13.5">
      <c r="A807" s="80"/>
    </row>
    <row r="808" spans="1:1" ht="13.5">
      <c r="A808" s="80"/>
    </row>
    <row r="809" spans="1:1" ht="13.5">
      <c r="A809" s="80"/>
    </row>
    <row r="810" spans="1:1" ht="13.5">
      <c r="A810" s="80"/>
    </row>
    <row r="811" spans="1:1" ht="13.5">
      <c r="A811" s="80"/>
    </row>
    <row r="812" spans="1:1" ht="13.5">
      <c r="A812" s="80"/>
    </row>
    <row r="813" spans="1:1" ht="13.5">
      <c r="A813" s="80"/>
    </row>
    <row r="814" spans="1:1" ht="13.5">
      <c r="A814" s="80"/>
    </row>
    <row r="815" spans="1:1" ht="13.5">
      <c r="A815" s="80"/>
    </row>
    <row r="816" spans="1:1" ht="13.5">
      <c r="A816" s="80"/>
    </row>
    <row r="817" spans="1:1" ht="13.5">
      <c r="A817" s="80"/>
    </row>
    <row r="818" spans="1:1" ht="13.5">
      <c r="A818" s="80"/>
    </row>
    <row r="819" spans="1:1" ht="13.5">
      <c r="A819" s="80"/>
    </row>
    <row r="820" spans="1:1" ht="13.5">
      <c r="A820" s="80"/>
    </row>
    <row r="821" spans="1:1" ht="13.5">
      <c r="A821" s="80"/>
    </row>
    <row r="822" spans="1:1" ht="13.5">
      <c r="A822" s="80"/>
    </row>
    <row r="823" spans="1:1" ht="13.5">
      <c r="A823" s="80"/>
    </row>
    <row r="824" spans="1:1" ht="13.5">
      <c r="A824" s="80"/>
    </row>
    <row r="825" spans="1:1" ht="13.5">
      <c r="A825" s="80"/>
    </row>
    <row r="826" spans="1:1" ht="13.5">
      <c r="A826" s="80"/>
    </row>
    <row r="827" spans="1:1" ht="13.5">
      <c r="A827" s="80"/>
    </row>
    <row r="828" spans="1:1" ht="13.5">
      <c r="A828" s="80"/>
    </row>
    <row r="829" spans="1:1" ht="13.5">
      <c r="A829" s="80"/>
    </row>
    <row r="830" spans="1:1" ht="13.5">
      <c r="A830" s="80"/>
    </row>
    <row r="831" spans="1:1" ht="13.5">
      <c r="A831" s="80"/>
    </row>
    <row r="832" spans="1:1" ht="13.5">
      <c r="A832" s="80"/>
    </row>
    <row r="833" spans="1:1" ht="13.5">
      <c r="A833" s="80"/>
    </row>
    <row r="834" spans="1:1" ht="13.5">
      <c r="A834" s="80"/>
    </row>
    <row r="835" spans="1:1" ht="13.5">
      <c r="A835" s="80"/>
    </row>
    <row r="836" spans="1:1" ht="13.5">
      <c r="A836" s="80"/>
    </row>
    <row r="837" spans="1:1" ht="13.5">
      <c r="A837" s="80"/>
    </row>
    <row r="838" spans="1:1" ht="13.5">
      <c r="A838" s="80"/>
    </row>
    <row r="839" spans="1:1" ht="13.5">
      <c r="A839" s="80"/>
    </row>
    <row r="840" spans="1:1" ht="13.5">
      <c r="A840" s="80"/>
    </row>
    <row r="841" spans="1:1" ht="13.5">
      <c r="A841" s="80"/>
    </row>
    <row r="842" spans="1:1" ht="13.5">
      <c r="A842" s="80"/>
    </row>
    <row r="843" spans="1:1" ht="13.5">
      <c r="A843" s="80"/>
    </row>
    <row r="844" spans="1:1" ht="13.5">
      <c r="A844" s="80"/>
    </row>
    <row r="845" spans="1:1" ht="13.5">
      <c r="A845" s="80"/>
    </row>
    <row r="846" spans="1:1" ht="13.5">
      <c r="A846" s="80"/>
    </row>
    <row r="847" spans="1:1" ht="13.5">
      <c r="A847" s="80"/>
    </row>
    <row r="848" spans="1:1" ht="13.5">
      <c r="A848" s="80"/>
    </row>
    <row r="849" spans="1:1" ht="13.5">
      <c r="A849" s="80"/>
    </row>
    <row r="850" spans="1:1" ht="13.5">
      <c r="A850" s="80"/>
    </row>
    <row r="851" spans="1:1" ht="13.5">
      <c r="A851" s="80"/>
    </row>
    <row r="852" spans="1:1" ht="13.5">
      <c r="A852" s="80"/>
    </row>
    <row r="853" spans="1:1" ht="13.5">
      <c r="A853" s="80"/>
    </row>
    <row r="854" spans="1:1" ht="13.5">
      <c r="A854" s="80"/>
    </row>
    <row r="855" spans="1:1" ht="13.5">
      <c r="A855" s="80"/>
    </row>
    <row r="856" spans="1:1" ht="13.5">
      <c r="A856" s="80"/>
    </row>
    <row r="857" spans="1:1" ht="13.5">
      <c r="A857" s="80"/>
    </row>
    <row r="858" spans="1:1" ht="13.5">
      <c r="A858" s="80"/>
    </row>
    <row r="859" spans="1:1" ht="13.5">
      <c r="A859" s="80"/>
    </row>
    <row r="860" spans="1:1" ht="13.5">
      <c r="A860" s="80"/>
    </row>
    <row r="861" spans="1:1" ht="13.5">
      <c r="A861" s="80"/>
    </row>
    <row r="862" spans="1:1" ht="13.5">
      <c r="A862" s="80"/>
    </row>
    <row r="863" spans="1:1" ht="13.5">
      <c r="A863" s="80"/>
    </row>
    <row r="864" spans="1:1" ht="13.5">
      <c r="A864" s="80"/>
    </row>
    <row r="865" spans="1:1" ht="13.5">
      <c r="A865" s="80"/>
    </row>
    <row r="866" spans="1:1" ht="13.5">
      <c r="A866" s="80"/>
    </row>
    <row r="867" spans="1:1" ht="13.5">
      <c r="A867" s="80"/>
    </row>
    <row r="868" spans="1:1" ht="13.5">
      <c r="A868" s="80"/>
    </row>
    <row r="869" spans="1:1" ht="13.5">
      <c r="A869" s="80"/>
    </row>
    <row r="870" spans="1:1" ht="13.5">
      <c r="A870" s="80"/>
    </row>
    <row r="871" spans="1:1" ht="13.5">
      <c r="A871" s="80"/>
    </row>
    <row r="872" spans="1:1" ht="13.5">
      <c r="A872" s="80"/>
    </row>
    <row r="873" spans="1:1" ht="13.5">
      <c r="A873" s="80"/>
    </row>
    <row r="874" spans="1:1" ht="13.5">
      <c r="A874" s="80"/>
    </row>
    <row r="875" spans="1:1" ht="13.5">
      <c r="A875" s="80"/>
    </row>
    <row r="876" spans="1:1" ht="13.5">
      <c r="A876" s="80"/>
    </row>
    <row r="877" spans="1:1" ht="13.5">
      <c r="A877" s="80"/>
    </row>
    <row r="878" spans="1:1" ht="13.5">
      <c r="A878" s="80"/>
    </row>
    <row r="879" spans="1:1" ht="13.5">
      <c r="A879" s="80"/>
    </row>
    <row r="880" spans="1:1" ht="13.5">
      <c r="A880" s="80"/>
    </row>
    <row r="881" spans="1:1" ht="13.5">
      <c r="A881" s="80"/>
    </row>
    <row r="882" spans="1:1" ht="13.5">
      <c r="A882" s="80"/>
    </row>
    <row r="883" spans="1:1" ht="13.5">
      <c r="A883" s="80"/>
    </row>
    <row r="884" spans="1:1" ht="13.5">
      <c r="A884" s="80"/>
    </row>
    <row r="885" spans="1:1" ht="13.5">
      <c r="A885" s="80"/>
    </row>
    <row r="886" spans="1:1" ht="13.5">
      <c r="A886" s="80"/>
    </row>
    <row r="887" spans="1:1" ht="13.5">
      <c r="A887" s="80"/>
    </row>
    <row r="888" spans="1:1" ht="13.5">
      <c r="A888" s="80"/>
    </row>
    <row r="889" spans="1:1" ht="13.5">
      <c r="A889" s="80"/>
    </row>
    <row r="890" spans="1:1" ht="13.5">
      <c r="A890" s="80"/>
    </row>
    <row r="891" spans="1:1" ht="13.5">
      <c r="A891" s="80"/>
    </row>
    <row r="892" spans="1:1" ht="13.5">
      <c r="A892" s="80"/>
    </row>
    <row r="893" spans="1:1" ht="13.5">
      <c r="A893" s="80"/>
    </row>
    <row r="894" spans="1:1" ht="13.5">
      <c r="A894" s="80"/>
    </row>
    <row r="895" spans="1:1" ht="13.5">
      <c r="A895" s="80"/>
    </row>
    <row r="896" spans="1:1" ht="13.5">
      <c r="A896" s="80"/>
    </row>
    <row r="897" spans="1:1" ht="13.5">
      <c r="A897" s="80"/>
    </row>
    <row r="898" spans="1:1" ht="13.5">
      <c r="A898" s="80"/>
    </row>
    <row r="899" spans="1:1" ht="13.5">
      <c r="A899" s="80"/>
    </row>
    <row r="900" spans="1:1" ht="13.5">
      <c r="A900" s="80"/>
    </row>
    <row r="901" spans="1:1" ht="13.5">
      <c r="A901" s="80"/>
    </row>
    <row r="902" spans="1:1" ht="13.5">
      <c r="A902" s="80"/>
    </row>
    <row r="903" spans="1:1" ht="13.5">
      <c r="A903" s="80"/>
    </row>
    <row r="904" spans="1:1" ht="13.5">
      <c r="A904" s="80"/>
    </row>
    <row r="905" spans="1:1" ht="13.5">
      <c r="A905" s="80"/>
    </row>
    <row r="906" spans="1:1" ht="13.5">
      <c r="A906" s="80"/>
    </row>
    <row r="907" spans="1:1" ht="13.5">
      <c r="A907" s="80"/>
    </row>
    <row r="908" spans="1:1" ht="13.5">
      <c r="A908" s="80"/>
    </row>
    <row r="909" spans="1:1" ht="13.5">
      <c r="A909" s="80"/>
    </row>
    <row r="910" spans="1:1" ht="13.5">
      <c r="A910" s="80"/>
    </row>
    <row r="911" spans="1:1" ht="13.5">
      <c r="A911" s="80"/>
    </row>
    <row r="912" spans="1:1" ht="13.5">
      <c r="A912" s="80"/>
    </row>
    <row r="913" spans="1:1" ht="13.5">
      <c r="A913" s="80"/>
    </row>
    <row r="914" spans="1:1" ht="13.5">
      <c r="A914" s="80"/>
    </row>
    <row r="915" spans="1:1" ht="13.5">
      <c r="A915" s="80"/>
    </row>
    <row r="916" spans="1:1" ht="13.5">
      <c r="A916" s="80"/>
    </row>
    <row r="917" spans="1:1" ht="13.5">
      <c r="A917" s="80"/>
    </row>
    <row r="918" spans="1:1" ht="13.5">
      <c r="A918" s="80"/>
    </row>
    <row r="919" spans="1:1" ht="13.5">
      <c r="A919" s="80"/>
    </row>
    <row r="920" spans="1:1" ht="13.5">
      <c r="A920" s="80"/>
    </row>
    <row r="921" spans="1:1" ht="13.5">
      <c r="A921" s="80"/>
    </row>
    <row r="922" spans="1:1" ht="13.5">
      <c r="A922" s="80"/>
    </row>
    <row r="923" spans="1:1" ht="13.5">
      <c r="A923" s="80"/>
    </row>
    <row r="924" spans="1:1" ht="13.5">
      <c r="A924" s="80"/>
    </row>
    <row r="925" spans="1:1" ht="13.5">
      <c r="A925" s="80"/>
    </row>
    <row r="926" spans="1:1" ht="13.5">
      <c r="A926" s="80"/>
    </row>
    <row r="927" spans="1:1" ht="13.5">
      <c r="A927" s="80"/>
    </row>
    <row r="928" spans="1:1" ht="13.5">
      <c r="A928" s="80"/>
    </row>
    <row r="929" spans="1:1" ht="13.5">
      <c r="A929" s="80"/>
    </row>
    <row r="930" spans="1:1" ht="13.5">
      <c r="A930" s="80"/>
    </row>
    <row r="931" spans="1:1" ht="13.5">
      <c r="A931" s="80"/>
    </row>
    <row r="932" spans="1:1" ht="13.5">
      <c r="A932" s="80"/>
    </row>
    <row r="933" spans="1:1" ht="13.5">
      <c r="A933" s="80"/>
    </row>
    <row r="934" spans="1:1" ht="13.5">
      <c r="A934" s="80"/>
    </row>
    <row r="935" spans="1:1" ht="13.5">
      <c r="A935" s="80"/>
    </row>
    <row r="936" spans="1:1" ht="13.5">
      <c r="A936" s="80"/>
    </row>
    <row r="937" spans="1:1" ht="13.5">
      <c r="A937" s="80"/>
    </row>
    <row r="938" spans="1:1" ht="13.5">
      <c r="A938" s="80"/>
    </row>
    <row r="939" spans="1:1" ht="13.5">
      <c r="A939" s="80"/>
    </row>
    <row r="940" spans="1:1" ht="13.5">
      <c r="A940" s="80"/>
    </row>
    <row r="941" spans="1:1" ht="13.5">
      <c r="A941" s="80"/>
    </row>
    <row r="942" spans="1:1" ht="13.5">
      <c r="A942" s="80"/>
    </row>
    <row r="943" spans="1:1" ht="13.5">
      <c r="A943" s="80"/>
    </row>
    <row r="944" spans="1:1" ht="13.5">
      <c r="A944" s="80"/>
    </row>
    <row r="945" spans="1:1" ht="13.5">
      <c r="A945" s="80"/>
    </row>
    <row r="946" spans="1:1" ht="13.5">
      <c r="A946" s="80"/>
    </row>
    <row r="947" spans="1:1" ht="13.5">
      <c r="A947" s="80"/>
    </row>
    <row r="948" spans="1:1" ht="13.5">
      <c r="A948" s="80"/>
    </row>
    <row r="949" spans="1:1" ht="13.5">
      <c r="A949" s="80"/>
    </row>
    <row r="950" spans="1:1" ht="13.5">
      <c r="A950" s="80"/>
    </row>
    <row r="951" spans="1:1" ht="13.5">
      <c r="A951" s="80"/>
    </row>
    <row r="952" spans="1:1" ht="13.5">
      <c r="A952" s="80"/>
    </row>
    <row r="953" spans="1:1" ht="13.5">
      <c r="A953" s="80"/>
    </row>
    <row r="954" spans="1:1" ht="13.5">
      <c r="A954" s="80"/>
    </row>
    <row r="955" spans="1:1" ht="13.5">
      <c r="A955" s="80"/>
    </row>
    <row r="956" spans="1:1" ht="13.5">
      <c r="A956" s="80"/>
    </row>
    <row r="957" spans="1:1" ht="13.5">
      <c r="A957" s="80"/>
    </row>
    <row r="958" spans="1:1" ht="13.5">
      <c r="A958" s="80"/>
    </row>
    <row r="959" spans="1:1" ht="13.5">
      <c r="A959" s="80"/>
    </row>
    <row r="960" spans="1:1" ht="13.5">
      <c r="A960" s="80"/>
    </row>
    <row r="961" spans="1:1" ht="13.5">
      <c r="A961" s="80"/>
    </row>
    <row r="962" spans="1:1" ht="13.5">
      <c r="A962" s="80"/>
    </row>
    <row r="963" spans="1:1" ht="13.5">
      <c r="A963" s="80"/>
    </row>
    <row r="964" spans="1:1" ht="13.5">
      <c r="A964" s="80"/>
    </row>
    <row r="965" spans="1:1" ht="13.5">
      <c r="A965" s="80"/>
    </row>
    <row r="966" spans="1:1" ht="13.5">
      <c r="A966" s="80"/>
    </row>
    <row r="967" spans="1:1" ht="13.5">
      <c r="A967" s="80"/>
    </row>
    <row r="968" spans="1:1" ht="13.5">
      <c r="A968" s="80"/>
    </row>
    <row r="969" spans="1:1" ht="13.5">
      <c r="A969" s="80"/>
    </row>
    <row r="970" spans="1:1" ht="13.5">
      <c r="A970" s="80"/>
    </row>
    <row r="971" spans="1:1" ht="13.5">
      <c r="A971" s="80"/>
    </row>
    <row r="972" spans="1:1" ht="13.5">
      <c r="A972" s="80"/>
    </row>
    <row r="973" spans="1:1" ht="13.5">
      <c r="A973" s="80"/>
    </row>
    <row r="974" spans="1:1" ht="13.5">
      <c r="A974" s="80"/>
    </row>
    <row r="975" spans="1:1" ht="13.5">
      <c r="A975" s="80"/>
    </row>
    <row r="976" spans="1:1" ht="13.5">
      <c r="A976" s="80"/>
    </row>
    <row r="977" spans="1:1" ht="13.5">
      <c r="A977" s="80"/>
    </row>
    <row r="978" spans="1:1" ht="13.5">
      <c r="A978" s="80"/>
    </row>
    <row r="979" spans="1:1" ht="13.5">
      <c r="A979" s="80"/>
    </row>
    <row r="980" spans="1:1" ht="13.5">
      <c r="A980" s="80"/>
    </row>
    <row r="981" spans="1:1" ht="13.5">
      <c r="A981" s="80"/>
    </row>
    <row r="982" spans="1:1" ht="13.5">
      <c r="A982" s="80"/>
    </row>
    <row r="983" spans="1:1" ht="13.5">
      <c r="A983" s="80"/>
    </row>
    <row r="984" spans="1:1" ht="13.5">
      <c r="A984" s="80"/>
    </row>
    <row r="985" spans="1:1" ht="13.5">
      <c r="A985" s="80"/>
    </row>
    <row r="986" spans="1:1" ht="13.5">
      <c r="A986" s="80"/>
    </row>
    <row r="987" spans="1:1" ht="13.5">
      <c r="A987" s="80"/>
    </row>
    <row r="988" spans="1:1" ht="13.5">
      <c r="A988" s="80"/>
    </row>
    <row r="989" spans="1:1" ht="13.5">
      <c r="A989" s="80"/>
    </row>
    <row r="990" spans="1:1" ht="13.5">
      <c r="A990" s="80"/>
    </row>
    <row r="991" spans="1:1" ht="13.5">
      <c r="A991" s="80"/>
    </row>
    <row r="992" spans="1:1" ht="13.5">
      <c r="A992" s="80"/>
    </row>
    <row r="993" spans="1:1" ht="13.5">
      <c r="A993" s="80"/>
    </row>
    <row r="994" spans="1:1" ht="13.5">
      <c r="A994" s="80"/>
    </row>
    <row r="995" spans="1:1" ht="13.5">
      <c r="A995" s="80"/>
    </row>
    <row r="996" spans="1:1" ht="13.5">
      <c r="A996" s="80"/>
    </row>
    <row r="997" spans="1:1" ht="13.5">
      <c r="A997" s="80"/>
    </row>
    <row r="998" spans="1:1" ht="13.5">
      <c r="A998" s="80"/>
    </row>
    <row r="999" spans="1:1" ht="13.5">
      <c r="A999" s="80"/>
    </row>
    <row r="1000" spans="1:1" ht="13.5">
      <c r="A1000" s="80"/>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4" customWidth="1"/>
    <col min="2" max="3" width="35.26953125" style="31" customWidth="1"/>
    <col min="4" max="4" width="44" style="31" customWidth="1"/>
    <col min="5" max="5" width="16.7265625" style="31" customWidth="1"/>
    <col min="6" max="6" width="20.26953125" style="31" customWidth="1"/>
    <col min="7" max="7" width="17.7265625" style="32" customWidth="1"/>
    <col min="8" max="8" width="9.1328125" style="32"/>
    <col min="9" max="17" width="9.1328125" style="33"/>
    <col min="18" max="18" width="31.54296875" style="33" customWidth="1"/>
    <col min="19" max="19" width="16" style="33" customWidth="1"/>
    <col min="20" max="16384" width="9.1328125" style="33"/>
  </cols>
  <sheetData>
    <row r="1" spans="1:9">
      <c r="A1" s="113" t="s">
        <v>24</v>
      </c>
      <c r="B1" s="113"/>
      <c r="C1" s="113"/>
      <c r="D1" s="113"/>
      <c r="E1" s="113"/>
    </row>
    <row r="2" spans="1:9" ht="28">
      <c r="A2" s="34" t="s">
        <v>25</v>
      </c>
      <c r="B2" s="34" t="s">
        <v>26</v>
      </c>
      <c r="C2" s="34" t="s">
        <v>27</v>
      </c>
      <c r="D2" s="34" t="s">
        <v>28</v>
      </c>
      <c r="E2" s="34" t="s">
        <v>29</v>
      </c>
      <c r="F2" s="34" t="s">
        <v>30</v>
      </c>
      <c r="G2" s="34" t="s">
        <v>31</v>
      </c>
      <c r="H2" s="34" t="s">
        <v>32</v>
      </c>
      <c r="I2" s="35"/>
    </row>
    <row r="3" spans="1:9" ht="56">
      <c r="A3" s="34" t="s">
        <v>33</v>
      </c>
      <c r="B3" s="31" t="s">
        <v>34</v>
      </c>
      <c r="C3" s="31" t="s">
        <v>35</v>
      </c>
      <c r="E3" s="31" t="s">
        <v>36</v>
      </c>
      <c r="F3" s="31" t="s">
        <v>37</v>
      </c>
      <c r="G3" s="31" t="s">
        <v>38</v>
      </c>
      <c r="H3" s="32" t="s">
        <v>38</v>
      </c>
    </row>
    <row r="4" spans="1:9" ht="28">
      <c r="A4" s="34" t="s">
        <v>39</v>
      </c>
      <c r="B4" s="31" t="s">
        <v>40</v>
      </c>
      <c r="C4" s="31" t="s">
        <v>41</v>
      </c>
      <c r="E4" s="31" t="s">
        <v>42</v>
      </c>
    </row>
    <row r="5" spans="1:9" ht="70">
      <c r="A5" s="34" t="s">
        <v>43</v>
      </c>
      <c r="B5" s="31" t="s">
        <v>44</v>
      </c>
      <c r="C5" s="31" t="s">
        <v>45</v>
      </c>
      <c r="D5" s="31" t="s">
        <v>46</v>
      </c>
      <c r="E5" s="31" t="s">
        <v>47</v>
      </c>
      <c r="F5" s="31" t="s">
        <v>48</v>
      </c>
      <c r="G5" s="32" t="s">
        <v>49</v>
      </c>
      <c r="H5" s="32" t="s">
        <v>38</v>
      </c>
    </row>
    <row r="6" spans="1:9" ht="42">
      <c r="A6" s="34" t="s">
        <v>50</v>
      </c>
      <c r="B6" s="31" t="s">
        <v>51</v>
      </c>
      <c r="C6" s="31" t="s">
        <v>52</v>
      </c>
      <c r="E6" s="31" t="s">
        <v>47</v>
      </c>
      <c r="F6" s="31" t="s">
        <v>48</v>
      </c>
    </row>
    <row r="7" spans="1:9" ht="98">
      <c r="A7" s="34" t="s">
        <v>53</v>
      </c>
      <c r="B7" s="31" t="s">
        <v>54</v>
      </c>
      <c r="C7" s="31" t="s">
        <v>55</v>
      </c>
      <c r="D7" s="31" t="s">
        <v>56</v>
      </c>
      <c r="E7" s="36" t="s">
        <v>57</v>
      </c>
      <c r="F7" s="31" t="s">
        <v>58</v>
      </c>
      <c r="G7" s="31" t="s">
        <v>38</v>
      </c>
      <c r="H7" s="32" t="s">
        <v>38</v>
      </c>
    </row>
    <row r="8" spans="1:9" ht="70">
      <c r="A8" s="34" t="s">
        <v>59</v>
      </c>
      <c r="B8" s="31" t="s">
        <v>60</v>
      </c>
      <c r="C8" s="31" t="s">
        <v>61</v>
      </c>
      <c r="D8" s="31" t="s">
        <v>62</v>
      </c>
      <c r="E8" s="37" t="s">
        <v>63</v>
      </c>
      <c r="F8" s="31" t="s">
        <v>64</v>
      </c>
      <c r="G8" s="32" t="s">
        <v>38</v>
      </c>
      <c r="H8" s="32" t="s">
        <v>38</v>
      </c>
    </row>
    <row r="9" spans="1:9" ht="44.25">
      <c r="A9" s="34" t="s">
        <v>65</v>
      </c>
      <c r="B9" s="31" t="s">
        <v>66</v>
      </c>
      <c r="C9" s="31" t="s">
        <v>67</v>
      </c>
      <c r="E9" s="31" t="s">
        <v>68</v>
      </c>
      <c r="F9" s="31" t="s">
        <v>69</v>
      </c>
      <c r="G9" s="32" t="s">
        <v>70</v>
      </c>
      <c r="H9" s="32" t="s">
        <v>38</v>
      </c>
    </row>
    <row r="10" spans="1:9" ht="59">
      <c r="A10" s="34" t="s">
        <v>71</v>
      </c>
      <c r="B10" s="31" t="s">
        <v>72</v>
      </c>
      <c r="C10" s="31" t="s">
        <v>73</v>
      </c>
      <c r="E10" s="31" t="s">
        <v>74</v>
      </c>
      <c r="F10" s="31" t="s">
        <v>75</v>
      </c>
      <c r="G10" s="32" t="s">
        <v>76</v>
      </c>
      <c r="H10" s="32" t="s">
        <v>38</v>
      </c>
    </row>
    <row r="11" spans="1:9" ht="59">
      <c r="A11" s="34" t="s">
        <v>77</v>
      </c>
      <c r="B11" s="31" t="s">
        <v>78</v>
      </c>
      <c r="C11" s="31" t="s">
        <v>79</v>
      </c>
      <c r="E11" s="38" t="s">
        <v>57</v>
      </c>
      <c r="F11" s="31" t="s">
        <v>75</v>
      </c>
      <c r="G11" s="32" t="s">
        <v>76</v>
      </c>
      <c r="H11" s="32" t="s">
        <v>38</v>
      </c>
    </row>
    <row r="12" spans="1:9" ht="59">
      <c r="A12" s="34" t="s">
        <v>80</v>
      </c>
      <c r="B12" s="31" t="s">
        <v>81</v>
      </c>
      <c r="C12" s="31" t="s">
        <v>82</v>
      </c>
      <c r="E12" s="31" t="s">
        <v>83</v>
      </c>
      <c r="F12" s="31" t="s">
        <v>75</v>
      </c>
      <c r="G12" s="32" t="s">
        <v>76</v>
      </c>
      <c r="H12" s="32" t="s">
        <v>38</v>
      </c>
    </row>
    <row r="13" spans="1:9" ht="59">
      <c r="A13" s="34" t="s">
        <v>84</v>
      </c>
      <c r="B13" s="31" t="s">
        <v>81</v>
      </c>
      <c r="C13" s="31" t="s">
        <v>85</v>
      </c>
      <c r="E13" s="31" t="s">
        <v>83</v>
      </c>
      <c r="F13" s="31" t="s">
        <v>75</v>
      </c>
      <c r="G13" s="32" t="s">
        <v>76</v>
      </c>
      <c r="H13" s="32" t="s">
        <v>38</v>
      </c>
    </row>
    <row r="14" spans="1:9" ht="84">
      <c r="A14" s="34" t="s">
        <v>86</v>
      </c>
      <c r="B14" s="31" t="s">
        <v>87</v>
      </c>
      <c r="C14" s="31" t="s">
        <v>88</v>
      </c>
      <c r="D14" s="31" t="s">
        <v>89</v>
      </c>
      <c r="F14" s="31" t="s">
        <v>75</v>
      </c>
      <c r="G14" s="32" t="s">
        <v>76</v>
      </c>
      <c r="H14" s="32" t="s">
        <v>38</v>
      </c>
    </row>
    <row r="15" spans="1:9" ht="94.9" customHeight="1">
      <c r="A15" s="34" t="s">
        <v>90</v>
      </c>
      <c r="B15" s="31" t="s">
        <v>91</v>
      </c>
      <c r="C15" s="31" t="s">
        <v>92</v>
      </c>
      <c r="D15" s="31" t="s">
        <v>89</v>
      </c>
      <c r="E15" s="31" t="s">
        <v>83</v>
      </c>
    </row>
    <row r="16" spans="1:9" ht="59">
      <c r="A16" s="34" t="s">
        <v>93</v>
      </c>
      <c r="B16" s="31" t="s">
        <v>94</v>
      </c>
      <c r="C16" s="31" t="s">
        <v>95</v>
      </c>
      <c r="E16" s="31" t="s">
        <v>96</v>
      </c>
      <c r="F16" s="31" t="s">
        <v>75</v>
      </c>
      <c r="G16" s="32" t="s">
        <v>76</v>
      </c>
      <c r="H16" s="32" t="s">
        <v>38</v>
      </c>
    </row>
    <row r="17" spans="1:9" ht="140">
      <c r="A17" s="34" t="s">
        <v>97</v>
      </c>
      <c r="B17" s="31" t="s">
        <v>98</v>
      </c>
      <c r="C17" s="31" t="s">
        <v>99</v>
      </c>
      <c r="D17" s="31" t="s">
        <v>100</v>
      </c>
      <c r="E17" s="31" t="s">
        <v>101</v>
      </c>
      <c r="F17" s="31" t="s">
        <v>64</v>
      </c>
      <c r="G17" s="32" t="s">
        <v>38</v>
      </c>
      <c r="H17" s="32" t="s">
        <v>38</v>
      </c>
    </row>
    <row r="18" spans="1:9">
      <c r="A18" s="34" t="s">
        <v>102</v>
      </c>
      <c r="B18" s="31" t="s">
        <v>1</v>
      </c>
    </row>
    <row r="19" spans="1:9" ht="42">
      <c r="A19" s="34" t="s">
        <v>103</v>
      </c>
      <c r="B19" s="31" t="s">
        <v>104</v>
      </c>
      <c r="C19" s="31" t="s">
        <v>105</v>
      </c>
      <c r="E19" s="31" t="s">
        <v>83</v>
      </c>
      <c r="F19" s="31" t="s">
        <v>106</v>
      </c>
      <c r="G19" s="31" t="s">
        <v>49</v>
      </c>
      <c r="H19" s="32" t="s">
        <v>38</v>
      </c>
    </row>
    <row r="20" spans="1:9" ht="42">
      <c r="A20" s="34" t="s">
        <v>107</v>
      </c>
      <c r="B20" s="31" t="s">
        <v>108</v>
      </c>
      <c r="C20" s="31" t="s">
        <v>109</v>
      </c>
      <c r="E20" s="31" t="s">
        <v>83</v>
      </c>
      <c r="F20" s="31" t="s">
        <v>106</v>
      </c>
      <c r="G20" s="31" t="s">
        <v>49</v>
      </c>
      <c r="H20" s="32" t="s">
        <v>38</v>
      </c>
    </row>
    <row r="21" spans="1:9" s="41" customFormat="1" ht="70">
      <c r="A21" s="39" t="s">
        <v>110</v>
      </c>
      <c r="B21" s="40" t="s">
        <v>111</v>
      </c>
      <c r="C21" s="31" t="s">
        <v>112</v>
      </c>
      <c r="D21" s="31"/>
      <c r="E21" s="40"/>
      <c r="F21" s="31" t="s">
        <v>106</v>
      </c>
      <c r="G21" s="31" t="s">
        <v>49</v>
      </c>
      <c r="H21" s="32" t="s">
        <v>38</v>
      </c>
    </row>
    <row r="22" spans="1:9" s="41" customFormat="1" ht="42">
      <c r="A22" s="39" t="s">
        <v>113</v>
      </c>
      <c r="B22" s="40" t="s">
        <v>81</v>
      </c>
      <c r="C22" s="31" t="s">
        <v>114</v>
      </c>
      <c r="D22" s="31"/>
      <c r="E22" s="40" t="s">
        <v>83</v>
      </c>
      <c r="F22" s="40"/>
      <c r="G22" s="42"/>
      <c r="H22" s="42"/>
    </row>
    <row r="23" spans="1:9" ht="126">
      <c r="A23" s="34" t="s">
        <v>115</v>
      </c>
      <c r="B23" s="31" t="s">
        <v>116</v>
      </c>
      <c r="C23" s="31" t="s">
        <v>117</v>
      </c>
      <c r="D23" s="31" t="s">
        <v>118</v>
      </c>
      <c r="E23" s="36" t="s">
        <v>57</v>
      </c>
      <c r="F23" s="31" t="s">
        <v>119</v>
      </c>
      <c r="G23" s="31" t="s">
        <v>49</v>
      </c>
      <c r="H23" s="32" t="s">
        <v>38</v>
      </c>
    </row>
    <row r="24" spans="1:9" ht="41.45" customHeight="1">
      <c r="A24" s="34" t="s">
        <v>120</v>
      </c>
      <c r="B24" s="31" t="s">
        <v>40</v>
      </c>
      <c r="C24" s="114" t="s">
        <v>121</v>
      </c>
      <c r="E24" s="31" t="s">
        <v>42</v>
      </c>
      <c r="F24" s="31" t="s">
        <v>119</v>
      </c>
      <c r="G24" s="31" t="s">
        <v>49</v>
      </c>
      <c r="H24" s="32" t="s">
        <v>38</v>
      </c>
    </row>
    <row r="25" spans="1:9" ht="42">
      <c r="A25" s="34" t="s">
        <v>122</v>
      </c>
      <c r="B25" s="31" t="s">
        <v>40</v>
      </c>
      <c r="C25" s="114"/>
      <c r="E25" s="31" t="s">
        <v>42</v>
      </c>
      <c r="F25" s="31" t="s">
        <v>119</v>
      </c>
      <c r="G25" s="31" t="s">
        <v>49</v>
      </c>
      <c r="H25" s="32" t="s">
        <v>38</v>
      </c>
      <c r="I25" s="43"/>
    </row>
    <row r="26" spans="1:9" ht="42">
      <c r="A26" s="34" t="s">
        <v>123</v>
      </c>
      <c r="B26" s="31" t="s">
        <v>40</v>
      </c>
      <c r="C26" s="114"/>
      <c r="E26" s="31" t="s">
        <v>42</v>
      </c>
      <c r="F26" s="31" t="s">
        <v>119</v>
      </c>
      <c r="G26" s="31" t="s">
        <v>49</v>
      </c>
      <c r="H26" s="32" t="s">
        <v>38</v>
      </c>
    </row>
    <row r="27" spans="1:9" ht="42">
      <c r="A27" s="34" t="s">
        <v>124</v>
      </c>
      <c r="B27" s="31" t="s">
        <v>40</v>
      </c>
      <c r="C27" s="114"/>
      <c r="E27" s="31" t="s">
        <v>42</v>
      </c>
      <c r="F27" s="31" t="s">
        <v>119</v>
      </c>
      <c r="G27" s="31" t="s">
        <v>49</v>
      </c>
      <c r="H27" s="32" t="s">
        <v>38</v>
      </c>
    </row>
    <row r="28" spans="1:9" ht="42">
      <c r="A28" s="34" t="s">
        <v>125</v>
      </c>
      <c r="B28" s="31" t="s">
        <v>40</v>
      </c>
      <c r="C28" s="114"/>
      <c r="E28" s="31" t="s">
        <v>42</v>
      </c>
      <c r="F28" s="31" t="s">
        <v>119</v>
      </c>
      <c r="G28" s="31" t="s">
        <v>49</v>
      </c>
      <c r="H28" s="32" t="s">
        <v>38</v>
      </c>
    </row>
    <row r="29" spans="1:9" ht="42">
      <c r="A29" s="34" t="s">
        <v>126</v>
      </c>
      <c r="B29" s="31" t="s">
        <v>40</v>
      </c>
      <c r="C29" s="114"/>
      <c r="E29" s="31" t="s">
        <v>42</v>
      </c>
      <c r="F29" s="31" t="s">
        <v>119</v>
      </c>
      <c r="G29" s="31" t="s">
        <v>49</v>
      </c>
      <c r="H29" s="32" t="s">
        <v>38</v>
      </c>
    </row>
    <row r="30" spans="1:9" ht="42">
      <c r="A30" s="34" t="s">
        <v>127</v>
      </c>
      <c r="B30" s="31" t="s">
        <v>40</v>
      </c>
      <c r="C30" s="114"/>
      <c r="E30" s="31" t="s">
        <v>42</v>
      </c>
      <c r="F30" s="31" t="s">
        <v>119</v>
      </c>
      <c r="G30" s="31" t="s">
        <v>49</v>
      </c>
      <c r="H30" s="32" t="s">
        <v>38</v>
      </c>
    </row>
    <row r="31" spans="1:9" ht="42">
      <c r="A31" s="34" t="s">
        <v>128</v>
      </c>
      <c r="B31" s="31" t="s">
        <v>40</v>
      </c>
      <c r="C31" s="114"/>
      <c r="E31" s="31" t="s">
        <v>42</v>
      </c>
      <c r="F31" s="31" t="s">
        <v>119</v>
      </c>
      <c r="G31" s="31" t="s">
        <v>49</v>
      </c>
      <c r="H31" s="32" t="s">
        <v>38</v>
      </c>
    </row>
    <row r="32" spans="1:9" ht="42">
      <c r="A32" s="34" t="s">
        <v>129</v>
      </c>
      <c r="B32" s="31" t="s">
        <v>40</v>
      </c>
      <c r="C32" s="114"/>
      <c r="E32" s="31" t="s">
        <v>42</v>
      </c>
      <c r="F32" s="31" t="s">
        <v>119</v>
      </c>
      <c r="G32" s="31" t="s">
        <v>49</v>
      </c>
      <c r="H32" s="32" t="s">
        <v>38</v>
      </c>
    </row>
    <row r="33" spans="1:9" ht="42">
      <c r="A33" s="34" t="s">
        <v>130</v>
      </c>
      <c r="B33" s="31" t="s">
        <v>40</v>
      </c>
      <c r="C33" s="114"/>
      <c r="E33" s="31" t="s">
        <v>42</v>
      </c>
      <c r="F33" s="31" t="s">
        <v>119</v>
      </c>
      <c r="G33" s="31" t="s">
        <v>49</v>
      </c>
      <c r="H33" s="32" t="s">
        <v>38</v>
      </c>
    </row>
    <row r="34" spans="1:9" ht="42">
      <c r="A34" s="34" t="s">
        <v>131</v>
      </c>
      <c r="B34" s="31" t="s">
        <v>40</v>
      </c>
      <c r="C34" s="114"/>
      <c r="E34" s="31" t="s">
        <v>42</v>
      </c>
      <c r="F34" s="31" t="s">
        <v>119</v>
      </c>
      <c r="G34" s="31" t="s">
        <v>49</v>
      </c>
      <c r="H34" s="32" t="s">
        <v>38</v>
      </c>
    </row>
    <row r="35" spans="1:9" ht="42">
      <c r="A35" s="34" t="s">
        <v>132</v>
      </c>
      <c r="B35" s="31" t="s">
        <v>40</v>
      </c>
      <c r="C35" s="114"/>
      <c r="E35" s="31" t="s">
        <v>42</v>
      </c>
      <c r="F35" s="31" t="s">
        <v>119</v>
      </c>
      <c r="G35" s="31" t="s">
        <v>49</v>
      </c>
      <c r="H35" s="32" t="s">
        <v>38</v>
      </c>
    </row>
    <row r="36" spans="1:9" ht="42">
      <c r="A36" s="34" t="s">
        <v>133</v>
      </c>
      <c r="B36" s="31" t="s">
        <v>40</v>
      </c>
      <c r="C36" s="114"/>
      <c r="E36" s="31" t="s">
        <v>42</v>
      </c>
      <c r="F36" s="31" t="s">
        <v>119</v>
      </c>
      <c r="G36" s="31" t="s">
        <v>49</v>
      </c>
      <c r="H36" s="32" t="s">
        <v>38</v>
      </c>
    </row>
    <row r="37" spans="1:9" ht="42">
      <c r="A37" s="34" t="s">
        <v>134</v>
      </c>
      <c r="B37" s="31" t="s">
        <v>40</v>
      </c>
      <c r="C37" s="114"/>
      <c r="E37" s="31" t="s">
        <v>42</v>
      </c>
      <c r="F37" s="31" t="s">
        <v>119</v>
      </c>
      <c r="G37" s="31" t="s">
        <v>49</v>
      </c>
      <c r="H37" s="32" t="s">
        <v>38</v>
      </c>
    </row>
    <row r="38" spans="1:9" ht="42">
      <c r="A38" s="34" t="s">
        <v>135</v>
      </c>
      <c r="B38" s="31" t="s">
        <v>40</v>
      </c>
      <c r="C38" s="114"/>
      <c r="E38" s="31" t="s">
        <v>42</v>
      </c>
      <c r="F38" s="31" t="s">
        <v>119</v>
      </c>
      <c r="G38" s="31" t="s">
        <v>49</v>
      </c>
      <c r="H38" s="32" t="s">
        <v>38</v>
      </c>
    </row>
    <row r="39" spans="1:9" ht="42">
      <c r="A39" s="34" t="s">
        <v>136</v>
      </c>
      <c r="B39" s="31" t="s">
        <v>40</v>
      </c>
      <c r="C39" s="114"/>
      <c r="E39" s="31" t="s">
        <v>42</v>
      </c>
      <c r="F39" s="31" t="s">
        <v>119</v>
      </c>
      <c r="G39" s="31" t="s">
        <v>49</v>
      </c>
      <c r="H39" s="32" t="s">
        <v>38</v>
      </c>
    </row>
    <row r="40" spans="1:9" ht="42">
      <c r="A40" s="34" t="s">
        <v>137</v>
      </c>
      <c r="B40" s="31" t="s">
        <v>40</v>
      </c>
      <c r="C40" s="114"/>
      <c r="E40" s="31" t="s">
        <v>42</v>
      </c>
      <c r="F40" s="31" t="s">
        <v>119</v>
      </c>
      <c r="G40" s="31" t="s">
        <v>49</v>
      </c>
      <c r="H40" s="32" t="s">
        <v>38</v>
      </c>
    </row>
    <row r="41" spans="1:9" ht="42">
      <c r="A41" s="34" t="s">
        <v>138</v>
      </c>
      <c r="B41" s="31" t="s">
        <v>40</v>
      </c>
      <c r="C41" s="114"/>
      <c r="E41" s="31" t="s">
        <v>42</v>
      </c>
      <c r="F41" s="31" t="s">
        <v>119</v>
      </c>
      <c r="G41" s="31" t="s">
        <v>49</v>
      </c>
      <c r="H41" s="32" t="s">
        <v>38</v>
      </c>
    </row>
    <row r="42" spans="1:9" ht="42">
      <c r="A42" s="34" t="s">
        <v>139</v>
      </c>
      <c r="B42" s="31" t="s">
        <v>40</v>
      </c>
      <c r="C42" s="114"/>
      <c r="E42" s="31" t="s">
        <v>42</v>
      </c>
      <c r="F42" s="31" t="s">
        <v>119</v>
      </c>
      <c r="G42" s="31" t="s">
        <v>49</v>
      </c>
      <c r="H42" s="32" t="s">
        <v>38</v>
      </c>
    </row>
    <row r="43" spans="1:9" ht="210">
      <c r="A43" s="34" t="s">
        <v>140</v>
      </c>
      <c r="B43" s="31" t="s">
        <v>141</v>
      </c>
      <c r="C43" s="31" t="s">
        <v>142</v>
      </c>
      <c r="D43" s="44" t="s">
        <v>143</v>
      </c>
      <c r="F43" s="31" t="s">
        <v>119</v>
      </c>
      <c r="G43" s="31" t="s">
        <v>49</v>
      </c>
      <c r="H43" s="32" t="s">
        <v>38</v>
      </c>
    </row>
    <row r="44" spans="1:9" ht="59">
      <c r="A44" s="39" t="s">
        <v>144</v>
      </c>
      <c r="B44" s="40" t="s">
        <v>145</v>
      </c>
      <c r="D44" s="31" t="s">
        <v>146</v>
      </c>
      <c r="E44" s="31" t="s">
        <v>147</v>
      </c>
      <c r="F44" s="31" t="s">
        <v>75</v>
      </c>
      <c r="G44" s="32" t="s">
        <v>76</v>
      </c>
      <c r="H44" s="32" t="s">
        <v>38</v>
      </c>
      <c r="I44" s="45"/>
    </row>
    <row r="45" spans="1:9" ht="56">
      <c r="A45" s="39" t="s">
        <v>148</v>
      </c>
      <c r="B45" s="40" t="s">
        <v>145</v>
      </c>
      <c r="D45" s="31" t="s">
        <v>149</v>
      </c>
      <c r="E45" s="31" t="s">
        <v>150</v>
      </c>
      <c r="F45" s="31" t="s">
        <v>64</v>
      </c>
      <c r="G45" s="32" t="s">
        <v>38</v>
      </c>
      <c r="H45" s="32" t="s">
        <v>38</v>
      </c>
    </row>
    <row r="46" spans="1:9" ht="28">
      <c r="A46" s="34" t="s">
        <v>151</v>
      </c>
      <c r="B46" s="31" t="s">
        <v>152</v>
      </c>
      <c r="C46" s="31" t="s">
        <v>153</v>
      </c>
      <c r="E46" s="31" t="s">
        <v>42</v>
      </c>
    </row>
    <row r="47" spans="1:9" ht="14">
      <c r="C47" s="40"/>
      <c r="E47" s="36"/>
      <c r="G47" s="31"/>
      <c r="H47" s="31"/>
    </row>
  </sheetData>
  <mergeCells count="2">
    <mergeCell ref="A1:E1"/>
    <mergeCell ref="C24:C4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178</v>
      </c>
      <c r="B1" t="s">
        <v>179</v>
      </c>
      <c r="C1" t="s">
        <v>180</v>
      </c>
      <c r="D1" t="s">
        <v>181</v>
      </c>
      <c r="E1" t="s">
        <v>182</v>
      </c>
      <c r="F1" t="s">
        <v>183</v>
      </c>
      <c r="G1" t="s">
        <v>184</v>
      </c>
      <c r="H1" t="s">
        <v>185</v>
      </c>
      <c r="I1" t="s">
        <v>186</v>
      </c>
      <c r="J1" t="s">
        <v>187</v>
      </c>
      <c r="K1" t="s">
        <v>188</v>
      </c>
      <c r="L1" t="s">
        <v>189</v>
      </c>
      <c r="M1" t="s">
        <v>190</v>
      </c>
    </row>
    <row r="2" spans="1:13">
      <c r="A2" t="s">
        <v>15</v>
      </c>
      <c r="B2" t="s">
        <v>17</v>
      </c>
      <c r="C2" t="s">
        <v>191</v>
      </c>
      <c r="D2" t="s">
        <v>192</v>
      </c>
      <c r="E2" t="s">
        <v>193</v>
      </c>
      <c r="F2" t="s">
        <v>194</v>
      </c>
      <c r="G2" t="s">
        <v>195</v>
      </c>
      <c r="H2" t="s">
        <v>194</v>
      </c>
      <c r="I2" t="s">
        <v>196</v>
      </c>
      <c r="J2" t="s">
        <v>197</v>
      </c>
      <c r="K2" t="s">
        <v>198</v>
      </c>
      <c r="L2" t="s">
        <v>199</v>
      </c>
      <c r="M2" t="s">
        <v>200</v>
      </c>
    </row>
    <row r="3" spans="1:13">
      <c r="A3" t="s">
        <v>15</v>
      </c>
      <c r="B3" t="s">
        <v>201</v>
      </c>
      <c r="C3" t="s">
        <v>202</v>
      </c>
      <c r="D3" t="s">
        <v>201</v>
      </c>
      <c r="E3" t="s">
        <v>203</v>
      </c>
      <c r="F3" t="s">
        <v>204</v>
      </c>
      <c r="G3" t="s">
        <v>195</v>
      </c>
      <c r="H3" t="s">
        <v>194</v>
      </c>
      <c r="I3" t="s">
        <v>196</v>
      </c>
      <c r="J3" t="s">
        <v>203</v>
      </c>
      <c r="K3" t="s">
        <v>205</v>
      </c>
      <c r="L3" t="s">
        <v>206</v>
      </c>
      <c r="M3" t="s">
        <v>194</v>
      </c>
    </row>
    <row r="4" spans="1:13">
      <c r="A4" t="s">
        <v>15</v>
      </c>
      <c r="B4" t="s">
        <v>207</v>
      </c>
      <c r="C4" t="s">
        <v>208</v>
      </c>
      <c r="D4" t="s">
        <v>207</v>
      </c>
      <c r="E4" t="s">
        <v>209</v>
      </c>
      <c r="F4" t="s">
        <v>210</v>
      </c>
      <c r="G4" t="s">
        <v>195</v>
      </c>
      <c r="H4" t="s">
        <v>194</v>
      </c>
      <c r="I4" t="s">
        <v>211</v>
      </c>
      <c r="J4" t="s">
        <v>212</v>
      </c>
      <c r="K4" t="s">
        <v>213</v>
      </c>
      <c r="L4" t="s">
        <v>214</v>
      </c>
      <c r="M4" t="s">
        <v>194</v>
      </c>
    </row>
    <row r="5" spans="1:13">
      <c r="A5" t="s">
        <v>15</v>
      </c>
      <c r="B5" t="s">
        <v>215</v>
      </c>
      <c r="C5" t="s">
        <v>216</v>
      </c>
      <c r="D5" t="s">
        <v>217</v>
      </c>
      <c r="E5" t="s">
        <v>218</v>
      </c>
      <c r="F5" t="s">
        <v>194</v>
      </c>
      <c r="G5" t="s">
        <v>219</v>
      </c>
      <c r="H5" t="s">
        <v>194</v>
      </c>
      <c r="I5" t="s">
        <v>196</v>
      </c>
      <c r="J5" t="s">
        <v>220</v>
      </c>
      <c r="K5" t="s">
        <v>221</v>
      </c>
      <c r="L5" t="s">
        <v>222</v>
      </c>
      <c r="M5" t="s">
        <v>223</v>
      </c>
    </row>
    <row r="6" spans="1:13">
      <c r="A6" t="s">
        <v>15</v>
      </c>
      <c r="B6" t="s">
        <v>224</v>
      </c>
      <c r="C6" t="s">
        <v>225</v>
      </c>
      <c r="D6" t="s">
        <v>226</v>
      </c>
      <c r="E6" t="s">
        <v>227</v>
      </c>
      <c r="F6" t="s">
        <v>194</v>
      </c>
      <c r="G6" t="s">
        <v>219</v>
      </c>
      <c r="H6" t="s">
        <v>194</v>
      </c>
      <c r="I6" t="s">
        <v>211</v>
      </c>
      <c r="J6" t="s">
        <v>228</v>
      </c>
      <c r="K6" t="s">
        <v>229</v>
      </c>
      <c r="L6" t="s">
        <v>230</v>
      </c>
      <c r="M6" t="s">
        <v>223</v>
      </c>
    </row>
    <row r="7" spans="1:13">
      <c r="A7" t="s">
        <v>15</v>
      </c>
      <c r="B7" t="s">
        <v>231</v>
      </c>
      <c r="C7" t="s">
        <v>232</v>
      </c>
      <c r="D7" t="s">
        <v>233</v>
      </c>
      <c r="E7" t="s">
        <v>234</v>
      </c>
      <c r="F7" t="s">
        <v>194</v>
      </c>
      <c r="G7" t="s">
        <v>195</v>
      </c>
      <c r="H7" t="s">
        <v>194</v>
      </c>
      <c r="I7" t="s">
        <v>196</v>
      </c>
      <c r="J7" t="s">
        <v>235</v>
      </c>
      <c r="K7" t="s">
        <v>236</v>
      </c>
      <c r="L7" t="s">
        <v>237</v>
      </c>
      <c r="M7" t="s">
        <v>194</v>
      </c>
    </row>
    <row r="8" spans="1:13">
      <c r="A8" t="s">
        <v>15</v>
      </c>
      <c r="B8" t="s">
        <v>238</v>
      </c>
      <c r="C8" t="s">
        <v>239</v>
      </c>
      <c r="D8" t="s">
        <v>240</v>
      </c>
      <c r="E8" t="s">
        <v>241</v>
      </c>
      <c r="F8" t="s">
        <v>194</v>
      </c>
      <c r="G8" t="s">
        <v>195</v>
      </c>
      <c r="H8" t="s">
        <v>194</v>
      </c>
      <c r="I8" t="s">
        <v>196</v>
      </c>
      <c r="J8" t="s">
        <v>242</v>
      </c>
      <c r="K8" t="s">
        <v>243</v>
      </c>
      <c r="L8" t="s">
        <v>244</v>
      </c>
      <c r="M8" t="s">
        <v>194</v>
      </c>
    </row>
    <row r="9" spans="1:13">
      <c r="A9" t="s">
        <v>15</v>
      </c>
      <c r="B9" t="s">
        <v>245</v>
      </c>
      <c r="C9" t="s">
        <v>246</v>
      </c>
      <c r="D9" t="s">
        <v>247</v>
      </c>
      <c r="E9" t="s">
        <v>248</v>
      </c>
      <c r="F9" t="s">
        <v>249</v>
      </c>
      <c r="G9" t="s">
        <v>195</v>
      </c>
      <c r="H9" t="s">
        <v>194</v>
      </c>
      <c r="I9" t="s">
        <v>250</v>
      </c>
      <c r="J9" t="s">
        <v>251</v>
      </c>
      <c r="K9" t="s">
        <v>252</v>
      </c>
      <c r="L9" t="s">
        <v>253</v>
      </c>
      <c r="M9" t="s">
        <v>194</v>
      </c>
    </row>
    <row r="10" spans="1:13">
      <c r="A10" t="s">
        <v>15</v>
      </c>
      <c r="B10" t="s">
        <v>254</v>
      </c>
      <c r="C10" t="s">
        <v>255</v>
      </c>
      <c r="D10" t="s">
        <v>256</v>
      </c>
      <c r="E10" t="s">
        <v>257</v>
      </c>
      <c r="F10" t="s">
        <v>194</v>
      </c>
      <c r="G10" t="s">
        <v>219</v>
      </c>
      <c r="I10" t="s">
        <v>196</v>
      </c>
      <c r="J10" t="s">
        <v>258</v>
      </c>
      <c r="K10" t="s">
        <v>259</v>
      </c>
      <c r="L10" t="s">
        <v>260</v>
      </c>
      <c r="M10" t="s">
        <v>194</v>
      </c>
    </row>
    <row r="11" spans="1:13">
      <c r="A11" t="s">
        <v>15</v>
      </c>
      <c r="B11" t="s">
        <v>261</v>
      </c>
      <c r="C11" t="s">
        <v>262</v>
      </c>
      <c r="D11" t="s">
        <v>263</v>
      </c>
      <c r="E11" t="s">
        <v>264</v>
      </c>
      <c r="F11" t="s">
        <v>265</v>
      </c>
      <c r="G11" t="s">
        <v>195</v>
      </c>
      <c r="H11" t="s">
        <v>194</v>
      </c>
      <c r="I11" t="s">
        <v>196</v>
      </c>
      <c r="J11" t="s">
        <v>266</v>
      </c>
      <c r="K11" t="s">
        <v>267</v>
      </c>
      <c r="L11" t="s">
        <v>268</v>
      </c>
      <c r="M11" t="s">
        <v>194</v>
      </c>
    </row>
    <row r="12" spans="1:13">
      <c r="A12" t="s">
        <v>269</v>
      </c>
      <c r="B12" t="s">
        <v>219</v>
      </c>
      <c r="C12" t="s">
        <v>270</v>
      </c>
      <c r="D12" t="s">
        <v>219</v>
      </c>
      <c r="E12" t="s">
        <v>271</v>
      </c>
      <c r="F12" t="s">
        <v>194</v>
      </c>
      <c r="G12" t="s">
        <v>219</v>
      </c>
      <c r="H12" t="s">
        <v>194</v>
      </c>
      <c r="I12" t="s">
        <v>196</v>
      </c>
      <c r="J12" t="s">
        <v>271</v>
      </c>
      <c r="K12" t="s">
        <v>272</v>
      </c>
      <c r="L12" t="s">
        <v>273</v>
      </c>
      <c r="M12" t="s">
        <v>194</v>
      </c>
    </row>
    <row r="13" spans="1:13">
      <c r="A13" t="s">
        <v>269</v>
      </c>
      <c r="B13" t="s">
        <v>274</v>
      </c>
      <c r="C13" t="s">
        <v>275</v>
      </c>
      <c r="D13" t="s">
        <v>276</v>
      </c>
      <c r="E13" t="s">
        <v>277</v>
      </c>
      <c r="F13" t="s">
        <v>278</v>
      </c>
      <c r="G13" t="s">
        <v>195</v>
      </c>
      <c r="H13" t="s">
        <v>194</v>
      </c>
      <c r="I13" t="s">
        <v>196</v>
      </c>
      <c r="J13" t="s">
        <v>277</v>
      </c>
      <c r="K13" t="s">
        <v>279</v>
      </c>
      <c r="L13" t="s">
        <v>280</v>
      </c>
      <c r="M13" t="s">
        <v>194</v>
      </c>
    </row>
    <row r="14" spans="1:13">
      <c r="A14" t="s">
        <v>281</v>
      </c>
      <c r="B14" t="s">
        <v>282</v>
      </c>
      <c r="C14" t="s">
        <v>283</v>
      </c>
      <c r="D14" t="s">
        <v>284</v>
      </c>
      <c r="E14" t="s">
        <v>285</v>
      </c>
      <c r="F14" t="s">
        <v>286</v>
      </c>
      <c r="G14" t="s">
        <v>195</v>
      </c>
      <c r="H14" t="s">
        <v>194</v>
      </c>
      <c r="I14" t="s">
        <v>287</v>
      </c>
      <c r="J14" t="s">
        <v>288</v>
      </c>
      <c r="K14" t="s">
        <v>289</v>
      </c>
      <c r="L14" t="s">
        <v>290</v>
      </c>
      <c r="M14" t="s">
        <v>291</v>
      </c>
    </row>
    <row r="15" spans="1:13">
      <c r="A15" t="s">
        <v>281</v>
      </c>
      <c r="B15" t="s">
        <v>292</v>
      </c>
      <c r="C15" t="s">
        <v>293</v>
      </c>
      <c r="D15" t="s">
        <v>294</v>
      </c>
      <c r="E15" t="s">
        <v>219</v>
      </c>
      <c r="F15" t="s">
        <v>194</v>
      </c>
      <c r="G15" t="s">
        <v>219</v>
      </c>
      <c r="H15" t="s">
        <v>194</v>
      </c>
      <c r="I15" t="s">
        <v>287</v>
      </c>
      <c r="J15" t="s">
        <v>295</v>
      </c>
      <c r="K15" t="s">
        <v>296</v>
      </c>
      <c r="L15" t="s">
        <v>297</v>
      </c>
      <c r="M15" t="s">
        <v>194</v>
      </c>
    </row>
    <row r="16" spans="1:13">
      <c r="A16" t="s">
        <v>281</v>
      </c>
      <c r="B16" t="s">
        <v>298</v>
      </c>
      <c r="C16" t="s">
        <v>299</v>
      </c>
      <c r="D16" t="s">
        <v>300</v>
      </c>
      <c r="E16" t="s">
        <v>301</v>
      </c>
      <c r="F16" t="s">
        <v>194</v>
      </c>
      <c r="G16" t="s">
        <v>219</v>
      </c>
      <c r="H16" t="s">
        <v>194</v>
      </c>
      <c r="I16" t="s">
        <v>211</v>
      </c>
      <c r="J16" t="s">
        <v>302</v>
      </c>
      <c r="K16" t="s">
        <v>303</v>
      </c>
      <c r="L16" t="s">
        <v>304</v>
      </c>
      <c r="M16" t="s">
        <v>194</v>
      </c>
    </row>
    <row r="17" spans="1:13">
      <c r="A17" t="s">
        <v>305</v>
      </c>
      <c r="B17" t="s">
        <v>306</v>
      </c>
      <c r="C17" t="s">
        <v>307</v>
      </c>
      <c r="D17" t="s">
        <v>308</v>
      </c>
      <c r="E17" t="s">
        <v>309</v>
      </c>
      <c r="F17" t="s">
        <v>310</v>
      </c>
      <c r="G17" t="s">
        <v>195</v>
      </c>
      <c r="H17" t="s">
        <v>194</v>
      </c>
      <c r="I17" t="s">
        <v>287</v>
      </c>
      <c r="J17" t="s">
        <v>311</v>
      </c>
      <c r="K17" t="s">
        <v>312</v>
      </c>
      <c r="L17" t="s">
        <v>313</v>
      </c>
      <c r="M17" t="s">
        <v>194</v>
      </c>
    </row>
    <row r="18" spans="1:13">
      <c r="A18" t="s">
        <v>305</v>
      </c>
      <c r="B18" t="s">
        <v>314</v>
      </c>
      <c r="C18" t="s">
        <v>315</v>
      </c>
      <c r="D18" t="s">
        <v>314</v>
      </c>
      <c r="E18" t="s">
        <v>314</v>
      </c>
      <c r="F18" t="s">
        <v>316</v>
      </c>
      <c r="G18" t="s">
        <v>195</v>
      </c>
      <c r="H18" t="s">
        <v>194</v>
      </c>
      <c r="I18" t="s">
        <v>287</v>
      </c>
      <c r="J18" t="s">
        <v>317</v>
      </c>
      <c r="K18" t="s">
        <v>318</v>
      </c>
      <c r="L18" t="s">
        <v>319</v>
      </c>
      <c r="M18" t="s">
        <v>194</v>
      </c>
    </row>
    <row r="19" spans="1:13">
      <c r="A19" t="s">
        <v>320</v>
      </c>
      <c r="B19" t="s">
        <v>321</v>
      </c>
      <c r="C19" t="s">
        <v>322</v>
      </c>
      <c r="D19" t="s">
        <v>321</v>
      </c>
      <c r="E19" t="s">
        <v>323</v>
      </c>
      <c r="F19" t="s">
        <v>324</v>
      </c>
      <c r="G19" t="s">
        <v>195</v>
      </c>
      <c r="H19" t="s">
        <v>194</v>
      </c>
      <c r="I19" t="s">
        <v>196</v>
      </c>
      <c r="J19" t="s">
        <v>325</v>
      </c>
      <c r="K19" t="s">
        <v>326</v>
      </c>
      <c r="L19" t="s">
        <v>327</v>
      </c>
      <c r="M19" t="s">
        <v>194</v>
      </c>
    </row>
    <row r="20" spans="1:13">
      <c r="A20" t="s">
        <v>320</v>
      </c>
      <c r="B20" t="s">
        <v>328</v>
      </c>
      <c r="C20" t="s">
        <v>329</v>
      </c>
      <c r="D20" t="s">
        <v>330</v>
      </c>
      <c r="E20" t="s">
        <v>331</v>
      </c>
      <c r="F20" t="s">
        <v>194</v>
      </c>
      <c r="G20" t="s">
        <v>219</v>
      </c>
      <c r="H20" t="s">
        <v>194</v>
      </c>
      <c r="I20" t="s">
        <v>196</v>
      </c>
      <c r="J20" t="s">
        <v>332</v>
      </c>
      <c r="K20" t="s">
        <v>333</v>
      </c>
      <c r="L20" t="s">
        <v>334</v>
      </c>
      <c r="M20" t="s">
        <v>194</v>
      </c>
    </row>
    <row r="21" spans="1:13">
      <c r="A21" t="s">
        <v>320</v>
      </c>
      <c r="B21" t="s">
        <v>335</v>
      </c>
      <c r="C21" t="s">
        <v>336</v>
      </c>
      <c r="D21" t="s">
        <v>337</v>
      </c>
      <c r="E21" t="s">
        <v>338</v>
      </c>
      <c r="F21" t="s">
        <v>194</v>
      </c>
      <c r="G21" t="s">
        <v>219</v>
      </c>
      <c r="H21" t="s">
        <v>194</v>
      </c>
      <c r="I21" t="s">
        <v>211</v>
      </c>
      <c r="J21" t="s">
        <v>339</v>
      </c>
      <c r="K21" t="s">
        <v>340</v>
      </c>
      <c r="L21" t="s">
        <v>341</v>
      </c>
      <c r="M21" t="s">
        <v>194</v>
      </c>
    </row>
    <row r="22" spans="1:13">
      <c r="A22" t="s">
        <v>320</v>
      </c>
      <c r="B22" t="s">
        <v>342</v>
      </c>
      <c r="C22" t="s">
        <v>343</v>
      </c>
      <c r="D22" t="s">
        <v>344</v>
      </c>
      <c r="E22" t="s">
        <v>345</v>
      </c>
      <c r="F22" t="s">
        <v>346</v>
      </c>
      <c r="G22" t="s">
        <v>195</v>
      </c>
      <c r="H22" t="s">
        <v>194</v>
      </c>
      <c r="I22" t="s">
        <v>211</v>
      </c>
      <c r="J22" t="s">
        <v>347</v>
      </c>
      <c r="K22" t="s">
        <v>348</v>
      </c>
      <c r="L22" t="s">
        <v>349</v>
      </c>
      <c r="M22" t="s">
        <v>194</v>
      </c>
    </row>
    <row r="23" spans="1:13">
      <c r="A23" t="s">
        <v>320</v>
      </c>
      <c r="B23" t="s">
        <v>350</v>
      </c>
      <c r="C23" t="s">
        <v>351</v>
      </c>
      <c r="D23" t="s">
        <v>352</v>
      </c>
      <c r="E23" t="s">
        <v>353</v>
      </c>
      <c r="F23" t="s">
        <v>194</v>
      </c>
      <c r="G23" t="s">
        <v>354</v>
      </c>
      <c r="H23" t="s">
        <v>194</v>
      </c>
      <c r="I23" t="s">
        <v>211</v>
      </c>
      <c r="J23" t="s">
        <v>355</v>
      </c>
      <c r="K23" t="s">
        <v>356</v>
      </c>
      <c r="L23" t="s">
        <v>357</v>
      </c>
      <c r="M23" t="s">
        <v>194</v>
      </c>
    </row>
    <row r="24" spans="1:13">
      <c r="A24" t="s">
        <v>320</v>
      </c>
      <c r="B24" t="s">
        <v>358</v>
      </c>
      <c r="C24" t="s">
        <v>359</v>
      </c>
      <c r="D24" t="s">
        <v>360</v>
      </c>
      <c r="E24" t="s">
        <v>358</v>
      </c>
      <c r="F24" t="s">
        <v>361</v>
      </c>
      <c r="G24" t="s">
        <v>195</v>
      </c>
      <c r="H24" t="s">
        <v>194</v>
      </c>
      <c r="I24" t="s">
        <v>362</v>
      </c>
      <c r="J24" t="s">
        <v>363</v>
      </c>
      <c r="K24" t="s">
        <v>364</v>
      </c>
      <c r="L24" t="s">
        <v>365</v>
      </c>
      <c r="M24" t="s">
        <v>194</v>
      </c>
    </row>
    <row r="25" spans="1:13">
      <c r="A25" t="s">
        <v>320</v>
      </c>
      <c r="B25" t="s">
        <v>366</v>
      </c>
      <c r="C25" t="s">
        <v>367</v>
      </c>
      <c r="D25" t="s">
        <v>368</v>
      </c>
      <c r="E25" t="s">
        <v>366</v>
      </c>
      <c r="F25" t="s">
        <v>369</v>
      </c>
      <c r="G25" t="s">
        <v>195</v>
      </c>
      <c r="H25" t="s">
        <v>194</v>
      </c>
      <c r="I25" t="s">
        <v>370</v>
      </c>
      <c r="J25" t="s">
        <v>371</v>
      </c>
      <c r="K25" t="s">
        <v>372</v>
      </c>
      <c r="L25" t="s">
        <v>373</v>
      </c>
      <c r="M25" t="s">
        <v>194</v>
      </c>
    </row>
    <row r="26" spans="1:13">
      <c r="A26" t="s">
        <v>320</v>
      </c>
      <c r="B26" t="s">
        <v>374</v>
      </c>
      <c r="C26" t="s">
        <v>375</v>
      </c>
      <c r="D26" t="s">
        <v>376</v>
      </c>
      <c r="E26" t="s">
        <v>374</v>
      </c>
      <c r="F26" t="s">
        <v>377</v>
      </c>
      <c r="G26" t="s">
        <v>195</v>
      </c>
      <c r="H26" t="s">
        <v>194</v>
      </c>
      <c r="I26" t="s">
        <v>378</v>
      </c>
      <c r="J26" t="s">
        <v>379</v>
      </c>
      <c r="K26" t="s">
        <v>380</v>
      </c>
      <c r="L26" t="s">
        <v>381</v>
      </c>
      <c r="M26" t="s">
        <v>194</v>
      </c>
    </row>
    <row r="27" spans="1:13">
      <c r="A27" t="s">
        <v>320</v>
      </c>
      <c r="B27" t="s">
        <v>382</v>
      </c>
      <c r="C27" t="s">
        <v>383</v>
      </c>
      <c r="D27" t="s">
        <v>384</v>
      </c>
      <c r="E27" t="s">
        <v>382</v>
      </c>
      <c r="F27" t="s">
        <v>385</v>
      </c>
      <c r="G27" t="s">
        <v>195</v>
      </c>
      <c r="H27" t="s">
        <v>194</v>
      </c>
      <c r="I27" t="s">
        <v>386</v>
      </c>
      <c r="J27" t="s">
        <v>387</v>
      </c>
      <c r="K27" t="s">
        <v>388</v>
      </c>
      <c r="L27" t="s">
        <v>389</v>
      </c>
      <c r="M27" t="s">
        <v>194</v>
      </c>
    </row>
    <row r="28" spans="1:13">
      <c r="A28" t="s">
        <v>320</v>
      </c>
      <c r="B28" t="s">
        <v>292</v>
      </c>
      <c r="C28" t="s">
        <v>390</v>
      </c>
      <c r="D28" t="s">
        <v>294</v>
      </c>
      <c r="E28" t="s">
        <v>391</v>
      </c>
      <c r="F28" t="s">
        <v>194</v>
      </c>
      <c r="G28" t="s">
        <v>219</v>
      </c>
      <c r="H28" t="s">
        <v>194</v>
      </c>
      <c r="I28" t="s">
        <v>196</v>
      </c>
      <c r="J28" t="s">
        <v>392</v>
      </c>
      <c r="K28" t="s">
        <v>393</v>
      </c>
      <c r="L28" t="s">
        <v>394</v>
      </c>
      <c r="M28" t="s">
        <v>194</v>
      </c>
    </row>
    <row r="29" spans="1:13">
      <c r="A29" t="s">
        <v>320</v>
      </c>
      <c r="B29" t="s">
        <v>306</v>
      </c>
      <c r="C29" t="s">
        <v>395</v>
      </c>
      <c r="D29" t="s">
        <v>308</v>
      </c>
      <c r="E29" t="s">
        <v>309</v>
      </c>
      <c r="F29" t="s">
        <v>310</v>
      </c>
      <c r="G29" t="s">
        <v>195</v>
      </c>
      <c r="H29" t="s">
        <v>194</v>
      </c>
      <c r="I29" t="s">
        <v>196</v>
      </c>
      <c r="J29" t="s">
        <v>396</v>
      </c>
      <c r="K29" t="s">
        <v>397</v>
      </c>
      <c r="L29" t="s">
        <v>398</v>
      </c>
      <c r="M29" t="s">
        <v>194</v>
      </c>
    </row>
    <row r="30" spans="1:13">
      <c r="A30" t="s">
        <v>320</v>
      </c>
      <c r="B30" t="s">
        <v>399</v>
      </c>
      <c r="C30" t="s">
        <v>400</v>
      </c>
      <c r="D30" t="s">
        <v>401</v>
      </c>
      <c r="E30" t="s">
        <v>402</v>
      </c>
      <c r="F30" t="s">
        <v>403</v>
      </c>
      <c r="G30" t="s">
        <v>195</v>
      </c>
      <c r="H30" t="s">
        <v>194</v>
      </c>
      <c r="I30" t="s">
        <v>196</v>
      </c>
      <c r="J30" t="s">
        <v>404</v>
      </c>
      <c r="K30" t="s">
        <v>405</v>
      </c>
      <c r="L30" t="s">
        <v>406</v>
      </c>
      <c r="M30" t="s">
        <v>194</v>
      </c>
    </row>
    <row r="31" spans="1:13">
      <c r="A31" t="s">
        <v>320</v>
      </c>
      <c r="B31" t="s">
        <v>407</v>
      </c>
      <c r="C31" t="s">
        <v>408</v>
      </c>
      <c r="D31" t="s">
        <v>407</v>
      </c>
      <c r="E31" t="s">
        <v>409</v>
      </c>
      <c r="F31" t="s">
        <v>410</v>
      </c>
      <c r="G31" t="s">
        <v>195</v>
      </c>
      <c r="H31" t="s">
        <v>194</v>
      </c>
      <c r="I31" t="s">
        <v>211</v>
      </c>
      <c r="J31" t="s">
        <v>411</v>
      </c>
      <c r="K31" t="s">
        <v>412</v>
      </c>
      <c r="L31" t="s">
        <v>413</v>
      </c>
      <c r="M31" t="s">
        <v>194</v>
      </c>
    </row>
    <row r="32" spans="1:13">
      <c r="A32" t="s">
        <v>414</v>
      </c>
      <c r="B32" t="s">
        <v>415</v>
      </c>
      <c r="C32" t="s">
        <v>416</v>
      </c>
      <c r="D32" t="s">
        <v>415</v>
      </c>
      <c r="E32" t="s">
        <v>415</v>
      </c>
      <c r="F32" t="s">
        <v>417</v>
      </c>
      <c r="G32" t="s">
        <v>195</v>
      </c>
      <c r="H32" t="s">
        <v>194</v>
      </c>
      <c r="I32" t="s">
        <v>418</v>
      </c>
      <c r="J32" t="s">
        <v>419</v>
      </c>
      <c r="K32" t="s">
        <v>420</v>
      </c>
      <c r="L32" t="s">
        <v>421</v>
      </c>
      <c r="M32" t="s">
        <v>194</v>
      </c>
    </row>
    <row r="33" spans="1:13">
      <c r="A33" t="s">
        <v>414</v>
      </c>
      <c r="B33" t="s">
        <v>422</v>
      </c>
      <c r="C33" t="s">
        <v>423</v>
      </c>
      <c r="D33" t="s">
        <v>422</v>
      </c>
      <c r="E33" t="s">
        <v>422</v>
      </c>
      <c r="F33" t="s">
        <v>424</v>
      </c>
      <c r="G33" t="s">
        <v>195</v>
      </c>
      <c r="H33" t="s">
        <v>194</v>
      </c>
      <c r="I33" t="s">
        <v>425</v>
      </c>
      <c r="J33" t="s">
        <v>426</v>
      </c>
      <c r="K33" t="s">
        <v>427</v>
      </c>
      <c r="L33" t="s">
        <v>428</v>
      </c>
      <c r="M33" t="s">
        <v>194</v>
      </c>
    </row>
    <row r="34" spans="1:13">
      <c r="A34" t="s">
        <v>414</v>
      </c>
      <c r="B34" t="s">
        <v>429</v>
      </c>
      <c r="C34" t="s">
        <v>430</v>
      </c>
      <c r="D34" t="s">
        <v>429</v>
      </c>
      <c r="E34" t="s">
        <v>429</v>
      </c>
      <c r="F34" t="s">
        <v>431</v>
      </c>
      <c r="G34" t="s">
        <v>195</v>
      </c>
      <c r="H34" t="s">
        <v>194</v>
      </c>
      <c r="I34" t="s">
        <v>432</v>
      </c>
      <c r="J34" t="s">
        <v>433</v>
      </c>
      <c r="K34" t="s">
        <v>434</v>
      </c>
      <c r="L34" t="s">
        <v>435</v>
      </c>
      <c r="M34" t="s">
        <v>194</v>
      </c>
    </row>
    <row r="35" spans="1:13">
      <c r="A35" t="s">
        <v>414</v>
      </c>
      <c r="B35" t="s">
        <v>436</v>
      </c>
      <c r="C35" t="s">
        <v>437</v>
      </c>
      <c r="D35" t="s">
        <v>438</v>
      </c>
      <c r="E35" t="s">
        <v>439</v>
      </c>
      <c r="F35" t="s">
        <v>440</v>
      </c>
      <c r="G35" t="s">
        <v>195</v>
      </c>
      <c r="H35" t="s">
        <v>194</v>
      </c>
      <c r="I35" t="s">
        <v>211</v>
      </c>
      <c r="J35" t="s">
        <v>441</v>
      </c>
      <c r="K35" t="s">
        <v>442</v>
      </c>
      <c r="L35" t="s">
        <v>443</v>
      </c>
      <c r="M35" t="s">
        <v>194</v>
      </c>
    </row>
    <row r="36" spans="1:13">
      <c r="A36" t="s">
        <v>414</v>
      </c>
      <c r="B36" t="s">
        <v>321</v>
      </c>
      <c r="C36" t="s">
        <v>444</v>
      </c>
      <c r="D36" t="s">
        <v>445</v>
      </c>
      <c r="E36" t="s">
        <v>446</v>
      </c>
      <c r="F36" t="s">
        <v>447</v>
      </c>
      <c r="G36" t="s">
        <v>195</v>
      </c>
      <c r="H36" t="s">
        <v>194</v>
      </c>
      <c r="I36" t="s">
        <v>448</v>
      </c>
      <c r="J36" t="s">
        <v>449</v>
      </c>
      <c r="K36" t="s">
        <v>449</v>
      </c>
      <c r="L36" t="s">
        <v>450</v>
      </c>
      <c r="M36" t="s">
        <v>194</v>
      </c>
    </row>
    <row r="37" spans="1:13">
      <c r="A37" t="s">
        <v>451</v>
      </c>
      <c r="B37" t="s">
        <v>285</v>
      </c>
      <c r="C37" t="s">
        <v>452</v>
      </c>
      <c r="D37" t="s">
        <v>285</v>
      </c>
      <c r="E37" t="s">
        <v>453</v>
      </c>
      <c r="F37" t="s">
        <v>194</v>
      </c>
      <c r="G37" t="s">
        <v>195</v>
      </c>
      <c r="H37" t="s">
        <v>194</v>
      </c>
      <c r="I37" t="s">
        <v>211</v>
      </c>
      <c r="J37" t="s">
        <v>454</v>
      </c>
      <c r="K37" t="s">
        <v>455</v>
      </c>
      <c r="L37" t="s">
        <v>456</v>
      </c>
      <c r="M37" t="s">
        <v>194</v>
      </c>
    </row>
    <row r="38" spans="1:13">
      <c r="A38" t="s">
        <v>451</v>
      </c>
      <c r="B38" t="s">
        <v>321</v>
      </c>
      <c r="C38" t="s">
        <v>457</v>
      </c>
      <c r="D38" t="s">
        <v>321</v>
      </c>
      <c r="E38" t="s">
        <v>458</v>
      </c>
      <c r="F38" t="s">
        <v>459</v>
      </c>
      <c r="G38" t="s">
        <v>195</v>
      </c>
      <c r="H38" t="s">
        <v>194</v>
      </c>
      <c r="I38" t="s">
        <v>287</v>
      </c>
      <c r="J38" t="s">
        <v>458</v>
      </c>
      <c r="K38" t="s">
        <v>460</v>
      </c>
      <c r="L38" t="s">
        <v>461</v>
      </c>
      <c r="M38" t="s">
        <v>194</v>
      </c>
    </row>
    <row r="39" spans="1:13">
      <c r="A39" t="s">
        <v>451</v>
      </c>
      <c r="B39" t="s">
        <v>219</v>
      </c>
      <c r="C39" t="s">
        <v>462</v>
      </c>
      <c r="D39" t="s">
        <v>219</v>
      </c>
      <c r="E39" t="s">
        <v>463</v>
      </c>
      <c r="F39" t="s">
        <v>194</v>
      </c>
      <c r="G39" t="s">
        <v>219</v>
      </c>
      <c r="H39" t="s">
        <v>194</v>
      </c>
      <c r="I39" t="s">
        <v>287</v>
      </c>
      <c r="J39" t="s">
        <v>463</v>
      </c>
      <c r="K39" t="s">
        <v>464</v>
      </c>
      <c r="L39" t="s">
        <v>465</v>
      </c>
      <c r="M39" t="s">
        <v>194</v>
      </c>
    </row>
    <row r="40" spans="1:13">
      <c r="A40" t="s">
        <v>466</v>
      </c>
      <c r="B40" t="s">
        <v>219</v>
      </c>
      <c r="C40" t="s">
        <v>467</v>
      </c>
      <c r="D40" t="s">
        <v>219</v>
      </c>
      <c r="E40" t="s">
        <v>468</v>
      </c>
      <c r="F40" t="s">
        <v>194</v>
      </c>
      <c r="G40" t="s">
        <v>219</v>
      </c>
      <c r="H40" t="s">
        <v>194</v>
      </c>
      <c r="I40" t="s">
        <v>287</v>
      </c>
      <c r="J40" t="s">
        <v>469</v>
      </c>
      <c r="K40" t="s">
        <v>470</v>
      </c>
      <c r="L40" t="s">
        <v>471</v>
      </c>
      <c r="M40" t="s">
        <v>194</v>
      </c>
    </row>
    <row r="41" spans="1:13">
      <c r="A41" t="s">
        <v>466</v>
      </c>
      <c r="B41" t="s">
        <v>472</v>
      </c>
      <c r="C41" t="s">
        <v>473</v>
      </c>
      <c r="D41" t="s">
        <v>472</v>
      </c>
      <c r="E41" t="s">
        <v>474</v>
      </c>
      <c r="F41" t="s">
        <v>475</v>
      </c>
      <c r="G41" t="s">
        <v>195</v>
      </c>
      <c r="H41" t="s">
        <v>194</v>
      </c>
      <c r="I41" t="s">
        <v>287</v>
      </c>
      <c r="J41" t="s">
        <v>476</v>
      </c>
      <c r="K41" t="s">
        <v>477</v>
      </c>
      <c r="L41" t="s">
        <v>478</v>
      </c>
      <c r="M41" t="s">
        <v>194</v>
      </c>
    </row>
    <row r="42" spans="1:13">
      <c r="A42" t="s">
        <v>479</v>
      </c>
      <c r="B42" t="s">
        <v>285</v>
      </c>
      <c r="C42" t="s">
        <v>480</v>
      </c>
      <c r="D42" t="s">
        <v>285</v>
      </c>
      <c r="E42" t="s">
        <v>481</v>
      </c>
      <c r="F42" t="s">
        <v>482</v>
      </c>
      <c r="G42" t="s">
        <v>195</v>
      </c>
      <c r="H42" t="s">
        <v>194</v>
      </c>
      <c r="I42" t="s">
        <v>287</v>
      </c>
      <c r="J42" t="s">
        <v>483</v>
      </c>
      <c r="K42" t="s">
        <v>484</v>
      </c>
      <c r="L42" t="s">
        <v>485</v>
      </c>
      <c r="M42" t="s">
        <v>194</v>
      </c>
    </row>
    <row r="43" spans="1:13">
      <c r="A43" t="s">
        <v>479</v>
      </c>
      <c r="B43" t="s">
        <v>486</v>
      </c>
      <c r="C43" t="s">
        <v>487</v>
      </c>
      <c r="D43" t="s">
        <v>486</v>
      </c>
      <c r="E43" t="s">
        <v>488</v>
      </c>
      <c r="F43" t="s">
        <v>194</v>
      </c>
      <c r="G43" t="s">
        <v>195</v>
      </c>
      <c r="H43" t="s">
        <v>194</v>
      </c>
      <c r="I43" t="s">
        <v>287</v>
      </c>
      <c r="J43" t="s">
        <v>489</v>
      </c>
      <c r="K43" t="s">
        <v>490</v>
      </c>
      <c r="L43" t="s">
        <v>491</v>
      </c>
      <c r="M43" t="s">
        <v>194</v>
      </c>
    </row>
    <row r="44" spans="1:13">
      <c r="A44" t="s">
        <v>479</v>
      </c>
      <c r="B44" t="s">
        <v>492</v>
      </c>
      <c r="C44" t="s">
        <v>493</v>
      </c>
      <c r="D44" t="s">
        <v>492</v>
      </c>
      <c r="E44" t="s">
        <v>494</v>
      </c>
      <c r="F44" t="s">
        <v>194</v>
      </c>
      <c r="G44" t="s">
        <v>195</v>
      </c>
      <c r="H44" t="s">
        <v>194</v>
      </c>
      <c r="I44" t="s">
        <v>211</v>
      </c>
      <c r="J44" t="s">
        <v>495</v>
      </c>
      <c r="K44" t="s">
        <v>496</v>
      </c>
      <c r="L44" t="s">
        <v>497</v>
      </c>
      <c r="M44" t="s">
        <v>194</v>
      </c>
    </row>
    <row r="45" spans="1:13">
      <c r="A45" t="s">
        <v>498</v>
      </c>
      <c r="B45" t="s">
        <v>321</v>
      </c>
      <c r="C45" t="s">
        <v>499</v>
      </c>
      <c r="D45" t="s">
        <v>321</v>
      </c>
      <c r="E45" t="s">
        <v>500</v>
      </c>
      <c r="F45" t="s">
        <v>501</v>
      </c>
      <c r="G45" t="s">
        <v>195</v>
      </c>
      <c r="H45" t="s">
        <v>194</v>
      </c>
      <c r="I45" t="s">
        <v>287</v>
      </c>
      <c r="J45" t="s">
        <v>500</v>
      </c>
      <c r="K45" t="s">
        <v>502</v>
      </c>
      <c r="L45" t="s">
        <v>503</v>
      </c>
      <c r="M45" t="s">
        <v>194</v>
      </c>
    </row>
    <row r="46" spans="1:13">
      <c r="A46" t="s">
        <v>498</v>
      </c>
      <c r="B46" t="s">
        <v>504</v>
      </c>
      <c r="C46" t="s">
        <v>505</v>
      </c>
      <c r="D46" t="s">
        <v>506</v>
      </c>
      <c r="E46" t="s">
        <v>507</v>
      </c>
      <c r="F46" t="s">
        <v>194</v>
      </c>
      <c r="G46" t="s">
        <v>195</v>
      </c>
      <c r="H46" t="s">
        <v>194</v>
      </c>
      <c r="I46" t="s">
        <v>211</v>
      </c>
      <c r="J46" t="s">
        <v>508</v>
      </c>
      <c r="K46" t="s">
        <v>509</v>
      </c>
      <c r="L46" t="s">
        <v>510</v>
      </c>
      <c r="M46" t="s">
        <v>194</v>
      </c>
    </row>
    <row r="47" spans="1:13">
      <c r="A47" t="s">
        <v>498</v>
      </c>
      <c r="B47" t="s">
        <v>511</v>
      </c>
      <c r="C47" t="s">
        <v>512</v>
      </c>
      <c r="D47" t="s">
        <v>513</v>
      </c>
      <c r="E47" t="s">
        <v>514</v>
      </c>
      <c r="F47" t="s">
        <v>515</v>
      </c>
      <c r="G47" t="s">
        <v>195</v>
      </c>
      <c r="H47" t="s">
        <v>194</v>
      </c>
      <c r="I47" t="s">
        <v>211</v>
      </c>
      <c r="J47" t="s">
        <v>516</v>
      </c>
      <c r="K47" t="s">
        <v>517</v>
      </c>
      <c r="L47" t="s">
        <v>518</v>
      </c>
      <c r="M47" t="s">
        <v>194</v>
      </c>
    </row>
    <row r="48" spans="1:13">
      <c r="A48" t="s">
        <v>498</v>
      </c>
      <c r="B48" t="s">
        <v>328</v>
      </c>
      <c r="C48" t="s">
        <v>519</v>
      </c>
      <c r="D48" t="s">
        <v>330</v>
      </c>
      <c r="E48" t="s">
        <v>520</v>
      </c>
      <c r="F48" t="s">
        <v>194</v>
      </c>
      <c r="G48" t="s">
        <v>219</v>
      </c>
      <c r="H48" t="s">
        <v>194</v>
      </c>
      <c r="I48" t="s">
        <v>287</v>
      </c>
      <c r="J48" t="s">
        <v>521</v>
      </c>
      <c r="K48" t="s">
        <v>522</v>
      </c>
      <c r="L48" t="s">
        <v>523</v>
      </c>
      <c r="M48" t="s">
        <v>194</v>
      </c>
    </row>
    <row r="49" spans="1:13">
      <c r="A49" t="s">
        <v>498</v>
      </c>
      <c r="B49" t="s">
        <v>335</v>
      </c>
      <c r="C49" t="s">
        <v>524</v>
      </c>
      <c r="D49" t="s">
        <v>337</v>
      </c>
      <c r="E49" t="s">
        <v>301</v>
      </c>
      <c r="F49" t="s">
        <v>194</v>
      </c>
      <c r="G49" t="s">
        <v>219</v>
      </c>
      <c r="H49" t="s">
        <v>194</v>
      </c>
      <c r="I49" t="s">
        <v>287</v>
      </c>
      <c r="J49" t="s">
        <v>525</v>
      </c>
      <c r="K49" t="s">
        <v>526</v>
      </c>
      <c r="L49" t="s">
        <v>527</v>
      </c>
      <c r="M49" t="s">
        <v>194</v>
      </c>
    </row>
    <row r="50" spans="1:13">
      <c r="A50" t="s">
        <v>498</v>
      </c>
      <c r="B50" t="s">
        <v>528</v>
      </c>
      <c r="C50" t="s">
        <v>529</v>
      </c>
      <c r="D50" t="s">
        <v>530</v>
      </c>
      <c r="E50" t="s">
        <v>531</v>
      </c>
      <c r="F50" t="s">
        <v>278</v>
      </c>
      <c r="G50" t="s">
        <v>195</v>
      </c>
      <c r="H50" t="s">
        <v>194</v>
      </c>
      <c r="I50" t="s">
        <v>211</v>
      </c>
      <c r="J50" t="s">
        <v>532</v>
      </c>
      <c r="K50" t="s">
        <v>533</v>
      </c>
      <c r="L50" t="s">
        <v>534</v>
      </c>
      <c r="M50" t="s">
        <v>194</v>
      </c>
    </row>
    <row r="51" spans="1:13">
      <c r="A51" t="s">
        <v>498</v>
      </c>
      <c r="B51" t="s">
        <v>535</v>
      </c>
      <c r="C51" t="s">
        <v>536</v>
      </c>
      <c r="D51" t="s">
        <v>537</v>
      </c>
      <c r="E51" t="s">
        <v>538</v>
      </c>
      <c r="F51" t="s">
        <v>194</v>
      </c>
      <c r="G51" t="s">
        <v>195</v>
      </c>
      <c r="H51" t="s">
        <v>194</v>
      </c>
      <c r="I51" t="s">
        <v>539</v>
      </c>
      <c r="J51" t="s">
        <v>540</v>
      </c>
      <c r="K51" t="s">
        <v>541</v>
      </c>
      <c r="L51" t="s">
        <v>542</v>
      </c>
      <c r="M51" t="s">
        <v>194</v>
      </c>
    </row>
    <row r="52" spans="1:13">
      <c r="A52" t="s">
        <v>498</v>
      </c>
      <c r="B52" t="s">
        <v>543</v>
      </c>
      <c r="C52" t="s">
        <v>544</v>
      </c>
      <c r="D52" t="s">
        <v>545</v>
      </c>
      <c r="E52" t="s">
        <v>546</v>
      </c>
      <c r="F52" t="s">
        <v>194</v>
      </c>
      <c r="G52" t="s">
        <v>195</v>
      </c>
      <c r="H52" t="s">
        <v>194</v>
      </c>
      <c r="I52" t="s">
        <v>539</v>
      </c>
      <c r="J52" t="s">
        <v>547</v>
      </c>
      <c r="K52" t="s">
        <v>548</v>
      </c>
      <c r="L52" t="s">
        <v>549</v>
      </c>
      <c r="M52" t="s">
        <v>194</v>
      </c>
    </row>
    <row r="53" spans="1:13">
      <c r="A53" t="s">
        <v>498</v>
      </c>
      <c r="B53" t="s">
        <v>550</v>
      </c>
      <c r="C53" t="s">
        <v>551</v>
      </c>
      <c r="D53" t="s">
        <v>552</v>
      </c>
      <c r="E53" t="s">
        <v>553</v>
      </c>
      <c r="F53" t="s">
        <v>554</v>
      </c>
      <c r="G53" t="s">
        <v>195</v>
      </c>
      <c r="H53" t="s">
        <v>194</v>
      </c>
      <c r="I53" t="s">
        <v>211</v>
      </c>
      <c r="J53" t="s">
        <v>553</v>
      </c>
      <c r="K53" t="s">
        <v>555</v>
      </c>
      <c r="L53" t="s">
        <v>556</v>
      </c>
      <c r="M53" t="s">
        <v>194</v>
      </c>
    </row>
    <row r="54" spans="1:13">
      <c r="A54" t="s">
        <v>498</v>
      </c>
      <c r="B54" t="s">
        <v>557</v>
      </c>
      <c r="C54" t="s">
        <v>558</v>
      </c>
      <c r="D54" t="s">
        <v>559</v>
      </c>
      <c r="E54" t="s">
        <v>560</v>
      </c>
      <c r="F54" t="s">
        <v>194</v>
      </c>
      <c r="G54" t="s">
        <v>195</v>
      </c>
      <c r="H54" t="s">
        <v>194</v>
      </c>
      <c r="I54" t="s">
        <v>211</v>
      </c>
      <c r="J54" t="s">
        <v>560</v>
      </c>
      <c r="K54" t="s">
        <v>561</v>
      </c>
      <c r="L54" t="s">
        <v>562</v>
      </c>
      <c r="M54" t="s">
        <v>194</v>
      </c>
    </row>
    <row r="55" spans="1:13">
      <c r="A55" t="s">
        <v>563</v>
      </c>
      <c r="B55" t="s">
        <v>285</v>
      </c>
      <c r="C55" t="s">
        <v>564</v>
      </c>
      <c r="D55" t="s">
        <v>285</v>
      </c>
      <c r="E55" t="s">
        <v>565</v>
      </c>
      <c r="F55" t="s">
        <v>566</v>
      </c>
      <c r="G55" t="s">
        <v>195</v>
      </c>
      <c r="H55" t="s">
        <v>194</v>
      </c>
      <c r="I55" t="s">
        <v>287</v>
      </c>
      <c r="J55" t="s">
        <v>567</v>
      </c>
      <c r="K55" t="s">
        <v>568</v>
      </c>
      <c r="L55" t="s">
        <v>569</v>
      </c>
      <c r="M55" t="s">
        <v>194</v>
      </c>
    </row>
    <row r="56" spans="1:13">
      <c r="A56" t="s">
        <v>563</v>
      </c>
      <c r="B56" t="s">
        <v>219</v>
      </c>
      <c r="C56" t="s">
        <v>570</v>
      </c>
      <c r="D56" t="s">
        <v>219</v>
      </c>
      <c r="E56" t="s">
        <v>571</v>
      </c>
      <c r="F56" t="s">
        <v>194</v>
      </c>
      <c r="G56" t="s">
        <v>219</v>
      </c>
      <c r="H56" t="s">
        <v>194</v>
      </c>
      <c r="I56" t="s">
        <v>287</v>
      </c>
      <c r="J56" t="s">
        <v>572</v>
      </c>
      <c r="K56" t="s">
        <v>573</v>
      </c>
      <c r="L56" t="s">
        <v>574</v>
      </c>
      <c r="M56" t="s">
        <v>194</v>
      </c>
    </row>
    <row r="57" spans="1:13">
      <c r="A57" t="s">
        <v>563</v>
      </c>
      <c r="B57" t="s">
        <v>335</v>
      </c>
      <c r="C57" t="s">
        <v>575</v>
      </c>
      <c r="D57" t="s">
        <v>337</v>
      </c>
      <c r="E57" t="s">
        <v>301</v>
      </c>
      <c r="F57" t="s">
        <v>194</v>
      </c>
      <c r="G57" t="s">
        <v>219</v>
      </c>
      <c r="H57" t="s">
        <v>194</v>
      </c>
      <c r="I57" t="s">
        <v>211</v>
      </c>
      <c r="J57" t="s">
        <v>576</v>
      </c>
      <c r="K57" t="s">
        <v>577</v>
      </c>
      <c r="L57" t="s">
        <v>578</v>
      </c>
      <c r="M57" t="s">
        <v>194</v>
      </c>
    </row>
    <row r="58" spans="1:13">
      <c r="A58" t="s">
        <v>563</v>
      </c>
      <c r="B58" t="s">
        <v>579</v>
      </c>
      <c r="C58" t="s">
        <v>580</v>
      </c>
      <c r="D58" t="s">
        <v>579</v>
      </c>
      <c r="E58" t="s">
        <v>579</v>
      </c>
      <c r="F58" t="s">
        <v>194</v>
      </c>
      <c r="G58" t="s">
        <v>195</v>
      </c>
      <c r="H58" t="s">
        <v>194</v>
      </c>
      <c r="I58" t="s">
        <v>287</v>
      </c>
      <c r="J58" t="s">
        <v>581</v>
      </c>
      <c r="K58" t="s">
        <v>582</v>
      </c>
      <c r="L58" t="s">
        <v>583</v>
      </c>
      <c r="M58" t="s">
        <v>194</v>
      </c>
    </row>
    <row r="59" spans="1:13">
      <c r="A59" t="s">
        <v>584</v>
      </c>
      <c r="B59" t="s">
        <v>285</v>
      </c>
      <c r="C59" t="s">
        <v>585</v>
      </c>
      <c r="D59" t="s">
        <v>285</v>
      </c>
      <c r="E59" t="s">
        <v>586</v>
      </c>
      <c r="F59" t="s">
        <v>587</v>
      </c>
      <c r="G59" t="s">
        <v>195</v>
      </c>
      <c r="H59" t="s">
        <v>194</v>
      </c>
      <c r="I59" t="s">
        <v>287</v>
      </c>
      <c r="J59" t="s">
        <v>588</v>
      </c>
      <c r="K59" t="s">
        <v>589</v>
      </c>
      <c r="L59" t="s">
        <v>590</v>
      </c>
      <c r="M59" t="s">
        <v>194</v>
      </c>
    </row>
    <row r="60" spans="1:13">
      <c r="A60" t="s">
        <v>584</v>
      </c>
      <c r="B60" t="s">
        <v>12</v>
      </c>
      <c r="C60" t="s">
        <v>591</v>
      </c>
      <c r="D60" t="s">
        <v>12</v>
      </c>
      <c r="E60" t="s">
        <v>592</v>
      </c>
      <c r="F60" t="s">
        <v>194</v>
      </c>
      <c r="G60" t="s">
        <v>195</v>
      </c>
      <c r="H60" t="s">
        <v>194</v>
      </c>
      <c r="I60" t="s">
        <v>287</v>
      </c>
      <c r="J60" t="s">
        <v>592</v>
      </c>
      <c r="K60" t="s">
        <v>593</v>
      </c>
      <c r="L60" t="s">
        <v>594</v>
      </c>
      <c r="M60" t="s">
        <v>194</v>
      </c>
    </row>
    <row r="61" spans="1:13">
      <c r="A61" t="s">
        <v>595</v>
      </c>
      <c r="B61" t="s">
        <v>596</v>
      </c>
      <c r="C61" t="s">
        <v>597</v>
      </c>
      <c r="D61" t="s">
        <v>598</v>
      </c>
      <c r="E61" t="s">
        <v>599</v>
      </c>
      <c r="F61" t="s">
        <v>194</v>
      </c>
      <c r="G61" t="s">
        <v>195</v>
      </c>
      <c r="H61" t="s">
        <v>194</v>
      </c>
      <c r="I61" t="s">
        <v>287</v>
      </c>
      <c r="J61" t="s">
        <v>600</v>
      </c>
      <c r="K61" t="s">
        <v>601</v>
      </c>
      <c r="L61" t="s">
        <v>602</v>
      </c>
      <c r="M61" t="s">
        <v>194</v>
      </c>
    </row>
    <row r="62" spans="1:13">
      <c r="A62" t="s">
        <v>595</v>
      </c>
      <c r="B62" t="s">
        <v>603</v>
      </c>
      <c r="C62" t="s">
        <v>604</v>
      </c>
      <c r="D62" t="s">
        <v>605</v>
      </c>
      <c r="E62" t="s">
        <v>606</v>
      </c>
      <c r="F62" t="s">
        <v>194</v>
      </c>
      <c r="G62" t="s">
        <v>195</v>
      </c>
      <c r="H62" t="s">
        <v>194</v>
      </c>
      <c r="I62" t="s">
        <v>211</v>
      </c>
      <c r="J62" t="s">
        <v>607</v>
      </c>
      <c r="K62" t="s">
        <v>608</v>
      </c>
      <c r="L62" t="s">
        <v>609</v>
      </c>
      <c r="M62" t="s">
        <v>194</v>
      </c>
    </row>
    <row r="63" spans="1:13">
      <c r="A63" t="s">
        <v>595</v>
      </c>
      <c r="B63" t="s">
        <v>610</v>
      </c>
      <c r="C63" t="s">
        <v>611</v>
      </c>
      <c r="D63" t="s">
        <v>612</v>
      </c>
      <c r="E63" t="s">
        <v>613</v>
      </c>
      <c r="F63" t="s">
        <v>194</v>
      </c>
      <c r="G63" t="s">
        <v>219</v>
      </c>
      <c r="H63" t="s">
        <v>194</v>
      </c>
      <c r="I63" t="s">
        <v>287</v>
      </c>
      <c r="J63" t="s">
        <v>613</v>
      </c>
      <c r="K63" t="s">
        <v>614</v>
      </c>
      <c r="L63" t="s">
        <v>615</v>
      </c>
      <c r="M63" t="s">
        <v>194</v>
      </c>
    </row>
    <row r="64" spans="1:13">
      <c r="A64" t="s">
        <v>595</v>
      </c>
      <c r="B64" t="s">
        <v>306</v>
      </c>
      <c r="C64" t="s">
        <v>616</v>
      </c>
      <c r="D64" t="s">
        <v>308</v>
      </c>
      <c r="E64" t="s">
        <v>309</v>
      </c>
      <c r="F64" t="s">
        <v>310</v>
      </c>
      <c r="G64" t="s">
        <v>195</v>
      </c>
      <c r="H64" t="s">
        <v>194</v>
      </c>
      <c r="I64" t="s">
        <v>287</v>
      </c>
      <c r="J64" t="s">
        <v>617</v>
      </c>
      <c r="K64" t="s">
        <v>618</v>
      </c>
      <c r="L64" t="s">
        <v>619</v>
      </c>
      <c r="M64" t="s">
        <v>194</v>
      </c>
    </row>
    <row r="65" spans="1:13">
      <c r="A65" t="s">
        <v>595</v>
      </c>
      <c r="B65" t="s">
        <v>620</v>
      </c>
      <c r="C65" t="s">
        <v>621</v>
      </c>
      <c r="D65" t="s">
        <v>620</v>
      </c>
      <c r="E65" t="s">
        <v>622</v>
      </c>
      <c r="F65" t="s">
        <v>623</v>
      </c>
      <c r="G65" t="s">
        <v>195</v>
      </c>
      <c r="H65" t="s">
        <v>194</v>
      </c>
      <c r="I65" t="s">
        <v>287</v>
      </c>
      <c r="J65" t="s">
        <v>622</v>
      </c>
      <c r="K65" t="s">
        <v>624</v>
      </c>
      <c r="L65" t="s">
        <v>625</v>
      </c>
      <c r="M65" t="s">
        <v>194</v>
      </c>
    </row>
    <row r="66" spans="1:13">
      <c r="A66" t="s">
        <v>595</v>
      </c>
      <c r="B66" t="s">
        <v>626</v>
      </c>
      <c r="C66" t="s">
        <v>627</v>
      </c>
      <c r="D66" t="s">
        <v>626</v>
      </c>
      <c r="E66" t="s">
        <v>628</v>
      </c>
      <c r="F66" t="s">
        <v>629</v>
      </c>
      <c r="G66" t="s">
        <v>195</v>
      </c>
      <c r="H66" t="s">
        <v>194</v>
      </c>
      <c r="I66" t="s">
        <v>287</v>
      </c>
      <c r="J66" t="s">
        <v>630</v>
      </c>
      <c r="K66" t="s">
        <v>631</v>
      </c>
      <c r="L66" t="s">
        <v>632</v>
      </c>
      <c r="M66" t="s">
        <v>194</v>
      </c>
    </row>
    <row r="67" spans="1:13">
      <c r="A67" t="s">
        <v>595</v>
      </c>
      <c r="B67" t="s">
        <v>633</v>
      </c>
      <c r="C67" t="s">
        <v>634</v>
      </c>
      <c r="D67" t="s">
        <v>635</v>
      </c>
      <c r="E67" t="s">
        <v>636</v>
      </c>
      <c r="F67" t="s">
        <v>637</v>
      </c>
      <c r="G67" t="s">
        <v>195</v>
      </c>
      <c r="H67" t="s">
        <v>194</v>
      </c>
      <c r="I67" t="s">
        <v>211</v>
      </c>
      <c r="J67" t="s">
        <v>636</v>
      </c>
      <c r="K67" t="s">
        <v>638</v>
      </c>
      <c r="L67" t="s">
        <v>639</v>
      </c>
      <c r="M67" t="s">
        <v>194</v>
      </c>
    </row>
    <row r="68" spans="1:13">
      <c r="A68" t="s">
        <v>595</v>
      </c>
      <c r="B68" t="s">
        <v>640</v>
      </c>
      <c r="C68" t="s">
        <v>641</v>
      </c>
      <c r="D68" t="s">
        <v>642</v>
      </c>
      <c r="E68" t="s">
        <v>643</v>
      </c>
      <c r="F68" t="s">
        <v>194</v>
      </c>
      <c r="G68" t="s">
        <v>354</v>
      </c>
      <c r="H68" t="s">
        <v>194</v>
      </c>
      <c r="I68" t="s">
        <v>211</v>
      </c>
      <c r="J68" t="s">
        <v>644</v>
      </c>
      <c r="K68" t="s">
        <v>645</v>
      </c>
      <c r="L68" t="s">
        <v>646</v>
      </c>
      <c r="M68" t="s">
        <v>194</v>
      </c>
    </row>
    <row r="69" spans="1:13">
      <c r="A69" t="s">
        <v>647</v>
      </c>
      <c r="B69" t="s">
        <v>648</v>
      </c>
      <c r="C69" t="s">
        <v>649</v>
      </c>
      <c r="D69" t="s">
        <v>650</v>
      </c>
      <c r="E69" t="s">
        <v>650</v>
      </c>
      <c r="F69" t="s">
        <v>651</v>
      </c>
      <c r="G69" t="s">
        <v>195</v>
      </c>
      <c r="H69" t="s">
        <v>194</v>
      </c>
      <c r="I69" t="s">
        <v>196</v>
      </c>
      <c r="J69" t="s">
        <v>652</v>
      </c>
      <c r="K69" t="s">
        <v>653</v>
      </c>
      <c r="L69" t="s">
        <v>654</v>
      </c>
      <c r="M69" t="s">
        <v>194</v>
      </c>
    </row>
    <row r="70" spans="1:13">
      <c r="A70" t="s">
        <v>647</v>
      </c>
      <c r="B70" t="s">
        <v>655</v>
      </c>
      <c r="C70" t="s">
        <v>656</v>
      </c>
      <c r="D70" t="s">
        <v>657</v>
      </c>
      <c r="E70" t="s">
        <v>657</v>
      </c>
      <c r="F70" t="s">
        <v>658</v>
      </c>
      <c r="G70" t="s">
        <v>195</v>
      </c>
      <c r="H70" t="s">
        <v>194</v>
      </c>
      <c r="I70" t="s">
        <v>196</v>
      </c>
      <c r="J70" t="s">
        <v>659</v>
      </c>
      <c r="K70" t="s">
        <v>660</v>
      </c>
      <c r="L70" t="s">
        <v>661</v>
      </c>
      <c r="M70" t="s">
        <v>662</v>
      </c>
    </row>
    <row r="71" spans="1:13">
      <c r="A71" t="s">
        <v>647</v>
      </c>
      <c r="B71" t="s">
        <v>663</v>
      </c>
      <c r="C71" t="s">
        <v>664</v>
      </c>
      <c r="D71" t="s">
        <v>665</v>
      </c>
      <c r="E71" t="s">
        <v>665</v>
      </c>
      <c r="F71" t="s">
        <v>194</v>
      </c>
      <c r="G71" t="s">
        <v>195</v>
      </c>
      <c r="H71" t="s">
        <v>194</v>
      </c>
      <c r="I71" t="s">
        <v>211</v>
      </c>
      <c r="J71" t="s">
        <v>666</v>
      </c>
      <c r="K71" t="s">
        <v>667</v>
      </c>
      <c r="L71" t="s">
        <v>668</v>
      </c>
      <c r="M71" t="s">
        <v>669</v>
      </c>
    </row>
    <row r="72" spans="1:13">
      <c r="A72" t="s">
        <v>647</v>
      </c>
      <c r="B72" t="s">
        <v>670</v>
      </c>
      <c r="C72" t="s">
        <v>671</v>
      </c>
      <c r="D72" t="s">
        <v>672</v>
      </c>
      <c r="E72" t="s">
        <v>672</v>
      </c>
      <c r="F72" t="s">
        <v>194</v>
      </c>
      <c r="G72" t="s">
        <v>219</v>
      </c>
      <c r="H72" t="s">
        <v>194</v>
      </c>
      <c r="I72" t="s">
        <v>211</v>
      </c>
      <c r="J72" t="s">
        <v>673</v>
      </c>
      <c r="K72" t="s">
        <v>674</v>
      </c>
      <c r="L72" t="s">
        <v>675</v>
      </c>
      <c r="M72" t="s">
        <v>676</v>
      </c>
    </row>
    <row r="73" spans="1:13">
      <c r="A73" t="s">
        <v>677</v>
      </c>
      <c r="B73" t="s">
        <v>12</v>
      </c>
      <c r="C73" t="s">
        <v>678</v>
      </c>
      <c r="D73" t="s">
        <v>12</v>
      </c>
      <c r="E73" t="s">
        <v>12</v>
      </c>
      <c r="F73" t="s">
        <v>679</v>
      </c>
      <c r="G73" t="s">
        <v>195</v>
      </c>
      <c r="H73" t="s">
        <v>194</v>
      </c>
      <c r="I73" t="s">
        <v>211</v>
      </c>
      <c r="J73" t="s">
        <v>680</v>
      </c>
      <c r="K73" t="s">
        <v>681</v>
      </c>
      <c r="L73" t="s">
        <v>682</v>
      </c>
      <c r="M73" t="s">
        <v>683</v>
      </c>
    </row>
    <row r="74" spans="1:13">
      <c r="A74" t="s">
        <v>684</v>
      </c>
      <c r="B74" t="s">
        <v>685</v>
      </c>
      <c r="C74" t="s">
        <v>686</v>
      </c>
      <c r="D74" t="s">
        <v>687</v>
      </c>
      <c r="E74" t="s">
        <v>687</v>
      </c>
      <c r="F74" t="s">
        <v>194</v>
      </c>
      <c r="G74" t="s">
        <v>195</v>
      </c>
      <c r="H74" t="s">
        <v>194</v>
      </c>
      <c r="I74" t="s">
        <v>196</v>
      </c>
      <c r="J74" t="s">
        <v>688</v>
      </c>
      <c r="K74" t="s">
        <v>689</v>
      </c>
      <c r="L74" t="s">
        <v>690</v>
      </c>
      <c r="M74" t="s">
        <v>691</v>
      </c>
    </row>
    <row r="75" spans="1:13">
      <c r="A75" t="s">
        <v>692</v>
      </c>
      <c r="B75" t="s">
        <v>693</v>
      </c>
      <c r="C75" t="s">
        <v>694</v>
      </c>
      <c r="D75" t="s">
        <v>695</v>
      </c>
      <c r="E75" t="s">
        <v>695</v>
      </c>
      <c r="F75" t="s">
        <v>194</v>
      </c>
      <c r="G75" t="s">
        <v>354</v>
      </c>
      <c r="H75" t="s">
        <v>194</v>
      </c>
      <c r="I75" t="s">
        <v>211</v>
      </c>
      <c r="J75" t="s">
        <v>696</v>
      </c>
      <c r="K75" t="s">
        <v>697</v>
      </c>
      <c r="L75" t="s">
        <v>698</v>
      </c>
      <c r="M75" t="s">
        <v>699</v>
      </c>
    </row>
    <row r="76" spans="1:13">
      <c r="A76" t="s">
        <v>692</v>
      </c>
      <c r="B76" t="s">
        <v>700</v>
      </c>
      <c r="C76" t="s">
        <v>701</v>
      </c>
      <c r="D76" t="s">
        <v>702</v>
      </c>
      <c r="E76" t="s">
        <v>702</v>
      </c>
      <c r="F76" t="s">
        <v>703</v>
      </c>
      <c r="G76" t="s">
        <v>195</v>
      </c>
      <c r="H76" t="s">
        <v>194</v>
      </c>
      <c r="I76" t="s">
        <v>211</v>
      </c>
      <c r="J76" t="s">
        <v>704</v>
      </c>
      <c r="K76" t="s">
        <v>705</v>
      </c>
      <c r="L76" t="s">
        <v>706</v>
      </c>
      <c r="M76" t="s">
        <v>707</v>
      </c>
    </row>
    <row r="77" spans="1:13">
      <c r="A77" t="s">
        <v>692</v>
      </c>
      <c r="B77" t="s">
        <v>708</v>
      </c>
      <c r="C77" t="s">
        <v>709</v>
      </c>
      <c r="D77" t="s">
        <v>710</v>
      </c>
      <c r="E77" t="s">
        <v>710</v>
      </c>
      <c r="F77" t="s">
        <v>194</v>
      </c>
      <c r="G77" t="s">
        <v>354</v>
      </c>
      <c r="H77" t="s">
        <v>194</v>
      </c>
      <c r="I77" t="s">
        <v>211</v>
      </c>
      <c r="J77" t="s">
        <v>711</v>
      </c>
      <c r="K77" t="s">
        <v>712</v>
      </c>
      <c r="L77" t="s">
        <v>713</v>
      </c>
      <c r="M77" t="s">
        <v>714</v>
      </c>
    </row>
    <row r="78" spans="1:13">
      <c r="A78" t="s">
        <v>715</v>
      </c>
      <c r="B78" t="s">
        <v>716</v>
      </c>
      <c r="C78" t="s">
        <v>717</v>
      </c>
      <c r="D78" t="s">
        <v>718</v>
      </c>
      <c r="E78" t="s">
        <v>718</v>
      </c>
      <c r="F78" t="s">
        <v>719</v>
      </c>
      <c r="G78" t="s">
        <v>195</v>
      </c>
      <c r="H78" t="s">
        <v>194</v>
      </c>
      <c r="I78" t="s">
        <v>196</v>
      </c>
      <c r="J78" t="s">
        <v>720</v>
      </c>
      <c r="K78" t="s">
        <v>721</v>
      </c>
      <c r="L78" t="s">
        <v>722</v>
      </c>
      <c r="M78" t="s">
        <v>723</v>
      </c>
    </row>
    <row r="79" spans="1:13">
      <c r="A79" t="s">
        <v>715</v>
      </c>
      <c r="B79" t="s">
        <v>724</v>
      </c>
      <c r="C79" t="s">
        <v>725</v>
      </c>
      <c r="D79" t="s">
        <v>724</v>
      </c>
      <c r="E79" t="s">
        <v>724</v>
      </c>
      <c r="F79" t="s">
        <v>726</v>
      </c>
      <c r="G79" t="s">
        <v>195</v>
      </c>
      <c r="H79" t="s">
        <v>194</v>
      </c>
      <c r="I79" t="s">
        <v>211</v>
      </c>
      <c r="J79" t="s">
        <v>727</v>
      </c>
      <c r="K79" t="s">
        <v>728</v>
      </c>
      <c r="L79" t="s">
        <v>729</v>
      </c>
      <c r="M79" t="s">
        <v>194</v>
      </c>
    </row>
    <row r="80" spans="1:13">
      <c r="A80" t="s">
        <v>715</v>
      </c>
      <c r="B80" t="s">
        <v>730</v>
      </c>
      <c r="C80" t="s">
        <v>731</v>
      </c>
      <c r="D80" t="s">
        <v>730</v>
      </c>
      <c r="E80" t="s">
        <v>730</v>
      </c>
      <c r="F80" t="s">
        <v>732</v>
      </c>
      <c r="G80" t="s">
        <v>195</v>
      </c>
      <c r="H80" t="s">
        <v>194</v>
      </c>
      <c r="I80" t="s">
        <v>211</v>
      </c>
      <c r="J80" t="s">
        <v>733</v>
      </c>
      <c r="K80" t="s">
        <v>734</v>
      </c>
      <c r="L80" t="s">
        <v>735</v>
      </c>
      <c r="M80" t="s">
        <v>194</v>
      </c>
    </row>
    <row r="81" spans="1:13">
      <c r="A81" t="s">
        <v>715</v>
      </c>
      <c r="B81" t="s">
        <v>736</v>
      </c>
      <c r="C81" t="s">
        <v>737</v>
      </c>
      <c r="D81" t="s">
        <v>738</v>
      </c>
      <c r="E81" t="s">
        <v>738</v>
      </c>
      <c r="F81" t="s">
        <v>278</v>
      </c>
      <c r="G81" t="s">
        <v>195</v>
      </c>
      <c r="H81" t="s">
        <v>194</v>
      </c>
      <c r="I81" t="s">
        <v>211</v>
      </c>
      <c r="J81" t="s">
        <v>739</v>
      </c>
      <c r="K81" t="s">
        <v>740</v>
      </c>
      <c r="L81" t="s">
        <v>741</v>
      </c>
      <c r="M81" t="s">
        <v>194</v>
      </c>
    </row>
    <row r="82" spans="1:13">
      <c r="A82" t="s">
        <v>742</v>
      </c>
      <c r="B82" t="s">
        <v>321</v>
      </c>
      <c r="C82" t="s">
        <v>743</v>
      </c>
      <c r="D82" t="s">
        <v>321</v>
      </c>
      <c r="E82" t="s">
        <v>321</v>
      </c>
      <c r="F82" t="s">
        <v>744</v>
      </c>
      <c r="G82" t="s">
        <v>195</v>
      </c>
      <c r="H82" t="s">
        <v>194</v>
      </c>
      <c r="I82" t="s">
        <v>287</v>
      </c>
      <c r="J82" t="s">
        <v>745</v>
      </c>
      <c r="K82" t="s">
        <v>746</v>
      </c>
      <c r="L82" t="s">
        <v>747</v>
      </c>
      <c r="M82" t="s">
        <v>748</v>
      </c>
    </row>
    <row r="83" spans="1:13">
      <c r="A83" t="s">
        <v>742</v>
      </c>
      <c r="B83" t="s">
        <v>749</v>
      </c>
      <c r="C83" t="s">
        <v>750</v>
      </c>
      <c r="D83" t="s">
        <v>749</v>
      </c>
      <c r="E83" t="s">
        <v>749</v>
      </c>
      <c r="F83" t="s">
        <v>194</v>
      </c>
      <c r="G83" t="s">
        <v>195</v>
      </c>
      <c r="H83" t="s">
        <v>194</v>
      </c>
      <c r="I83" t="s">
        <v>287</v>
      </c>
      <c r="J83" t="s">
        <v>751</v>
      </c>
      <c r="K83" t="s">
        <v>752</v>
      </c>
      <c r="L83" t="s">
        <v>753</v>
      </c>
      <c r="M83" t="s">
        <v>194</v>
      </c>
    </row>
    <row r="84" spans="1:13">
      <c r="A84" t="s">
        <v>742</v>
      </c>
      <c r="B84" t="s">
        <v>472</v>
      </c>
      <c r="C84" t="s">
        <v>754</v>
      </c>
      <c r="D84" t="s">
        <v>472</v>
      </c>
      <c r="E84" t="s">
        <v>472</v>
      </c>
      <c r="F84" t="s">
        <v>755</v>
      </c>
      <c r="G84" t="s">
        <v>195</v>
      </c>
      <c r="H84" t="s">
        <v>194</v>
      </c>
      <c r="I84" t="s">
        <v>287</v>
      </c>
      <c r="J84" t="s">
        <v>756</v>
      </c>
      <c r="K84" t="s">
        <v>757</v>
      </c>
      <c r="L84" t="s">
        <v>758</v>
      </c>
      <c r="M84" t="s">
        <v>759</v>
      </c>
    </row>
    <row r="85" spans="1:13">
      <c r="A85" t="s">
        <v>760</v>
      </c>
      <c r="B85" t="s">
        <v>761</v>
      </c>
      <c r="C85" t="s">
        <v>762</v>
      </c>
      <c r="D85" t="s">
        <v>761</v>
      </c>
      <c r="E85" t="s">
        <v>761</v>
      </c>
      <c r="F85" t="s">
        <v>763</v>
      </c>
      <c r="G85" t="s">
        <v>195</v>
      </c>
      <c r="H85" t="s">
        <v>194</v>
      </c>
      <c r="I85" t="s">
        <v>196</v>
      </c>
      <c r="J85" t="s">
        <v>764</v>
      </c>
      <c r="K85" t="s">
        <v>765</v>
      </c>
      <c r="L85" t="s">
        <v>766</v>
      </c>
      <c r="M85" t="s">
        <v>194</v>
      </c>
    </row>
    <row r="86" spans="1:13">
      <c r="A86" t="s">
        <v>760</v>
      </c>
      <c r="B86" t="s">
        <v>767</v>
      </c>
      <c r="C86" t="s">
        <v>768</v>
      </c>
      <c r="D86" t="s">
        <v>769</v>
      </c>
      <c r="E86" t="s">
        <v>769</v>
      </c>
      <c r="F86" t="s">
        <v>194</v>
      </c>
      <c r="G86" t="s">
        <v>354</v>
      </c>
      <c r="H86" t="s">
        <v>194</v>
      </c>
      <c r="I86" t="s">
        <v>196</v>
      </c>
      <c r="J86" t="s">
        <v>770</v>
      </c>
      <c r="K86" t="s">
        <v>771</v>
      </c>
      <c r="L86" t="s">
        <v>772</v>
      </c>
      <c r="M86" t="s">
        <v>194</v>
      </c>
    </row>
    <row r="87" spans="1:13">
      <c r="A87" t="s">
        <v>760</v>
      </c>
      <c r="B87" t="s">
        <v>773</v>
      </c>
      <c r="C87" t="s">
        <v>774</v>
      </c>
      <c r="D87" t="s">
        <v>775</v>
      </c>
      <c r="E87" t="s">
        <v>775</v>
      </c>
      <c r="F87" t="s">
        <v>194</v>
      </c>
      <c r="G87" t="s">
        <v>354</v>
      </c>
      <c r="H87" t="s">
        <v>194</v>
      </c>
      <c r="I87" t="s">
        <v>196</v>
      </c>
      <c r="J87" t="s">
        <v>776</v>
      </c>
      <c r="K87" t="s">
        <v>777</v>
      </c>
      <c r="L87" t="s">
        <v>778</v>
      </c>
      <c r="M87" t="s">
        <v>194</v>
      </c>
    </row>
    <row r="88" spans="1:13">
      <c r="A88" t="s">
        <v>760</v>
      </c>
      <c r="B88" t="s">
        <v>779</v>
      </c>
      <c r="C88" t="s">
        <v>780</v>
      </c>
      <c r="D88" t="s">
        <v>781</v>
      </c>
      <c r="E88" t="s">
        <v>781</v>
      </c>
      <c r="F88" t="s">
        <v>782</v>
      </c>
      <c r="G88" t="s">
        <v>195</v>
      </c>
      <c r="H88" t="s">
        <v>194</v>
      </c>
      <c r="I88" t="s">
        <v>196</v>
      </c>
      <c r="J88" t="s">
        <v>783</v>
      </c>
      <c r="K88" t="s">
        <v>784</v>
      </c>
      <c r="L88" t="s">
        <v>785</v>
      </c>
      <c r="M88" t="s">
        <v>194</v>
      </c>
    </row>
    <row r="89" spans="1:13">
      <c r="A89" t="s">
        <v>760</v>
      </c>
      <c r="B89" t="s">
        <v>786</v>
      </c>
      <c r="C89" t="s">
        <v>787</v>
      </c>
      <c r="D89" t="s">
        <v>786</v>
      </c>
      <c r="E89" t="s">
        <v>786</v>
      </c>
      <c r="F89" t="s">
        <v>194</v>
      </c>
      <c r="G89" t="s">
        <v>195</v>
      </c>
      <c r="H89" t="s">
        <v>194</v>
      </c>
      <c r="I89" t="s">
        <v>211</v>
      </c>
      <c r="J89" t="s">
        <v>788</v>
      </c>
      <c r="K89" t="s">
        <v>789</v>
      </c>
      <c r="L89" t="s">
        <v>790</v>
      </c>
      <c r="M89" t="s">
        <v>194</v>
      </c>
    </row>
    <row r="90" spans="1:13">
      <c r="A90" t="s">
        <v>791</v>
      </c>
      <c r="B90" t="s">
        <v>321</v>
      </c>
      <c r="C90" t="s">
        <v>792</v>
      </c>
      <c r="D90" t="s">
        <v>321</v>
      </c>
      <c r="E90" t="s">
        <v>321</v>
      </c>
      <c r="F90" t="s">
        <v>793</v>
      </c>
      <c r="G90" t="s">
        <v>195</v>
      </c>
      <c r="H90" t="s">
        <v>194</v>
      </c>
      <c r="I90" t="s">
        <v>196</v>
      </c>
      <c r="J90" t="s">
        <v>794</v>
      </c>
      <c r="K90" t="s">
        <v>795</v>
      </c>
      <c r="L90" t="s">
        <v>796</v>
      </c>
      <c r="M90" t="s">
        <v>194</v>
      </c>
    </row>
    <row r="91" spans="1:13">
      <c r="A91" t="s">
        <v>791</v>
      </c>
      <c r="B91" t="s">
        <v>797</v>
      </c>
      <c r="C91" t="s">
        <v>798</v>
      </c>
      <c r="D91" t="s">
        <v>797</v>
      </c>
      <c r="E91" t="s">
        <v>797</v>
      </c>
      <c r="F91" t="s">
        <v>799</v>
      </c>
      <c r="G91" t="s">
        <v>195</v>
      </c>
      <c r="H91" t="s">
        <v>194</v>
      </c>
      <c r="I91" t="s">
        <v>196</v>
      </c>
      <c r="J91" t="s">
        <v>800</v>
      </c>
      <c r="K91" t="s">
        <v>801</v>
      </c>
      <c r="L91" t="s">
        <v>802</v>
      </c>
      <c r="M91" t="s">
        <v>194</v>
      </c>
    </row>
    <row r="92" spans="1:13">
      <c r="A92" t="s">
        <v>791</v>
      </c>
      <c r="B92" t="s">
        <v>17</v>
      </c>
      <c r="C92" t="s">
        <v>803</v>
      </c>
      <c r="D92" t="s">
        <v>17</v>
      </c>
      <c r="E92" t="s">
        <v>17</v>
      </c>
      <c r="F92" t="s">
        <v>194</v>
      </c>
      <c r="G92" t="s">
        <v>195</v>
      </c>
      <c r="H92" t="s">
        <v>194</v>
      </c>
      <c r="I92" t="s">
        <v>196</v>
      </c>
      <c r="J92" t="s">
        <v>804</v>
      </c>
      <c r="K92" t="s">
        <v>805</v>
      </c>
      <c r="L92" t="s">
        <v>806</v>
      </c>
      <c r="M92" t="s">
        <v>194</v>
      </c>
    </row>
    <row r="93" spans="1:13">
      <c r="A93" t="s">
        <v>791</v>
      </c>
      <c r="B93" t="s">
        <v>807</v>
      </c>
      <c r="C93" t="s">
        <v>808</v>
      </c>
      <c r="D93" t="s">
        <v>807</v>
      </c>
      <c r="E93" t="s">
        <v>807</v>
      </c>
      <c r="F93" t="s">
        <v>194</v>
      </c>
      <c r="G93" t="s">
        <v>195</v>
      </c>
      <c r="H93" t="s">
        <v>194</v>
      </c>
      <c r="I93" t="s">
        <v>809</v>
      </c>
      <c r="J93" t="s">
        <v>810</v>
      </c>
      <c r="K93" t="s">
        <v>811</v>
      </c>
      <c r="L93" t="s">
        <v>812</v>
      </c>
      <c r="M93" t="s">
        <v>194</v>
      </c>
    </row>
    <row r="94" spans="1:13">
      <c r="A94" t="s">
        <v>813</v>
      </c>
      <c r="B94" t="s">
        <v>321</v>
      </c>
      <c r="C94" t="s">
        <v>814</v>
      </c>
      <c r="D94" t="s">
        <v>321</v>
      </c>
      <c r="E94" t="s">
        <v>321</v>
      </c>
      <c r="F94" t="s">
        <v>815</v>
      </c>
      <c r="G94" t="s">
        <v>195</v>
      </c>
      <c r="H94" t="s">
        <v>194</v>
      </c>
      <c r="I94" t="s">
        <v>211</v>
      </c>
      <c r="J94" t="s">
        <v>816</v>
      </c>
      <c r="K94" t="s">
        <v>817</v>
      </c>
      <c r="L94" t="s">
        <v>818</v>
      </c>
      <c r="M94" t="s">
        <v>194</v>
      </c>
    </row>
    <row r="95" spans="1:13">
      <c r="A95" t="s">
        <v>813</v>
      </c>
      <c r="B95" t="s">
        <v>819</v>
      </c>
      <c r="C95" t="s">
        <v>820</v>
      </c>
      <c r="D95" t="s">
        <v>821</v>
      </c>
      <c r="E95" t="s">
        <v>821</v>
      </c>
      <c r="F95" t="s">
        <v>194</v>
      </c>
      <c r="G95" t="s">
        <v>354</v>
      </c>
      <c r="H95" t="s">
        <v>194</v>
      </c>
      <c r="I95" t="s">
        <v>196</v>
      </c>
      <c r="J95" t="s">
        <v>822</v>
      </c>
      <c r="K95" t="s">
        <v>823</v>
      </c>
      <c r="L95" t="s">
        <v>824</v>
      </c>
      <c r="M95" t="s">
        <v>194</v>
      </c>
    </row>
    <row r="96" spans="1:13">
      <c r="A96" t="s">
        <v>813</v>
      </c>
      <c r="B96" t="s">
        <v>825</v>
      </c>
      <c r="C96" t="s">
        <v>826</v>
      </c>
      <c r="D96" t="s">
        <v>827</v>
      </c>
      <c r="E96" t="s">
        <v>827</v>
      </c>
      <c r="F96" t="s">
        <v>763</v>
      </c>
      <c r="G96" t="s">
        <v>195</v>
      </c>
      <c r="H96" t="s">
        <v>194</v>
      </c>
      <c r="I96" t="s">
        <v>196</v>
      </c>
      <c r="J96" t="s">
        <v>828</v>
      </c>
      <c r="K96" t="s">
        <v>194</v>
      </c>
      <c r="L96" t="s">
        <v>829</v>
      </c>
      <c r="M96" t="s">
        <v>194</v>
      </c>
    </row>
    <row r="97" spans="1:13">
      <c r="A97" t="s">
        <v>813</v>
      </c>
      <c r="B97" t="s">
        <v>830</v>
      </c>
      <c r="C97" t="s">
        <v>831</v>
      </c>
      <c r="D97" t="s">
        <v>832</v>
      </c>
      <c r="E97" t="s">
        <v>832</v>
      </c>
      <c r="F97" t="s">
        <v>194</v>
      </c>
      <c r="G97" t="s">
        <v>354</v>
      </c>
      <c r="H97" t="s">
        <v>194</v>
      </c>
      <c r="I97" t="s">
        <v>196</v>
      </c>
      <c r="J97" t="s">
        <v>833</v>
      </c>
      <c r="K97" t="s">
        <v>834</v>
      </c>
      <c r="L97" t="s">
        <v>835</v>
      </c>
      <c r="M97" t="s">
        <v>194</v>
      </c>
    </row>
    <row r="98" spans="1:13">
      <c r="A98" t="s">
        <v>813</v>
      </c>
      <c r="B98" t="s">
        <v>836</v>
      </c>
      <c r="C98" t="s">
        <v>837</v>
      </c>
      <c r="D98" t="s">
        <v>838</v>
      </c>
      <c r="E98" t="s">
        <v>838</v>
      </c>
      <c r="F98" t="s">
        <v>763</v>
      </c>
      <c r="G98" t="s">
        <v>195</v>
      </c>
      <c r="H98" t="s">
        <v>194</v>
      </c>
      <c r="I98" t="s">
        <v>196</v>
      </c>
      <c r="J98" t="s">
        <v>839</v>
      </c>
      <c r="K98" t="s">
        <v>194</v>
      </c>
      <c r="L98" t="s">
        <v>840</v>
      </c>
      <c r="M98" t="s">
        <v>194</v>
      </c>
    </row>
    <row r="99" spans="1:13">
      <c r="A99" t="s">
        <v>813</v>
      </c>
      <c r="B99" t="s">
        <v>841</v>
      </c>
      <c r="C99" t="s">
        <v>842</v>
      </c>
      <c r="D99" t="s">
        <v>843</v>
      </c>
      <c r="E99" t="s">
        <v>843</v>
      </c>
      <c r="F99" t="s">
        <v>278</v>
      </c>
      <c r="G99" t="s">
        <v>195</v>
      </c>
      <c r="H99" t="s">
        <v>194</v>
      </c>
      <c r="I99" t="s">
        <v>211</v>
      </c>
      <c r="J99" t="s">
        <v>844</v>
      </c>
      <c r="K99" t="s">
        <v>845</v>
      </c>
      <c r="L99" t="s">
        <v>846</v>
      </c>
      <c r="M99" t="s">
        <v>194</v>
      </c>
    </row>
    <row r="100" spans="1:13">
      <c r="A100" t="s">
        <v>813</v>
      </c>
      <c r="B100" t="s">
        <v>847</v>
      </c>
      <c r="C100" t="s">
        <v>848</v>
      </c>
      <c r="D100" t="s">
        <v>849</v>
      </c>
      <c r="E100" t="s">
        <v>849</v>
      </c>
      <c r="F100" t="s">
        <v>194</v>
      </c>
      <c r="G100" t="s">
        <v>354</v>
      </c>
      <c r="H100" t="s">
        <v>194</v>
      </c>
      <c r="I100" t="s">
        <v>196</v>
      </c>
      <c r="J100" t="s">
        <v>850</v>
      </c>
      <c r="K100" t="s">
        <v>851</v>
      </c>
      <c r="L100" t="s">
        <v>852</v>
      </c>
      <c r="M100" t="s">
        <v>194</v>
      </c>
    </row>
    <row r="101" spans="1:13">
      <c r="A101" t="s">
        <v>813</v>
      </c>
      <c r="B101" t="s">
        <v>853</v>
      </c>
      <c r="C101" t="s">
        <v>854</v>
      </c>
      <c r="D101" t="s">
        <v>855</v>
      </c>
      <c r="E101" t="s">
        <v>855</v>
      </c>
      <c r="F101" t="s">
        <v>194</v>
      </c>
      <c r="G101" t="s">
        <v>354</v>
      </c>
      <c r="H101" t="s">
        <v>194</v>
      </c>
      <c r="I101" t="s">
        <v>211</v>
      </c>
      <c r="J101" t="s">
        <v>856</v>
      </c>
      <c r="K101" t="s">
        <v>857</v>
      </c>
      <c r="L101" t="s">
        <v>858</v>
      </c>
      <c r="M101" t="s">
        <v>194</v>
      </c>
    </row>
    <row r="102" spans="1:13">
      <c r="A102" t="s">
        <v>859</v>
      </c>
      <c r="B102" t="s">
        <v>860</v>
      </c>
      <c r="C102" t="s">
        <v>861</v>
      </c>
      <c r="D102" t="s">
        <v>862</v>
      </c>
      <c r="E102" t="s">
        <v>862</v>
      </c>
      <c r="F102" t="s">
        <v>194</v>
      </c>
      <c r="G102" t="s">
        <v>863</v>
      </c>
      <c r="H102" t="s">
        <v>194</v>
      </c>
      <c r="I102" t="s">
        <v>196</v>
      </c>
      <c r="J102" t="s">
        <v>864</v>
      </c>
      <c r="K102" t="s">
        <v>865</v>
      </c>
      <c r="L102" t="s">
        <v>866</v>
      </c>
      <c r="M102" t="s">
        <v>194</v>
      </c>
    </row>
    <row r="103" spans="1:13">
      <c r="A103" t="s">
        <v>859</v>
      </c>
      <c r="B103" t="s">
        <v>867</v>
      </c>
      <c r="C103" t="s">
        <v>868</v>
      </c>
      <c r="D103" t="s">
        <v>869</v>
      </c>
      <c r="E103" t="s">
        <v>869</v>
      </c>
      <c r="F103" t="s">
        <v>870</v>
      </c>
      <c r="G103" t="s">
        <v>195</v>
      </c>
      <c r="H103" t="s">
        <v>194</v>
      </c>
      <c r="I103" t="s">
        <v>196</v>
      </c>
      <c r="J103" t="s">
        <v>871</v>
      </c>
      <c r="K103" t="s">
        <v>872</v>
      </c>
      <c r="L103" t="s">
        <v>873</v>
      </c>
      <c r="M103" t="s">
        <v>194</v>
      </c>
    </row>
    <row r="104" spans="1:13">
      <c r="A104" t="s">
        <v>859</v>
      </c>
      <c r="B104" t="s">
        <v>874</v>
      </c>
      <c r="C104" t="s">
        <v>875</v>
      </c>
      <c r="D104" t="s">
        <v>876</v>
      </c>
      <c r="E104" t="s">
        <v>876</v>
      </c>
      <c r="F104" t="s">
        <v>194</v>
      </c>
      <c r="G104" t="s">
        <v>354</v>
      </c>
      <c r="H104" t="s">
        <v>194</v>
      </c>
      <c r="I104" t="s">
        <v>211</v>
      </c>
      <c r="J104" t="s">
        <v>877</v>
      </c>
      <c r="K104" t="s">
        <v>878</v>
      </c>
      <c r="L104" t="s">
        <v>879</v>
      </c>
      <c r="M104" t="s">
        <v>194</v>
      </c>
    </row>
    <row r="105" spans="1:13">
      <c r="A105" t="s">
        <v>859</v>
      </c>
      <c r="B105" t="s">
        <v>880</v>
      </c>
      <c r="C105" t="s">
        <v>881</v>
      </c>
      <c r="D105" t="s">
        <v>880</v>
      </c>
      <c r="E105" t="s">
        <v>880</v>
      </c>
      <c r="F105" t="s">
        <v>278</v>
      </c>
      <c r="G105" t="s">
        <v>195</v>
      </c>
      <c r="H105" t="s">
        <v>194</v>
      </c>
      <c r="I105" t="s">
        <v>211</v>
      </c>
      <c r="J105" t="s">
        <v>882</v>
      </c>
      <c r="K105" t="s">
        <v>883</v>
      </c>
      <c r="L105" t="s">
        <v>884</v>
      </c>
      <c r="M105" t="s">
        <v>194</v>
      </c>
    </row>
    <row r="106" spans="1:13">
      <c r="A106" t="s">
        <v>859</v>
      </c>
      <c r="B106" t="s">
        <v>885</v>
      </c>
      <c r="C106" t="s">
        <v>886</v>
      </c>
      <c r="D106" t="s">
        <v>885</v>
      </c>
      <c r="E106" t="s">
        <v>887</v>
      </c>
      <c r="F106" t="s">
        <v>194</v>
      </c>
      <c r="G106" t="s">
        <v>354</v>
      </c>
      <c r="H106" t="s">
        <v>194</v>
      </c>
      <c r="I106" t="s">
        <v>211</v>
      </c>
      <c r="J106" t="s">
        <v>888</v>
      </c>
      <c r="K106" t="s">
        <v>194</v>
      </c>
      <c r="L106" t="s">
        <v>194</v>
      </c>
      <c r="M106" t="s">
        <v>194</v>
      </c>
    </row>
    <row r="107" spans="1:13">
      <c r="A107" t="s">
        <v>889</v>
      </c>
      <c r="B107" t="s">
        <v>890</v>
      </c>
      <c r="C107" t="s">
        <v>891</v>
      </c>
      <c r="D107" t="s">
        <v>892</v>
      </c>
      <c r="E107" t="s">
        <v>892</v>
      </c>
      <c r="F107" t="s">
        <v>194</v>
      </c>
      <c r="G107" t="s">
        <v>195</v>
      </c>
      <c r="H107" t="s">
        <v>194</v>
      </c>
      <c r="I107" t="s">
        <v>196</v>
      </c>
      <c r="J107" t="s">
        <v>893</v>
      </c>
      <c r="K107" t="s">
        <v>894</v>
      </c>
      <c r="L107" t="s">
        <v>895</v>
      </c>
      <c r="M107" t="s">
        <v>194</v>
      </c>
    </row>
    <row r="108" spans="1:13">
      <c r="A108" t="s">
        <v>889</v>
      </c>
      <c r="B108" t="s">
        <v>896</v>
      </c>
      <c r="C108" t="s">
        <v>897</v>
      </c>
      <c r="D108" t="s">
        <v>898</v>
      </c>
      <c r="E108" t="s">
        <v>898</v>
      </c>
      <c r="F108" t="s">
        <v>194</v>
      </c>
      <c r="G108" t="s">
        <v>195</v>
      </c>
      <c r="H108" t="s">
        <v>194</v>
      </c>
      <c r="I108" t="s">
        <v>196</v>
      </c>
      <c r="J108" t="s">
        <v>899</v>
      </c>
      <c r="K108" t="s">
        <v>900</v>
      </c>
      <c r="L108" t="s">
        <v>901</v>
      </c>
      <c r="M108" t="s">
        <v>194</v>
      </c>
    </row>
    <row r="109" spans="1:13">
      <c r="A109" t="s">
        <v>889</v>
      </c>
      <c r="B109" t="s">
        <v>902</v>
      </c>
      <c r="C109" t="s">
        <v>903</v>
      </c>
      <c r="D109" t="s">
        <v>904</v>
      </c>
      <c r="E109" t="s">
        <v>904</v>
      </c>
      <c r="F109" t="s">
        <v>905</v>
      </c>
      <c r="G109" t="s">
        <v>195</v>
      </c>
      <c r="H109" t="s">
        <v>194</v>
      </c>
      <c r="I109" t="s">
        <v>196</v>
      </c>
      <c r="J109" t="s">
        <v>906</v>
      </c>
      <c r="K109" t="s">
        <v>907</v>
      </c>
      <c r="L109" t="s">
        <v>908</v>
      </c>
      <c r="M109" t="s">
        <v>194</v>
      </c>
    </row>
    <row r="110" spans="1:13">
      <c r="A110" t="s">
        <v>909</v>
      </c>
      <c r="B110" t="s">
        <v>910</v>
      </c>
      <c r="C110" t="s">
        <v>911</v>
      </c>
      <c r="D110" t="s">
        <v>912</v>
      </c>
      <c r="E110" t="s">
        <v>912</v>
      </c>
      <c r="F110" t="s">
        <v>913</v>
      </c>
      <c r="G110" t="s">
        <v>195</v>
      </c>
      <c r="H110" t="s">
        <v>194</v>
      </c>
      <c r="I110" t="s">
        <v>914</v>
      </c>
      <c r="J110" t="s">
        <v>194</v>
      </c>
      <c r="K110" t="s">
        <v>194</v>
      </c>
      <c r="L110" t="s">
        <v>915</v>
      </c>
      <c r="M110" t="s">
        <v>194</v>
      </c>
    </row>
    <row r="111" spans="1:13">
      <c r="A111" t="s">
        <v>909</v>
      </c>
      <c r="B111" t="s">
        <v>916</v>
      </c>
      <c r="C111" t="s">
        <v>917</v>
      </c>
      <c r="D111" t="s">
        <v>918</v>
      </c>
      <c r="E111" t="s">
        <v>918</v>
      </c>
      <c r="F111" t="s">
        <v>919</v>
      </c>
      <c r="G111" t="s">
        <v>195</v>
      </c>
      <c r="H111" t="s">
        <v>194</v>
      </c>
      <c r="I111" t="s">
        <v>914</v>
      </c>
      <c r="J111" t="s">
        <v>194</v>
      </c>
      <c r="K111" t="s">
        <v>194</v>
      </c>
      <c r="L111" t="s">
        <v>920</v>
      </c>
      <c r="M111" t="s">
        <v>194</v>
      </c>
    </row>
    <row r="112" spans="1:13">
      <c r="A112" t="s">
        <v>909</v>
      </c>
      <c r="B112" t="s">
        <v>921</v>
      </c>
      <c r="C112" t="s">
        <v>922</v>
      </c>
      <c r="D112" t="s">
        <v>923</v>
      </c>
      <c r="E112" t="s">
        <v>923</v>
      </c>
      <c r="F112" t="s">
        <v>194</v>
      </c>
      <c r="G112" t="s">
        <v>195</v>
      </c>
      <c r="H112" t="s">
        <v>194</v>
      </c>
      <c r="I112" t="s">
        <v>211</v>
      </c>
      <c r="J112" t="s">
        <v>194</v>
      </c>
      <c r="K112" t="s">
        <v>194</v>
      </c>
      <c r="L112" t="s">
        <v>924</v>
      </c>
      <c r="M112" t="s">
        <v>194</v>
      </c>
    </row>
    <row r="113" spans="1:13">
      <c r="A113" t="s">
        <v>909</v>
      </c>
      <c r="B113" t="s">
        <v>925</v>
      </c>
      <c r="C113" t="s">
        <v>926</v>
      </c>
      <c r="D113" t="s">
        <v>927</v>
      </c>
      <c r="E113" t="s">
        <v>927</v>
      </c>
      <c r="F113" t="s">
        <v>928</v>
      </c>
      <c r="G113" t="s">
        <v>195</v>
      </c>
      <c r="H113" t="s">
        <v>194</v>
      </c>
      <c r="I113" t="s">
        <v>211</v>
      </c>
      <c r="J113" t="s">
        <v>929</v>
      </c>
      <c r="K113" t="s">
        <v>930</v>
      </c>
      <c r="L113" t="s">
        <v>931</v>
      </c>
      <c r="M113" t="s">
        <v>194</v>
      </c>
    </row>
    <row r="114" spans="1:13">
      <c r="A114" t="s">
        <v>909</v>
      </c>
      <c r="B114" t="s">
        <v>932</v>
      </c>
      <c r="C114" t="s">
        <v>933</v>
      </c>
      <c r="D114" t="s">
        <v>934</v>
      </c>
      <c r="E114" t="s">
        <v>934</v>
      </c>
      <c r="F114" t="s">
        <v>194</v>
      </c>
      <c r="G114" t="s">
        <v>195</v>
      </c>
      <c r="H114" t="s">
        <v>194</v>
      </c>
      <c r="I114" t="s">
        <v>211</v>
      </c>
      <c r="J114" t="s">
        <v>935</v>
      </c>
      <c r="K114" t="s">
        <v>936</v>
      </c>
      <c r="L114" t="s">
        <v>937</v>
      </c>
      <c r="M114" t="s">
        <v>194</v>
      </c>
    </row>
    <row r="115" spans="1:13">
      <c r="A115" t="s">
        <v>909</v>
      </c>
      <c r="B115" t="s">
        <v>938</v>
      </c>
      <c r="C115" t="s">
        <v>939</v>
      </c>
      <c r="D115" t="s">
        <v>940</v>
      </c>
      <c r="E115" t="s">
        <v>940</v>
      </c>
      <c r="F115" t="s">
        <v>194</v>
      </c>
      <c r="G115" t="s">
        <v>863</v>
      </c>
      <c r="H115" t="s">
        <v>194</v>
      </c>
      <c r="I115" t="s">
        <v>211</v>
      </c>
      <c r="J115" t="s">
        <v>941</v>
      </c>
      <c r="K115" t="s">
        <v>942</v>
      </c>
      <c r="L115" t="s">
        <v>943</v>
      </c>
      <c r="M115" t="s">
        <v>194</v>
      </c>
    </row>
    <row r="116" spans="1:13">
      <c r="A116" t="s">
        <v>909</v>
      </c>
      <c r="B116" t="s">
        <v>944</v>
      </c>
      <c r="C116" t="s">
        <v>945</v>
      </c>
      <c r="D116" t="s">
        <v>946</v>
      </c>
      <c r="E116" t="s">
        <v>946</v>
      </c>
      <c r="F116" t="s">
        <v>194</v>
      </c>
      <c r="G116" t="s">
        <v>195</v>
      </c>
      <c r="H116" t="s">
        <v>194</v>
      </c>
      <c r="I116" t="s">
        <v>211</v>
      </c>
      <c r="J116" t="s">
        <v>947</v>
      </c>
      <c r="K116" t="s">
        <v>948</v>
      </c>
      <c r="L116" t="s">
        <v>949</v>
      </c>
      <c r="M116" t="s">
        <v>194</v>
      </c>
    </row>
    <row r="117" spans="1:13">
      <c r="A117" t="s">
        <v>909</v>
      </c>
      <c r="B117" t="s">
        <v>950</v>
      </c>
      <c r="C117" t="s">
        <v>951</v>
      </c>
      <c r="D117" t="s">
        <v>952</v>
      </c>
      <c r="E117" t="s">
        <v>952</v>
      </c>
      <c r="F117" t="s">
        <v>194</v>
      </c>
      <c r="G117" t="s">
        <v>195</v>
      </c>
      <c r="H117" t="s">
        <v>194</v>
      </c>
      <c r="I117" t="s">
        <v>211</v>
      </c>
      <c r="J117" t="s">
        <v>953</v>
      </c>
      <c r="K117" t="s">
        <v>954</v>
      </c>
      <c r="L117" t="s">
        <v>955</v>
      </c>
      <c r="M117" t="s">
        <v>194</v>
      </c>
    </row>
    <row r="118" spans="1:13">
      <c r="A118" t="s">
        <v>909</v>
      </c>
      <c r="B118" t="s">
        <v>956</v>
      </c>
      <c r="C118" t="s">
        <v>957</v>
      </c>
      <c r="D118" t="s">
        <v>958</v>
      </c>
      <c r="E118" t="s">
        <v>958</v>
      </c>
      <c r="F118" t="s">
        <v>194</v>
      </c>
      <c r="G118" t="s">
        <v>195</v>
      </c>
      <c r="H118" t="s">
        <v>194</v>
      </c>
      <c r="I118" t="s">
        <v>211</v>
      </c>
      <c r="J118" t="s">
        <v>959</v>
      </c>
      <c r="K118" t="s">
        <v>960</v>
      </c>
      <c r="L118" t="s">
        <v>961</v>
      </c>
      <c r="M118" t="s">
        <v>194</v>
      </c>
    </row>
    <row r="119" spans="1:13">
      <c r="A119" t="s">
        <v>909</v>
      </c>
      <c r="B119" t="s">
        <v>962</v>
      </c>
      <c r="C119" t="s">
        <v>963</v>
      </c>
      <c r="D119" t="s">
        <v>964</v>
      </c>
      <c r="E119" t="s">
        <v>964</v>
      </c>
      <c r="F119" t="s">
        <v>194</v>
      </c>
      <c r="G119" t="s">
        <v>195</v>
      </c>
      <c r="H119" t="s">
        <v>194</v>
      </c>
      <c r="I119" t="s">
        <v>196</v>
      </c>
      <c r="J119" t="s">
        <v>965</v>
      </c>
      <c r="K119" t="s">
        <v>966</v>
      </c>
      <c r="L119" t="s">
        <v>967</v>
      </c>
      <c r="M119" t="s">
        <v>968</v>
      </c>
    </row>
    <row r="120" spans="1:13">
      <c r="A120" t="s">
        <v>909</v>
      </c>
      <c r="B120" t="s">
        <v>969</v>
      </c>
      <c r="C120" t="s">
        <v>970</v>
      </c>
      <c r="D120" t="s">
        <v>971</v>
      </c>
      <c r="E120" t="s">
        <v>971</v>
      </c>
      <c r="F120" t="s">
        <v>194</v>
      </c>
      <c r="G120" t="s">
        <v>195</v>
      </c>
      <c r="H120" t="s">
        <v>194</v>
      </c>
      <c r="I120" t="s">
        <v>211</v>
      </c>
      <c r="J120" t="s">
        <v>972</v>
      </c>
      <c r="K120" t="s">
        <v>973</v>
      </c>
      <c r="L120" t="s">
        <v>974</v>
      </c>
      <c r="M120" t="s">
        <v>975</v>
      </c>
    </row>
    <row r="121" spans="1:13">
      <c r="A121" t="s">
        <v>909</v>
      </c>
      <c r="B121" t="s">
        <v>976</v>
      </c>
      <c r="C121" t="s">
        <v>977</v>
      </c>
      <c r="D121" t="s">
        <v>978</v>
      </c>
      <c r="E121" t="s">
        <v>978</v>
      </c>
      <c r="F121" t="s">
        <v>194</v>
      </c>
      <c r="G121" t="s">
        <v>195</v>
      </c>
      <c r="H121" t="s">
        <v>194</v>
      </c>
      <c r="I121" t="s">
        <v>211</v>
      </c>
      <c r="J121" t="s">
        <v>979</v>
      </c>
      <c r="K121" t="s">
        <v>980</v>
      </c>
      <c r="L121" t="s">
        <v>981</v>
      </c>
      <c r="M121" t="s">
        <v>982</v>
      </c>
    </row>
    <row r="122" spans="1:13">
      <c r="A122" t="s">
        <v>909</v>
      </c>
      <c r="B122" t="s">
        <v>983</v>
      </c>
      <c r="C122" t="s">
        <v>984</v>
      </c>
      <c r="D122" t="s">
        <v>985</v>
      </c>
      <c r="E122" t="s">
        <v>985</v>
      </c>
      <c r="F122" t="s">
        <v>194</v>
      </c>
      <c r="G122" t="s">
        <v>195</v>
      </c>
      <c r="H122" t="s">
        <v>194</v>
      </c>
      <c r="I122" t="s">
        <v>211</v>
      </c>
      <c r="J122" t="s">
        <v>986</v>
      </c>
      <c r="K122" t="s">
        <v>987</v>
      </c>
      <c r="L122" t="s">
        <v>988</v>
      </c>
      <c r="M122" t="s">
        <v>989</v>
      </c>
    </row>
    <row r="123" spans="1:13">
      <c r="A123" t="s">
        <v>909</v>
      </c>
      <c r="B123" t="s">
        <v>990</v>
      </c>
      <c r="C123" t="s">
        <v>991</v>
      </c>
      <c r="D123" t="s">
        <v>992</v>
      </c>
      <c r="E123" t="s">
        <v>992</v>
      </c>
      <c r="F123" t="s">
        <v>993</v>
      </c>
      <c r="G123" t="s">
        <v>195</v>
      </c>
      <c r="H123" t="s">
        <v>194</v>
      </c>
      <c r="I123" t="s">
        <v>211</v>
      </c>
      <c r="J123" t="s">
        <v>994</v>
      </c>
      <c r="K123" t="s">
        <v>995</v>
      </c>
      <c r="L123" t="s">
        <v>996</v>
      </c>
      <c r="M123" t="s">
        <v>194</v>
      </c>
    </row>
    <row r="124" spans="1:13">
      <c r="A124" t="s">
        <v>909</v>
      </c>
      <c r="B124" t="s">
        <v>997</v>
      </c>
      <c r="C124" t="s">
        <v>998</v>
      </c>
      <c r="D124" t="s">
        <v>999</v>
      </c>
      <c r="E124" t="s">
        <v>999</v>
      </c>
      <c r="F124" t="s">
        <v>1000</v>
      </c>
      <c r="G124" t="s">
        <v>195</v>
      </c>
      <c r="H124" t="s">
        <v>194</v>
      </c>
      <c r="I124" t="s">
        <v>211</v>
      </c>
      <c r="J124" t="s">
        <v>1001</v>
      </c>
      <c r="K124" t="s">
        <v>1002</v>
      </c>
      <c r="L124" t="s">
        <v>1003</v>
      </c>
      <c r="M124" t="s">
        <v>1004</v>
      </c>
    </row>
    <row r="125" spans="1:13">
      <c r="A125" t="s">
        <v>909</v>
      </c>
      <c r="B125" t="s">
        <v>1005</v>
      </c>
      <c r="C125" t="s">
        <v>1006</v>
      </c>
      <c r="D125" t="s">
        <v>1005</v>
      </c>
      <c r="E125" t="s">
        <v>1005</v>
      </c>
      <c r="F125" t="s">
        <v>1007</v>
      </c>
      <c r="G125" t="s">
        <v>195</v>
      </c>
      <c r="H125" t="s">
        <v>194</v>
      </c>
      <c r="I125" t="s">
        <v>211</v>
      </c>
      <c r="J125" t="s">
        <v>1008</v>
      </c>
      <c r="K125" t="s">
        <v>1005</v>
      </c>
      <c r="L125" t="s">
        <v>1009</v>
      </c>
      <c r="M125" t="s">
        <v>1010</v>
      </c>
    </row>
    <row r="126" spans="1:13">
      <c r="A126" t="s">
        <v>909</v>
      </c>
      <c r="B126" t="s">
        <v>1011</v>
      </c>
      <c r="C126" t="s">
        <v>1012</v>
      </c>
      <c r="D126" t="s">
        <v>1011</v>
      </c>
      <c r="E126" t="s">
        <v>1013</v>
      </c>
      <c r="F126" t="s">
        <v>278</v>
      </c>
      <c r="G126" t="s">
        <v>195</v>
      </c>
      <c r="H126" t="s">
        <v>194</v>
      </c>
      <c r="I126" t="s">
        <v>211</v>
      </c>
      <c r="J126" t="s">
        <v>1014</v>
      </c>
      <c r="K126" t="s">
        <v>1015</v>
      </c>
      <c r="L126" t="s">
        <v>1016</v>
      </c>
      <c r="M126" t="s">
        <v>194</v>
      </c>
    </row>
    <row r="127" spans="1:13">
      <c r="A127" t="s">
        <v>1017</v>
      </c>
      <c r="B127" t="s">
        <v>1018</v>
      </c>
      <c r="C127" t="s">
        <v>1019</v>
      </c>
      <c r="D127" t="s">
        <v>1020</v>
      </c>
      <c r="E127" t="s">
        <v>1020</v>
      </c>
      <c r="F127" t="s">
        <v>194</v>
      </c>
      <c r="G127" t="s">
        <v>354</v>
      </c>
      <c r="H127" t="s">
        <v>194</v>
      </c>
      <c r="I127" t="s">
        <v>196</v>
      </c>
      <c r="J127" t="s">
        <v>1021</v>
      </c>
      <c r="K127" t="s">
        <v>1022</v>
      </c>
      <c r="L127" t="s">
        <v>1023</v>
      </c>
      <c r="M127" t="s">
        <v>194</v>
      </c>
    </row>
    <row r="128" spans="1:13">
      <c r="A128" t="s">
        <v>1017</v>
      </c>
      <c r="B128" t="s">
        <v>1024</v>
      </c>
      <c r="C128" t="s">
        <v>1025</v>
      </c>
      <c r="D128" t="s">
        <v>1026</v>
      </c>
      <c r="E128" t="s">
        <v>1026</v>
      </c>
      <c r="F128" t="s">
        <v>194</v>
      </c>
      <c r="G128" t="s">
        <v>354</v>
      </c>
      <c r="H128" t="s">
        <v>194</v>
      </c>
      <c r="I128" t="s">
        <v>196</v>
      </c>
      <c r="J128" t="s">
        <v>1027</v>
      </c>
      <c r="K128" t="s">
        <v>1028</v>
      </c>
      <c r="L128" t="s">
        <v>1029</v>
      </c>
      <c r="M128" t="s">
        <v>194</v>
      </c>
    </row>
    <row r="129" spans="1:13">
      <c r="A129" t="s">
        <v>1017</v>
      </c>
      <c r="B129" t="s">
        <v>1030</v>
      </c>
      <c r="C129" t="s">
        <v>1031</v>
      </c>
      <c r="D129" t="s">
        <v>1032</v>
      </c>
      <c r="E129" t="s">
        <v>1032</v>
      </c>
      <c r="F129" t="s">
        <v>278</v>
      </c>
      <c r="G129" t="s">
        <v>195</v>
      </c>
      <c r="H129" t="s">
        <v>194</v>
      </c>
      <c r="I129" t="s">
        <v>211</v>
      </c>
      <c r="J129" t="s">
        <v>1033</v>
      </c>
      <c r="K129" t="s">
        <v>1034</v>
      </c>
      <c r="L129" t="s">
        <v>1035</v>
      </c>
      <c r="M129" t="s">
        <v>194</v>
      </c>
    </row>
    <row r="130" spans="1:13">
      <c r="A130" t="s">
        <v>1017</v>
      </c>
      <c r="B130" t="s">
        <v>1036</v>
      </c>
      <c r="C130" t="s">
        <v>1037</v>
      </c>
      <c r="D130" t="s">
        <v>1038</v>
      </c>
      <c r="E130" t="s">
        <v>1038</v>
      </c>
      <c r="F130" t="s">
        <v>1039</v>
      </c>
      <c r="G130" t="s">
        <v>195</v>
      </c>
      <c r="H130" t="s">
        <v>194</v>
      </c>
      <c r="I130" t="s">
        <v>196</v>
      </c>
      <c r="J130" t="s">
        <v>1040</v>
      </c>
      <c r="K130" t="s">
        <v>1041</v>
      </c>
      <c r="L130" t="s">
        <v>1042</v>
      </c>
      <c r="M130" t="s">
        <v>1043</v>
      </c>
    </row>
    <row r="131" spans="1:13">
      <c r="A131" t="s">
        <v>1017</v>
      </c>
      <c r="B131" t="s">
        <v>1044</v>
      </c>
      <c r="C131" t="s">
        <v>1045</v>
      </c>
      <c r="D131" t="s">
        <v>1046</v>
      </c>
      <c r="E131" t="s">
        <v>1046</v>
      </c>
      <c r="F131" t="s">
        <v>1047</v>
      </c>
      <c r="G131" t="s">
        <v>195</v>
      </c>
      <c r="H131" t="s">
        <v>194</v>
      </c>
      <c r="I131" t="s">
        <v>211</v>
      </c>
      <c r="J131" t="s">
        <v>1048</v>
      </c>
      <c r="K131" t="s">
        <v>1049</v>
      </c>
      <c r="L131" t="s">
        <v>1050</v>
      </c>
      <c r="M131" t="s">
        <v>194</v>
      </c>
    </row>
    <row r="132" spans="1:13">
      <c r="A132" t="s">
        <v>1051</v>
      </c>
      <c r="B132" t="s">
        <v>1052</v>
      </c>
      <c r="C132" t="s">
        <v>1053</v>
      </c>
      <c r="D132" t="s">
        <v>1054</v>
      </c>
      <c r="E132" t="s">
        <v>1054</v>
      </c>
      <c r="F132" t="s">
        <v>1055</v>
      </c>
      <c r="G132" t="s">
        <v>195</v>
      </c>
      <c r="H132" t="s">
        <v>194</v>
      </c>
      <c r="I132" t="s">
        <v>196</v>
      </c>
      <c r="J132" t="s">
        <v>1056</v>
      </c>
      <c r="K132" t="s">
        <v>1057</v>
      </c>
      <c r="L132" t="s">
        <v>1058</v>
      </c>
      <c r="M132" t="s">
        <v>194</v>
      </c>
    </row>
    <row r="133" spans="1:13">
      <c r="A133" t="s">
        <v>1051</v>
      </c>
      <c r="B133" t="s">
        <v>486</v>
      </c>
      <c r="C133" t="s">
        <v>1059</v>
      </c>
      <c r="D133" t="s">
        <v>486</v>
      </c>
      <c r="E133" t="s">
        <v>486</v>
      </c>
      <c r="F133" t="s">
        <v>194</v>
      </c>
      <c r="G133" t="s">
        <v>863</v>
      </c>
      <c r="H133" t="s">
        <v>194</v>
      </c>
      <c r="I133" t="s">
        <v>196</v>
      </c>
      <c r="J133" t="s">
        <v>1060</v>
      </c>
      <c r="K133" t="s">
        <v>1061</v>
      </c>
      <c r="L133" t="s">
        <v>1062</v>
      </c>
      <c r="M133" t="s">
        <v>194</v>
      </c>
    </row>
    <row r="134" spans="1:13">
      <c r="A134" t="s">
        <v>1063</v>
      </c>
      <c r="B134" t="s">
        <v>1064</v>
      </c>
      <c r="C134" t="s">
        <v>1065</v>
      </c>
      <c r="D134" t="s">
        <v>1066</v>
      </c>
      <c r="E134" t="s">
        <v>194</v>
      </c>
      <c r="F134" t="s">
        <v>1067</v>
      </c>
      <c r="G134" t="s">
        <v>194</v>
      </c>
      <c r="H134" t="s">
        <v>1068</v>
      </c>
      <c r="I134" t="s">
        <v>194</v>
      </c>
      <c r="J134" t="s">
        <v>194</v>
      </c>
      <c r="K134" t="s">
        <v>194</v>
      </c>
      <c r="L134" t="s">
        <v>1069</v>
      </c>
      <c r="M134" t="s">
        <v>194</v>
      </c>
    </row>
    <row r="135" spans="1:13">
      <c r="A135" t="s">
        <v>1063</v>
      </c>
      <c r="B135" t="s">
        <v>1070</v>
      </c>
      <c r="C135" t="s">
        <v>1071</v>
      </c>
      <c r="D135" t="s">
        <v>1072</v>
      </c>
      <c r="E135" t="s">
        <v>194</v>
      </c>
      <c r="F135" t="s">
        <v>1067</v>
      </c>
      <c r="G135" t="s">
        <v>194</v>
      </c>
      <c r="H135" t="s">
        <v>1073</v>
      </c>
      <c r="I135" t="s">
        <v>194</v>
      </c>
      <c r="J135" t="s">
        <v>194</v>
      </c>
      <c r="K135" t="s">
        <v>194</v>
      </c>
      <c r="L135" t="s">
        <v>1074</v>
      </c>
      <c r="M135" t="s">
        <v>194</v>
      </c>
    </row>
    <row r="136" spans="1:13">
      <c r="A136" t="s">
        <v>1075</v>
      </c>
      <c r="B136" t="s">
        <v>1076</v>
      </c>
      <c r="C136" t="s">
        <v>1077</v>
      </c>
      <c r="D136" t="s">
        <v>1078</v>
      </c>
      <c r="E136" t="s">
        <v>194</v>
      </c>
      <c r="F136" t="s">
        <v>1067</v>
      </c>
      <c r="G136" t="s">
        <v>194</v>
      </c>
      <c r="H136" t="s">
        <v>1079</v>
      </c>
      <c r="I136" t="s">
        <v>194</v>
      </c>
      <c r="J136" t="s">
        <v>194</v>
      </c>
      <c r="K136" t="s">
        <v>194</v>
      </c>
      <c r="L136" t="s">
        <v>1080</v>
      </c>
      <c r="M136" t="s">
        <v>194</v>
      </c>
    </row>
    <row r="137" spans="1:13">
      <c r="A137" t="s">
        <v>1075</v>
      </c>
      <c r="B137" t="s">
        <v>1081</v>
      </c>
      <c r="C137" t="s">
        <v>1082</v>
      </c>
      <c r="D137" t="s">
        <v>1083</v>
      </c>
      <c r="E137" t="s">
        <v>194</v>
      </c>
      <c r="F137" t="s">
        <v>1067</v>
      </c>
      <c r="G137" t="s">
        <v>194</v>
      </c>
      <c r="H137" t="s">
        <v>1084</v>
      </c>
      <c r="I137" t="s">
        <v>194</v>
      </c>
      <c r="J137" t="s">
        <v>194</v>
      </c>
      <c r="K137" t="s">
        <v>194</v>
      </c>
      <c r="L137" t="s">
        <v>1085</v>
      </c>
      <c r="M137" t="s">
        <v>194</v>
      </c>
    </row>
    <row r="138" spans="1:13">
      <c r="A138" t="s">
        <v>1075</v>
      </c>
      <c r="B138" t="s">
        <v>1086</v>
      </c>
      <c r="C138" t="s">
        <v>1087</v>
      </c>
      <c r="D138" t="s">
        <v>1088</v>
      </c>
      <c r="E138" t="s">
        <v>194</v>
      </c>
      <c r="F138" t="s">
        <v>1067</v>
      </c>
      <c r="G138" t="s">
        <v>194</v>
      </c>
      <c r="H138" t="s">
        <v>1089</v>
      </c>
      <c r="I138" t="s">
        <v>194</v>
      </c>
      <c r="J138" t="s">
        <v>194</v>
      </c>
      <c r="K138" t="s">
        <v>194</v>
      </c>
      <c r="L138" t="s">
        <v>1090</v>
      </c>
      <c r="M138" t="s">
        <v>194</v>
      </c>
    </row>
    <row r="139" spans="1:13">
      <c r="A139" t="s">
        <v>1075</v>
      </c>
      <c r="B139" t="s">
        <v>1091</v>
      </c>
      <c r="C139" t="s">
        <v>1092</v>
      </c>
      <c r="D139" t="s">
        <v>1091</v>
      </c>
      <c r="E139" t="s">
        <v>194</v>
      </c>
      <c r="F139" t="s">
        <v>194</v>
      </c>
      <c r="G139" t="s">
        <v>194</v>
      </c>
      <c r="H139" t="s">
        <v>1093</v>
      </c>
      <c r="I139" t="s">
        <v>194</v>
      </c>
      <c r="J139" t="s">
        <v>194</v>
      </c>
      <c r="K139" t="s">
        <v>194</v>
      </c>
      <c r="L139" t="s">
        <v>1094</v>
      </c>
      <c r="M139" t="s">
        <v>194</v>
      </c>
    </row>
    <row r="140" spans="1:13">
      <c r="A140" t="s">
        <v>1075</v>
      </c>
      <c r="B140" t="s">
        <v>1095</v>
      </c>
      <c r="C140" t="s">
        <v>1096</v>
      </c>
      <c r="D140" t="s">
        <v>1097</v>
      </c>
      <c r="E140" t="s">
        <v>194</v>
      </c>
      <c r="F140" t="s">
        <v>1067</v>
      </c>
      <c r="G140" t="s">
        <v>194</v>
      </c>
      <c r="H140" t="s">
        <v>1098</v>
      </c>
      <c r="I140" t="s">
        <v>194</v>
      </c>
      <c r="J140" t="s">
        <v>194</v>
      </c>
      <c r="K140" t="s">
        <v>194</v>
      </c>
      <c r="L140" t="s">
        <v>1099</v>
      </c>
      <c r="M140" t="s">
        <v>194</v>
      </c>
    </row>
    <row r="141" spans="1:13">
      <c r="A141" t="s">
        <v>1075</v>
      </c>
      <c r="B141" t="s">
        <v>1100</v>
      </c>
      <c r="C141" t="s">
        <v>1101</v>
      </c>
      <c r="D141" t="s">
        <v>1102</v>
      </c>
      <c r="E141" t="s">
        <v>194</v>
      </c>
      <c r="F141" t="s">
        <v>1067</v>
      </c>
      <c r="G141" t="s">
        <v>194</v>
      </c>
      <c r="H141" t="s">
        <v>1103</v>
      </c>
      <c r="I141" t="s">
        <v>194</v>
      </c>
      <c r="J141" t="s">
        <v>194</v>
      </c>
      <c r="K141" t="s">
        <v>194</v>
      </c>
      <c r="L141" t="s">
        <v>1104</v>
      </c>
      <c r="M141" t="s">
        <v>194</v>
      </c>
    </row>
    <row r="142" spans="1:13">
      <c r="A142" t="s">
        <v>1075</v>
      </c>
      <c r="B142" t="s">
        <v>1105</v>
      </c>
      <c r="C142" t="s">
        <v>1106</v>
      </c>
      <c r="D142" t="s">
        <v>1107</v>
      </c>
      <c r="E142" t="s">
        <v>194</v>
      </c>
      <c r="F142" t="s">
        <v>1067</v>
      </c>
      <c r="G142" t="s">
        <v>194</v>
      </c>
      <c r="H142" t="s">
        <v>1108</v>
      </c>
      <c r="I142" t="s">
        <v>194</v>
      </c>
      <c r="J142" t="s">
        <v>194</v>
      </c>
      <c r="K142" t="s">
        <v>194</v>
      </c>
      <c r="L142" t="s">
        <v>1109</v>
      </c>
      <c r="M142" t="s">
        <v>194</v>
      </c>
    </row>
    <row r="143" spans="1:13">
      <c r="A143" t="s">
        <v>1110</v>
      </c>
      <c r="B143" t="s">
        <v>1111</v>
      </c>
      <c r="C143" t="s">
        <v>1112</v>
      </c>
      <c r="D143" t="s">
        <v>1113</v>
      </c>
      <c r="E143" t="s">
        <v>194</v>
      </c>
      <c r="F143" t="s">
        <v>1067</v>
      </c>
      <c r="G143" t="s">
        <v>194</v>
      </c>
      <c r="H143" t="s">
        <v>1114</v>
      </c>
      <c r="I143" t="s">
        <v>194</v>
      </c>
      <c r="J143" t="s">
        <v>194</v>
      </c>
      <c r="K143" t="s">
        <v>194</v>
      </c>
      <c r="L143" t="s">
        <v>1115</v>
      </c>
      <c r="M143" t="s">
        <v>194</v>
      </c>
    </row>
    <row r="144" spans="1:13">
      <c r="A144" t="s">
        <v>1110</v>
      </c>
      <c r="B144" t="s">
        <v>1116</v>
      </c>
      <c r="C144" t="s">
        <v>1117</v>
      </c>
      <c r="D144" t="s">
        <v>1118</v>
      </c>
      <c r="E144" t="s">
        <v>194</v>
      </c>
      <c r="F144" t="s">
        <v>1067</v>
      </c>
      <c r="G144" t="s">
        <v>194</v>
      </c>
      <c r="H144" t="s">
        <v>1119</v>
      </c>
      <c r="I144" t="s">
        <v>194</v>
      </c>
      <c r="J144" t="s">
        <v>194</v>
      </c>
      <c r="K144" t="s">
        <v>194</v>
      </c>
      <c r="L144" t="s">
        <v>1120</v>
      </c>
      <c r="M144" t="s">
        <v>194</v>
      </c>
    </row>
    <row r="145" spans="1:13">
      <c r="A145" t="s">
        <v>1110</v>
      </c>
      <c r="B145" t="s">
        <v>1121</v>
      </c>
      <c r="C145" t="s">
        <v>1122</v>
      </c>
      <c r="D145" t="s">
        <v>1121</v>
      </c>
      <c r="E145" t="s">
        <v>194</v>
      </c>
      <c r="F145" t="s">
        <v>1067</v>
      </c>
      <c r="G145" t="s">
        <v>194</v>
      </c>
      <c r="H145" t="s">
        <v>1123</v>
      </c>
      <c r="I145" t="s">
        <v>194</v>
      </c>
      <c r="J145" t="s">
        <v>194</v>
      </c>
      <c r="K145" t="s">
        <v>194</v>
      </c>
      <c r="L145" t="s">
        <v>1124</v>
      </c>
      <c r="M145" t="s">
        <v>194</v>
      </c>
    </row>
    <row r="146" spans="1:13">
      <c r="A146" t="s">
        <v>1110</v>
      </c>
      <c r="B146" t="s">
        <v>3</v>
      </c>
      <c r="C146" t="s">
        <v>1125</v>
      </c>
      <c r="D146" t="s">
        <v>3</v>
      </c>
      <c r="E146" t="s">
        <v>194</v>
      </c>
      <c r="F146" t="s">
        <v>1067</v>
      </c>
      <c r="G146" t="s">
        <v>194</v>
      </c>
      <c r="H146" t="s">
        <v>1126</v>
      </c>
      <c r="I146" t="s">
        <v>194</v>
      </c>
      <c r="J146" t="s">
        <v>194</v>
      </c>
      <c r="K146" t="s">
        <v>194</v>
      </c>
      <c r="L146" t="s">
        <v>1127</v>
      </c>
      <c r="M146" t="s">
        <v>194</v>
      </c>
    </row>
    <row r="147" spans="1:13">
      <c r="A147" t="s">
        <v>1110</v>
      </c>
      <c r="B147" t="s">
        <v>1128</v>
      </c>
      <c r="C147" t="s">
        <v>1129</v>
      </c>
      <c r="D147" t="s">
        <v>1130</v>
      </c>
      <c r="E147" t="s">
        <v>194</v>
      </c>
      <c r="F147" t="s">
        <v>1067</v>
      </c>
      <c r="G147" t="s">
        <v>194</v>
      </c>
      <c r="H147" t="s">
        <v>1131</v>
      </c>
      <c r="I147" t="s">
        <v>194</v>
      </c>
      <c r="J147" t="s">
        <v>194</v>
      </c>
      <c r="K147" t="s">
        <v>194</v>
      </c>
      <c r="L147" t="s">
        <v>1132</v>
      </c>
      <c r="M147" t="s">
        <v>194</v>
      </c>
    </row>
    <row r="148" spans="1:13">
      <c r="A148" t="s">
        <v>1110</v>
      </c>
      <c r="B148" t="s">
        <v>1133</v>
      </c>
      <c r="C148" t="s">
        <v>1134</v>
      </c>
      <c r="D148" t="s">
        <v>1135</v>
      </c>
      <c r="E148" t="s">
        <v>194</v>
      </c>
      <c r="F148" t="s">
        <v>1067</v>
      </c>
      <c r="G148" t="s">
        <v>194</v>
      </c>
      <c r="H148" t="s">
        <v>1136</v>
      </c>
      <c r="I148" t="s">
        <v>194</v>
      </c>
      <c r="J148" t="s">
        <v>194</v>
      </c>
      <c r="K148" t="s">
        <v>194</v>
      </c>
      <c r="L148" t="s">
        <v>1137</v>
      </c>
      <c r="M148" t="s">
        <v>194</v>
      </c>
    </row>
    <row r="149" spans="1:13">
      <c r="A149" t="s">
        <v>1110</v>
      </c>
      <c r="B149" t="s">
        <v>1138</v>
      </c>
      <c r="C149" t="s">
        <v>1139</v>
      </c>
      <c r="D149" t="s">
        <v>1140</v>
      </c>
      <c r="E149" t="s">
        <v>194</v>
      </c>
      <c r="F149" t="s">
        <v>1067</v>
      </c>
      <c r="G149" t="s">
        <v>194</v>
      </c>
      <c r="H149" t="s">
        <v>1141</v>
      </c>
      <c r="I149" t="s">
        <v>194</v>
      </c>
      <c r="J149" t="s">
        <v>194</v>
      </c>
      <c r="K149" t="s">
        <v>194</v>
      </c>
      <c r="L149" t="s">
        <v>1142</v>
      </c>
      <c r="M149" t="s">
        <v>194</v>
      </c>
    </row>
    <row r="150" spans="1:13">
      <c r="A150" t="s">
        <v>1143</v>
      </c>
      <c r="B150" t="s">
        <v>1144</v>
      </c>
      <c r="C150" t="s">
        <v>1145</v>
      </c>
      <c r="D150" t="s">
        <v>1144</v>
      </c>
      <c r="E150" t="s">
        <v>194</v>
      </c>
      <c r="F150" t="s">
        <v>1067</v>
      </c>
      <c r="G150" t="s">
        <v>194</v>
      </c>
      <c r="H150" t="s">
        <v>1146</v>
      </c>
      <c r="I150" t="s">
        <v>194</v>
      </c>
      <c r="J150" t="s">
        <v>194</v>
      </c>
      <c r="K150" t="s">
        <v>194</v>
      </c>
      <c r="L150" t="s">
        <v>1147</v>
      </c>
      <c r="M150" t="s">
        <v>194</v>
      </c>
    </row>
    <row r="151" spans="1:13">
      <c r="A151" t="s">
        <v>1143</v>
      </c>
      <c r="B151" t="s">
        <v>1148</v>
      </c>
      <c r="C151" t="s">
        <v>1149</v>
      </c>
      <c r="D151" t="s">
        <v>1150</v>
      </c>
      <c r="E151" t="s">
        <v>194</v>
      </c>
      <c r="F151" t="s">
        <v>1067</v>
      </c>
      <c r="G151" t="s">
        <v>194</v>
      </c>
      <c r="H151" t="s">
        <v>1151</v>
      </c>
      <c r="I151" t="s">
        <v>194</v>
      </c>
      <c r="J151" t="s">
        <v>194</v>
      </c>
      <c r="K151" t="s">
        <v>194</v>
      </c>
      <c r="L151" t="s">
        <v>1152</v>
      </c>
      <c r="M151" t="s">
        <v>194</v>
      </c>
    </row>
    <row r="152" spans="1:13">
      <c r="A152" t="s">
        <v>1143</v>
      </c>
      <c r="B152" t="s">
        <v>1153</v>
      </c>
      <c r="C152" t="s">
        <v>1154</v>
      </c>
      <c r="D152" t="s">
        <v>1155</v>
      </c>
      <c r="E152" t="s">
        <v>194</v>
      </c>
      <c r="F152" t="s">
        <v>1067</v>
      </c>
      <c r="G152" t="s">
        <v>194</v>
      </c>
      <c r="H152" t="s">
        <v>1156</v>
      </c>
      <c r="I152" t="s">
        <v>194</v>
      </c>
      <c r="J152" t="s">
        <v>194</v>
      </c>
      <c r="K152" t="s">
        <v>194</v>
      </c>
      <c r="L152" t="s">
        <v>1157</v>
      </c>
      <c r="M152" t="s">
        <v>194</v>
      </c>
    </row>
    <row r="153" spans="1:13">
      <c r="A153" t="s">
        <v>1143</v>
      </c>
      <c r="B153" t="s">
        <v>1158</v>
      </c>
      <c r="C153" t="s">
        <v>1159</v>
      </c>
      <c r="D153" t="s">
        <v>1160</v>
      </c>
      <c r="E153" t="s">
        <v>194</v>
      </c>
      <c r="F153" t="s">
        <v>1067</v>
      </c>
      <c r="G153" t="s">
        <v>194</v>
      </c>
      <c r="H153" t="s">
        <v>1161</v>
      </c>
      <c r="I153" t="s">
        <v>194</v>
      </c>
      <c r="J153" t="s">
        <v>194</v>
      </c>
      <c r="K153" t="s">
        <v>194</v>
      </c>
      <c r="L153" t="s">
        <v>1162</v>
      </c>
      <c r="M153" t="s">
        <v>194</v>
      </c>
    </row>
    <row r="154" spans="1:13">
      <c r="A154" t="s">
        <v>1143</v>
      </c>
      <c r="B154" t="s">
        <v>1163</v>
      </c>
      <c r="C154" t="s">
        <v>1164</v>
      </c>
      <c r="D154" t="s">
        <v>1165</v>
      </c>
      <c r="E154" t="s">
        <v>194</v>
      </c>
      <c r="F154" t="s">
        <v>1067</v>
      </c>
      <c r="G154" t="s">
        <v>194</v>
      </c>
      <c r="H154" t="s">
        <v>1166</v>
      </c>
      <c r="I154" t="s">
        <v>194</v>
      </c>
      <c r="J154" t="s">
        <v>194</v>
      </c>
      <c r="K154" t="s">
        <v>194</v>
      </c>
      <c r="L154" t="s">
        <v>1167</v>
      </c>
      <c r="M154" t="s">
        <v>194</v>
      </c>
    </row>
    <row r="155" spans="1:13">
      <c r="A155" t="s">
        <v>1143</v>
      </c>
      <c r="B155" t="s">
        <v>1168</v>
      </c>
      <c r="C155" t="s">
        <v>1169</v>
      </c>
      <c r="D155" t="s">
        <v>1170</v>
      </c>
      <c r="E155" t="s">
        <v>194</v>
      </c>
      <c r="F155" t="s">
        <v>1067</v>
      </c>
      <c r="G155" t="s">
        <v>194</v>
      </c>
      <c r="H155" t="s">
        <v>1171</v>
      </c>
      <c r="I155" t="s">
        <v>194</v>
      </c>
      <c r="J155" t="s">
        <v>194</v>
      </c>
      <c r="K155" t="s">
        <v>194</v>
      </c>
      <c r="L155" t="s">
        <v>1172</v>
      </c>
      <c r="M155" t="s">
        <v>194</v>
      </c>
    </row>
    <row r="156" spans="1:13">
      <c r="A156" t="s">
        <v>1173</v>
      </c>
      <c r="B156" t="s">
        <v>1174</v>
      </c>
      <c r="C156" t="s">
        <v>1175</v>
      </c>
      <c r="D156" t="s">
        <v>1176</v>
      </c>
      <c r="E156" t="s">
        <v>194</v>
      </c>
      <c r="F156" t="s">
        <v>1067</v>
      </c>
      <c r="G156" t="s">
        <v>194</v>
      </c>
      <c r="H156" t="s">
        <v>1177</v>
      </c>
      <c r="I156" t="s">
        <v>194</v>
      </c>
      <c r="J156" t="s">
        <v>194</v>
      </c>
      <c r="K156" t="s">
        <v>194</v>
      </c>
      <c r="L156" t="s">
        <v>1178</v>
      </c>
      <c r="M156" t="s">
        <v>194</v>
      </c>
    </row>
    <row r="157" spans="1:13">
      <c r="A157" t="s">
        <v>1173</v>
      </c>
      <c r="B157" t="s">
        <v>1179</v>
      </c>
      <c r="C157" t="s">
        <v>1180</v>
      </c>
      <c r="D157" t="s">
        <v>1181</v>
      </c>
      <c r="E157" t="s">
        <v>194</v>
      </c>
      <c r="F157" t="s">
        <v>1067</v>
      </c>
      <c r="G157" t="s">
        <v>194</v>
      </c>
      <c r="H157" t="s">
        <v>1182</v>
      </c>
      <c r="I157" t="s">
        <v>194</v>
      </c>
      <c r="J157" t="s">
        <v>194</v>
      </c>
      <c r="K157" t="s">
        <v>194</v>
      </c>
      <c r="L157" t="s">
        <v>1183</v>
      </c>
      <c r="M157" t="s">
        <v>194</v>
      </c>
    </row>
    <row r="158" spans="1:13">
      <c r="A158" t="s">
        <v>1173</v>
      </c>
      <c r="B158" t="s">
        <v>1184</v>
      </c>
      <c r="C158" t="s">
        <v>1185</v>
      </c>
      <c r="D158" t="s">
        <v>1186</v>
      </c>
      <c r="E158" t="s">
        <v>194</v>
      </c>
      <c r="F158" t="s">
        <v>1067</v>
      </c>
      <c r="G158" t="s">
        <v>194</v>
      </c>
      <c r="H158" t="s">
        <v>1187</v>
      </c>
      <c r="I158" t="s">
        <v>194</v>
      </c>
      <c r="J158" t="s">
        <v>194</v>
      </c>
      <c r="K158" t="s">
        <v>194</v>
      </c>
      <c r="L158" t="s">
        <v>1188</v>
      </c>
      <c r="M158" t="s">
        <v>194</v>
      </c>
    </row>
    <row r="159" spans="1:13">
      <c r="A159" t="s">
        <v>1173</v>
      </c>
      <c r="B159" t="s">
        <v>1189</v>
      </c>
      <c r="C159" t="s">
        <v>1190</v>
      </c>
      <c r="D159" t="s">
        <v>1191</v>
      </c>
      <c r="E159" t="s">
        <v>194</v>
      </c>
      <c r="F159" t="s">
        <v>194</v>
      </c>
      <c r="G159" t="s">
        <v>194</v>
      </c>
      <c r="H159" t="s">
        <v>194</v>
      </c>
      <c r="I159" t="s">
        <v>194</v>
      </c>
      <c r="J159" t="s">
        <v>194</v>
      </c>
      <c r="K159" t="s">
        <v>194</v>
      </c>
      <c r="L159" t="s">
        <v>1192</v>
      </c>
      <c r="M159" t="s">
        <v>194</v>
      </c>
    </row>
    <row r="160" spans="1:13">
      <c r="A160" t="s">
        <v>1173</v>
      </c>
      <c r="B160" t="s">
        <v>1193</v>
      </c>
      <c r="C160" t="s">
        <v>1194</v>
      </c>
      <c r="D160" t="s">
        <v>1195</v>
      </c>
      <c r="E160" t="s">
        <v>194</v>
      </c>
      <c r="F160" t="s">
        <v>1067</v>
      </c>
      <c r="G160" t="s">
        <v>194</v>
      </c>
      <c r="H160" t="s">
        <v>1196</v>
      </c>
      <c r="I160" t="s">
        <v>194</v>
      </c>
      <c r="J160" t="s">
        <v>194</v>
      </c>
      <c r="K160" t="s">
        <v>194</v>
      </c>
      <c r="L160" t="s">
        <v>1197</v>
      </c>
      <c r="M160" t="s">
        <v>194</v>
      </c>
    </row>
    <row r="161" spans="1:13">
      <c r="A161" t="s">
        <v>1173</v>
      </c>
      <c r="B161" t="s">
        <v>1198</v>
      </c>
      <c r="C161" t="s">
        <v>1199</v>
      </c>
      <c r="D161" t="s">
        <v>1200</v>
      </c>
      <c r="E161" t="s">
        <v>194</v>
      </c>
      <c r="F161" t="s">
        <v>1067</v>
      </c>
      <c r="G161" t="s">
        <v>194</v>
      </c>
      <c r="H161" t="s">
        <v>1201</v>
      </c>
      <c r="I161" t="s">
        <v>194</v>
      </c>
      <c r="J161" t="s">
        <v>194</v>
      </c>
      <c r="K161" t="s">
        <v>194</v>
      </c>
      <c r="L161" t="s">
        <v>1202</v>
      </c>
      <c r="M161" t="s">
        <v>194</v>
      </c>
    </row>
    <row r="162" spans="1:13">
      <c r="A162" t="s">
        <v>1203</v>
      </c>
      <c r="B162" t="s">
        <v>1204</v>
      </c>
      <c r="C162" t="s">
        <v>1205</v>
      </c>
      <c r="D162" t="s">
        <v>1206</v>
      </c>
      <c r="E162" t="s">
        <v>194</v>
      </c>
      <c r="F162" t="s">
        <v>1067</v>
      </c>
      <c r="G162" t="s">
        <v>194</v>
      </c>
      <c r="H162" t="s">
        <v>1207</v>
      </c>
      <c r="I162" t="s">
        <v>194</v>
      </c>
      <c r="J162" t="s">
        <v>194</v>
      </c>
      <c r="K162" t="s">
        <v>194</v>
      </c>
      <c r="L162" t="s">
        <v>1208</v>
      </c>
      <c r="M162" t="s">
        <v>194</v>
      </c>
    </row>
    <row r="163" spans="1:13">
      <c r="A163" t="s">
        <v>1203</v>
      </c>
      <c r="B163" t="s">
        <v>1209</v>
      </c>
      <c r="C163" t="s">
        <v>1210</v>
      </c>
      <c r="D163" t="s">
        <v>1211</v>
      </c>
      <c r="E163" t="s">
        <v>194</v>
      </c>
      <c r="F163" t="s">
        <v>1067</v>
      </c>
      <c r="G163" t="s">
        <v>194</v>
      </c>
      <c r="H163" t="s">
        <v>1212</v>
      </c>
      <c r="I163" t="s">
        <v>194</v>
      </c>
      <c r="J163" t="s">
        <v>194</v>
      </c>
      <c r="K163" t="s">
        <v>194</v>
      </c>
      <c r="L163" t="s">
        <v>1213</v>
      </c>
      <c r="M163" t="s">
        <v>194</v>
      </c>
    </row>
    <row r="164" spans="1:13">
      <c r="A164" t="s">
        <v>1203</v>
      </c>
      <c r="B164" t="s">
        <v>1214</v>
      </c>
      <c r="C164" t="s">
        <v>1215</v>
      </c>
      <c r="D164" t="s">
        <v>1216</v>
      </c>
      <c r="E164" t="s">
        <v>194</v>
      </c>
      <c r="F164" t="s">
        <v>1067</v>
      </c>
      <c r="G164" t="s">
        <v>194</v>
      </c>
      <c r="H164" t="s">
        <v>1217</v>
      </c>
      <c r="I164" t="s">
        <v>194</v>
      </c>
      <c r="J164" t="s">
        <v>194</v>
      </c>
      <c r="K164" t="s">
        <v>194</v>
      </c>
      <c r="L164" t="s">
        <v>1218</v>
      </c>
      <c r="M164" t="s">
        <v>194</v>
      </c>
    </row>
    <row r="165" spans="1:13">
      <c r="A165" t="s">
        <v>1203</v>
      </c>
      <c r="B165" t="s">
        <v>1219</v>
      </c>
      <c r="C165" t="s">
        <v>1220</v>
      </c>
      <c r="D165" t="s">
        <v>1221</v>
      </c>
      <c r="E165" t="s">
        <v>194</v>
      </c>
      <c r="F165" t="s">
        <v>1067</v>
      </c>
      <c r="G165" t="s">
        <v>194</v>
      </c>
      <c r="H165" t="s">
        <v>1222</v>
      </c>
      <c r="I165" t="s">
        <v>194</v>
      </c>
      <c r="J165" t="s">
        <v>194</v>
      </c>
      <c r="K165" t="s">
        <v>194</v>
      </c>
      <c r="L165" t="s">
        <v>1223</v>
      </c>
      <c r="M165" t="s">
        <v>194</v>
      </c>
    </row>
    <row r="166" spans="1:13">
      <c r="A166" t="s">
        <v>1203</v>
      </c>
      <c r="B166" t="s">
        <v>1224</v>
      </c>
      <c r="C166" t="s">
        <v>1225</v>
      </c>
      <c r="D166" t="s">
        <v>1224</v>
      </c>
      <c r="E166" t="s">
        <v>194</v>
      </c>
      <c r="F166" t="s">
        <v>1067</v>
      </c>
      <c r="G166" t="s">
        <v>194</v>
      </c>
      <c r="H166" t="s">
        <v>1226</v>
      </c>
      <c r="I166" t="s">
        <v>194</v>
      </c>
      <c r="J166" t="s">
        <v>194</v>
      </c>
      <c r="K166" t="s">
        <v>194</v>
      </c>
      <c r="L166" t="s">
        <v>1227</v>
      </c>
      <c r="M166" t="s">
        <v>194</v>
      </c>
    </row>
    <row r="167" spans="1:13">
      <c r="A167" t="s">
        <v>1203</v>
      </c>
      <c r="B167" t="s">
        <v>1228</v>
      </c>
      <c r="C167" t="s">
        <v>1229</v>
      </c>
      <c r="D167" t="s">
        <v>1228</v>
      </c>
      <c r="E167" t="s">
        <v>194</v>
      </c>
      <c r="F167" t="s">
        <v>1067</v>
      </c>
      <c r="G167" t="s">
        <v>194</v>
      </c>
      <c r="H167" t="s">
        <v>1230</v>
      </c>
      <c r="I167" t="s">
        <v>194</v>
      </c>
      <c r="J167" t="s">
        <v>194</v>
      </c>
      <c r="K167" t="s">
        <v>194</v>
      </c>
      <c r="L167" t="s">
        <v>1231</v>
      </c>
      <c r="M167" t="s">
        <v>194</v>
      </c>
    </row>
    <row r="168" spans="1:13">
      <c r="A168" t="s">
        <v>1203</v>
      </c>
      <c r="B168" t="s">
        <v>1232</v>
      </c>
      <c r="C168" t="s">
        <v>1233</v>
      </c>
      <c r="D168" t="s">
        <v>1232</v>
      </c>
      <c r="E168" t="s">
        <v>194</v>
      </c>
      <c r="F168" t="s">
        <v>1067</v>
      </c>
      <c r="G168" t="s">
        <v>194</v>
      </c>
      <c r="H168" t="s">
        <v>1207</v>
      </c>
      <c r="I168" t="s">
        <v>194</v>
      </c>
      <c r="J168" t="s">
        <v>194</v>
      </c>
      <c r="K168" t="s">
        <v>194</v>
      </c>
      <c r="L168" t="s">
        <v>1234</v>
      </c>
      <c r="M168" t="s">
        <v>194</v>
      </c>
    </row>
    <row r="169" spans="1:13">
      <c r="A169" t="s">
        <v>1203</v>
      </c>
      <c r="B169" t="s">
        <v>1235</v>
      </c>
      <c r="C169" t="s">
        <v>1236</v>
      </c>
      <c r="D169" t="s">
        <v>1235</v>
      </c>
      <c r="E169" t="s">
        <v>194</v>
      </c>
      <c r="F169" t="s">
        <v>1067</v>
      </c>
      <c r="G169" t="s">
        <v>194</v>
      </c>
      <c r="H169" t="s">
        <v>1237</v>
      </c>
      <c r="I169" t="s">
        <v>194</v>
      </c>
      <c r="J169" t="s">
        <v>194</v>
      </c>
      <c r="K169" t="s">
        <v>194</v>
      </c>
      <c r="L169" t="s">
        <v>1238</v>
      </c>
      <c r="M169" t="s">
        <v>194</v>
      </c>
    </row>
    <row r="170" spans="1:13">
      <c r="A170" t="s">
        <v>1203</v>
      </c>
      <c r="B170" t="s">
        <v>1239</v>
      </c>
      <c r="C170" t="s">
        <v>1240</v>
      </c>
      <c r="D170" t="s">
        <v>1239</v>
      </c>
      <c r="E170" t="s">
        <v>194</v>
      </c>
      <c r="F170" t="s">
        <v>1067</v>
      </c>
      <c r="G170" t="s">
        <v>194</v>
      </c>
      <c r="H170" t="s">
        <v>1241</v>
      </c>
      <c r="I170" t="s">
        <v>194</v>
      </c>
      <c r="J170" t="s">
        <v>194</v>
      </c>
      <c r="K170" t="s">
        <v>194</v>
      </c>
      <c r="L170" t="s">
        <v>1242</v>
      </c>
      <c r="M170" t="s">
        <v>194</v>
      </c>
    </row>
    <row r="171" spans="1:13">
      <c r="A171" t="s">
        <v>1243</v>
      </c>
      <c r="B171" t="s">
        <v>1244</v>
      </c>
      <c r="C171" t="s">
        <v>1245</v>
      </c>
      <c r="D171" t="s">
        <v>1244</v>
      </c>
      <c r="E171" t="s">
        <v>194</v>
      </c>
      <c r="F171" t="s">
        <v>1067</v>
      </c>
      <c r="G171" t="s">
        <v>194</v>
      </c>
      <c r="H171" t="s">
        <v>1246</v>
      </c>
      <c r="I171" t="s">
        <v>194</v>
      </c>
      <c r="J171" t="s">
        <v>194</v>
      </c>
      <c r="K171" t="s">
        <v>194</v>
      </c>
      <c r="L171" t="s">
        <v>1247</v>
      </c>
      <c r="M171" t="s">
        <v>194</v>
      </c>
    </row>
    <row r="172" spans="1:13">
      <c r="A172" t="s">
        <v>1243</v>
      </c>
      <c r="B172" t="s">
        <v>1248</v>
      </c>
      <c r="C172" t="s">
        <v>1249</v>
      </c>
      <c r="D172" t="s">
        <v>1248</v>
      </c>
      <c r="E172" t="s">
        <v>194</v>
      </c>
      <c r="F172" t="s">
        <v>1067</v>
      </c>
      <c r="G172" t="s">
        <v>194</v>
      </c>
      <c r="H172" t="s">
        <v>1250</v>
      </c>
      <c r="I172" t="s">
        <v>194</v>
      </c>
      <c r="J172" t="s">
        <v>194</v>
      </c>
      <c r="K172" t="s">
        <v>194</v>
      </c>
      <c r="L172" t="s">
        <v>1251</v>
      </c>
      <c r="M172" t="s">
        <v>194</v>
      </c>
    </row>
    <row r="173" spans="1:13">
      <c r="A173" t="s">
        <v>1243</v>
      </c>
      <c r="B173" t="s">
        <v>1252</v>
      </c>
      <c r="C173" t="s">
        <v>1253</v>
      </c>
      <c r="D173" t="s">
        <v>1252</v>
      </c>
      <c r="E173" t="s">
        <v>194</v>
      </c>
      <c r="F173" t="s">
        <v>1067</v>
      </c>
      <c r="G173" t="s">
        <v>194</v>
      </c>
      <c r="H173" t="s">
        <v>1254</v>
      </c>
      <c r="I173" t="s">
        <v>194</v>
      </c>
      <c r="J173" t="s">
        <v>194</v>
      </c>
      <c r="K173" t="s">
        <v>194</v>
      </c>
      <c r="L173" t="s">
        <v>1255</v>
      </c>
      <c r="M173" t="s">
        <v>194</v>
      </c>
    </row>
    <row r="174" spans="1:13">
      <c r="A174" t="s">
        <v>1243</v>
      </c>
      <c r="B174" t="s">
        <v>1256</v>
      </c>
      <c r="C174" t="s">
        <v>1257</v>
      </c>
      <c r="D174" t="s">
        <v>1256</v>
      </c>
      <c r="E174" t="s">
        <v>194</v>
      </c>
      <c r="F174" t="s">
        <v>1067</v>
      </c>
      <c r="G174" t="s">
        <v>194</v>
      </c>
      <c r="H174" t="s">
        <v>1258</v>
      </c>
      <c r="I174" t="s">
        <v>194</v>
      </c>
      <c r="J174" t="s">
        <v>194</v>
      </c>
      <c r="K174" t="s">
        <v>194</v>
      </c>
      <c r="L174" t="s">
        <v>1259</v>
      </c>
      <c r="M174" t="s">
        <v>194</v>
      </c>
    </row>
    <row r="175" spans="1:13">
      <c r="A175" t="s">
        <v>1243</v>
      </c>
      <c r="B175" t="s">
        <v>1260</v>
      </c>
      <c r="C175" t="s">
        <v>1261</v>
      </c>
      <c r="D175" t="s">
        <v>1260</v>
      </c>
      <c r="E175" t="s">
        <v>194</v>
      </c>
      <c r="F175" t="s">
        <v>1067</v>
      </c>
      <c r="G175" t="s">
        <v>194</v>
      </c>
      <c r="H175" t="s">
        <v>1262</v>
      </c>
      <c r="I175" t="s">
        <v>194</v>
      </c>
      <c r="J175" t="s">
        <v>194</v>
      </c>
      <c r="K175" t="s">
        <v>194</v>
      </c>
      <c r="L175" t="s">
        <v>1263</v>
      </c>
      <c r="M175" t="s">
        <v>194</v>
      </c>
    </row>
    <row r="176" spans="1:13">
      <c r="A176" t="s">
        <v>1243</v>
      </c>
      <c r="B176" t="s">
        <v>1264</v>
      </c>
      <c r="C176" t="s">
        <v>1265</v>
      </c>
      <c r="D176" t="s">
        <v>1264</v>
      </c>
      <c r="E176" t="s">
        <v>194</v>
      </c>
      <c r="F176" t="s">
        <v>1067</v>
      </c>
      <c r="G176" t="s">
        <v>194</v>
      </c>
      <c r="H176" t="s">
        <v>1266</v>
      </c>
      <c r="I176" t="s">
        <v>194</v>
      </c>
      <c r="J176" t="s">
        <v>194</v>
      </c>
      <c r="K176" t="s">
        <v>194</v>
      </c>
      <c r="L176" t="s">
        <v>1267</v>
      </c>
      <c r="M176" t="s">
        <v>194</v>
      </c>
    </row>
    <row r="177" spans="1:13">
      <c r="A177" t="s">
        <v>1268</v>
      </c>
      <c r="B177" t="s">
        <v>1269</v>
      </c>
      <c r="C177" t="s">
        <v>1270</v>
      </c>
      <c r="D177" t="s">
        <v>1269</v>
      </c>
      <c r="E177" t="s">
        <v>194</v>
      </c>
      <c r="F177" t="s">
        <v>1067</v>
      </c>
      <c r="G177" t="s">
        <v>194</v>
      </c>
      <c r="H177" t="s">
        <v>1271</v>
      </c>
      <c r="I177" t="s">
        <v>194</v>
      </c>
      <c r="J177" t="s">
        <v>194</v>
      </c>
      <c r="K177" t="s">
        <v>194</v>
      </c>
      <c r="L177" t="s">
        <v>1272</v>
      </c>
      <c r="M177" t="s">
        <v>194</v>
      </c>
    </row>
    <row r="178" spans="1:13">
      <c r="A178" t="s">
        <v>1268</v>
      </c>
      <c r="B178" t="s">
        <v>1273</v>
      </c>
      <c r="C178" t="s">
        <v>1274</v>
      </c>
      <c r="D178" t="s">
        <v>1273</v>
      </c>
      <c r="E178" t="s">
        <v>194</v>
      </c>
      <c r="F178" t="s">
        <v>1067</v>
      </c>
      <c r="G178" t="s">
        <v>194</v>
      </c>
      <c r="H178" t="s">
        <v>1275</v>
      </c>
      <c r="I178" t="s">
        <v>194</v>
      </c>
      <c r="J178" t="s">
        <v>194</v>
      </c>
      <c r="K178" t="s">
        <v>194</v>
      </c>
      <c r="L178" t="s">
        <v>1276</v>
      </c>
      <c r="M178" t="s">
        <v>194</v>
      </c>
    </row>
    <row r="179" spans="1:13">
      <c r="A179" t="s">
        <v>1268</v>
      </c>
      <c r="B179" t="s">
        <v>1277</v>
      </c>
      <c r="C179" t="s">
        <v>1278</v>
      </c>
      <c r="D179" t="s">
        <v>1277</v>
      </c>
      <c r="E179" t="s">
        <v>194</v>
      </c>
      <c r="F179" t="s">
        <v>1067</v>
      </c>
      <c r="G179" t="s">
        <v>194</v>
      </c>
      <c r="H179" t="s">
        <v>1279</v>
      </c>
      <c r="I179" t="s">
        <v>194</v>
      </c>
      <c r="J179" t="s">
        <v>194</v>
      </c>
      <c r="K179" t="s">
        <v>194</v>
      </c>
      <c r="L179" t="s">
        <v>1280</v>
      </c>
      <c r="M179" t="s">
        <v>194</v>
      </c>
    </row>
    <row r="180" spans="1:13">
      <c r="A180" t="s">
        <v>1281</v>
      </c>
      <c r="B180" t="s">
        <v>1269</v>
      </c>
      <c r="C180" t="s">
        <v>1282</v>
      </c>
      <c r="D180" t="s">
        <v>1269</v>
      </c>
      <c r="E180" t="s">
        <v>194</v>
      </c>
      <c r="F180" t="s">
        <v>1067</v>
      </c>
      <c r="G180" t="s">
        <v>194</v>
      </c>
      <c r="H180" t="s">
        <v>1271</v>
      </c>
      <c r="I180" t="s">
        <v>194</v>
      </c>
      <c r="J180" t="s">
        <v>194</v>
      </c>
      <c r="K180" t="s">
        <v>194</v>
      </c>
      <c r="L180" t="s">
        <v>1283</v>
      </c>
      <c r="M180" t="s">
        <v>194</v>
      </c>
    </row>
    <row r="181" spans="1:13">
      <c r="A181" t="s">
        <v>1281</v>
      </c>
      <c r="B181" t="s">
        <v>1273</v>
      </c>
      <c r="C181" t="s">
        <v>1284</v>
      </c>
      <c r="D181" t="s">
        <v>1273</v>
      </c>
      <c r="E181" t="s">
        <v>194</v>
      </c>
      <c r="F181" t="s">
        <v>1067</v>
      </c>
      <c r="G181" t="s">
        <v>194</v>
      </c>
      <c r="H181" t="s">
        <v>1275</v>
      </c>
      <c r="I181" t="s">
        <v>194</v>
      </c>
      <c r="J181" t="s">
        <v>194</v>
      </c>
      <c r="K181" t="s">
        <v>194</v>
      </c>
      <c r="L181" t="s">
        <v>1285</v>
      </c>
      <c r="M181" t="s">
        <v>194</v>
      </c>
    </row>
    <row r="182" spans="1:13">
      <c r="A182" t="s">
        <v>1281</v>
      </c>
      <c r="B182" t="s">
        <v>1277</v>
      </c>
      <c r="C182" t="s">
        <v>1286</v>
      </c>
      <c r="D182" t="s">
        <v>1277</v>
      </c>
      <c r="E182" t="s">
        <v>194</v>
      </c>
      <c r="F182" t="s">
        <v>1067</v>
      </c>
      <c r="G182" t="s">
        <v>194</v>
      </c>
      <c r="H182" t="s">
        <v>1279</v>
      </c>
      <c r="I182" t="s">
        <v>194</v>
      </c>
      <c r="J182" t="s">
        <v>194</v>
      </c>
      <c r="K182" t="s">
        <v>194</v>
      </c>
      <c r="L182" t="s">
        <v>1287</v>
      </c>
      <c r="M182" t="s">
        <v>194</v>
      </c>
    </row>
    <row r="183" spans="1:13">
      <c r="A183" t="s">
        <v>1288</v>
      </c>
      <c r="B183" t="s">
        <v>1289</v>
      </c>
      <c r="C183" t="s">
        <v>1290</v>
      </c>
      <c r="D183" t="s">
        <v>1289</v>
      </c>
      <c r="E183" t="s">
        <v>194</v>
      </c>
      <c r="F183" t="s">
        <v>1067</v>
      </c>
      <c r="G183" t="s">
        <v>194</v>
      </c>
      <c r="H183" t="s">
        <v>1291</v>
      </c>
      <c r="I183" t="s">
        <v>194</v>
      </c>
      <c r="J183" t="s">
        <v>194</v>
      </c>
      <c r="K183" t="s">
        <v>194</v>
      </c>
      <c r="L183" t="s">
        <v>1292</v>
      </c>
      <c r="M183" t="s">
        <v>194</v>
      </c>
    </row>
    <row r="184" spans="1:13">
      <c r="A184" t="s">
        <v>1288</v>
      </c>
      <c r="B184" t="s">
        <v>1293</v>
      </c>
      <c r="C184" t="s">
        <v>1294</v>
      </c>
      <c r="D184" t="s">
        <v>1293</v>
      </c>
      <c r="E184" t="s">
        <v>194</v>
      </c>
      <c r="F184" t="s">
        <v>1067</v>
      </c>
      <c r="G184" t="s">
        <v>194</v>
      </c>
      <c r="H184" t="s">
        <v>1295</v>
      </c>
      <c r="I184" t="s">
        <v>194</v>
      </c>
      <c r="J184" t="s">
        <v>194</v>
      </c>
      <c r="K184" t="s">
        <v>194</v>
      </c>
      <c r="L184" t="s">
        <v>1296</v>
      </c>
      <c r="M184" t="s">
        <v>194</v>
      </c>
    </row>
    <row r="185" spans="1:13">
      <c r="A185" t="s">
        <v>1288</v>
      </c>
      <c r="B185" t="s">
        <v>1297</v>
      </c>
      <c r="C185" t="s">
        <v>1298</v>
      </c>
      <c r="D185" t="s">
        <v>1297</v>
      </c>
      <c r="E185" t="s">
        <v>194</v>
      </c>
      <c r="F185" t="s">
        <v>1067</v>
      </c>
      <c r="G185" t="s">
        <v>194</v>
      </c>
      <c r="H185" t="s">
        <v>1299</v>
      </c>
      <c r="I185" t="s">
        <v>194</v>
      </c>
      <c r="J185" t="s">
        <v>194</v>
      </c>
      <c r="K185" t="s">
        <v>194</v>
      </c>
      <c r="L185" t="s">
        <v>1300</v>
      </c>
      <c r="M185" t="s">
        <v>194</v>
      </c>
    </row>
    <row r="186" spans="1:13">
      <c r="A186" t="s">
        <v>1288</v>
      </c>
      <c r="B186" t="s">
        <v>1301</v>
      </c>
      <c r="C186" s="77" t="s">
        <v>1471</v>
      </c>
      <c r="D186" t="s">
        <v>1301</v>
      </c>
      <c r="E186" t="s">
        <v>194</v>
      </c>
      <c r="F186" t="s">
        <v>1067</v>
      </c>
      <c r="G186" t="s">
        <v>194</v>
      </c>
      <c r="H186" t="s">
        <v>1302</v>
      </c>
      <c r="I186" t="s">
        <v>194</v>
      </c>
      <c r="J186" t="s">
        <v>194</v>
      </c>
      <c r="K186" t="s">
        <v>194</v>
      </c>
      <c r="L186" t="s">
        <v>1303</v>
      </c>
      <c r="M186" t="s">
        <v>194</v>
      </c>
    </row>
    <row r="187" spans="1:13">
      <c r="A187" t="s">
        <v>1288</v>
      </c>
      <c r="B187" t="s">
        <v>1304</v>
      </c>
      <c r="C187" t="s">
        <v>1305</v>
      </c>
      <c r="D187" t="s">
        <v>1304</v>
      </c>
      <c r="E187" t="s">
        <v>194</v>
      </c>
      <c r="F187" t="s">
        <v>1067</v>
      </c>
      <c r="G187" t="s">
        <v>194</v>
      </c>
      <c r="H187" t="s">
        <v>1306</v>
      </c>
      <c r="I187" t="s">
        <v>194</v>
      </c>
      <c r="J187" t="s">
        <v>194</v>
      </c>
      <c r="K187" t="s">
        <v>194</v>
      </c>
      <c r="L187" t="s">
        <v>1307</v>
      </c>
      <c r="M187" t="s">
        <v>194</v>
      </c>
    </row>
    <row r="188" spans="1:13">
      <c r="A188" t="s">
        <v>1288</v>
      </c>
      <c r="B188" t="s">
        <v>1308</v>
      </c>
      <c r="C188" t="s">
        <v>1309</v>
      </c>
      <c r="D188" t="s">
        <v>1308</v>
      </c>
      <c r="E188" t="s">
        <v>194</v>
      </c>
      <c r="F188" t="s">
        <v>1067</v>
      </c>
      <c r="G188" t="s">
        <v>194</v>
      </c>
      <c r="H188" t="s">
        <v>1310</v>
      </c>
      <c r="I188" t="s">
        <v>194</v>
      </c>
      <c r="J188" t="s">
        <v>194</v>
      </c>
      <c r="K188" t="s">
        <v>194</v>
      </c>
      <c r="L188" t="s">
        <v>1311</v>
      </c>
      <c r="M188" t="s">
        <v>194</v>
      </c>
    </row>
    <row r="189" spans="1:13">
      <c r="A189" t="s">
        <v>1288</v>
      </c>
      <c r="B189" t="s">
        <v>1252</v>
      </c>
      <c r="C189" t="s">
        <v>1312</v>
      </c>
      <c r="D189" t="s">
        <v>1252</v>
      </c>
      <c r="E189" t="s">
        <v>194</v>
      </c>
      <c r="F189" t="s">
        <v>1067</v>
      </c>
      <c r="G189" t="s">
        <v>194</v>
      </c>
      <c r="H189" t="s">
        <v>1254</v>
      </c>
      <c r="I189" t="s">
        <v>194</v>
      </c>
      <c r="J189" t="s">
        <v>194</v>
      </c>
      <c r="K189" t="s">
        <v>194</v>
      </c>
      <c r="L189" t="s">
        <v>1313</v>
      </c>
      <c r="M189" t="s">
        <v>194</v>
      </c>
    </row>
    <row r="190" spans="1:13">
      <c r="A190" t="s">
        <v>1288</v>
      </c>
      <c r="B190" t="s">
        <v>1148</v>
      </c>
      <c r="C190" t="s">
        <v>1314</v>
      </c>
      <c r="D190" t="s">
        <v>1148</v>
      </c>
      <c r="E190" t="s">
        <v>194</v>
      </c>
      <c r="F190" t="s">
        <v>1067</v>
      </c>
      <c r="G190" t="s">
        <v>194</v>
      </c>
      <c r="H190" t="s">
        <v>1315</v>
      </c>
      <c r="I190" t="s">
        <v>194</v>
      </c>
      <c r="J190" t="s">
        <v>194</v>
      </c>
      <c r="K190" t="s">
        <v>194</v>
      </c>
      <c r="L190" t="s">
        <v>1316</v>
      </c>
      <c r="M190" t="s">
        <v>194</v>
      </c>
    </row>
    <row r="191" spans="1:13">
      <c r="A191" t="s">
        <v>1317</v>
      </c>
      <c r="B191" t="s">
        <v>1318</v>
      </c>
      <c r="C191" t="s">
        <v>1319</v>
      </c>
      <c r="D191" t="s">
        <v>1318</v>
      </c>
      <c r="E191" t="s">
        <v>194</v>
      </c>
      <c r="F191" t="s">
        <v>1067</v>
      </c>
      <c r="G191" t="s">
        <v>194</v>
      </c>
      <c r="H191" t="s">
        <v>1320</v>
      </c>
      <c r="I191" t="s">
        <v>194</v>
      </c>
      <c r="J191" t="s">
        <v>194</v>
      </c>
      <c r="K191" t="s">
        <v>194</v>
      </c>
      <c r="L191" t="s">
        <v>1321</v>
      </c>
      <c r="M191" t="s">
        <v>194</v>
      </c>
    </row>
    <row r="192" spans="1:13">
      <c r="A192" t="s">
        <v>1317</v>
      </c>
      <c r="B192" t="s">
        <v>1322</v>
      </c>
      <c r="C192" t="s">
        <v>1323</v>
      </c>
      <c r="D192" t="s">
        <v>1322</v>
      </c>
      <c r="E192" t="s">
        <v>194</v>
      </c>
      <c r="F192" t="s">
        <v>1067</v>
      </c>
      <c r="G192" t="s">
        <v>194</v>
      </c>
      <c r="H192" t="s">
        <v>1324</v>
      </c>
      <c r="I192" t="s">
        <v>194</v>
      </c>
      <c r="J192" t="s">
        <v>194</v>
      </c>
      <c r="K192" t="s">
        <v>194</v>
      </c>
      <c r="L192" t="s">
        <v>1325</v>
      </c>
      <c r="M192" t="s">
        <v>194</v>
      </c>
    </row>
    <row r="193" spans="1:13">
      <c r="A193" t="s">
        <v>1317</v>
      </c>
      <c r="B193" t="s">
        <v>1326</v>
      </c>
      <c r="C193" t="s">
        <v>1327</v>
      </c>
      <c r="D193" t="s">
        <v>1326</v>
      </c>
      <c r="E193" t="s">
        <v>194</v>
      </c>
      <c r="F193" t="s">
        <v>1067</v>
      </c>
      <c r="G193" t="s">
        <v>194</v>
      </c>
      <c r="H193" t="s">
        <v>1328</v>
      </c>
      <c r="I193" t="s">
        <v>194</v>
      </c>
      <c r="J193" t="s">
        <v>194</v>
      </c>
      <c r="K193" t="s">
        <v>194</v>
      </c>
      <c r="L193" t="s">
        <v>1329</v>
      </c>
      <c r="M193" t="s">
        <v>194</v>
      </c>
    </row>
    <row r="194" spans="1:13">
      <c r="A194" t="s">
        <v>1317</v>
      </c>
      <c r="B194" t="s">
        <v>1330</v>
      </c>
      <c r="C194" t="s">
        <v>1331</v>
      </c>
      <c r="D194" t="s">
        <v>1330</v>
      </c>
      <c r="E194" t="s">
        <v>194</v>
      </c>
      <c r="F194" t="s">
        <v>1067</v>
      </c>
      <c r="G194" t="s">
        <v>194</v>
      </c>
      <c r="H194" t="s">
        <v>1332</v>
      </c>
      <c r="I194" t="s">
        <v>194</v>
      </c>
      <c r="J194" t="s">
        <v>194</v>
      </c>
      <c r="K194" t="s">
        <v>194</v>
      </c>
      <c r="L194" t="s">
        <v>1333</v>
      </c>
      <c r="M194" t="s">
        <v>194</v>
      </c>
    </row>
    <row r="195" spans="1:13">
      <c r="A195" t="s">
        <v>1317</v>
      </c>
      <c r="B195" t="s">
        <v>1334</v>
      </c>
      <c r="C195" t="s">
        <v>1335</v>
      </c>
      <c r="D195" t="s">
        <v>1334</v>
      </c>
      <c r="E195" t="s">
        <v>194</v>
      </c>
      <c r="F195" t="s">
        <v>194</v>
      </c>
      <c r="G195" t="s">
        <v>194</v>
      </c>
      <c r="H195" t="s">
        <v>194</v>
      </c>
      <c r="I195" t="s">
        <v>194</v>
      </c>
      <c r="J195" t="s">
        <v>194</v>
      </c>
      <c r="K195" t="s">
        <v>194</v>
      </c>
      <c r="L195" t="s">
        <v>1336</v>
      </c>
      <c r="M195" t="s">
        <v>194</v>
      </c>
    </row>
    <row r="196" spans="1:13">
      <c r="A196" t="s">
        <v>1317</v>
      </c>
      <c r="B196" t="s">
        <v>1337</v>
      </c>
      <c r="C196" t="s">
        <v>1338</v>
      </c>
      <c r="D196" t="s">
        <v>1337</v>
      </c>
      <c r="E196" t="s">
        <v>194</v>
      </c>
      <c r="F196" t="s">
        <v>194</v>
      </c>
      <c r="G196" t="s">
        <v>194</v>
      </c>
      <c r="H196" t="s">
        <v>194</v>
      </c>
      <c r="I196" t="s">
        <v>194</v>
      </c>
      <c r="J196" t="s">
        <v>194</v>
      </c>
      <c r="K196" t="s">
        <v>194</v>
      </c>
      <c r="L196" t="s">
        <v>1339</v>
      </c>
      <c r="M196" t="s">
        <v>194</v>
      </c>
    </row>
    <row r="197" spans="1:13">
      <c r="A197" t="s">
        <v>1340</v>
      </c>
      <c r="B197" t="s">
        <v>1341</v>
      </c>
      <c r="C197" t="s">
        <v>1342</v>
      </c>
      <c r="D197" t="s">
        <v>1341</v>
      </c>
      <c r="E197" t="s">
        <v>194</v>
      </c>
      <c r="F197" t="s">
        <v>1343</v>
      </c>
      <c r="G197" t="s">
        <v>194</v>
      </c>
      <c r="H197" t="s">
        <v>194</v>
      </c>
      <c r="I197" t="s">
        <v>194</v>
      </c>
      <c r="J197" t="s">
        <v>194</v>
      </c>
      <c r="K197" t="s">
        <v>194</v>
      </c>
      <c r="L197" t="s">
        <v>1344</v>
      </c>
      <c r="M197" t="s">
        <v>194</v>
      </c>
    </row>
    <row r="198" spans="1:13">
      <c r="A198" t="s">
        <v>1340</v>
      </c>
      <c r="B198" t="s">
        <v>1138</v>
      </c>
      <c r="C198" t="s">
        <v>1345</v>
      </c>
      <c r="D198" t="s">
        <v>1138</v>
      </c>
      <c r="E198" t="s">
        <v>194</v>
      </c>
      <c r="F198" t="s">
        <v>1343</v>
      </c>
      <c r="G198" t="s">
        <v>194</v>
      </c>
      <c r="H198" t="s">
        <v>194</v>
      </c>
      <c r="I198" t="s">
        <v>194</v>
      </c>
      <c r="J198" t="s">
        <v>194</v>
      </c>
      <c r="K198" t="s">
        <v>194</v>
      </c>
      <c r="L198" t="s">
        <v>1346</v>
      </c>
      <c r="M198" t="s">
        <v>194</v>
      </c>
    </row>
    <row r="199" spans="1:13">
      <c r="A199" t="s">
        <v>1340</v>
      </c>
      <c r="B199" t="s">
        <v>749</v>
      </c>
      <c r="C199" t="s">
        <v>1347</v>
      </c>
      <c r="D199" t="s">
        <v>749</v>
      </c>
      <c r="E199" t="s">
        <v>194</v>
      </c>
      <c r="F199" t="s">
        <v>1343</v>
      </c>
      <c r="G199" t="s">
        <v>194</v>
      </c>
      <c r="H199" t="s">
        <v>194</v>
      </c>
      <c r="I199" t="s">
        <v>194</v>
      </c>
      <c r="J199" t="s">
        <v>194</v>
      </c>
      <c r="K199" t="s">
        <v>194</v>
      </c>
      <c r="L199" t="s">
        <v>1348</v>
      </c>
      <c r="M199" t="s">
        <v>194</v>
      </c>
    </row>
    <row r="200" spans="1:13">
      <c r="A200" t="s">
        <v>1340</v>
      </c>
      <c r="B200" t="s">
        <v>1349</v>
      </c>
      <c r="C200" t="s">
        <v>1350</v>
      </c>
      <c r="D200" t="s">
        <v>1349</v>
      </c>
      <c r="E200" t="s">
        <v>194</v>
      </c>
      <c r="F200" t="s">
        <v>1343</v>
      </c>
      <c r="G200" t="s">
        <v>194</v>
      </c>
      <c r="H200" t="s">
        <v>194</v>
      </c>
      <c r="I200" t="s">
        <v>194</v>
      </c>
      <c r="J200" t="s">
        <v>194</v>
      </c>
      <c r="K200" t="s">
        <v>194</v>
      </c>
      <c r="L200" t="s">
        <v>1351</v>
      </c>
      <c r="M200" t="s">
        <v>194</v>
      </c>
    </row>
    <row r="201" spans="1:13">
      <c r="A201" t="s">
        <v>1340</v>
      </c>
      <c r="B201" t="s">
        <v>1352</v>
      </c>
      <c r="C201" t="s">
        <v>1353</v>
      </c>
      <c r="D201" t="s">
        <v>1352</v>
      </c>
      <c r="E201" t="s">
        <v>194</v>
      </c>
      <c r="F201" t="s">
        <v>1343</v>
      </c>
      <c r="G201" t="s">
        <v>194</v>
      </c>
      <c r="H201" t="s">
        <v>194</v>
      </c>
      <c r="I201" t="s">
        <v>194</v>
      </c>
      <c r="J201" t="s">
        <v>194</v>
      </c>
      <c r="K201" t="s">
        <v>194</v>
      </c>
      <c r="L201" t="s">
        <v>1354</v>
      </c>
      <c r="M201" t="s">
        <v>194</v>
      </c>
    </row>
    <row r="202" spans="1:13">
      <c r="A202" t="s">
        <v>1340</v>
      </c>
      <c r="B202" t="s">
        <v>1355</v>
      </c>
      <c r="C202" t="s">
        <v>1356</v>
      </c>
      <c r="D202" t="s">
        <v>1355</v>
      </c>
      <c r="E202" t="s">
        <v>194</v>
      </c>
      <c r="F202" t="s">
        <v>1343</v>
      </c>
      <c r="G202" t="s">
        <v>194</v>
      </c>
      <c r="H202" t="s">
        <v>194</v>
      </c>
      <c r="I202" t="s">
        <v>194</v>
      </c>
      <c r="J202" t="s">
        <v>194</v>
      </c>
      <c r="K202" t="s">
        <v>194</v>
      </c>
      <c r="L202" t="s">
        <v>1357</v>
      </c>
      <c r="M202" t="s">
        <v>194</v>
      </c>
    </row>
    <row r="203" spans="1:13">
      <c r="A203" t="s">
        <v>1340</v>
      </c>
      <c r="B203" t="s">
        <v>1358</v>
      </c>
      <c r="C203" t="s">
        <v>1359</v>
      </c>
      <c r="D203" t="s">
        <v>1358</v>
      </c>
      <c r="E203" t="s">
        <v>194</v>
      </c>
      <c r="F203" t="s">
        <v>1343</v>
      </c>
      <c r="G203" t="s">
        <v>194</v>
      </c>
      <c r="H203" t="s">
        <v>194</v>
      </c>
      <c r="I203" t="s">
        <v>194</v>
      </c>
      <c r="J203" t="s">
        <v>194</v>
      </c>
      <c r="K203" t="s">
        <v>194</v>
      </c>
      <c r="L203" t="s">
        <v>1360</v>
      </c>
      <c r="M203" t="s">
        <v>194</v>
      </c>
    </row>
    <row r="204" spans="1:13">
      <c r="A204" t="s">
        <v>1340</v>
      </c>
      <c r="B204" t="s">
        <v>1361</v>
      </c>
      <c r="C204" t="s">
        <v>1362</v>
      </c>
      <c r="D204" t="s">
        <v>1361</v>
      </c>
      <c r="E204" t="s">
        <v>194</v>
      </c>
      <c r="F204" t="s">
        <v>1343</v>
      </c>
      <c r="G204" t="s">
        <v>194</v>
      </c>
      <c r="H204" t="s">
        <v>194</v>
      </c>
      <c r="I204" t="s">
        <v>194</v>
      </c>
      <c r="J204" t="s">
        <v>194</v>
      </c>
      <c r="K204" t="s">
        <v>194</v>
      </c>
      <c r="L204" t="s">
        <v>1363</v>
      </c>
      <c r="M204" t="s">
        <v>194</v>
      </c>
    </row>
    <row r="205" spans="1:13">
      <c r="A205" t="s">
        <v>1340</v>
      </c>
      <c r="B205" t="s">
        <v>1364</v>
      </c>
      <c r="C205" t="s">
        <v>1365</v>
      </c>
      <c r="D205" t="s">
        <v>1364</v>
      </c>
      <c r="E205" t="s">
        <v>194</v>
      </c>
      <c r="F205" t="s">
        <v>1343</v>
      </c>
      <c r="G205" t="s">
        <v>194</v>
      </c>
      <c r="H205" t="s">
        <v>194</v>
      </c>
      <c r="I205" t="s">
        <v>194</v>
      </c>
      <c r="J205" t="s">
        <v>194</v>
      </c>
      <c r="K205" t="s">
        <v>194</v>
      </c>
      <c r="L205" t="s">
        <v>1366</v>
      </c>
      <c r="M205" t="s">
        <v>194</v>
      </c>
    </row>
    <row r="206" spans="1:13">
      <c r="A206" t="s">
        <v>1340</v>
      </c>
      <c r="B206" t="s">
        <v>1367</v>
      </c>
      <c r="C206" t="s">
        <v>1368</v>
      </c>
      <c r="D206" t="s">
        <v>1367</v>
      </c>
      <c r="E206" t="s">
        <v>194</v>
      </c>
      <c r="F206" t="s">
        <v>1343</v>
      </c>
      <c r="G206" t="s">
        <v>194</v>
      </c>
      <c r="H206" t="s">
        <v>194</v>
      </c>
      <c r="I206" t="s">
        <v>194</v>
      </c>
      <c r="J206" t="s">
        <v>194</v>
      </c>
      <c r="K206" t="s">
        <v>194</v>
      </c>
      <c r="L206" t="s">
        <v>1369</v>
      </c>
      <c r="M206" t="s">
        <v>1370</v>
      </c>
    </row>
    <row r="207" spans="1:13">
      <c r="A207" t="s">
        <v>1340</v>
      </c>
      <c r="B207" t="s">
        <v>1371</v>
      </c>
      <c r="C207" t="s">
        <v>1372</v>
      </c>
      <c r="D207" t="s">
        <v>1371</v>
      </c>
      <c r="E207" t="s">
        <v>194</v>
      </c>
      <c r="F207" t="s">
        <v>1343</v>
      </c>
      <c r="G207" t="s">
        <v>194</v>
      </c>
      <c r="H207" t="s">
        <v>194</v>
      </c>
      <c r="I207" t="s">
        <v>194</v>
      </c>
      <c r="J207" t="s">
        <v>194</v>
      </c>
      <c r="K207" t="s">
        <v>194</v>
      </c>
      <c r="L207" t="s">
        <v>1373</v>
      </c>
      <c r="M207" t="s">
        <v>194</v>
      </c>
    </row>
    <row r="208" spans="1:13">
      <c r="A208" t="s">
        <v>1340</v>
      </c>
      <c r="B208" t="s">
        <v>1374</v>
      </c>
      <c r="C208" t="s">
        <v>1375</v>
      </c>
      <c r="D208" t="s">
        <v>1374</v>
      </c>
      <c r="E208" t="s">
        <v>194</v>
      </c>
      <c r="F208" t="s">
        <v>1343</v>
      </c>
      <c r="G208" t="s">
        <v>194</v>
      </c>
      <c r="H208" t="s">
        <v>194</v>
      </c>
      <c r="I208" t="s">
        <v>194</v>
      </c>
      <c r="J208" t="s">
        <v>194</v>
      </c>
      <c r="K208" t="s">
        <v>194</v>
      </c>
      <c r="L208" t="s">
        <v>1376</v>
      </c>
      <c r="M208" t="s">
        <v>194</v>
      </c>
    </row>
    <row r="209" spans="1:13">
      <c r="A209" t="s">
        <v>1340</v>
      </c>
      <c r="B209" t="s">
        <v>1377</v>
      </c>
      <c r="C209" t="s">
        <v>1378</v>
      </c>
      <c r="D209" t="s">
        <v>1377</v>
      </c>
      <c r="E209" t="s">
        <v>194</v>
      </c>
      <c r="F209" t="s">
        <v>1343</v>
      </c>
      <c r="G209" t="s">
        <v>194</v>
      </c>
      <c r="H209" t="s">
        <v>194</v>
      </c>
      <c r="I209" t="s">
        <v>194</v>
      </c>
      <c r="J209" t="s">
        <v>194</v>
      </c>
      <c r="K209" t="s">
        <v>194</v>
      </c>
      <c r="L209" t="s">
        <v>1379</v>
      </c>
      <c r="M209" t="s">
        <v>194</v>
      </c>
    </row>
    <row r="210" spans="1:13">
      <c r="A210" t="s">
        <v>1380</v>
      </c>
      <c r="B210" t="s">
        <v>1341</v>
      </c>
      <c r="C210" t="s">
        <v>1381</v>
      </c>
      <c r="D210" t="s">
        <v>1341</v>
      </c>
      <c r="E210" t="s">
        <v>194</v>
      </c>
      <c r="F210" t="s">
        <v>1343</v>
      </c>
      <c r="G210" t="s">
        <v>194</v>
      </c>
      <c r="H210" t="s">
        <v>194</v>
      </c>
      <c r="I210" t="s">
        <v>194</v>
      </c>
      <c r="J210" t="s">
        <v>194</v>
      </c>
      <c r="K210" t="s">
        <v>194</v>
      </c>
      <c r="L210" t="s">
        <v>1382</v>
      </c>
      <c r="M210" t="s">
        <v>194</v>
      </c>
    </row>
    <row r="211" spans="1:13">
      <c r="A211" t="s">
        <v>1380</v>
      </c>
      <c r="B211" t="s">
        <v>1138</v>
      </c>
      <c r="C211" t="s">
        <v>1383</v>
      </c>
      <c r="D211" t="s">
        <v>1138</v>
      </c>
      <c r="E211" t="s">
        <v>194</v>
      </c>
      <c r="F211" t="s">
        <v>1343</v>
      </c>
      <c r="G211" t="s">
        <v>194</v>
      </c>
      <c r="H211" t="s">
        <v>194</v>
      </c>
      <c r="I211" t="s">
        <v>194</v>
      </c>
      <c r="J211" t="s">
        <v>194</v>
      </c>
      <c r="K211" t="s">
        <v>194</v>
      </c>
      <c r="L211" t="s">
        <v>1384</v>
      </c>
      <c r="M211" t="s">
        <v>194</v>
      </c>
    </row>
    <row r="212" spans="1:13">
      <c r="A212" t="s">
        <v>1380</v>
      </c>
      <c r="B212" t="s">
        <v>1385</v>
      </c>
      <c r="C212" t="s">
        <v>1386</v>
      </c>
      <c r="D212" t="s">
        <v>1385</v>
      </c>
      <c r="E212" t="s">
        <v>194</v>
      </c>
      <c r="F212" t="s">
        <v>1343</v>
      </c>
      <c r="G212" t="s">
        <v>194</v>
      </c>
      <c r="H212" t="s">
        <v>194</v>
      </c>
      <c r="I212" t="s">
        <v>194</v>
      </c>
      <c r="J212" t="s">
        <v>194</v>
      </c>
      <c r="K212" t="s">
        <v>194</v>
      </c>
      <c r="L212" t="s">
        <v>1387</v>
      </c>
      <c r="M212" t="s">
        <v>194</v>
      </c>
    </row>
    <row r="213" spans="1:13">
      <c r="A213" t="s">
        <v>1380</v>
      </c>
      <c r="B213" t="s">
        <v>1260</v>
      </c>
      <c r="C213" t="s">
        <v>1388</v>
      </c>
      <c r="D213" t="s">
        <v>1260</v>
      </c>
      <c r="E213" t="s">
        <v>194</v>
      </c>
      <c r="F213" t="s">
        <v>1343</v>
      </c>
      <c r="G213" t="s">
        <v>194</v>
      </c>
      <c r="H213" t="s">
        <v>194</v>
      </c>
      <c r="I213" t="s">
        <v>194</v>
      </c>
      <c r="J213" t="s">
        <v>194</v>
      </c>
      <c r="K213" t="s">
        <v>194</v>
      </c>
      <c r="L213" t="s">
        <v>1389</v>
      </c>
      <c r="M213" t="s">
        <v>194</v>
      </c>
    </row>
    <row r="214" spans="1:13">
      <c r="A214" t="s">
        <v>1380</v>
      </c>
      <c r="B214" t="s">
        <v>1390</v>
      </c>
      <c r="C214" t="s">
        <v>1391</v>
      </c>
      <c r="D214" t="s">
        <v>1390</v>
      </c>
      <c r="E214" t="s">
        <v>194</v>
      </c>
      <c r="F214" t="s">
        <v>1343</v>
      </c>
      <c r="G214" t="s">
        <v>194</v>
      </c>
      <c r="H214" t="s">
        <v>194</v>
      </c>
      <c r="I214" t="s">
        <v>194</v>
      </c>
      <c r="J214" t="s">
        <v>194</v>
      </c>
      <c r="K214" t="s">
        <v>194</v>
      </c>
      <c r="L214" t="s">
        <v>1392</v>
      </c>
      <c r="M214" t="s">
        <v>194</v>
      </c>
    </row>
    <row r="215" spans="1:13">
      <c r="A215" t="s">
        <v>1380</v>
      </c>
      <c r="B215" t="s">
        <v>1393</v>
      </c>
      <c r="C215" t="s">
        <v>1394</v>
      </c>
      <c r="D215" t="s">
        <v>1393</v>
      </c>
      <c r="E215" t="s">
        <v>194</v>
      </c>
      <c r="F215" t="s">
        <v>1343</v>
      </c>
      <c r="G215" t="s">
        <v>194</v>
      </c>
      <c r="H215" t="s">
        <v>194</v>
      </c>
      <c r="I215" t="s">
        <v>194</v>
      </c>
      <c r="J215" t="s">
        <v>194</v>
      </c>
      <c r="K215" t="s">
        <v>194</v>
      </c>
      <c r="L215" t="s">
        <v>1395</v>
      </c>
      <c r="M215" t="s">
        <v>194</v>
      </c>
    </row>
    <row r="216" spans="1:13">
      <c r="A216" t="s">
        <v>1380</v>
      </c>
      <c r="B216" t="s">
        <v>1396</v>
      </c>
      <c r="C216" t="s">
        <v>1397</v>
      </c>
      <c r="D216" t="s">
        <v>1396</v>
      </c>
      <c r="E216" t="s">
        <v>194</v>
      </c>
      <c r="F216" t="s">
        <v>1343</v>
      </c>
      <c r="G216" t="s">
        <v>194</v>
      </c>
      <c r="H216" t="s">
        <v>194</v>
      </c>
      <c r="I216" t="s">
        <v>194</v>
      </c>
      <c r="J216" t="s">
        <v>194</v>
      </c>
      <c r="K216" t="s">
        <v>194</v>
      </c>
      <c r="L216" t="s">
        <v>1398</v>
      </c>
      <c r="M216" t="s">
        <v>194</v>
      </c>
    </row>
    <row r="217" spans="1:13">
      <c r="A217" t="s">
        <v>1399</v>
      </c>
      <c r="B217" t="s">
        <v>17</v>
      </c>
      <c r="C217" t="s">
        <v>1400</v>
      </c>
      <c r="D217" t="s">
        <v>17</v>
      </c>
      <c r="E217" t="s">
        <v>194</v>
      </c>
      <c r="F217" t="s">
        <v>1343</v>
      </c>
      <c r="G217" t="s">
        <v>194</v>
      </c>
      <c r="H217" t="s">
        <v>194</v>
      </c>
      <c r="I217" t="s">
        <v>194</v>
      </c>
      <c r="J217" t="s">
        <v>194</v>
      </c>
      <c r="K217" t="s">
        <v>194</v>
      </c>
      <c r="L217" t="s">
        <v>1401</v>
      </c>
      <c r="M217" t="s">
        <v>194</v>
      </c>
    </row>
    <row r="218" spans="1:13">
      <c r="A218" t="s">
        <v>1399</v>
      </c>
      <c r="B218" t="s">
        <v>12</v>
      </c>
      <c r="C218" t="s">
        <v>1402</v>
      </c>
      <c r="D218" t="s">
        <v>12</v>
      </c>
      <c r="E218" t="s">
        <v>194</v>
      </c>
      <c r="F218" t="s">
        <v>1343</v>
      </c>
      <c r="G218" t="s">
        <v>194</v>
      </c>
      <c r="H218" t="s">
        <v>194</v>
      </c>
      <c r="I218" t="s">
        <v>194</v>
      </c>
      <c r="J218" t="s">
        <v>194</v>
      </c>
      <c r="K218" t="s">
        <v>194</v>
      </c>
      <c r="L218" t="s">
        <v>1403</v>
      </c>
      <c r="M218" t="s">
        <v>194</v>
      </c>
    </row>
    <row r="219" spans="1:13">
      <c r="A219" t="s">
        <v>1399</v>
      </c>
      <c r="B219" t="s">
        <v>486</v>
      </c>
      <c r="C219" t="s">
        <v>1404</v>
      </c>
      <c r="D219" t="s">
        <v>486</v>
      </c>
      <c r="E219" t="s">
        <v>194</v>
      </c>
      <c r="F219" t="s">
        <v>1343</v>
      </c>
      <c r="G219" t="s">
        <v>194</v>
      </c>
      <c r="H219" t="s">
        <v>194</v>
      </c>
      <c r="I219" t="s">
        <v>194</v>
      </c>
      <c r="J219" t="s">
        <v>194</v>
      </c>
      <c r="K219" t="s">
        <v>194</v>
      </c>
      <c r="L219" t="s">
        <v>1405</v>
      </c>
      <c r="M219" t="s">
        <v>194</v>
      </c>
    </row>
    <row r="220" spans="1:13">
      <c r="A220" t="s">
        <v>194</v>
      </c>
      <c r="B220" t="s">
        <v>194</v>
      </c>
      <c r="C220" t="s">
        <v>194</v>
      </c>
      <c r="D220" t="s">
        <v>194</v>
      </c>
      <c r="E220" t="s">
        <v>194</v>
      </c>
      <c r="F220" t="s">
        <v>194</v>
      </c>
      <c r="G220" t="s">
        <v>194</v>
      </c>
      <c r="H220" t="s">
        <v>194</v>
      </c>
      <c r="I220" t="s">
        <v>194</v>
      </c>
      <c r="J220" t="s">
        <v>194</v>
      </c>
      <c r="K220" t="s">
        <v>194</v>
      </c>
      <c r="L220" t="s">
        <v>194</v>
      </c>
      <c r="M220" t="s">
        <v>194</v>
      </c>
    </row>
    <row r="221" spans="1:13">
      <c r="A221" t="s">
        <v>194</v>
      </c>
      <c r="B221" t="s">
        <v>194</v>
      </c>
      <c r="C221" t="s">
        <v>194</v>
      </c>
      <c r="D221" t="s">
        <v>194</v>
      </c>
      <c r="E221" t="s">
        <v>194</v>
      </c>
      <c r="F221" t="s">
        <v>194</v>
      </c>
      <c r="G221" t="s">
        <v>194</v>
      </c>
      <c r="H221" t="s">
        <v>194</v>
      </c>
      <c r="I221" t="s">
        <v>194</v>
      </c>
      <c r="J221" t="s">
        <v>194</v>
      </c>
      <c r="K221" t="s">
        <v>194</v>
      </c>
      <c r="L221" t="s">
        <v>194</v>
      </c>
      <c r="M221" t="s">
        <v>194</v>
      </c>
    </row>
    <row r="222" spans="1:13">
      <c r="A222" t="s">
        <v>194</v>
      </c>
      <c r="B222" t="s">
        <v>194</v>
      </c>
      <c r="C222" t="s">
        <v>194</v>
      </c>
      <c r="D222" t="s">
        <v>194</v>
      </c>
      <c r="E222" t="s">
        <v>194</v>
      </c>
      <c r="F222" t="s">
        <v>194</v>
      </c>
      <c r="G222" t="s">
        <v>194</v>
      </c>
      <c r="H222" t="s">
        <v>194</v>
      </c>
      <c r="I222" t="s">
        <v>194</v>
      </c>
      <c r="J222" t="s">
        <v>194</v>
      </c>
      <c r="K222" t="s">
        <v>194</v>
      </c>
      <c r="L222" t="s">
        <v>194</v>
      </c>
      <c r="M222" t="s">
        <v>194</v>
      </c>
    </row>
    <row r="223" spans="1:13">
      <c r="A223" t="s">
        <v>194</v>
      </c>
      <c r="B223" t="s">
        <v>194</v>
      </c>
      <c r="C223" t="s">
        <v>194</v>
      </c>
      <c r="D223" t="s">
        <v>194</v>
      </c>
      <c r="E223" t="s">
        <v>194</v>
      </c>
      <c r="F223" t="s">
        <v>194</v>
      </c>
      <c r="G223" t="s">
        <v>194</v>
      </c>
      <c r="H223" t="s">
        <v>194</v>
      </c>
      <c r="I223" t="s">
        <v>194</v>
      </c>
      <c r="J223" t="s">
        <v>194</v>
      </c>
      <c r="K223" t="s">
        <v>194</v>
      </c>
      <c r="L223" t="s">
        <v>194</v>
      </c>
      <c r="M223" t="s">
        <v>194</v>
      </c>
    </row>
    <row r="224" spans="1:13">
      <c r="A224" t="s">
        <v>194</v>
      </c>
      <c r="B224" t="s">
        <v>194</v>
      </c>
      <c r="C224" t="s">
        <v>194</v>
      </c>
      <c r="D224" t="s">
        <v>194</v>
      </c>
      <c r="E224" t="s">
        <v>194</v>
      </c>
      <c r="F224" t="s">
        <v>194</v>
      </c>
      <c r="G224" t="s">
        <v>194</v>
      </c>
      <c r="H224" t="s">
        <v>194</v>
      </c>
      <c r="I224" t="s">
        <v>194</v>
      </c>
      <c r="J224" t="s">
        <v>194</v>
      </c>
      <c r="K224" t="s">
        <v>194</v>
      </c>
      <c r="L224" t="s">
        <v>194</v>
      </c>
      <c r="M224" t="s">
        <v>194</v>
      </c>
    </row>
    <row r="225" spans="1:13">
      <c r="A225" t="s">
        <v>194</v>
      </c>
      <c r="B225" t="s">
        <v>194</v>
      </c>
      <c r="C225" t="s">
        <v>194</v>
      </c>
      <c r="D225" t="s">
        <v>194</v>
      </c>
      <c r="E225" t="s">
        <v>194</v>
      </c>
      <c r="F225" t="s">
        <v>194</v>
      </c>
      <c r="G225" t="s">
        <v>194</v>
      </c>
      <c r="H225" t="s">
        <v>194</v>
      </c>
      <c r="I225" t="s">
        <v>194</v>
      </c>
      <c r="J225" t="s">
        <v>194</v>
      </c>
      <c r="K225" t="s">
        <v>194</v>
      </c>
      <c r="L225" t="s">
        <v>194</v>
      </c>
      <c r="M225" t="s">
        <v>194</v>
      </c>
    </row>
    <row r="226" spans="1:13">
      <c r="A226" t="s">
        <v>194</v>
      </c>
      <c r="B226" t="s">
        <v>194</v>
      </c>
      <c r="C226" t="s">
        <v>194</v>
      </c>
      <c r="D226" t="s">
        <v>194</v>
      </c>
      <c r="E226" t="s">
        <v>194</v>
      </c>
      <c r="F226" t="s">
        <v>194</v>
      </c>
      <c r="G226" t="s">
        <v>194</v>
      </c>
      <c r="H226" t="s">
        <v>194</v>
      </c>
      <c r="I226" t="s">
        <v>194</v>
      </c>
      <c r="J226" t="s">
        <v>194</v>
      </c>
      <c r="K226" t="s">
        <v>194</v>
      </c>
      <c r="L226" t="s">
        <v>194</v>
      </c>
      <c r="M226" t="s">
        <v>194</v>
      </c>
    </row>
    <row r="227" spans="1:13">
      <c r="A227" t="s">
        <v>194</v>
      </c>
      <c r="B227" t="s">
        <v>194</v>
      </c>
      <c r="C227" t="s">
        <v>194</v>
      </c>
      <c r="D227" t="s">
        <v>194</v>
      </c>
      <c r="E227" t="s">
        <v>194</v>
      </c>
      <c r="F227" t="s">
        <v>194</v>
      </c>
      <c r="G227" t="s">
        <v>194</v>
      </c>
      <c r="H227" t="s">
        <v>194</v>
      </c>
      <c r="I227" t="s">
        <v>194</v>
      </c>
      <c r="J227" t="s">
        <v>194</v>
      </c>
      <c r="K227" t="s">
        <v>194</v>
      </c>
      <c r="L227" t="s">
        <v>194</v>
      </c>
      <c r="M227" t="s">
        <v>194</v>
      </c>
    </row>
    <row r="228" spans="1:13">
      <c r="A228" t="s">
        <v>194</v>
      </c>
      <c r="B228" t="s">
        <v>194</v>
      </c>
      <c r="C228" t="s">
        <v>194</v>
      </c>
      <c r="D228" t="s">
        <v>194</v>
      </c>
      <c r="E228" t="s">
        <v>194</v>
      </c>
      <c r="F228" t="s">
        <v>194</v>
      </c>
      <c r="G228" t="s">
        <v>194</v>
      </c>
      <c r="H228" t="s">
        <v>194</v>
      </c>
      <c r="I228" t="s">
        <v>194</v>
      </c>
      <c r="J228" t="s">
        <v>194</v>
      </c>
      <c r="K228" t="s">
        <v>194</v>
      </c>
      <c r="L228" t="s">
        <v>194</v>
      </c>
      <c r="M228" t="s">
        <v>194</v>
      </c>
    </row>
    <row r="229" spans="1:13">
      <c r="A229" t="s">
        <v>194</v>
      </c>
      <c r="B229" t="s">
        <v>194</v>
      </c>
      <c r="C229" t="s">
        <v>194</v>
      </c>
      <c r="D229" t="s">
        <v>194</v>
      </c>
      <c r="E229" t="s">
        <v>194</v>
      </c>
      <c r="F229" t="s">
        <v>194</v>
      </c>
      <c r="G229" t="s">
        <v>194</v>
      </c>
      <c r="H229" t="s">
        <v>194</v>
      </c>
      <c r="I229" t="s">
        <v>194</v>
      </c>
      <c r="J229" t="s">
        <v>194</v>
      </c>
      <c r="K229" t="s">
        <v>194</v>
      </c>
      <c r="L229" t="s">
        <v>194</v>
      </c>
      <c r="M229" t="s">
        <v>194</v>
      </c>
    </row>
    <row r="230" spans="1:13">
      <c r="A230" t="s">
        <v>194</v>
      </c>
      <c r="B230" t="s">
        <v>194</v>
      </c>
      <c r="C230" t="s">
        <v>194</v>
      </c>
      <c r="D230" t="s">
        <v>194</v>
      </c>
      <c r="E230" t="s">
        <v>194</v>
      </c>
      <c r="F230" t="s">
        <v>194</v>
      </c>
      <c r="G230" t="s">
        <v>194</v>
      </c>
      <c r="H230" t="s">
        <v>194</v>
      </c>
      <c r="I230" t="s">
        <v>194</v>
      </c>
      <c r="J230" t="s">
        <v>194</v>
      </c>
      <c r="K230" t="s">
        <v>194</v>
      </c>
      <c r="L230" t="s">
        <v>194</v>
      </c>
      <c r="M230" t="s">
        <v>194</v>
      </c>
    </row>
    <row r="231" spans="1:13">
      <c r="A231" t="s">
        <v>194</v>
      </c>
      <c r="B231" t="s">
        <v>194</v>
      </c>
      <c r="C231" t="s">
        <v>194</v>
      </c>
      <c r="D231" t="s">
        <v>194</v>
      </c>
      <c r="E231" t="s">
        <v>194</v>
      </c>
      <c r="F231" t="s">
        <v>194</v>
      </c>
      <c r="G231" t="s">
        <v>194</v>
      </c>
      <c r="H231" t="s">
        <v>194</v>
      </c>
      <c r="I231" t="s">
        <v>194</v>
      </c>
      <c r="J231" t="s">
        <v>194</v>
      </c>
      <c r="K231" t="s">
        <v>194</v>
      </c>
      <c r="L231" t="s">
        <v>194</v>
      </c>
      <c r="M231" t="s">
        <v>194</v>
      </c>
    </row>
    <row r="232" spans="1:13">
      <c r="A232" t="s">
        <v>194</v>
      </c>
      <c r="B232" t="s">
        <v>194</v>
      </c>
      <c r="C232" t="s">
        <v>194</v>
      </c>
      <c r="D232" t="s">
        <v>194</v>
      </c>
      <c r="E232" t="s">
        <v>194</v>
      </c>
      <c r="F232" t="s">
        <v>194</v>
      </c>
      <c r="G232" t="s">
        <v>194</v>
      </c>
      <c r="H232" t="s">
        <v>194</v>
      </c>
      <c r="I232" t="s">
        <v>194</v>
      </c>
      <c r="J232" t="s">
        <v>194</v>
      </c>
      <c r="K232" t="s">
        <v>194</v>
      </c>
      <c r="L232" t="s">
        <v>194</v>
      </c>
      <c r="M232" t="s">
        <v>194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cols>
    <col min="4" max="4" width="19.36328125"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44"/>
  <sheetViews>
    <sheetView topLeftCell="E1" zoomScale="115" zoomScaleNormal="115" workbookViewId="0">
      <selection activeCell="B7" sqref="B7:H10"/>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1681</v>
      </c>
      <c r="L1" s="24" t="s">
        <v>21</v>
      </c>
    </row>
    <row r="2" spans="1:12">
      <c r="J2" s="25" t="s">
        <v>20</v>
      </c>
      <c r="L2" s="25" t="s">
        <v>1680</v>
      </c>
    </row>
    <row r="3" spans="1:12" ht="17.75" customHeight="1" thickBot="1">
      <c r="J3" s="25" t="str">
        <f>J1</f>
        <v>//===================================================</v>
      </c>
      <c r="L3" s="25" t="str">
        <f>L1</f>
        <v>// -------------------------------------------------------------------------------</v>
      </c>
    </row>
    <row r="4" spans="1:12">
      <c r="A4" s="5" t="s">
        <v>12</v>
      </c>
      <c r="B4" s="46" t="s">
        <v>1674</v>
      </c>
      <c r="J4" s="17" t="str">
        <f>CONCATENATE("Logical: ",B4)</f>
        <v>Logical: CancerUnderStudyI4rc</v>
      </c>
    </row>
    <row r="5" spans="1:12">
      <c r="A5" s="15" t="s">
        <v>17</v>
      </c>
      <c r="B5" s="47" t="s">
        <v>1675</v>
      </c>
      <c r="J5" s="17" t="str">
        <f>CONCATENATE("Id: ",B5)</f>
        <v>Id: CancerUnderStudy</v>
      </c>
    </row>
    <row r="6" spans="1:12">
      <c r="A6" s="15" t="s">
        <v>11</v>
      </c>
      <c r="B6" s="48" t="s">
        <v>1669</v>
      </c>
      <c r="J6" s="18" t="str">
        <f>CONCATENATE("Title: ##34#",B6,"##34#")</f>
        <v>Title: ##34#Cancer Under Study##34#</v>
      </c>
    </row>
    <row r="7" spans="1:12" ht="30.25" thickBot="1">
      <c r="A7" s="27" t="s">
        <v>3</v>
      </c>
      <c r="B7" s="49" t="s">
        <v>156</v>
      </c>
      <c r="C7" s="9" t="s">
        <v>4</v>
      </c>
      <c r="D7" s="1" t="s">
        <v>5</v>
      </c>
      <c r="E7" s="3" t="s">
        <v>6</v>
      </c>
      <c r="F7" s="3" t="s">
        <v>7</v>
      </c>
      <c r="G7" s="3" t="s">
        <v>8</v>
      </c>
      <c r="H7" s="107" t="s">
        <v>1679</v>
      </c>
      <c r="J7" s="18" t="str">
        <f>CONCATENATE("Description: "," ##334#",B7,"##334#",)</f>
        <v>Description:  ##334#Subject of care 
Maturity Level: 0 Draft##334#</v>
      </c>
    </row>
    <row r="8" spans="1:12" ht="73.75">
      <c r="A8" s="11">
        <v>1</v>
      </c>
      <c r="B8" s="11" t="s">
        <v>1629</v>
      </c>
      <c r="C8" s="104" t="s">
        <v>1495</v>
      </c>
      <c r="D8" s="12" t="s">
        <v>1496</v>
      </c>
      <c r="E8" s="11">
        <v>0</v>
      </c>
      <c r="F8" s="11">
        <v>1</v>
      </c>
      <c r="G8" s="11" t="s">
        <v>164</v>
      </c>
      <c r="H8" s="12" t="s">
        <v>1497</v>
      </c>
      <c r="I8" s="26"/>
      <c r="J8" s="12" t="str">
        <f t="shared" ref="J8:J44" si="0">CONCATENATE("* ",B8, " ",E8,"..",F8," ",G8," ##34#",C8,"##34# ##334#",D8,"##334#")</f>
        <v>* diagnosisDate 0..1 date ##34#Date of diagnosis##34# ##334#Date of the procedure from which the specimen was obtained that allowed the histological diagnosis.##334#</v>
      </c>
      <c r="L8" s="12" t="str">
        <f>IF(H8="",IF(J8="*  ..  ##34###34# ##334###334#",J8,""),IF(J8="*  ..  ##34###34# ##334###334#",J8,CONCATENATE("* ",B8," ^comment = ##334#",H8,"##334#")))</f>
        <v>* diagnosisDate ^comment = ##334#Must be formatted as YYYY-MM-DD. Leave empty if not known. Optional rule : Possible date anonymisation by
setting the 15th of every month i.e.: YYYY-MM-15. If the month is not known, we set it to June (06).##334#</v>
      </c>
    </row>
    <row r="9" spans="1:12" ht="44.25">
      <c r="A9" s="11">
        <v>2</v>
      </c>
      <c r="B9" s="11" t="s">
        <v>1630</v>
      </c>
      <c r="C9" s="104" t="s">
        <v>1504</v>
      </c>
      <c r="D9" s="12" t="s">
        <v>1632</v>
      </c>
      <c r="E9" s="11">
        <v>0</v>
      </c>
      <c r="F9" s="11">
        <v>1</v>
      </c>
      <c r="G9" s="11" t="s">
        <v>1631</v>
      </c>
      <c r="H9" s="12" t="s">
        <v>1508</v>
      </c>
      <c r="I9" s="26"/>
      <c r="J9" s="12" t="str">
        <f t="shared" si="0"/>
        <v>* ageAtDiagnosis 0..1 integer ##34#Age at diagnosis##34# ##334#Age of the patient at the time of the diagnosis.
required if date of diagnosis known##334#</v>
      </c>
      <c r="L9" s="12" t="str">
        <f t="shared" ref="L9:L44" si="1">IF(H9="",IF(J9="*  ..  ##34###34# ##334###334#",J9,""),IF(J9="*  ..  ##34###34# ##334###334#",J9,CONCATENATE("* ",B9," ^comment = ##334#",H9,"##334#")))</f>
        <v>* ageAtDiagnosis ^comment = ##334#An integer value &gt; 0. We use the -1 value for unknown. Automatic  calculation from date of birth and date of diagnosis.##334#</v>
      </c>
    </row>
    <row r="10" spans="1:12" ht="44.25">
      <c r="A10" s="11">
        <v>3</v>
      </c>
      <c r="B10" s="14" t="s">
        <v>1641</v>
      </c>
      <c r="C10" s="106" t="s">
        <v>1510</v>
      </c>
      <c r="D10" s="106" t="s">
        <v>1643</v>
      </c>
      <c r="E10" s="11">
        <v>0</v>
      </c>
      <c r="F10" s="11">
        <v>1</v>
      </c>
      <c r="G10" s="11" t="s">
        <v>0</v>
      </c>
      <c r="H10" s="12" t="s">
        <v>1513</v>
      </c>
      <c r="I10" s="26"/>
      <c r="J10" s="12" t="str">
        <f t="shared" si="0"/>
        <v>* histologyGroup 0..1 CodeableConcept ##34#Histology (WHO 2017) group##34# ##334#Histology of prymary tumour according to WHO 2017 clasification.##334#</v>
      </c>
      <c r="L10" s="12" t="str">
        <f t="shared" si="1"/>
        <v>* histologyGroup ^comment = ##334#A value in the WHO 2017 H&amp;N classification list.##334#</v>
      </c>
    </row>
    <row r="11" spans="1:12" ht="29.5">
      <c r="A11" s="11">
        <v>4</v>
      </c>
      <c r="B11" s="14" t="s">
        <v>1673</v>
      </c>
      <c r="C11" s="104" t="s">
        <v>1633</v>
      </c>
      <c r="D11" s="12" t="s">
        <v>1644</v>
      </c>
      <c r="E11" s="11">
        <v>0</v>
      </c>
      <c r="F11" s="11" t="s">
        <v>9</v>
      </c>
      <c r="G11" s="11" t="s">
        <v>2</v>
      </c>
      <c r="I11" s="26"/>
      <c r="J11" s="12" t="str">
        <f t="shared" si="0"/>
        <v>* histologySubgroup 0..* BackboneElement ##34#histologySubgroup.histology (WHO 2017) subgroup##34# ##334#Specifies the histological subgroup##334#</v>
      </c>
      <c r="L11" s="12" t="str">
        <f t="shared" si="1"/>
        <v/>
      </c>
    </row>
    <row r="12" spans="1:12" ht="44.25">
      <c r="A12" s="11">
        <v>5</v>
      </c>
      <c r="B12" s="11" t="s">
        <v>1634</v>
      </c>
      <c r="C12" s="104" t="s">
        <v>1521</v>
      </c>
      <c r="D12" s="12" t="s">
        <v>1521</v>
      </c>
      <c r="E12" s="11">
        <v>0</v>
      </c>
      <c r="F12" s="11">
        <v>1</v>
      </c>
      <c r="G12" s="11" t="s">
        <v>0</v>
      </c>
      <c r="H12" s="12" t="s">
        <v>1522</v>
      </c>
      <c r="I12" s="26"/>
      <c r="J12" s="12" t="str">
        <f t="shared" si="0"/>
        <v>* histologySubgroup.histologySquamous 0..1 CodeableConcept ##34#Specifies the histological subgroup for squamous cancers##34# ##334#Specifies the histological subgroup for squamous cancers##334#</v>
      </c>
      <c r="L12" s="12" t="str">
        <f t="shared" si="1"/>
        <v>* histologySubgroup.histologySquamous ^comment = ##334#A value in the WHO 2017 H&amp;N squamous classification list.##334#</v>
      </c>
    </row>
    <row r="13" spans="1:12" ht="44.25">
      <c r="A13" s="11">
        <v>6</v>
      </c>
      <c r="B13" s="11" t="s">
        <v>1635</v>
      </c>
      <c r="C13" s="105" t="s">
        <v>1527</v>
      </c>
      <c r="D13" s="51" t="s">
        <v>1527</v>
      </c>
      <c r="E13" s="11">
        <v>0</v>
      </c>
      <c r="F13" s="11">
        <v>1</v>
      </c>
      <c r="G13" s="11" t="s">
        <v>0</v>
      </c>
      <c r="H13" s="2" t="s">
        <v>1528</v>
      </c>
      <c r="I13" s="26"/>
      <c r="J13" s="12" t="str">
        <f t="shared" si="0"/>
        <v>* histologySubgroup.histologyAdenocarcinoma 0..1 CodeableConcept ##34#Specifies the histological subgroup for adenocarcinomas##34# ##334#Specifies the histological subgroup for adenocarcinomas##334#</v>
      </c>
      <c r="L13" s="12" t="str">
        <f t="shared" si="1"/>
        <v>* histologySubgroup.histologyAdenocarcinoma ^comment = ##334#A value in the WHO 2017 H&amp;N adenocarcinoma classification list.##334#</v>
      </c>
    </row>
    <row r="14" spans="1:12" ht="44.25">
      <c r="A14" s="11">
        <v>7</v>
      </c>
      <c r="B14" s="11" t="s">
        <v>1636</v>
      </c>
      <c r="C14" s="104" t="s">
        <v>1533</v>
      </c>
      <c r="D14" s="12" t="s">
        <v>1642</v>
      </c>
      <c r="E14" s="11">
        <v>0</v>
      </c>
      <c r="F14" s="11">
        <v>1</v>
      </c>
      <c r="G14" s="11" t="s">
        <v>0</v>
      </c>
      <c r="H14" s="12" t="s">
        <v>1534</v>
      </c>
      <c r="I14" s="26"/>
      <c r="J14" s="12" t="str">
        <f t="shared" si="0"/>
        <v>* histologySubgroup.histologyNeuroendocrine 0..1 CodeableConcept ##34#Specifies the histological subgroup for neuroendocrine cancers ##34# ##334#Specifies the histological subgroup for neuroendocrine cancers##334#</v>
      </c>
      <c r="L14" s="12" t="str">
        <f t="shared" si="1"/>
        <v>* histologySubgroup.histologyNeuroendocrine ^comment = ##334#A value in the WHO 2017 H&amp;N neuroendocrine classification list.##334#</v>
      </c>
    </row>
    <row r="15" spans="1:12" ht="44.25">
      <c r="A15" s="11">
        <v>8</v>
      </c>
      <c r="B15" s="11" t="s">
        <v>1637</v>
      </c>
      <c r="C15" s="104" t="s">
        <v>1539</v>
      </c>
      <c r="D15" s="12" t="s">
        <v>1539</v>
      </c>
      <c r="E15" s="11">
        <v>0</v>
      </c>
      <c r="F15" s="11">
        <v>1</v>
      </c>
      <c r="G15" s="11" t="s">
        <v>0</v>
      </c>
      <c r="H15" s="12" t="s">
        <v>1540</v>
      </c>
      <c r="I15" s="26"/>
      <c r="J15" s="12" t="str">
        <f t="shared" si="0"/>
        <v>* histologySubgroup.histologyOdontogenicCarcinoma 0..1 CodeableConcept ##34#Specifies the histological subgroup for odontogenic carcinomas##34# ##334#Specifies the histological subgroup for odontogenic carcinomas##334#</v>
      </c>
      <c r="L15" s="12" t="str">
        <f t="shared" si="1"/>
        <v>* histologySubgroup.histologyOdontogenicCarcinoma ^comment = ##334#A value in the WHO 2017 H&amp;N odontogenic carcinoma classification list.##334#</v>
      </c>
    </row>
    <row r="16" spans="1:12" ht="59">
      <c r="A16" s="11">
        <v>9</v>
      </c>
      <c r="B16" s="11" t="s">
        <v>1638</v>
      </c>
      <c r="C16" s="12" t="s">
        <v>1545</v>
      </c>
      <c r="D16" s="11" t="s">
        <v>1545</v>
      </c>
      <c r="E16" s="11">
        <v>0</v>
      </c>
      <c r="F16" s="11">
        <v>1</v>
      </c>
      <c r="G16" s="11" t="s">
        <v>0</v>
      </c>
      <c r="H16" s="12" t="s">
        <v>1546</v>
      </c>
      <c r="I16" s="26"/>
      <c r="J16" s="12" t="str">
        <f t="shared" si="0"/>
        <v>* histologySubgroup.histologySNUC 0..1 CodeableConcept ##34#Specifies the histological subgroup for sinonasl undifferentiated carcinomas##34# ##334#Specifies the histological subgroup for sinonasl undifferentiated carcinomas##334#</v>
      </c>
      <c r="L16" s="12" t="str">
        <f t="shared" si="1"/>
        <v>* histologySubgroup.histologySNUC ^comment = ##334#A value in the WHO 2017 H&amp;N SNUC classification list.##334#</v>
      </c>
    </row>
    <row r="17" spans="1:13" ht="29.5">
      <c r="A17" s="11">
        <v>10</v>
      </c>
      <c r="B17" s="11" t="s">
        <v>1639</v>
      </c>
      <c r="C17" s="11" t="s">
        <v>1550</v>
      </c>
      <c r="D17" s="11" t="s">
        <v>1551</v>
      </c>
      <c r="E17" s="11">
        <v>0</v>
      </c>
      <c r="F17" s="11">
        <v>1</v>
      </c>
      <c r="G17" s="11" t="s">
        <v>0</v>
      </c>
      <c r="H17" s="12" t="s">
        <v>1552</v>
      </c>
      <c r="I17" s="26"/>
      <c r="J17" s="12" t="str">
        <f t="shared" si="0"/>
        <v>* siteRare 0..1 CodeableConcept ##34#Site Rare##34# ##334#Describe the primary tumor site, according to AJCC .##334#</v>
      </c>
      <c r="L17" s="12" t="str">
        <f t="shared" si="1"/>
        <v>* siteRare ^comment = ##334#A value in the AJCC Cancer Staging Manual 8th site list##334#</v>
      </c>
    </row>
    <row r="18" spans="1:13" ht="29.5">
      <c r="A18" s="11">
        <v>11</v>
      </c>
      <c r="B18" s="11" t="s">
        <v>1640</v>
      </c>
      <c r="C18" s="11" t="s">
        <v>1557</v>
      </c>
      <c r="D18" s="11" t="s">
        <v>1551</v>
      </c>
      <c r="E18" s="11">
        <v>0</v>
      </c>
      <c r="F18" s="11">
        <v>1</v>
      </c>
      <c r="G18" s="11" t="s">
        <v>0</v>
      </c>
      <c r="H18" s="12" t="s">
        <v>1552</v>
      </c>
      <c r="J18" s="12" t="str">
        <f t="shared" si="0"/>
        <v>* siteCommonAndRare 0..1 CodeableConcept ##34#Site common and rare##34# ##334#Describe the primary tumor site, according to AJCC .##334#</v>
      </c>
      <c r="L18" s="12" t="str">
        <f t="shared" si="1"/>
        <v>* siteCommonAndRare ^comment = ##334#A value in the AJCC Cancer Staging Manual 8th site list##334#</v>
      </c>
    </row>
    <row r="19" spans="1:13" ht="29.5">
      <c r="A19" s="11">
        <v>12</v>
      </c>
      <c r="B19" s="11" t="s">
        <v>1645</v>
      </c>
      <c r="C19" s="12" t="s">
        <v>1559</v>
      </c>
      <c r="D19" s="12" t="s">
        <v>1653</v>
      </c>
      <c r="E19" s="11">
        <v>0</v>
      </c>
      <c r="F19" s="11" t="s">
        <v>9</v>
      </c>
      <c r="G19" s="11" t="s">
        <v>2</v>
      </c>
      <c r="H19" s="12"/>
      <c r="J19" s="12" t="str">
        <f t="shared" si="0"/>
        <v>* subSite 0..* BackboneElement ##34#Subsite##34# ##334#Specifies the subsite##334#</v>
      </c>
      <c r="L19" s="12" t="str">
        <f t="shared" si="1"/>
        <v/>
      </c>
    </row>
    <row r="20" spans="1:13" ht="44.25">
      <c r="A20" s="11">
        <v>13</v>
      </c>
      <c r="B20" s="11" t="s">
        <v>1646</v>
      </c>
      <c r="C20" s="12" t="s">
        <v>1560</v>
      </c>
      <c r="D20" s="12" t="s">
        <v>1562</v>
      </c>
      <c r="E20" s="11">
        <v>0</v>
      </c>
      <c r="F20" s="11">
        <v>1</v>
      </c>
      <c r="G20" s="11" t="s">
        <v>0</v>
      </c>
      <c r="H20" s="12" t="s">
        <v>1563</v>
      </c>
      <c r="J20" s="12" t="str">
        <f t="shared" si="0"/>
        <v>* subSite.nasalCavityAndParanasalSinusesSubsite 0..1 CodeableConcept ##34#Nasal cavity and paranasal sinuses subsite##34# ##334#Specifies the subsite for cancers occurred in nasal cavity and paranasal sinusess##334#</v>
      </c>
      <c r="L20" s="12" t="str">
        <f t="shared" si="1"/>
        <v>* subSite.nasalCavityAndParanasalSinusesSubsite ^comment = ##334#A string value in the AJCC Cancer Staging Manual 8th subsite list##334#</v>
      </c>
    </row>
    <row r="21" spans="1:13" ht="44.25">
      <c r="A21" s="11">
        <v>14</v>
      </c>
      <c r="B21" s="11" t="s">
        <v>1647</v>
      </c>
      <c r="C21" s="12" t="s">
        <v>1654</v>
      </c>
      <c r="D21" s="12" t="s">
        <v>1567</v>
      </c>
      <c r="E21" s="11">
        <v>0</v>
      </c>
      <c r="F21" s="11">
        <v>1</v>
      </c>
      <c r="G21" s="11" t="s">
        <v>0</v>
      </c>
      <c r="H21" s="12" t="s">
        <v>1563</v>
      </c>
      <c r="J21" s="12" t="str">
        <f t="shared" si="0"/>
        <v>* subSite.nasopharynxSubsite 0..1 CodeableConcept ##34#Nasopharynx subsite##34# ##334#Specifies the subsite for cancers occurred in nasopharynx##334#</v>
      </c>
      <c r="L21" s="12" t="str">
        <f t="shared" si="1"/>
        <v>* subSite.nasopharynxSubsite ^comment = ##334#A string value in the AJCC Cancer Staging Manual 8th subsite list##334#</v>
      </c>
      <c r="M21"/>
    </row>
    <row r="22" spans="1:13" ht="44.25">
      <c r="A22" s="11">
        <v>15</v>
      </c>
      <c r="B22" s="11" t="s">
        <v>1648</v>
      </c>
      <c r="C22" s="12" t="s">
        <v>1569</v>
      </c>
      <c r="D22" s="12" t="s">
        <v>1570</v>
      </c>
      <c r="E22" s="11">
        <v>0</v>
      </c>
      <c r="F22" s="11">
        <v>1</v>
      </c>
      <c r="G22" s="11" t="s">
        <v>0</v>
      </c>
      <c r="H22" s="12" t="s">
        <v>1563</v>
      </c>
      <c r="J22" s="12" t="str">
        <f t="shared" si="0"/>
        <v>* subSite.hypopharynxSubsite 0..1 CodeableConcept ##34#Hypopharynx subsite##34# ##334#Specifies the subsite for cancers occurred in hypopharynx##334#</v>
      </c>
      <c r="L22" s="12" t="str">
        <f t="shared" si="1"/>
        <v>* subSite.hypopharynxSubsite ^comment = ##334#A string value in the AJCC Cancer Staging Manual 8th subsite list##334#</v>
      </c>
      <c r="M22"/>
    </row>
    <row r="23" spans="1:13" ht="44.25">
      <c r="A23" s="11">
        <v>16</v>
      </c>
      <c r="B23" s="11" t="s">
        <v>1649</v>
      </c>
      <c r="C23" s="12" t="s">
        <v>1572</v>
      </c>
      <c r="D23" s="12" t="s">
        <v>1573</v>
      </c>
      <c r="E23" s="11">
        <v>0</v>
      </c>
      <c r="F23" s="11">
        <v>1</v>
      </c>
      <c r="G23" s="11" t="s">
        <v>0</v>
      </c>
      <c r="H23" s="12" t="s">
        <v>1563</v>
      </c>
      <c r="J23" s="12" t="str">
        <f t="shared" si="0"/>
        <v>* subSite.oropharynxSubsite 0..1 CodeableConcept ##34#Oropharynx subsite##34# ##334#Specifies the subsite for cancers occurred in oropharynx##334#</v>
      </c>
      <c r="L23" s="12" t="str">
        <f t="shared" si="1"/>
        <v>* subSite.oropharynxSubsite ^comment = ##334#A string value in the AJCC Cancer Staging Manual 8th subsite list##334#</v>
      </c>
      <c r="M23"/>
    </row>
    <row r="24" spans="1:13" ht="29.5">
      <c r="A24" s="11">
        <v>17</v>
      </c>
      <c r="B24" s="11" t="s">
        <v>1652</v>
      </c>
      <c r="C24" s="12" t="s">
        <v>1575</v>
      </c>
      <c r="D24" s="12" t="s">
        <v>1576</v>
      </c>
      <c r="E24" s="11">
        <v>0</v>
      </c>
      <c r="F24" s="11">
        <v>1</v>
      </c>
      <c r="G24" s="11" t="s">
        <v>0</v>
      </c>
      <c r="H24" s="12" t="s">
        <v>1563</v>
      </c>
      <c r="J24" s="12" t="str">
        <f t="shared" si="0"/>
        <v>* subSite.larynxSubsite 0..1 CodeableConcept ##34#Larynx subsite##34# ##334#Specifies the subsite for cancers occurred in larynx##334#</v>
      </c>
      <c r="L24" s="12" t="str">
        <f t="shared" si="1"/>
        <v>* subSite.larynxSubsite ^comment = ##334#A string value in the AJCC Cancer Staging Manual 8th subsite list##334#</v>
      </c>
      <c r="M24"/>
    </row>
    <row r="25" spans="1:13" ht="44.25">
      <c r="A25" s="11">
        <v>18</v>
      </c>
      <c r="B25" s="11" t="s">
        <v>1650</v>
      </c>
      <c r="C25" s="12" t="s">
        <v>1578</v>
      </c>
      <c r="D25" s="12" t="s">
        <v>1579</v>
      </c>
      <c r="E25" s="11">
        <v>0</v>
      </c>
      <c r="F25" s="11">
        <v>1</v>
      </c>
      <c r="G25" s="11" t="s">
        <v>0</v>
      </c>
      <c r="H25" s="12" t="s">
        <v>1563</v>
      </c>
      <c r="J25" s="12" t="str">
        <f t="shared" si="0"/>
        <v>* subSite.oralCavitySubsite 0..1 CodeableConcept ##34#Oral cavity subsite##34# ##334#Specifies the subsite for cancers occurred in oral cavity##334#</v>
      </c>
      <c r="L25" s="12" t="str">
        <f t="shared" si="1"/>
        <v>* subSite.oralCavitySubsite ^comment = ##334#A string value in the AJCC Cancer Staging Manual 8th subsite list##334#</v>
      </c>
      <c r="M25"/>
    </row>
    <row r="26" spans="1:13" ht="29.5">
      <c r="A26" s="11">
        <v>19</v>
      </c>
      <c r="B26" s="11" t="s">
        <v>1651</v>
      </c>
      <c r="C26" s="12" t="s">
        <v>1581</v>
      </c>
      <c r="D26" s="12" t="s">
        <v>1582</v>
      </c>
      <c r="E26" s="11">
        <v>0</v>
      </c>
      <c r="F26" s="11">
        <v>1</v>
      </c>
      <c r="G26" s="11" t="s">
        <v>0</v>
      </c>
      <c r="H26" s="12" t="s">
        <v>1563</v>
      </c>
      <c r="J26" s="12" t="str">
        <f t="shared" si="0"/>
        <v>* subSite.lipSubsite 0..1 CodeableConcept ##34#Lip subsite##34# ##334#Specifies the subsite for cancers occurred in lip##334#</v>
      </c>
      <c r="L26" s="12" t="str">
        <f t="shared" si="1"/>
        <v>* subSite.lipSubsite ^comment = ##334#A string value in the AJCC Cancer Staging Manual 8th subsite list##334#</v>
      </c>
      <c r="M26"/>
    </row>
    <row r="27" spans="1:13" ht="44.25">
      <c r="A27" s="11">
        <v>20</v>
      </c>
      <c r="B27" s="11" t="s">
        <v>1655</v>
      </c>
      <c r="C27" s="12" t="s">
        <v>1584</v>
      </c>
      <c r="D27" s="11" t="s">
        <v>1664</v>
      </c>
      <c r="E27" s="11">
        <v>0</v>
      </c>
      <c r="F27" s="11">
        <v>1</v>
      </c>
      <c r="G27" s="11" t="s">
        <v>0</v>
      </c>
      <c r="H27" s="12" t="s">
        <v>1586</v>
      </c>
      <c r="J27" s="12" t="str">
        <f t="shared" si="0"/>
        <v>* PlasmaticEbvDnaAtBaseline 0..1 CodeableConcept ##34#Plasmatic EBV DNA at baseline##34# ##334#Describes the result of EBV DNA plasma testing before treatment in NPC type II and III (WHO)##334#</v>
      </c>
      <c r="L27" s="12" t="str">
        <f t="shared" si="1"/>
        <v>* PlasmaticEbvDnaAtBaseline ^comment = ##334#A string value representing whether the test value was positive, negative or it was untested. Empty if unknown.##334#</v>
      </c>
      <c r="M27"/>
    </row>
    <row r="28" spans="1:13" ht="44.25">
      <c r="A28" s="11">
        <v>21</v>
      </c>
      <c r="B28" s="11" t="s">
        <v>1656</v>
      </c>
      <c r="C28" s="12" t="s">
        <v>1588</v>
      </c>
      <c r="D28" s="11" t="s">
        <v>1665</v>
      </c>
      <c r="E28" s="11">
        <v>0</v>
      </c>
      <c r="F28" s="11">
        <v>1</v>
      </c>
      <c r="G28" s="11" t="s">
        <v>0</v>
      </c>
      <c r="H28" s="12" t="s">
        <v>1590</v>
      </c>
      <c r="J28" s="12" t="str">
        <f t="shared" si="0"/>
        <v>* PrimerType 0..1 CodeableConcept ##34#Primer type##34# ##334#Describes the primer used for EBV DNA plasma testing t in NPC type II and Type III (WHO)##334#</v>
      </c>
      <c r="L28" s="12" t="str">
        <f t="shared" si="1"/>
        <v>* PrimerType ^comment = ##334#A string value representing the plasma testing type. Empty if unknown##334#</v>
      </c>
      <c r="M28"/>
    </row>
    <row r="29" spans="1:13" ht="29.5">
      <c r="A29" s="11">
        <v>22</v>
      </c>
      <c r="B29" s="11" t="s">
        <v>874</v>
      </c>
      <c r="C29" s="12" t="s">
        <v>876</v>
      </c>
      <c r="D29" s="11" t="s">
        <v>1593</v>
      </c>
      <c r="E29" s="11">
        <v>0</v>
      </c>
      <c r="F29" s="11">
        <v>1</v>
      </c>
      <c r="G29" s="11" t="s">
        <v>1631</v>
      </c>
      <c r="H29" s="12" t="s">
        <v>1594</v>
      </c>
      <c r="I29" s="2"/>
      <c r="J29" s="12" t="str">
        <f t="shared" si="0"/>
        <v>* CopyNumber 0..1 integer ##34#Copy Number##34# ##334#Copy number of EBVDNA##334#</v>
      </c>
      <c r="L29" s="12" t="str">
        <f t="shared" si="1"/>
        <v>* CopyNumber ^comment = ##334#An integer for the number of EBVDNA. Empty if unknown##334#</v>
      </c>
      <c r="M29"/>
    </row>
    <row r="30" spans="1:13" ht="44.25">
      <c r="A30" s="11">
        <v>23</v>
      </c>
      <c r="B30" s="11" t="s">
        <v>1657</v>
      </c>
      <c r="C30" s="12" t="s">
        <v>1595</v>
      </c>
      <c r="D30" s="11" t="s">
        <v>1666</v>
      </c>
      <c r="E30" s="11">
        <v>0</v>
      </c>
      <c r="F30" s="11">
        <v>1</v>
      </c>
      <c r="G30" s="11" t="s">
        <v>0</v>
      </c>
      <c r="H30" s="12" t="s">
        <v>1597</v>
      </c>
      <c r="J30" s="12" t="str">
        <f t="shared" si="0"/>
        <v>* HpvStatus 0..1 CodeableConcept ##34#HPV status##34# ##334#Describes the result of HPV tumor testing in oral carcinoma##334#</v>
      </c>
      <c r="L30" s="12" t="str">
        <f t="shared" si="1"/>
        <v>* HpvStatus ^comment = ##334#A string value representing whether the result was positive, negative or not tested. Empty if unknown.##334#</v>
      </c>
    </row>
    <row r="31" spans="1:13" ht="44.25">
      <c r="A31" s="11">
        <v>24</v>
      </c>
      <c r="B31" s="11" t="s">
        <v>1658</v>
      </c>
      <c r="C31" s="12" t="s">
        <v>1600</v>
      </c>
      <c r="D31" s="11" t="s">
        <v>1601</v>
      </c>
      <c r="E31" s="11">
        <v>0</v>
      </c>
      <c r="F31" s="11">
        <v>1</v>
      </c>
      <c r="G31" s="11" t="s">
        <v>0</v>
      </c>
      <c r="H31" s="12" t="s">
        <v>1602</v>
      </c>
      <c r="J31" s="12" t="str">
        <f t="shared" si="0"/>
        <v>* HpvStatusDetectedBy 0..1 CodeableConcept ##34#HPV status detecection##34# ##334#Describes the technique used for HPV tumour testing in orall carcinoma##334#</v>
      </c>
      <c r="L31" s="12" t="str">
        <f t="shared" si="1"/>
        <v>* HpvStatusDetectedBy ^comment = ##334#A string value representing which was the used technique. Empty if unknown.##334#</v>
      </c>
    </row>
    <row r="32" spans="1:13" ht="44.25">
      <c r="A32" s="11">
        <v>25</v>
      </c>
      <c r="B32" s="11" t="s">
        <v>1659</v>
      </c>
      <c r="C32" s="12" t="s">
        <v>1604</v>
      </c>
      <c r="D32" s="11" t="s">
        <v>1605</v>
      </c>
      <c r="E32" s="11">
        <v>0</v>
      </c>
      <c r="F32" s="11">
        <v>1</v>
      </c>
      <c r="G32" s="11" t="s">
        <v>0</v>
      </c>
      <c r="H32" s="12" t="s">
        <v>1597</v>
      </c>
      <c r="J32" s="12" t="str">
        <f t="shared" si="0"/>
        <v>* P16 0..1 CodeableConcept ##34#p16##34# ##334#Describes the result of p16 tumour testing in oral carcinoma##334#</v>
      </c>
      <c r="L32" s="12" t="str">
        <f t="shared" si="1"/>
        <v>* P16 ^comment = ##334#A string value representing whether the result was positive, negative or not tested. Empty if unknown.##334#</v>
      </c>
    </row>
    <row r="33" spans="1:12" ht="44.25">
      <c r="A33" s="11">
        <v>26</v>
      </c>
      <c r="B33" s="11" t="s">
        <v>1676</v>
      </c>
      <c r="C33" s="12" t="s">
        <v>1607</v>
      </c>
      <c r="D33" s="11" t="s">
        <v>1608</v>
      </c>
      <c r="E33" s="11">
        <v>0</v>
      </c>
      <c r="F33" s="11">
        <v>1</v>
      </c>
      <c r="G33" s="11" t="s">
        <v>0</v>
      </c>
      <c r="H33" s="12" t="s">
        <v>1597</v>
      </c>
      <c r="J33" s="12" t="str">
        <f t="shared" si="0"/>
        <v>* PdL1 0..1 CodeableConcept ##34#PD-L1##34# ##334#Describes the result of PDL tumour testing in oral carcinoma##334#</v>
      </c>
      <c r="L33" s="12" t="str">
        <f t="shared" si="1"/>
        <v>* PdL1 ^comment = ##334#A string value representing whether the result was positive, negative or not tested. Empty if unknown.##334#</v>
      </c>
    </row>
    <row r="34" spans="1:12" ht="44.25">
      <c r="A34" s="11">
        <v>27</v>
      </c>
      <c r="B34" s="11" t="s">
        <v>1660</v>
      </c>
      <c r="C34" s="12" t="s">
        <v>1610</v>
      </c>
      <c r="D34" s="11" t="s">
        <v>1611</v>
      </c>
      <c r="E34" s="11">
        <v>0</v>
      </c>
      <c r="F34" s="11">
        <v>1</v>
      </c>
      <c r="G34" s="11" t="s">
        <v>0</v>
      </c>
      <c r="H34" s="12" t="s">
        <v>1602</v>
      </c>
      <c r="J34" s="12" t="str">
        <f t="shared" si="0"/>
        <v>* Pd-L1Method 0..1 CodeableConcept ##34#PD-L1 Method##34# ##334#Describes the technique used for PDL tumour testing in oral carcinoma##334#</v>
      </c>
      <c r="L34" s="12" t="str">
        <f t="shared" si="1"/>
        <v>* Pd-L1Method ^comment = ##334#A string value representing which was the used technique. Empty if unknown.##334#</v>
      </c>
    </row>
    <row r="35" spans="1:12" ht="29.5">
      <c r="A35" s="11">
        <v>28</v>
      </c>
      <c r="B35" s="11" t="s">
        <v>1661</v>
      </c>
      <c r="C35" s="12" t="s">
        <v>1614</v>
      </c>
      <c r="D35" s="11" t="s">
        <v>1615</v>
      </c>
      <c r="E35" s="11">
        <v>0</v>
      </c>
      <c r="F35" s="11">
        <v>1</v>
      </c>
      <c r="G35" s="11" t="s">
        <v>1631</v>
      </c>
      <c r="H35" s="12" t="s">
        <v>1616</v>
      </c>
      <c r="J35" s="12" t="str">
        <f t="shared" si="0"/>
        <v>* Pd-L1CpsValue 0..1 integer ##34#PD-L1 CPS##34# ##334#Result of PDL1CPS testing, when performed##334#</v>
      </c>
      <c r="L35" s="12" t="str">
        <f t="shared" si="1"/>
        <v>* Pd-L1CpsValue ^comment = ##334#An integer for the PDL1CPS test. Empty if unknown.##334#</v>
      </c>
    </row>
    <row r="36" spans="1:12" ht="29.5">
      <c r="A36" s="11">
        <v>29</v>
      </c>
      <c r="B36" s="11" t="s">
        <v>1662</v>
      </c>
      <c r="C36" s="12" t="s">
        <v>1618</v>
      </c>
      <c r="D36" s="11" t="s">
        <v>1619</v>
      </c>
      <c r="E36" s="11">
        <v>0</v>
      </c>
      <c r="F36" s="11">
        <v>1</v>
      </c>
      <c r="G36" s="11" t="s">
        <v>1631</v>
      </c>
      <c r="H36" s="12" t="s">
        <v>1620</v>
      </c>
      <c r="J36" s="12" t="str">
        <f t="shared" si="0"/>
        <v>* Pd-L1TpsValue 0..1 integer ##34#PD-L1 TPS##34# ##334#Result of PDL1TPS testing, when performed##334#</v>
      </c>
      <c r="L36" s="12" t="str">
        <f t="shared" si="1"/>
        <v>* Pd-L1TpsValue ^comment = ##334#An integer for the PDL1TPS test. Empty if unknown.##334#</v>
      </c>
    </row>
    <row r="37" spans="1:12" ht="44.25">
      <c r="A37" s="11">
        <v>30</v>
      </c>
      <c r="B37" s="11" t="s">
        <v>1677</v>
      </c>
      <c r="C37" s="12" t="s">
        <v>1667</v>
      </c>
      <c r="D37" s="11" t="s">
        <v>1622</v>
      </c>
      <c r="E37" s="11">
        <v>0</v>
      </c>
      <c r="F37" s="11">
        <v>1</v>
      </c>
      <c r="G37" s="11" t="s">
        <v>0</v>
      </c>
      <c r="H37" s="12" t="s">
        <v>1597</v>
      </c>
      <c r="J37" s="12" t="str">
        <f t="shared" si="0"/>
        <v>* Crp-CReactiveProteinTested 0..1 CodeableConcept ##34#CRP – C reactive protein tested##34# ##334#Describes the result of C reactive protein testing##334#</v>
      </c>
      <c r="L37" s="12" t="str">
        <f t="shared" si="1"/>
        <v>* Crp-CReactiveProteinTested ^comment = ##334#A string value representing whether the result was positive, negative or not tested. Empty if unknown.##334#</v>
      </c>
    </row>
    <row r="38" spans="1:12" ht="29.5">
      <c r="A38" s="11">
        <v>31</v>
      </c>
      <c r="B38" s="11" t="s">
        <v>1678</v>
      </c>
      <c r="C38" s="12" t="s">
        <v>1623</v>
      </c>
      <c r="D38" s="11" t="s">
        <v>1624</v>
      </c>
      <c r="E38" s="11">
        <v>0</v>
      </c>
      <c r="F38" s="11">
        <v>1</v>
      </c>
      <c r="G38" s="11" t="s">
        <v>1668</v>
      </c>
      <c r="H38" s="12" t="s">
        <v>1625</v>
      </c>
      <c r="J38" s="12" t="str">
        <f t="shared" si="0"/>
        <v>* CReactiveProtein-Crp-MgDl 0..1 Quantity ##34#C reactive protein - CRP (mg/dl)##34# ##334#Result of CRP testing, when performed##334#</v>
      </c>
      <c r="L38" s="12" t="str">
        <f t="shared" si="1"/>
        <v>* CReactiveProtein-Crp-MgDl ^comment = ##334#An integer for the CRP test. Empty if unknown.##334#</v>
      </c>
    </row>
    <row r="39" spans="1:12" ht="29.5">
      <c r="A39" s="11">
        <v>32</v>
      </c>
      <c r="B39" s="11" t="s">
        <v>1663</v>
      </c>
      <c r="C39" s="12" t="s">
        <v>1626</v>
      </c>
      <c r="D39" s="11" t="s">
        <v>153</v>
      </c>
      <c r="E39" s="11">
        <v>0</v>
      </c>
      <c r="F39" s="11">
        <v>1</v>
      </c>
      <c r="G39" s="11" t="s">
        <v>0</v>
      </c>
      <c r="H39" s="12" t="s">
        <v>1628</v>
      </c>
      <c r="J39" s="12" t="str">
        <f t="shared" si="0"/>
        <v>* InstrumentStatus 0..1 CodeableConcept ##34#Instrument status##34# ##334#Describe if the instument is fully compiled or not##334#</v>
      </c>
      <c r="L39" s="12" t="str">
        <f t="shared" si="1"/>
        <v>* InstrumentStatus ^comment = ##334#A boolean for the instrument if it was fully compiled or not.##334#</v>
      </c>
    </row>
    <row r="40" spans="1:12">
      <c r="J40" s="12" t="str">
        <f t="shared" si="0"/>
        <v>*  ..  ##34###34# ##334###334#</v>
      </c>
      <c r="L40" s="12" t="str">
        <f t="shared" si="1"/>
        <v>*  ..  ##34###34# ##334###334#</v>
      </c>
    </row>
    <row r="41" spans="1:12">
      <c r="J41" s="12" t="str">
        <f t="shared" si="0"/>
        <v>*  ..  ##34###34# ##334###334#</v>
      </c>
      <c r="L41" s="12" t="str">
        <f t="shared" si="1"/>
        <v>*  ..  ##34###34# ##334###334#</v>
      </c>
    </row>
    <row r="42" spans="1:12">
      <c r="J42" s="12" t="str">
        <f t="shared" si="0"/>
        <v>*  ..  ##34###34# ##334###334#</v>
      </c>
      <c r="L42" s="12" t="str">
        <f t="shared" si="1"/>
        <v>*  ..  ##34###34# ##334###334#</v>
      </c>
    </row>
    <row r="43" spans="1:12">
      <c r="J43" s="12" t="str">
        <f t="shared" si="0"/>
        <v>*  ..  ##34###34# ##334###334#</v>
      </c>
      <c r="L43" s="12" t="str">
        <f t="shared" si="1"/>
        <v>*  ..  ##34###34# ##334###334#</v>
      </c>
    </row>
    <row r="44" spans="1:12">
      <c r="J44" s="12" t="str">
        <f t="shared" si="0"/>
        <v>*  ..  ##34###34# ##334###334#</v>
      </c>
      <c r="L44" s="12" t="str">
        <f t="shared" si="1"/>
        <v>*  ..  ##34###34# ##334###334#</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48"/>
  <sheetViews>
    <sheetView workbookViewId="0">
      <selection activeCell="B7" sqref="B7:H10"/>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1670</v>
      </c>
      <c r="E4" s="20" t="str">
        <f>CONCATENATE("Mapping: ",C4)</f>
        <v>Mapping: I4RCCancerUnderStudy2Fhir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CancerUnderStudy</v>
      </c>
      <c r="E7" s="21" t="str">
        <f>CONCATENATE("Source: ",C7)</f>
        <v>Source: CancerUnderStudy</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CancerUnderStudy!B5</f>
        <v>CancerUnderStudy</v>
      </c>
      <c r="C9" s="6" t="s">
        <v>1671</v>
      </c>
      <c r="E9" s="28" t="str">
        <f>CONCATENATE("* -&gt; ##34#",C9,"##34#")</f>
        <v>* -&gt; ##34#TBD##34#</v>
      </c>
      <c r="H9" s="7"/>
      <c r="I9" s="7"/>
      <c r="J9" s="7"/>
      <c r="K9" s="7"/>
      <c r="L9" s="7"/>
      <c r="M9" s="7"/>
      <c r="N9" s="7"/>
      <c r="O9" s="7"/>
    </row>
    <row r="10" spans="1:15">
      <c r="A10" s="11"/>
      <c r="B10" s="11" t="str">
        <f>CancerUnderStudy!B8</f>
        <v>diagnosisDate</v>
      </c>
      <c r="C10" s="11" t="s">
        <v>1671</v>
      </c>
      <c r="E10" s="12" t="str">
        <f t="shared" ref="E10:E45" si="0">IF(B10=0,"*  -&gt; ##34###34#",CONCATENATE("* ",B10," -&gt; ##34#",C10,"##34#"))</f>
        <v>* diagnosisDate -&gt; ##34#TBD##34#</v>
      </c>
      <c r="H10" s="7"/>
      <c r="I10" s="7"/>
      <c r="J10" s="7"/>
      <c r="K10" s="7"/>
      <c r="L10" s="7"/>
      <c r="M10" s="7"/>
      <c r="N10" s="7"/>
      <c r="O10" s="7"/>
    </row>
    <row r="11" spans="1:15">
      <c r="A11" s="11"/>
      <c r="B11" s="11" t="str">
        <f>CancerUnderStudy!B9</f>
        <v>ageAtDiagnosis</v>
      </c>
      <c r="C11" s="11" t="s">
        <v>1671</v>
      </c>
      <c r="E11" s="12" t="str">
        <f t="shared" si="0"/>
        <v>* ageAtDiagnosis -&gt; ##34#TBD##34#</v>
      </c>
      <c r="H11" s="7"/>
      <c r="I11" s="7"/>
      <c r="J11" s="7"/>
      <c r="K11" s="7"/>
      <c r="L11" s="7"/>
      <c r="M11" s="7"/>
      <c r="N11" s="7"/>
      <c r="O11" s="7"/>
    </row>
    <row r="12" spans="1:15">
      <c r="A12" s="11"/>
      <c r="B12" s="11" t="str">
        <f>CancerUnderStudy!B10</f>
        <v>histologyGroup</v>
      </c>
      <c r="C12" s="11" t="s">
        <v>1671</v>
      </c>
      <c r="E12" s="12" t="str">
        <f t="shared" si="0"/>
        <v>* histologyGroup -&gt; ##34#TBD##34#</v>
      </c>
      <c r="H12" s="7"/>
      <c r="I12" s="7"/>
      <c r="J12" s="7"/>
      <c r="K12" s="7"/>
      <c r="L12" s="7"/>
      <c r="M12" s="7"/>
      <c r="N12" s="7"/>
      <c r="O12" s="7"/>
    </row>
    <row r="13" spans="1:15">
      <c r="A13" s="11"/>
      <c r="B13" s="11" t="str">
        <f>CancerUnderStudy!B11</f>
        <v>histologySubgroup</v>
      </c>
      <c r="C13" s="11" t="s">
        <v>1671</v>
      </c>
      <c r="E13" s="12" t="str">
        <f t="shared" si="0"/>
        <v>* histologySubgroup -&gt; ##34#TBD##34#</v>
      </c>
      <c r="H13" s="7"/>
      <c r="I13" s="7"/>
      <c r="J13" s="7"/>
      <c r="K13" s="7"/>
      <c r="L13" s="7"/>
      <c r="M13" s="7"/>
      <c r="N13" s="7"/>
      <c r="O13" s="7"/>
    </row>
    <row r="14" spans="1:15">
      <c r="A14" s="11"/>
      <c r="B14" s="11" t="str">
        <f>CancerUnderStudy!B12</f>
        <v>histologySubgroup.histologySquamous</v>
      </c>
      <c r="C14" s="11" t="s">
        <v>1671</v>
      </c>
      <c r="E14" s="12" t="str">
        <f t="shared" si="0"/>
        <v>* histologySubgroup.histologySquamous -&gt; ##34#TBD##34#</v>
      </c>
      <c r="H14" s="7"/>
      <c r="I14" s="7"/>
      <c r="J14" s="7"/>
      <c r="K14" s="7"/>
      <c r="L14" s="7"/>
      <c r="M14" s="7"/>
      <c r="N14" s="7"/>
      <c r="O14" s="7"/>
    </row>
    <row r="15" spans="1:15">
      <c r="A15" s="11"/>
      <c r="B15" s="11" t="str">
        <f>CancerUnderStudy!B13</f>
        <v>histologySubgroup.histologyAdenocarcinoma</v>
      </c>
      <c r="C15" s="11" t="s">
        <v>1671</v>
      </c>
      <c r="E15" s="12" t="str">
        <f t="shared" si="0"/>
        <v>* histologySubgroup.histologyAdenocarcinoma -&gt; ##34#TBD##34#</v>
      </c>
      <c r="H15" s="7"/>
      <c r="I15" s="7"/>
      <c r="J15" s="7"/>
      <c r="K15" s="7"/>
      <c r="L15" s="7"/>
      <c r="M15" s="7"/>
      <c r="N15" s="7"/>
      <c r="O15" s="7"/>
    </row>
    <row r="16" spans="1:15">
      <c r="A16" s="11"/>
      <c r="B16" s="11" t="str">
        <f>CancerUnderStudy!B14</f>
        <v>histologySubgroup.histologyNeuroendocrine</v>
      </c>
      <c r="C16" s="11" t="s">
        <v>1671</v>
      </c>
      <c r="E16" s="12" t="str">
        <f t="shared" si="0"/>
        <v>* histologySubgroup.histologyNeuroendocrine -&gt; ##34#TBD##34#</v>
      </c>
      <c r="H16" s="7"/>
      <c r="I16" s="7"/>
      <c r="J16" s="7"/>
      <c r="K16" s="7"/>
      <c r="L16" s="7"/>
      <c r="M16" s="7"/>
      <c r="N16" s="7"/>
      <c r="O16" s="7"/>
    </row>
    <row r="17" spans="1:5">
      <c r="A17" s="11"/>
      <c r="B17" s="11" t="str">
        <f>CancerUnderStudy!B15</f>
        <v>histologySubgroup.histologyOdontogenicCarcinoma</v>
      </c>
      <c r="C17" s="11" t="s">
        <v>1671</v>
      </c>
      <c r="E17" s="12" t="str">
        <f t="shared" si="0"/>
        <v>* histologySubgroup.histologyOdontogenicCarcinoma -&gt; ##34#TBD##34#</v>
      </c>
    </row>
    <row r="18" spans="1:5">
      <c r="A18" s="11"/>
      <c r="B18" s="11" t="str">
        <f>CancerUnderStudy!B16</f>
        <v>histologySubgroup.histologySNUC</v>
      </c>
      <c r="C18" s="11" t="s">
        <v>1671</v>
      </c>
      <c r="E18" s="12" t="str">
        <f t="shared" si="0"/>
        <v>* histologySubgroup.histologySNUC -&gt; ##34#TBD##34#</v>
      </c>
    </row>
    <row r="19" spans="1:5">
      <c r="A19" s="11"/>
      <c r="B19" s="11" t="str">
        <f>CancerUnderStudy!B17</f>
        <v>siteRare</v>
      </c>
      <c r="C19" s="11" t="s">
        <v>1671</v>
      </c>
      <c r="E19" s="12" t="str">
        <f t="shared" si="0"/>
        <v>* siteRare -&gt; ##34#TBD##34#</v>
      </c>
    </row>
    <row r="20" spans="1:5">
      <c r="A20" s="11"/>
      <c r="B20" s="11" t="str">
        <f>CancerUnderStudy!B18</f>
        <v>siteCommonAndRare</v>
      </c>
      <c r="C20" s="11" t="s">
        <v>1671</v>
      </c>
      <c r="E20" s="12" t="str">
        <f t="shared" si="0"/>
        <v>* siteCommonAndRare -&gt; ##34#TBD##34#</v>
      </c>
    </row>
    <row r="21" spans="1:5">
      <c r="B21" s="11" t="str">
        <f>CancerUnderStudy!B19</f>
        <v>subSite</v>
      </c>
      <c r="C21" s="11" t="s">
        <v>1671</v>
      </c>
      <c r="E21" s="12" t="str">
        <f t="shared" si="0"/>
        <v>* subSite -&gt; ##34#TBD##34#</v>
      </c>
    </row>
    <row r="22" spans="1:5">
      <c r="B22" s="11" t="str">
        <f>CancerUnderStudy!B20</f>
        <v>subSite.nasalCavityAndParanasalSinusesSubsite</v>
      </c>
      <c r="C22" s="11" t="s">
        <v>1671</v>
      </c>
      <c r="E22" s="12" t="str">
        <f t="shared" si="0"/>
        <v>* subSite.nasalCavityAndParanasalSinusesSubsite -&gt; ##34#TBD##34#</v>
      </c>
    </row>
    <row r="23" spans="1:5">
      <c r="B23" s="11" t="str">
        <f>CancerUnderStudy!B21</f>
        <v>subSite.nasopharynxSubsite</v>
      </c>
      <c r="C23" s="11" t="s">
        <v>1671</v>
      </c>
      <c r="E23" s="12" t="str">
        <f t="shared" si="0"/>
        <v>* subSite.nasopharynxSubsite -&gt; ##34#TBD##34#</v>
      </c>
    </row>
    <row r="24" spans="1:5">
      <c r="B24" s="11" t="str">
        <f>CancerUnderStudy!B22</f>
        <v>subSite.hypopharynxSubsite</v>
      </c>
      <c r="C24" s="11" t="s">
        <v>1671</v>
      </c>
      <c r="E24" s="12" t="str">
        <f t="shared" si="0"/>
        <v>* subSite.hypopharynxSubsite -&gt; ##34#TBD##34#</v>
      </c>
    </row>
    <row r="25" spans="1:5">
      <c r="B25" s="11" t="str">
        <f>CancerUnderStudy!B23</f>
        <v>subSite.oropharynxSubsite</v>
      </c>
      <c r="C25" s="11" t="s">
        <v>1671</v>
      </c>
      <c r="E25" s="12" t="str">
        <f t="shared" si="0"/>
        <v>* subSite.oropharynxSubsite -&gt; ##34#TBD##34#</v>
      </c>
    </row>
    <row r="26" spans="1:5">
      <c r="B26" s="11" t="str">
        <f>CancerUnderStudy!B24</f>
        <v>subSite.larynxSubsite</v>
      </c>
      <c r="C26" s="11" t="s">
        <v>1671</v>
      </c>
      <c r="E26" s="12" t="str">
        <f t="shared" si="0"/>
        <v>* subSite.larynxSubsite -&gt; ##34#TBD##34#</v>
      </c>
    </row>
    <row r="27" spans="1:5">
      <c r="B27" s="11" t="str">
        <f>CancerUnderStudy!B25</f>
        <v>subSite.oralCavitySubsite</v>
      </c>
      <c r="C27" s="11" t="s">
        <v>1671</v>
      </c>
      <c r="E27" s="12" t="str">
        <f t="shared" si="0"/>
        <v>* subSite.oralCavitySubsite -&gt; ##34#TBD##34#</v>
      </c>
    </row>
    <row r="28" spans="1:5">
      <c r="B28" s="11" t="str">
        <f>CancerUnderStudy!B26</f>
        <v>subSite.lipSubsite</v>
      </c>
      <c r="C28" s="11" t="s">
        <v>1671</v>
      </c>
      <c r="E28" s="12" t="str">
        <f t="shared" si="0"/>
        <v>* subSite.lipSubsite -&gt; ##34#TBD##34#</v>
      </c>
    </row>
    <row r="29" spans="1:5">
      <c r="B29" s="11" t="str">
        <f>CancerUnderStudy!B27</f>
        <v>PlasmaticEbvDnaAtBaseline</v>
      </c>
      <c r="C29" s="11" t="s">
        <v>1671</v>
      </c>
      <c r="E29" s="12" t="str">
        <f t="shared" si="0"/>
        <v>* PlasmaticEbvDnaAtBaseline -&gt; ##34#TBD##34#</v>
      </c>
    </row>
    <row r="30" spans="1:5">
      <c r="B30" s="11" t="str">
        <f>CancerUnderStudy!B28</f>
        <v>PrimerType</v>
      </c>
      <c r="C30" s="11" t="s">
        <v>1671</v>
      </c>
      <c r="E30" s="12" t="str">
        <f t="shared" si="0"/>
        <v>* PrimerType -&gt; ##34#TBD##34#</v>
      </c>
    </row>
    <row r="31" spans="1:5">
      <c r="B31" s="11" t="str">
        <f>CancerUnderStudy!B29</f>
        <v>CopyNumber</v>
      </c>
      <c r="C31" s="11" t="s">
        <v>1671</v>
      </c>
      <c r="E31" s="12" t="str">
        <f t="shared" si="0"/>
        <v>* CopyNumber -&gt; ##34#TBD##34#</v>
      </c>
    </row>
    <row r="32" spans="1:5">
      <c r="B32" s="11" t="str">
        <f>CancerUnderStudy!B30</f>
        <v>HpvStatus</v>
      </c>
      <c r="C32" s="11" t="s">
        <v>1671</v>
      </c>
      <c r="E32" s="12" t="str">
        <f t="shared" si="0"/>
        <v>* HpvStatus -&gt; ##34#TBD##34#</v>
      </c>
    </row>
    <row r="33" spans="2:5">
      <c r="B33" s="11" t="str">
        <f>CancerUnderStudy!B31</f>
        <v>HpvStatusDetectedBy</v>
      </c>
      <c r="C33" s="11" t="s">
        <v>1671</v>
      </c>
      <c r="E33" s="12" t="str">
        <f t="shared" si="0"/>
        <v>* HpvStatusDetectedBy -&gt; ##34#TBD##34#</v>
      </c>
    </row>
    <row r="34" spans="2:5">
      <c r="B34" s="11" t="str">
        <f>CancerUnderStudy!B32</f>
        <v>P16</v>
      </c>
      <c r="C34" s="11" t="s">
        <v>1671</v>
      </c>
      <c r="E34" s="12" t="str">
        <f t="shared" si="0"/>
        <v>* P16 -&gt; ##34#TBD##34#</v>
      </c>
    </row>
    <row r="35" spans="2:5">
      <c r="B35" s="11" t="str">
        <f>CancerUnderStudy!B33</f>
        <v>PdL1</v>
      </c>
      <c r="C35" s="11" t="s">
        <v>1671</v>
      </c>
      <c r="E35" s="12" t="str">
        <f t="shared" si="0"/>
        <v>* PdL1 -&gt; ##34#TBD##34#</v>
      </c>
    </row>
    <row r="36" spans="2:5">
      <c r="B36" s="11" t="str">
        <f>CancerUnderStudy!B34</f>
        <v>Pd-L1Method</v>
      </c>
      <c r="C36" s="11" t="s">
        <v>1671</v>
      </c>
      <c r="E36" s="12" t="str">
        <f t="shared" si="0"/>
        <v>* Pd-L1Method -&gt; ##34#TBD##34#</v>
      </c>
    </row>
    <row r="37" spans="2:5">
      <c r="B37" s="11" t="str">
        <f>CancerUnderStudy!B35</f>
        <v>Pd-L1CpsValue</v>
      </c>
      <c r="C37" s="11" t="s">
        <v>1671</v>
      </c>
      <c r="E37" s="12" t="str">
        <f t="shared" si="0"/>
        <v>* Pd-L1CpsValue -&gt; ##34#TBD##34#</v>
      </c>
    </row>
    <row r="38" spans="2:5">
      <c r="B38" s="11" t="str">
        <f>CancerUnderStudy!B36</f>
        <v>Pd-L1TpsValue</v>
      </c>
      <c r="C38" s="11" t="s">
        <v>1671</v>
      </c>
      <c r="E38" s="12" t="str">
        <f t="shared" si="0"/>
        <v>* Pd-L1TpsValue -&gt; ##34#TBD##34#</v>
      </c>
    </row>
    <row r="39" spans="2:5">
      <c r="B39" s="11" t="str">
        <f>CancerUnderStudy!B37</f>
        <v>Crp-CReactiveProteinTested</v>
      </c>
      <c r="C39" s="11" t="s">
        <v>1671</v>
      </c>
      <c r="E39" s="12" t="str">
        <f t="shared" si="0"/>
        <v>* Crp-CReactiveProteinTested -&gt; ##34#TBD##34#</v>
      </c>
    </row>
    <row r="40" spans="2:5">
      <c r="B40" s="11" t="str">
        <f>CancerUnderStudy!B38</f>
        <v>CReactiveProtein-Crp-MgDl</v>
      </c>
      <c r="C40" s="11" t="s">
        <v>1671</v>
      </c>
      <c r="E40" s="12" t="str">
        <f t="shared" si="0"/>
        <v>* CReactiveProtein-Crp-MgDl -&gt; ##34#TBD##34#</v>
      </c>
    </row>
    <row r="41" spans="2:5">
      <c r="B41" s="11" t="str">
        <f>CancerUnderStudy!B39</f>
        <v>InstrumentStatus</v>
      </c>
      <c r="C41" s="11" t="s">
        <v>1671</v>
      </c>
      <c r="E41" s="12" t="str">
        <f t="shared" si="0"/>
        <v>* InstrumentStatus -&gt; ##34#TBD##34#</v>
      </c>
    </row>
    <row r="42" spans="2:5">
      <c r="B42" s="11"/>
      <c r="C42" s="11"/>
      <c r="E42" s="12" t="str">
        <f t="shared" si="0"/>
        <v>*  -&gt; ##34###34#</v>
      </c>
    </row>
    <row r="43" spans="2:5">
      <c r="B43" s="11"/>
      <c r="C43" s="11"/>
      <c r="E43" s="12" t="str">
        <f t="shared" si="0"/>
        <v>*  -&gt; ##34###34#</v>
      </c>
    </row>
    <row r="44" spans="2:5">
      <c r="B44" s="11"/>
      <c r="C44" s="11"/>
      <c r="E44" s="12" t="str">
        <f t="shared" si="0"/>
        <v>*  -&gt; ##34###34#</v>
      </c>
    </row>
    <row r="45" spans="2:5">
      <c r="B45" s="11"/>
      <c r="C45" s="11"/>
      <c r="E45" s="12" t="str">
        <f t="shared" si="0"/>
        <v>*  -&gt; ##34###34#</v>
      </c>
    </row>
    <row r="46" spans="2:5">
      <c r="B46" s="11"/>
      <c r="C46" s="11"/>
    </row>
    <row r="47" spans="2:5">
      <c r="B47" s="11"/>
    </row>
    <row r="48" spans="2:5">
      <c r="B48"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130"/>
  <sheetViews>
    <sheetView workbookViewId="0">
      <selection activeCell="C8" sqref="C8"/>
    </sheetView>
  </sheetViews>
  <sheetFormatPr defaultRowHeight="14.75"/>
  <cols>
    <col min="3" max="3" width="108.2265625" style="12" customWidth="1"/>
    <col min="7" max="7" width="29.54296875" customWidth="1"/>
    <col min="8" max="8" width="54.90625" customWidth="1"/>
  </cols>
  <sheetData>
    <row r="1" spans="3:7" ht="15.5" thickBot="1">
      <c r="C1" s="24" t="str">
        <f>CancerUnderStudy!J1</f>
        <v>//===================================================</v>
      </c>
    </row>
    <row r="2" spans="3:7" ht="16.75" thickBot="1">
      <c r="C2" s="25" t="str">
        <f>CancerUnderStudy!J2</f>
        <v>//  Logical Model</v>
      </c>
      <c r="G2" s="30" t="s">
        <v>1672</v>
      </c>
    </row>
    <row r="3" spans="3:7">
      <c r="C3" s="25" t="str">
        <f>CancerUnderStudy!J3</f>
        <v>//===================================================</v>
      </c>
    </row>
    <row r="4" spans="3:7">
      <c r="C4" s="17" t="str">
        <f>CancerUnderStudy!J4</f>
        <v>Logical: CancerUnderStudyI4rc</v>
      </c>
    </row>
    <row r="5" spans="3:7">
      <c r="C5" s="17" t="str">
        <f>CancerUnderStudy!J5</f>
        <v>Id: CancerUnderStudy</v>
      </c>
    </row>
    <row r="6" spans="3:7">
      <c r="C6" s="17" t="str">
        <f>CancerUnderStudy!J6</f>
        <v>Title: ##34#Cancer Under Study##34#</v>
      </c>
    </row>
    <row r="7" spans="3:7" ht="29.5">
      <c r="C7" s="17" t="str">
        <f>CancerUnderStudy!J7</f>
        <v>Description:  ##334#Subject of care 
Maturity Level: 0 Draft##334#</v>
      </c>
    </row>
    <row r="8" spans="3:7" ht="29.5">
      <c r="C8" s="12" t="str">
        <f>IF(CancerUnderStudy!J8="*  ..  ##34###34# ##334###334#","//--- END",CancerUnderStudy!J8)</f>
        <v>* diagnosisDate 0..1 date ##34#Date of diagnosis##34# ##334#Date of the procedure from which the specimen was obtained that allowed the histological diagnosis.##334#</v>
      </c>
    </row>
    <row r="9" spans="3:7" ht="29.5">
      <c r="C9" s="12" t="str">
        <f>IF(CancerUnderStudy!J9="*  ..  ##34###34# ##334###334#","//--- END",CancerUnderStudy!J9)</f>
        <v>* ageAtDiagnosis 0..1 integer ##34#Age at diagnosis##34# ##334#Age of the patient at the time of the diagnosis.
required if date of diagnosis known##334#</v>
      </c>
    </row>
    <row r="10" spans="3:7" ht="29.5">
      <c r="C10" s="12" t="str">
        <f>IF(CancerUnderStudy!J10="*  ..  ##34###34# ##334###334#","//--- END",CancerUnderStudy!J10)</f>
        <v>* histologyGroup 0..1 CodeableConcept ##34#Histology (WHO 2017) group##34# ##334#Histology of prymary tumour according to WHO 2017 clasification.##334#</v>
      </c>
    </row>
    <row r="11" spans="3:7" ht="29.5">
      <c r="C11" s="12" t="str">
        <f>IF(CancerUnderStudy!J11="*  ..  ##34###34# ##334###334#","//--- END",CancerUnderStudy!J11)</f>
        <v>* histologySubgroup 0..* BackboneElement ##34#histologySubgroup.histology (WHO 2017) subgroup##34# ##334#Specifies the histological subgroup##334#</v>
      </c>
    </row>
    <row r="12" spans="3:7" ht="29.5">
      <c r="C12" s="12" t="str">
        <f>IF(CancerUnderStudy!J12="*  ..  ##34###34# ##334###334#","//--- END",CancerUnderStudy!J12)</f>
        <v>* histologySubgroup.histologySquamous 0..1 CodeableConcept ##34#Specifies the histological subgroup for squamous cancers##34# ##334#Specifies the histological subgroup for squamous cancers##334#</v>
      </c>
    </row>
    <row r="13" spans="3:7" ht="29.5">
      <c r="C13" s="12" t="str">
        <f>IF(CancerUnderStudy!J13="*  ..  ##34###34# ##334###334#","//--- END",CancerUnderStudy!J13)</f>
        <v>* histologySubgroup.histologyAdenocarcinoma 0..1 CodeableConcept ##34#Specifies the histological subgroup for adenocarcinomas##34# ##334#Specifies the histological subgroup for adenocarcinomas##334#</v>
      </c>
    </row>
    <row r="14" spans="3:7" ht="29.5">
      <c r="C14" s="12" t="str">
        <f>IF(CancerUnderStudy!J14="*  ..  ##34###34# ##334###334#","//--- END",CancerUnderStudy!J14)</f>
        <v>* histologySubgroup.histologyNeuroendocrine 0..1 CodeableConcept ##34#Specifies the histological subgroup for neuroendocrine cancers ##34# ##334#Specifies the histological subgroup for neuroendocrine cancers##334#</v>
      </c>
    </row>
    <row r="15" spans="3:7" ht="29.5">
      <c r="C15" s="12" t="str">
        <f>IF(CancerUnderStudy!J15="*  ..  ##34###34# ##334###334#","//--- END",CancerUnderStudy!J15)</f>
        <v>* histologySubgroup.histologyOdontogenicCarcinoma 0..1 CodeableConcept ##34#Specifies the histological subgroup for odontogenic carcinomas##34# ##334#Specifies the histological subgroup for odontogenic carcinomas##334#</v>
      </c>
    </row>
    <row r="16" spans="3:7" ht="29.5">
      <c r="C16" s="12" t="str">
        <f>IF(CancerUnderStudy!J16="*  ..  ##34###34# ##334###334#","//--- END",CancerUnderStudy!J16)</f>
        <v>* histologySubgroup.histologySNUC 0..1 CodeableConcept ##34#Specifies the histological subgroup for sinonasl undifferentiated carcinomas##34# ##334#Specifies the histological subgroup for sinonasl undifferentiated carcinomas##334#</v>
      </c>
    </row>
    <row r="17" spans="3:3">
      <c r="C17" s="12" t="str">
        <f>IF(CancerUnderStudy!J17="*  ..  ##34###34# ##334###334#","//--- END",CancerUnderStudy!J17)</f>
        <v>* siteRare 0..1 CodeableConcept ##34#Site Rare##34# ##334#Describe the primary tumor site, according to AJCC .##334#</v>
      </c>
    </row>
    <row r="18" spans="3:3" ht="29.5">
      <c r="C18" s="12" t="str">
        <f>IF(CancerUnderStudy!J18="*  ..  ##34###34# ##334###334#","//--- END",CancerUnderStudy!J18)</f>
        <v>* siteCommonAndRare 0..1 CodeableConcept ##34#Site common and rare##34# ##334#Describe the primary tumor site, according to AJCC .##334#</v>
      </c>
    </row>
    <row r="19" spans="3:3">
      <c r="C19" s="12" t="str">
        <f>IF(CancerUnderStudy!J19="*  ..  ##34###34# ##334###334#","//--- END",CancerUnderStudy!J19)</f>
        <v>* subSite 0..* BackboneElement ##34#Subsite##34# ##334#Specifies the subsite##334#</v>
      </c>
    </row>
    <row r="20" spans="3:3" ht="29.5">
      <c r="C20" s="12" t="str">
        <f>IF(CancerUnderStudy!J20="*  ..  ##34###34# ##334###334#","//--- END",CancerUnderStudy!J20)</f>
        <v>* subSite.nasalCavityAndParanasalSinusesSubsite 0..1 CodeableConcept ##34#Nasal cavity and paranasal sinuses subsite##34# ##334#Specifies the subsite for cancers occurred in nasal cavity and paranasal sinusess##334#</v>
      </c>
    </row>
    <row r="21" spans="3:3" ht="29.5">
      <c r="C21" s="12" t="str">
        <f>IF(CancerUnderStudy!J21="*  ..  ##34###34# ##334###334#","//--- END",CancerUnderStudy!J21)</f>
        <v>* subSite.nasopharynxSubsite 0..1 CodeableConcept ##34#Nasopharynx subsite##34# ##334#Specifies the subsite for cancers occurred in nasopharynx##334#</v>
      </c>
    </row>
    <row r="22" spans="3:3" ht="29.5">
      <c r="C22" s="12" t="str">
        <f>IF(CancerUnderStudy!J22="*  ..  ##34###34# ##334###334#","//--- END",CancerUnderStudy!J22)</f>
        <v>* subSite.hypopharynxSubsite 0..1 CodeableConcept ##34#Hypopharynx subsite##34# ##334#Specifies the subsite for cancers occurred in hypopharynx##334#</v>
      </c>
    </row>
    <row r="23" spans="3:3" ht="29.5">
      <c r="C23" s="12" t="str">
        <f>IF(CancerUnderStudy!J23="*  ..  ##34###34# ##334###334#","//--- END",CancerUnderStudy!J23)</f>
        <v>* subSite.oropharynxSubsite 0..1 CodeableConcept ##34#Oropharynx subsite##34# ##334#Specifies the subsite for cancers occurred in oropharynx##334#</v>
      </c>
    </row>
    <row r="24" spans="3:3" ht="29.5">
      <c r="C24" s="12" t="str">
        <f>IF(CancerUnderStudy!J24="*  ..  ##34###34# ##334###334#","//--- END",CancerUnderStudy!J24)</f>
        <v>* subSite.larynxSubsite 0..1 CodeableConcept ##34#Larynx subsite##34# ##334#Specifies the subsite for cancers occurred in larynx##334#</v>
      </c>
    </row>
    <row r="25" spans="3:3" ht="29.5">
      <c r="C25" s="12" t="str">
        <f>IF(CancerUnderStudy!J25="*  ..  ##34###34# ##334###334#","//--- END",CancerUnderStudy!J25)</f>
        <v>* subSite.oralCavitySubsite 0..1 CodeableConcept ##34#Oral cavity subsite##34# ##334#Specifies the subsite for cancers occurred in oral cavity##334#</v>
      </c>
    </row>
    <row r="26" spans="3:3">
      <c r="C26" s="12" t="str">
        <f>IF(CancerUnderStudy!J26="*  ..  ##34###34# ##334###334#","//--- END",CancerUnderStudy!J26)</f>
        <v>* subSite.lipSubsite 0..1 CodeableConcept ##34#Lip subsite##34# ##334#Specifies the subsite for cancers occurred in lip##334#</v>
      </c>
    </row>
    <row r="27" spans="3:3" ht="29.5">
      <c r="C27" s="12" t="str">
        <f>IF(CancerUnderStudy!J27="*  ..  ##34###34# ##334###334#","//--- END",CancerUnderStudy!J27)</f>
        <v>* PlasmaticEbvDnaAtBaseline 0..1 CodeableConcept ##34#Plasmatic EBV DNA at baseline##34# ##334#Describes the result of EBV DNA plasma testing before treatment in NPC type II and III (WHO)##334#</v>
      </c>
    </row>
    <row r="28" spans="3:3" ht="29.5">
      <c r="C28" s="12" t="str">
        <f>IF(CancerUnderStudy!J28="*  ..  ##34###34# ##334###334#","//--- END",CancerUnderStudy!J28)</f>
        <v>* PrimerType 0..1 CodeableConcept ##34#Primer type##34# ##334#Describes the primer used for EBV DNA plasma testing t in NPC type II and Type III (WHO)##334#</v>
      </c>
    </row>
    <row r="29" spans="3:3">
      <c r="C29" s="12" t="str">
        <f>IF(CancerUnderStudy!J29="*  ..  ##34###34# ##334###334#","//--- END",CancerUnderStudy!J29)</f>
        <v>* CopyNumber 0..1 integer ##34#Copy Number##34# ##334#Copy number of EBVDNA##334#</v>
      </c>
    </row>
    <row r="30" spans="3:3" ht="29.5">
      <c r="C30" s="12" t="str">
        <f>IF(CancerUnderStudy!J30="*  ..  ##34###34# ##334###334#","//--- END",CancerUnderStudy!J30)</f>
        <v>* HpvStatus 0..1 CodeableConcept ##34#HPV status##34# ##334#Describes the result of HPV tumor testing in oral carcinoma##334#</v>
      </c>
    </row>
    <row r="31" spans="3:3" ht="29.5">
      <c r="C31" s="12" t="str">
        <f>IF(CancerUnderStudy!J31="*  ..  ##34###34# ##334###334#","//--- END",CancerUnderStudy!J31)</f>
        <v>* HpvStatusDetectedBy 0..1 CodeableConcept ##34#HPV status detecection##34# ##334#Describes the technique used for HPV tumour testing in orall carcinoma##334#</v>
      </c>
    </row>
    <row r="32" spans="3:3">
      <c r="C32" s="12" t="str">
        <f>IF(CancerUnderStudy!J32="*  ..  ##34###34# ##334###334#","//--- END",CancerUnderStudy!J32)</f>
        <v>* P16 0..1 CodeableConcept ##34#p16##34# ##334#Describes the result of p16 tumour testing in oral carcinoma##334#</v>
      </c>
    </row>
    <row r="33" spans="3:3">
      <c r="C33" s="12" t="str">
        <f>IF(CancerUnderStudy!J33="*  ..  ##34###34# ##334###334#","//--- END",CancerUnderStudy!J33)</f>
        <v>* PdL1 0..1 CodeableConcept ##34#PD-L1##34# ##334#Describes the result of PDL tumour testing in oral carcinoma##334#</v>
      </c>
    </row>
    <row r="34" spans="3:3" ht="29.5">
      <c r="C34" s="12" t="str">
        <f>IF(CancerUnderStudy!J34="*  ..  ##34###34# ##334###334#","//--- END",CancerUnderStudy!J34)</f>
        <v>* Pd-L1Method 0..1 CodeableConcept ##34#PD-L1 Method##34# ##334#Describes the technique used for PDL tumour testing in oral carcinoma##334#</v>
      </c>
    </row>
    <row r="35" spans="3:3">
      <c r="C35" s="12" t="str">
        <f>IF(CancerUnderStudy!J35="*  ..  ##34###34# ##334###334#","//--- END",CancerUnderStudy!J35)</f>
        <v>* Pd-L1CpsValue 0..1 integer ##34#PD-L1 CPS##34# ##334#Result of PDL1CPS testing, when performed##334#</v>
      </c>
    </row>
    <row r="36" spans="3:3">
      <c r="C36" s="12" t="str">
        <f>IF(CancerUnderStudy!J36="*  ..  ##34###34# ##334###334#","//--- END",CancerUnderStudy!J36)</f>
        <v>* Pd-L1TpsValue 0..1 integer ##34#PD-L1 TPS##34# ##334#Result of PDL1TPS testing, when performed##334#</v>
      </c>
    </row>
    <row r="37" spans="3:3" ht="29.5">
      <c r="C37" s="12" t="str">
        <f>IF(CancerUnderStudy!J37="*  ..  ##34###34# ##334###334#","//--- END",CancerUnderStudy!J37)</f>
        <v>* Crp-CReactiveProteinTested 0..1 CodeableConcept ##34#CRP – C reactive protein tested##34# ##334#Describes the result of C reactive protein testing##334#</v>
      </c>
    </row>
    <row r="38" spans="3:3" ht="29.5">
      <c r="C38" s="12" t="str">
        <f>IF(CancerUnderStudy!J38="*  ..  ##34###34# ##334###334#","//--- END",CancerUnderStudy!J38)</f>
        <v>* CReactiveProtein-Crp-MgDl 0..1 Quantity ##34#C reactive protein - CRP (mg/dl)##34# ##334#Result of CRP testing, when performed##334#</v>
      </c>
    </row>
    <row r="39" spans="3:3" ht="29.5">
      <c r="C39" s="12" t="str">
        <f>IF(CancerUnderStudy!J39="*  ..  ##34###34# ##334###334#","//--- END",CancerUnderStudy!J39)</f>
        <v>* InstrumentStatus 0..1 CodeableConcept ##34#Instrument status##34# ##334#Describe if the instument is fully compiled or not##334#</v>
      </c>
    </row>
    <row r="40" spans="3:3">
      <c r="C40" s="12" t="str">
        <f>IF(CancerUnderStudy!J40="*  ..  ##34###34# ##334###334#","//--- END",CancerUnderStudy!J40)</f>
        <v>//--- END</v>
      </c>
    </row>
    <row r="41" spans="3:3">
      <c r="C41" s="12" t="str">
        <f>IF(CancerUnderStudy!J41="*  ..  ##34###34# ##334###334#","//--- END",CancerUnderStudy!J41)</f>
        <v>//--- END</v>
      </c>
    </row>
    <row r="42" spans="3:3">
      <c r="C42" s="12" t="str">
        <f>IF(CancerUnderStudy!J42="*  ..  ##34###34# ##334###334#","//--- END",CancerUnderStudy!J42)</f>
        <v>//--- END</v>
      </c>
    </row>
    <row r="43" spans="3:3">
      <c r="C43" s="12" t="str">
        <f>IF(CancerUnderStudy!J43="*  ..  ##34###34# ##334###334#","//--- END",CancerUnderStudy!J43)</f>
        <v>//--- END</v>
      </c>
    </row>
    <row r="46" spans="3:3">
      <c r="C46" s="24" t="s">
        <v>1682</v>
      </c>
    </row>
    <row r="47" spans="3:3">
      <c r="C47" s="25" t="s">
        <v>20</v>
      </c>
    </row>
    <row r="48" spans="3:3">
      <c r="C48" s="25" t="s">
        <v>1682</v>
      </c>
    </row>
    <row r="49" spans="3:3" ht="44.25">
      <c r="C49" s="12" t="str">
        <f>IF(CancerUnderStudy!L8="*  ..  ##34###34# ##334###334#","//--- END",CancerUnderStudy!L8)</f>
        <v>* diagnosisDate ^comment = ##334#Must be formatted as YYYY-MM-DD. Leave empty if not known. Optional rule : Possible date anonymisation by
setting the 15th of every month i.e.: YYYY-MM-15. If the month is not known, we set it to June (06).##334#</v>
      </c>
    </row>
    <row r="50" spans="3:3" ht="29.5">
      <c r="C50" s="12" t="str">
        <f>IF(CancerUnderStudy!L9="*  ..  ##34###34# ##334###334#","//--- END",CancerUnderStudy!L9)</f>
        <v>* ageAtDiagnosis ^comment = ##334#An integer value &gt; 0. We use the -1 value for unknown. Automatic  calculation from date of birth and date of diagnosis.##334#</v>
      </c>
    </row>
    <row r="51" spans="3:3">
      <c r="C51" s="12" t="str">
        <f>IF(CancerUnderStudy!L10="*  ..  ##34###34# ##334###334#","//--- END",CancerUnderStudy!L10)</f>
        <v>* histologyGroup ^comment = ##334#A value in the WHO 2017 H&amp;N classification list.##334#</v>
      </c>
    </row>
    <row r="52" spans="3:3">
      <c r="C52" s="12" t="str">
        <f>IF(CancerUnderStudy!L11="*  ..  ##34###34# ##334###334#","//--- END",CancerUnderStudy!L11)</f>
        <v/>
      </c>
    </row>
    <row r="53" spans="3:3">
      <c r="C53" s="12" t="str">
        <f>IF(CancerUnderStudy!L12="*  ..  ##34###34# ##334###334#","//--- END",CancerUnderStudy!L12)</f>
        <v>* histologySubgroup.histologySquamous ^comment = ##334#A value in the WHO 2017 H&amp;N squamous classification list.##334#</v>
      </c>
    </row>
    <row r="54" spans="3:3" ht="29.5">
      <c r="C54" s="12" t="str">
        <f>IF(CancerUnderStudy!L13="*  ..  ##34###34# ##334###334#","//--- END",CancerUnderStudy!L13)</f>
        <v>* histologySubgroup.histologyAdenocarcinoma ^comment = ##334#A value in the WHO 2017 H&amp;N adenocarcinoma classification list.##334#</v>
      </c>
    </row>
    <row r="55" spans="3:3" ht="29.5">
      <c r="C55" s="12" t="str">
        <f>IF(CancerUnderStudy!L14="*  ..  ##34###34# ##334###334#","//--- END",CancerUnderStudy!L14)</f>
        <v>* histologySubgroup.histologyNeuroendocrine ^comment = ##334#A value in the WHO 2017 H&amp;N neuroendocrine classification list.##334#</v>
      </c>
    </row>
    <row r="56" spans="3:3" ht="29.5">
      <c r="C56" s="12" t="str">
        <f>IF(CancerUnderStudy!L15="*  ..  ##34###34# ##334###334#","//--- END",CancerUnderStudy!L15)</f>
        <v>* histologySubgroup.histologyOdontogenicCarcinoma ^comment = ##334#A value in the WHO 2017 H&amp;N odontogenic carcinoma classification list.##334#</v>
      </c>
    </row>
    <row r="57" spans="3:3">
      <c r="C57" s="12" t="str">
        <f>IF(CancerUnderStudy!L16="*  ..  ##34###34# ##334###334#","//--- END",CancerUnderStudy!L16)</f>
        <v>* histologySubgroup.histologySNUC ^comment = ##334#A value in the WHO 2017 H&amp;N SNUC classification list.##334#</v>
      </c>
    </row>
    <row r="58" spans="3:3">
      <c r="C58" s="12" t="str">
        <f>IF(CancerUnderStudy!L17="*  ..  ##34###34# ##334###334#","//--- END",CancerUnderStudy!L17)</f>
        <v>* siteRare ^comment = ##334#A value in the AJCC Cancer Staging Manual 8th site list##334#</v>
      </c>
    </row>
    <row r="59" spans="3:3">
      <c r="C59" s="12" t="str">
        <f>IF(CancerUnderStudy!L18="*  ..  ##34###34# ##334###334#","//--- END",CancerUnderStudy!L18)</f>
        <v>* siteCommonAndRare ^comment = ##334#A value in the AJCC Cancer Staging Manual 8th site list##334#</v>
      </c>
    </row>
    <row r="60" spans="3:3">
      <c r="C60" s="12" t="str">
        <f>IF(CancerUnderStudy!L19="*  ..  ##34###34# ##334###334#","//--- END",CancerUnderStudy!L19)</f>
        <v/>
      </c>
    </row>
    <row r="61" spans="3:3" ht="29.5">
      <c r="C61" s="12" t="str">
        <f>IF(CancerUnderStudy!L20="*  ..  ##34###34# ##334###334#","//--- END",CancerUnderStudy!L20)</f>
        <v>* subSite.nasalCavityAndParanasalSinusesSubsite ^comment = ##334#A string value in the AJCC Cancer Staging Manual 8th subsite list##334#</v>
      </c>
    </row>
    <row r="62" spans="3:3">
      <c r="C62" s="12" t="str">
        <f>IF(CancerUnderStudy!L21="*  ..  ##34###34# ##334###334#","//--- END",CancerUnderStudy!L21)</f>
        <v>* subSite.nasopharynxSubsite ^comment = ##334#A string value in the AJCC Cancer Staging Manual 8th subsite list##334#</v>
      </c>
    </row>
    <row r="63" spans="3:3">
      <c r="C63" s="12" t="str">
        <f>IF(CancerUnderStudy!L22="*  ..  ##34###34# ##334###334#","//--- END",CancerUnderStudy!L22)</f>
        <v>* subSite.hypopharynxSubsite ^comment = ##334#A string value in the AJCC Cancer Staging Manual 8th subsite list##334#</v>
      </c>
    </row>
    <row r="64" spans="3:3">
      <c r="C64" s="12" t="str">
        <f>IF(CancerUnderStudy!L23="*  ..  ##34###34# ##334###334#","//--- END",CancerUnderStudy!L23)</f>
        <v>* subSite.oropharynxSubsite ^comment = ##334#A string value in the AJCC Cancer Staging Manual 8th subsite list##334#</v>
      </c>
    </row>
    <row r="65" spans="3:3">
      <c r="C65" s="12" t="str">
        <f>IF(CancerUnderStudy!L24="*  ..  ##34###34# ##334###334#","//--- END",CancerUnderStudy!L24)</f>
        <v>* subSite.larynxSubsite ^comment = ##334#A string value in the AJCC Cancer Staging Manual 8th subsite list##334#</v>
      </c>
    </row>
    <row r="66" spans="3:3">
      <c r="C66" s="12" t="str">
        <f>IF(CancerUnderStudy!L25="*  ..  ##34###34# ##334###334#","//--- END",CancerUnderStudy!L25)</f>
        <v>* subSite.oralCavitySubsite ^comment = ##334#A string value in the AJCC Cancer Staging Manual 8th subsite list##334#</v>
      </c>
    </row>
    <row r="67" spans="3:3">
      <c r="C67" s="12" t="str">
        <f>IF(CancerUnderStudy!L26="*  ..  ##34###34# ##334###334#","//--- END",CancerUnderStudy!L26)</f>
        <v>* subSite.lipSubsite ^comment = ##334#A string value in the AJCC Cancer Staging Manual 8th subsite list##334#</v>
      </c>
    </row>
    <row r="68" spans="3:3" ht="29.5">
      <c r="C68" s="12" t="str">
        <f>IF(CancerUnderStudy!L27="*  ..  ##34###34# ##334###334#","//--- END",CancerUnderStudy!L27)</f>
        <v>* PlasmaticEbvDnaAtBaseline ^comment = ##334#A string value representing whether the test value was positive, negative or it was untested. Empty if unknown.##334#</v>
      </c>
    </row>
    <row r="69" spans="3:3">
      <c r="C69" s="12" t="str">
        <f>IF(CancerUnderStudy!L28="*  ..  ##34###34# ##334###334#","//--- END",CancerUnderStudy!L28)</f>
        <v>* PrimerType ^comment = ##334#A string value representing the plasma testing type. Empty if unknown##334#</v>
      </c>
    </row>
    <row r="70" spans="3:3">
      <c r="C70" s="12" t="str">
        <f>IF(CancerUnderStudy!L29="*  ..  ##34###34# ##334###334#","//--- END",CancerUnderStudy!L29)</f>
        <v>* CopyNumber ^comment = ##334#An integer for the number of EBVDNA. Empty if unknown##334#</v>
      </c>
    </row>
    <row r="71" spans="3:3" ht="29.5">
      <c r="C71" s="12" t="str">
        <f>IF(CancerUnderStudy!L30="*  ..  ##34###34# ##334###334#","//--- END",CancerUnderStudy!L30)</f>
        <v>* HpvStatus ^comment = ##334#A string value representing whether the result was positive, negative or not tested. Empty if unknown.##334#</v>
      </c>
    </row>
    <row r="72" spans="3:3" ht="29.5">
      <c r="C72" s="12" t="str">
        <f>IF(CancerUnderStudy!L31="*  ..  ##34###34# ##334###334#","//--- END",CancerUnderStudy!L31)</f>
        <v>* HpvStatusDetectedBy ^comment = ##334#A string value representing which was the used technique. Empty if unknown.##334#</v>
      </c>
    </row>
    <row r="73" spans="3:3" ht="29.5">
      <c r="C73" s="12" t="str">
        <f>IF(CancerUnderStudy!L32="*  ..  ##34###34# ##334###334#","//--- END",CancerUnderStudy!L32)</f>
        <v>* P16 ^comment = ##334#A string value representing whether the result was positive, negative or not tested. Empty if unknown.##334#</v>
      </c>
    </row>
    <row r="74" spans="3:3" ht="29.5">
      <c r="C74" s="12" t="str">
        <f>IF(CancerUnderStudy!L33="*  ..  ##34###34# ##334###334#","//--- END",CancerUnderStudy!L33)</f>
        <v>* PdL1 ^comment = ##334#A string value representing whether the result was positive, negative or not tested. Empty if unknown.##334#</v>
      </c>
    </row>
    <row r="75" spans="3:3">
      <c r="C75" s="12" t="str">
        <f>IF(CancerUnderStudy!L34="*  ..  ##34###34# ##334###334#","//--- END",CancerUnderStudy!L34)</f>
        <v>* Pd-L1Method ^comment = ##334#A string value representing which was the used technique. Empty if unknown.##334#</v>
      </c>
    </row>
    <row r="76" spans="3:3">
      <c r="C76" s="12" t="str">
        <f>IF(CancerUnderStudy!L35="*  ..  ##34###34# ##334###334#","//--- END",CancerUnderStudy!L35)</f>
        <v>* Pd-L1CpsValue ^comment = ##334#An integer for the PDL1CPS test. Empty if unknown.##334#</v>
      </c>
    </row>
    <row r="77" spans="3:3">
      <c r="C77" s="12" t="str">
        <f>IF(CancerUnderStudy!L36="*  ..  ##34###34# ##334###334#","//--- END",CancerUnderStudy!L36)</f>
        <v>* Pd-L1TpsValue ^comment = ##334#An integer for the PDL1TPS test. Empty if unknown.##334#</v>
      </c>
    </row>
    <row r="78" spans="3:3" ht="29.5">
      <c r="C78" s="12" t="str">
        <f>IF(CancerUnderStudy!L37="*  ..  ##34###34# ##334###334#","//--- END",CancerUnderStudy!L37)</f>
        <v>* Crp-CReactiveProteinTested ^comment = ##334#A string value representing whether the result was positive, negative or not tested. Empty if unknown.##334#</v>
      </c>
    </row>
    <row r="79" spans="3:3">
      <c r="C79" s="12" t="str">
        <f>IF(CancerUnderStudy!L38="*  ..  ##34###34# ##334###334#","//--- END",CancerUnderStudy!L38)</f>
        <v>* CReactiveProtein-Crp-MgDl ^comment = ##334#An integer for the CRP test. Empty if unknown.##334#</v>
      </c>
    </row>
    <row r="80" spans="3:3">
      <c r="C80" s="12" t="str">
        <f>IF(CancerUnderStudy!L39="*  ..  ##34###34# ##334###334#","//--- END",CancerUnderStudy!L39)</f>
        <v>* InstrumentStatus ^comment = ##334#A boolean for the instrument if it was fully compiled or not.##334#</v>
      </c>
    </row>
    <row r="81" spans="3:3">
      <c r="C81" s="12" t="str">
        <f>IF(CancerUnderStudy!L40="*  ..  ##34###34# ##334###334#","//--- END",CancerUnderStudy!L40)</f>
        <v>//--- END</v>
      </c>
    </row>
    <row r="82" spans="3:3">
      <c r="C82" s="12" t="str">
        <f>IF(CancerUnderStudy!L41="*  ..  ##34###34# ##334###334#","//--- END",CancerUnderStudy!L41)</f>
        <v>//--- END</v>
      </c>
    </row>
    <row r="83" spans="3:3">
      <c r="C83" s="12" t="str">
        <f>IF(CancerUnderStudy!L42="*  ..  ##34###34# ##334###334#","//--- END",CancerUnderStudy!L42)</f>
        <v>//--- END</v>
      </c>
    </row>
    <row r="84" spans="3:3">
      <c r="C84"/>
    </row>
    <row r="86" spans="3:3">
      <c r="C86" s="24" t="str">
        <f>'CancerUnderStudy-Map-1'!E1</f>
        <v>// -------------------------------------------------------------------------------</v>
      </c>
    </row>
    <row r="87" spans="3:3">
      <c r="C87" s="25" t="str">
        <f>'CancerUnderStudy-Map-1'!E2</f>
        <v>//  Map to FHIR R4</v>
      </c>
    </row>
    <row r="88" spans="3:3">
      <c r="C88" s="25" t="str">
        <f>'CancerUnderStudy-Map-1'!E3</f>
        <v>// -------------------------------------------------------------------------------</v>
      </c>
    </row>
    <row r="89" spans="3:3">
      <c r="C89" s="12" t="str">
        <f>'CancerUnderStudy-Map-1'!E4</f>
        <v>Mapping: I4RCCancerUnderStudy2Fhir</v>
      </c>
    </row>
    <row r="90" spans="3:3">
      <c r="C90" s="12" t="str">
        <f>'CancerUnderStudy-Map-1'!E5</f>
        <v>Id: fhir</v>
      </c>
    </row>
    <row r="91" spans="3:3">
      <c r="C91" s="12" t="str">
        <f>'CancerUnderStudy-Map-1'!E6</f>
        <v>Title: ##34#Idea4RC Subject model to FHIR R4 Map##34#</v>
      </c>
    </row>
    <row r="92" spans="3:3">
      <c r="C92" s="12" t="str">
        <f>'CancerUnderStudy-Map-1'!E7</f>
        <v>Source: CancerUnderStudy</v>
      </c>
    </row>
    <row r="93" spans="3:3">
      <c r="C93" s="12" t="str">
        <f>'CancerUnderStudy-Map-1'!E8</f>
        <v>Target: ##34#hl7.org/fhir/r4##34#</v>
      </c>
    </row>
    <row r="95" spans="3:3">
      <c r="C95" s="4" t="str">
        <f>'CancerUnderStudy-Map-1'!E9</f>
        <v>* -&gt; ##34#TBD##34#</v>
      </c>
    </row>
    <row r="96" spans="3:3">
      <c r="C96" s="12" t="str">
        <f>IF('CancerUnderStudy-Map-1'!E10="*  -&gt; ##34###34#","// --END",'CancerUnderStudy-Map-1'!E10)</f>
        <v>* diagnosisDate -&gt; ##34#TBD##34#</v>
      </c>
    </row>
    <row r="97" spans="3:3">
      <c r="C97" s="12" t="str">
        <f>IF('CancerUnderStudy-Map-1'!E11="*  -&gt; ##34###34#","// --END",'CancerUnderStudy-Map-1'!E11)</f>
        <v>* ageAtDiagnosis -&gt; ##34#TBD##34#</v>
      </c>
    </row>
    <row r="98" spans="3:3">
      <c r="C98" s="12" t="str">
        <f>IF('CancerUnderStudy-Map-1'!E12="*  -&gt; ##34###34#","// --END",'CancerUnderStudy-Map-1'!E12)</f>
        <v>* histologyGroup -&gt; ##34#TBD##34#</v>
      </c>
    </row>
    <row r="99" spans="3:3">
      <c r="C99" s="12" t="str">
        <f>IF('CancerUnderStudy-Map-1'!E13="*  -&gt; ##34###34#","// --END",'CancerUnderStudy-Map-1'!E13)</f>
        <v>* histologySubgroup -&gt; ##34#TBD##34#</v>
      </c>
    </row>
    <row r="100" spans="3:3">
      <c r="C100" s="12" t="str">
        <f>IF('CancerUnderStudy-Map-1'!E14="*  -&gt; ##34###34#","// --END",'CancerUnderStudy-Map-1'!E14)</f>
        <v>* histologySubgroup.histologySquamous -&gt; ##34#TBD##34#</v>
      </c>
    </row>
    <row r="101" spans="3:3">
      <c r="C101" s="12" t="str">
        <f>IF('CancerUnderStudy-Map-1'!E15="*  -&gt; ##34###34#","// --END",'CancerUnderStudy-Map-1'!E15)</f>
        <v>* histologySubgroup.histologyAdenocarcinoma -&gt; ##34#TBD##34#</v>
      </c>
    </row>
    <row r="102" spans="3:3">
      <c r="C102" s="12" t="str">
        <f>IF('CancerUnderStudy-Map-1'!E16="*  -&gt; ##34###34#","// --END",'CancerUnderStudy-Map-1'!E16)</f>
        <v>* histologySubgroup.histologyNeuroendocrine -&gt; ##34#TBD##34#</v>
      </c>
    </row>
    <row r="103" spans="3:3">
      <c r="C103" s="12" t="str">
        <f>IF('CancerUnderStudy-Map-1'!E17="*  -&gt; ##34###34#","// --END",'CancerUnderStudy-Map-1'!E17)</f>
        <v>* histologySubgroup.histologyOdontogenicCarcinoma -&gt; ##34#TBD##34#</v>
      </c>
    </row>
    <row r="104" spans="3:3">
      <c r="C104" s="12" t="str">
        <f>IF('CancerUnderStudy-Map-1'!E18="*  -&gt; ##34###34#","// --END",'CancerUnderStudy-Map-1'!E18)</f>
        <v>* histologySubgroup.histologySNUC -&gt; ##34#TBD##34#</v>
      </c>
    </row>
    <row r="105" spans="3:3">
      <c r="C105" s="12" t="str">
        <f>IF('CancerUnderStudy-Map-1'!E19="*  -&gt; ##34###34#","// --END",'CancerUnderStudy-Map-1'!E19)</f>
        <v>* siteRare -&gt; ##34#TBD##34#</v>
      </c>
    </row>
    <row r="106" spans="3:3">
      <c r="C106" s="12" t="str">
        <f>IF('CancerUnderStudy-Map-1'!E20="*  -&gt; ##34###34#","// --END",'CancerUnderStudy-Map-1'!E20)</f>
        <v>* siteCommonAndRare -&gt; ##34#TBD##34#</v>
      </c>
    </row>
    <row r="107" spans="3:3">
      <c r="C107" s="12" t="str">
        <f>IF('CancerUnderStudy-Map-1'!E21="*  -&gt; ##34###34#","// --END",'CancerUnderStudy-Map-1'!E21)</f>
        <v>* subSite -&gt; ##34#TBD##34#</v>
      </c>
    </row>
    <row r="108" spans="3:3">
      <c r="C108" s="12" t="str">
        <f>IF('CancerUnderStudy-Map-1'!E22="*  -&gt; ##34###34#","// --END",'CancerUnderStudy-Map-1'!E22)</f>
        <v>* subSite.nasalCavityAndParanasalSinusesSubsite -&gt; ##34#TBD##34#</v>
      </c>
    </row>
    <row r="109" spans="3:3">
      <c r="C109" s="12" t="str">
        <f>IF('CancerUnderStudy-Map-1'!E23="*  -&gt; ##34###34#","// --END",'CancerUnderStudy-Map-1'!E23)</f>
        <v>* subSite.nasopharynxSubsite -&gt; ##34#TBD##34#</v>
      </c>
    </row>
    <row r="110" spans="3:3">
      <c r="C110" s="12" t="str">
        <f>IF('CancerUnderStudy-Map-1'!E24="*  -&gt; ##34###34#","// --END",'CancerUnderStudy-Map-1'!E24)</f>
        <v>* subSite.hypopharynxSubsite -&gt; ##34#TBD##34#</v>
      </c>
    </row>
    <row r="111" spans="3:3">
      <c r="C111" s="12" t="str">
        <f>IF('CancerUnderStudy-Map-1'!E25="*  -&gt; ##34###34#","// --END",'CancerUnderStudy-Map-1'!E25)</f>
        <v>* subSite.oropharynxSubsite -&gt; ##34#TBD##34#</v>
      </c>
    </row>
    <row r="112" spans="3:3">
      <c r="C112" s="12" t="str">
        <f>IF('CancerUnderStudy-Map-1'!E26="*  -&gt; ##34###34#","// --END",'CancerUnderStudy-Map-1'!E26)</f>
        <v>* subSite.larynxSubsite -&gt; ##34#TBD##34#</v>
      </c>
    </row>
    <row r="113" spans="3:3">
      <c r="C113" s="12" t="str">
        <f>IF('CancerUnderStudy-Map-1'!E27="*  -&gt; ##34###34#","// --END",'CancerUnderStudy-Map-1'!E27)</f>
        <v>* subSite.oralCavitySubsite -&gt; ##34#TBD##34#</v>
      </c>
    </row>
    <row r="114" spans="3:3">
      <c r="C114" s="12" t="str">
        <f>IF('CancerUnderStudy-Map-1'!E28="*  -&gt; ##34###34#","// --END",'CancerUnderStudy-Map-1'!E28)</f>
        <v>* subSite.lipSubsite -&gt; ##34#TBD##34#</v>
      </c>
    </row>
    <row r="115" spans="3:3">
      <c r="C115" s="12" t="str">
        <f>IF('CancerUnderStudy-Map-1'!E29="*  -&gt; ##34###34#","// --END",'CancerUnderStudy-Map-1'!E29)</f>
        <v>* PlasmaticEbvDnaAtBaseline -&gt; ##34#TBD##34#</v>
      </c>
    </row>
    <row r="116" spans="3:3">
      <c r="C116" s="12" t="str">
        <f>IF('CancerUnderStudy-Map-1'!E30="*  -&gt; ##34###34#","// --END",'CancerUnderStudy-Map-1'!E30)</f>
        <v>* PrimerType -&gt; ##34#TBD##34#</v>
      </c>
    </row>
    <row r="117" spans="3:3">
      <c r="C117" s="12" t="str">
        <f>IF('CancerUnderStudy-Map-1'!E31="*  -&gt; ##34###34#","// --END",'CancerUnderStudy-Map-1'!E31)</f>
        <v>* CopyNumber -&gt; ##34#TBD##34#</v>
      </c>
    </row>
    <row r="118" spans="3:3">
      <c r="C118" s="12" t="str">
        <f>IF('CancerUnderStudy-Map-1'!E32="*  -&gt; ##34###34#","// --END",'CancerUnderStudy-Map-1'!E32)</f>
        <v>* HpvStatus -&gt; ##34#TBD##34#</v>
      </c>
    </row>
    <row r="119" spans="3:3">
      <c r="C119" s="12" t="str">
        <f>IF('CancerUnderStudy-Map-1'!E33="*  -&gt; ##34###34#","// --END",'CancerUnderStudy-Map-1'!E33)</f>
        <v>* HpvStatusDetectedBy -&gt; ##34#TBD##34#</v>
      </c>
    </row>
    <row r="120" spans="3:3">
      <c r="C120" s="12" t="str">
        <f>IF('CancerUnderStudy-Map-1'!E34="*  -&gt; ##34###34#","// --END",'CancerUnderStudy-Map-1'!E34)</f>
        <v>* P16 -&gt; ##34#TBD##34#</v>
      </c>
    </row>
    <row r="121" spans="3:3">
      <c r="C121" s="12" t="str">
        <f>IF('CancerUnderStudy-Map-1'!E35="*  -&gt; ##34###34#","// --END",'CancerUnderStudy-Map-1'!E35)</f>
        <v>* PdL1 -&gt; ##34#TBD##34#</v>
      </c>
    </row>
    <row r="122" spans="3:3">
      <c r="C122" s="12" t="str">
        <f>IF('CancerUnderStudy-Map-1'!E36="*  -&gt; ##34###34#","// --END",'CancerUnderStudy-Map-1'!E36)</f>
        <v>* Pd-L1Method -&gt; ##34#TBD##34#</v>
      </c>
    </row>
    <row r="123" spans="3:3">
      <c r="C123" s="12" t="str">
        <f>IF('CancerUnderStudy-Map-1'!E37="*  -&gt; ##34###34#","// --END",'CancerUnderStudy-Map-1'!E37)</f>
        <v>* Pd-L1CpsValue -&gt; ##34#TBD##34#</v>
      </c>
    </row>
    <row r="124" spans="3:3">
      <c r="C124" s="12" t="str">
        <f>IF('CancerUnderStudy-Map-1'!E38="*  -&gt; ##34###34#","// --END",'CancerUnderStudy-Map-1'!E38)</f>
        <v>* Pd-L1TpsValue -&gt; ##34#TBD##34#</v>
      </c>
    </row>
    <row r="125" spans="3:3">
      <c r="C125" s="12" t="str">
        <f>IF('CancerUnderStudy-Map-1'!E39="*  -&gt; ##34###34#","// --END",'CancerUnderStudy-Map-1'!E39)</f>
        <v>* Crp-CReactiveProteinTested -&gt; ##34#TBD##34#</v>
      </c>
    </row>
    <row r="126" spans="3:3">
      <c r="C126" s="12" t="str">
        <f>IF('CancerUnderStudy-Map-1'!E40="*  -&gt; ##34###34#","// --END",'CancerUnderStudy-Map-1'!E40)</f>
        <v>* CReactiveProtein-Crp-MgDl -&gt; ##34#TBD##34#</v>
      </c>
    </row>
    <row r="127" spans="3:3">
      <c r="C127" s="12" t="str">
        <f>IF('CancerUnderStudy-Map-1'!E41="*  -&gt; ##34###34#","// --END",'CancerUnderStudy-Map-1'!E41)</f>
        <v>* InstrumentStatus -&gt; ##34#TBD##34#</v>
      </c>
    </row>
    <row r="128" spans="3:3">
      <c r="C128" s="12" t="str">
        <f>IF('CancerUnderStudy-Map-1'!E42="*  -&gt; ##34###34#","// --END",'CancerUnderStudy-Map-1'!E42)</f>
        <v>// --END</v>
      </c>
    </row>
    <row r="129" spans="3:3">
      <c r="C129" s="12" t="str">
        <f>IF('CancerUnderStudy-Map-1'!E43="*  -&gt; ##34###34#","// --END",'CancerUnderStudy-Map-1'!E43)</f>
        <v>// --END</v>
      </c>
    </row>
    <row r="130" spans="3:3">
      <c r="C130" s="12" t="str">
        <f>IF('CancerUnderStudy-Map-1'!E44="*  -&gt; ##34###34#","// --END",'CancerUnderStudy-Map-1'!E44)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95</xdr:row>
                    <xdr:rowOff>171450</xdr:rowOff>
                  </from>
                  <to>
                    <xdr:col>2</xdr:col>
                    <xdr:colOff>1117600</xdr:colOff>
                    <xdr:row>97</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676E6-9403-4A73-8345-82D5286615E6}">
  <sheetPr codeName="Foglio45">
    <tabColor theme="0" tint="-0.499984740745262"/>
  </sheetPr>
  <dimension ref="A3:Q184"/>
  <sheetViews>
    <sheetView workbookViewId="0">
      <selection activeCell="I1" sqref="I1:I20"/>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CancerUnderStudy!B5</f>
        <v>CancerUnderStudy</v>
      </c>
      <c r="C10" s="6" t="str">
        <f>CancerUnderStudy!B6</f>
        <v>Cancer Under Study</v>
      </c>
      <c r="D10" s="61" t="str">
        <f>ConvertOsiris!I2</f>
        <v>Patient</v>
      </c>
      <c r="E10" s="61" t="str">
        <f>ConvertOsiris!J2</f>
        <v>Patient</v>
      </c>
      <c r="F10" s="68" t="s">
        <v>1439</v>
      </c>
      <c r="G10" s="62"/>
      <c r="H10" s="12" t="str">
        <f>"* group[=].element[+].code = #"&amp;B10</f>
        <v>* group[=].element[+].code = #CancerUnderStudy</v>
      </c>
      <c r="I10" s="12" t="str">
        <f>"* group[=].element[=].display = ##34#"&amp;C10&amp;"##34#"</f>
        <v>* group[=].element[=].display = ##34#Cancer Under Study##34#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INDEX('CancerUnderStudy-ConceptMap'!$H$10:$L$264,O10+1,P10)</f>
        <v>* group[=].element[+].code = #CancerUnderStudy</v>
      </c>
    </row>
    <row r="11" spans="1:17" ht="44.25">
      <c r="A11" s="63"/>
      <c r="B11" s="11" t="str">
        <f>$B$10&amp;"."&amp;CancerUnderStudy!B8</f>
        <v>CancerUnderStudy.diagnosisDate</v>
      </c>
      <c r="C11" s="11" t="str">
        <f>CancerUnderStudy!C8</f>
        <v>Date of diagnosis</v>
      </c>
      <c r="D11" s="11" t="str">
        <f>ConvertOsiris!I6</f>
        <v>Patient.BirthDate</v>
      </c>
      <c r="E11" s="11" t="str">
        <f>ConvertOsiris!J6</f>
        <v>Birth Date [C4]</v>
      </c>
      <c r="F11" s="68" t="s">
        <v>1417</v>
      </c>
      <c r="G11" s="62"/>
      <c r="H11" s="12" t="str">
        <f t="shared" ref="H11:H17" si="0">"* group[=].element[+].code = #"&amp;B11</f>
        <v>* group[=].element[+].code = #CancerUnderStudy.diagnosisDate</v>
      </c>
      <c r="I11" s="12" t="str">
        <f t="shared" ref="I11:I17" si="1">"* group[=].element[=].display = ##34#"&amp;C11&amp;"##34#"</f>
        <v>* group[=].element[=].display = ##34#Date of diagnosis##34#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INDEX('CancerUnderStudy-ConceptMap'!$H$10:$L$264,O11+1,P11)</f>
        <v>* group[=].element[=].display = ##34#Cancer Under Study##34#</v>
      </c>
    </row>
    <row r="12" spans="1:17" ht="44.25">
      <c r="A12" s="63"/>
      <c r="B12" s="11" t="str">
        <f>$B$10&amp;"."&amp;CancerUnderStudy!B9</f>
        <v>CancerUnderStudy.ageAtDiagnosis</v>
      </c>
      <c r="C12" s="11" t="str">
        <f>CancerUnderStudy!C9</f>
        <v>Age at diagnosis</v>
      </c>
      <c r="D12" s="11" t="str">
        <f>ConvertOsiris!I6</f>
        <v>Patient.BirthDate</v>
      </c>
      <c r="E12" s="11" t="str">
        <f>ConvertOsiris!J6</f>
        <v>Birth Date [C4]</v>
      </c>
      <c r="F12" s="68" t="s">
        <v>1439</v>
      </c>
      <c r="G12" s="62"/>
      <c r="H12" s="12" t="str">
        <f t="shared" si="0"/>
        <v>* group[=].element[+].code = #CancerUnderStudy.ageAtDiagnosis</v>
      </c>
      <c r="I12" s="12" t="str">
        <f t="shared" si="1"/>
        <v>* group[=].element[=].display = ##34#Age at diagnosis##34#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INDEX('CancerUnderStudy-ConceptMap'!$H$10:$L$264,O12+1,P12)</f>
        <v>* group[=].element[=].target.code = #Osiris.Patient</v>
      </c>
    </row>
    <row r="13" spans="1:17" ht="44.25">
      <c r="A13" s="63"/>
      <c r="B13" s="11" t="str">
        <f>$B$10&amp;"."&amp;CancerUnderStudy!B11</f>
        <v>CancerUnderStudy.histologySubgroup</v>
      </c>
      <c r="C13" s="11" t="str">
        <f>CancerUnderStudy!C11</f>
        <v>histologySubgroup.histology (WHO 2017) subgroup</v>
      </c>
      <c r="D13" s="11"/>
      <c r="E13" s="11"/>
      <c r="F13" s="68" t="s">
        <v>1434</v>
      </c>
      <c r="G13" s="62"/>
      <c r="H13" s="12" t="str">
        <f t="shared" si="0"/>
        <v>* group[=].element[+].code = #CancerUnderStudy.histologySubgroup</v>
      </c>
      <c r="I13" s="12" t="str">
        <f t="shared" si="1"/>
        <v>* group[=].element[=].display = ##34#histologySubgroup.histology (WHO 2017) subgroup##34#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INDEX('CancerUnderStudy-ConceptMap'!$H$10:$L$264,O13+1,P13)</f>
        <v>* group[=].element[=].target.display = ##34#Patient##34#</v>
      </c>
    </row>
    <row r="14" spans="1:17" ht="44.25">
      <c r="A14" s="63"/>
      <c r="B14" s="11" t="str">
        <f>$B$10&amp;"."&amp;CancerUnderStudy!B12</f>
        <v>CancerUnderStudy.histologySubgroup.histologySquamous</v>
      </c>
      <c r="C14" s="11" t="str">
        <f>CancerUnderStudy!C12</f>
        <v>Specifies the histological subgroup for squamous cancers</v>
      </c>
      <c r="D14" s="11"/>
      <c r="E14" s="11"/>
      <c r="F14" s="68" t="s">
        <v>1434</v>
      </c>
      <c r="G14" s="62"/>
      <c r="H14" s="12" t="str">
        <f t="shared" si="0"/>
        <v>* group[=].element[+].code = #CancerUnderStudy.histologySubgroup.histologySquamous</v>
      </c>
      <c r="I14" s="12" t="str">
        <f t="shared" si="1"/>
        <v>* group[=].element[=].display = ##34#Specifies the histological subgroup for squamous cancers##34#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INDEX('CancerUnderStudy-ConceptMap'!$H$10:$L$264,O14+1,P14)</f>
        <v>* group[=].element[=].target.equivalence = #equivalent</v>
      </c>
    </row>
    <row r="15" spans="1:17" ht="44.25">
      <c r="A15" s="63"/>
      <c r="B15" s="11" t="str">
        <f>$B$10&amp;"."&amp;CancerUnderStudy!B13</f>
        <v>CancerUnderStudy.histologySubgroup.histologyAdenocarcinoma</v>
      </c>
      <c r="C15" s="11" t="str">
        <f>CancerUnderStudy!C13</f>
        <v>Specifies the histological subgroup for adenocarcinomas</v>
      </c>
      <c r="D15" s="11" t="str">
        <f>ConvertOsiris!I4</f>
        <v>Patient.Gender</v>
      </c>
      <c r="E15" s="11" t="str">
        <f>ConvertOsiris!J4</f>
        <v>Gender [C2]</v>
      </c>
      <c r="F15" s="68" t="s">
        <v>1443</v>
      </c>
      <c r="G15" s="62"/>
      <c r="H15" s="12" t="str">
        <f t="shared" si="0"/>
        <v>* group[=].element[+].code = #CancerUnderStudy.histologySubgroup.histologyAdenocarcinoma</v>
      </c>
      <c r="I15" s="12" t="str">
        <f t="shared" si="1"/>
        <v>* group[=].element[=].display = ##34#Specifies the histological subgroup for adenocarcinomas##34#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INDEX('CancerUnderStudy-ConceptMap'!$H$10:$L$264,O15+1,P15)</f>
        <v>* group[=].element[+].code = #CancerUnderStudy.diagnosisDate</v>
      </c>
    </row>
    <row r="16" spans="1:17" ht="44.25">
      <c r="A16" s="63"/>
      <c r="B16" s="11" t="str">
        <f>$B$10&amp;"."&amp;CancerUnderStudy!B14</f>
        <v>CancerUnderStudy.histologySubgroup.histologyNeuroendocrine</v>
      </c>
      <c r="C16" s="11" t="str">
        <f>CancerUnderStudy!C14</f>
        <v xml:space="preserve">Specifies the histological subgroup for neuroendocrine cancers </v>
      </c>
      <c r="D16" s="11" t="str">
        <f>ConvertOsiris!I5</f>
        <v>Patient.Ethnicity</v>
      </c>
      <c r="E16" s="11" t="str">
        <f>ConvertOsiris!J5</f>
        <v>Ethnicity [C3]</v>
      </c>
      <c r="F16" s="68" t="s">
        <v>1441</v>
      </c>
      <c r="G16" s="62"/>
      <c r="H16" s="12" t="str">
        <f t="shared" si="0"/>
        <v>* group[=].element[+].code = #CancerUnderStudy.histologySubgroup.histologyNeuroendocrine</v>
      </c>
      <c r="I16" s="12" t="str">
        <f t="shared" si="1"/>
        <v>* group[=].element[=].display = ##34#Specifies the histological subgroup for neuroendocrine cancers ##34#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INDEX('CancerUnderStudy-ConceptMap'!$H$10:$L$264,O16+1,P16)</f>
        <v>* group[=].element[=].display = ##34#Date of diagnosis##34#</v>
      </c>
    </row>
    <row r="17" spans="1:17" ht="44.25">
      <c r="A17" s="63"/>
      <c r="B17" s="11" t="str">
        <f>$B$10&amp;"."&amp;CancerUnderStudy!B15</f>
        <v>CancerUnderStudy.histologySubgroup.histologyOdontogenicCarcinoma</v>
      </c>
      <c r="C17" s="11" t="str">
        <f>CancerUnderStudy!C15</f>
        <v>Specifies the histological subgroup for odontogenic carcinomas</v>
      </c>
      <c r="D17" s="11"/>
      <c r="E17" s="12"/>
      <c r="F17" s="68" t="s">
        <v>1434</v>
      </c>
      <c r="G17" s="62"/>
      <c r="H17" s="12" t="str">
        <f t="shared" si="0"/>
        <v>* group[=].element[+].code = #CancerUnderStudy.histologySubgroup.histologyOdontogenicCarcinoma</v>
      </c>
      <c r="I17" s="12" t="str">
        <f t="shared" si="1"/>
        <v>* group[=].element[=].display = ##34#Specifies the histological subgroup for odontogenic carcinomas##34#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INDEX('CancerUnderStudy-ConceptMap'!$H$10:$L$264,O17+1,P17)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INDEX('CancerUnderStudy-ConceptMap'!$H$10:$L$264,O18+1,P18)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INDEX('CancerUnderStudy-ConceptMap'!$H$10:$L$264,O19+1,P19)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INDEX('CancerUnderStudy-ConceptMap'!$H$10:$L$264,O20+1,P20)</f>
        <v>* group[=].element[+].code = #CancerUnderStudy.ageAtDiagnosis</v>
      </c>
    </row>
    <row r="21" spans="1:17">
      <c r="B21" s="11"/>
      <c r="C21" s="11"/>
      <c r="D21" s="11"/>
      <c r="E21" s="12"/>
      <c r="F21" s="68"/>
      <c r="G21" s="62"/>
      <c r="J21" s="62"/>
      <c r="K21" s="62"/>
      <c r="L21" s="70"/>
      <c r="N21" s="11">
        <v>12</v>
      </c>
      <c r="O21" s="11">
        <f t="shared" si="5"/>
        <v>2</v>
      </c>
      <c r="P21" s="11">
        <f t="shared" si="6"/>
        <v>2</v>
      </c>
      <c r="Q21" s="12" t="str" cm="1">
        <f t="array" ref="Q21">INDEX('CancerUnderStudy-ConceptMap'!$H$10:$L$264,O21+1,P21)</f>
        <v>* group[=].element[=].display = ##34#Age at diagnosis##34#</v>
      </c>
    </row>
    <row r="22" spans="1:17">
      <c r="B22" s="11"/>
      <c r="C22" s="11"/>
      <c r="D22" s="11"/>
      <c r="E22" s="12"/>
      <c r="F22" s="68"/>
      <c r="G22" s="62"/>
      <c r="J22" s="62"/>
      <c r="K22" s="62"/>
      <c r="L22" s="70"/>
      <c r="N22" s="11">
        <v>13</v>
      </c>
      <c r="O22" s="11">
        <f t="shared" si="5"/>
        <v>2</v>
      </c>
      <c r="P22" s="11">
        <f t="shared" si="6"/>
        <v>3</v>
      </c>
      <c r="Q22" s="12" t="str" cm="1">
        <f t="array" ref="Q22">INDEX('CancerUnderStudy-ConceptMap'!$H$10:$L$264,O22+1,P22)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INDEX('CancerUnderStudy-ConceptMap'!$H$10:$L$264,O23+1,P23)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INDEX('CancerUnderStudy-ConceptMap'!$H$10:$L$264,O24+1,P24)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INDEX('CancerUnderStudy-ConceptMap'!$H$10:$L$264,O25+1,P25)</f>
        <v>* group[=].element[+].code = #CancerUnderStudy.histologySubgroup</v>
      </c>
    </row>
    <row r="26" spans="1:17" ht="29.5">
      <c r="B26" s="11"/>
      <c r="C26" s="11"/>
      <c r="D26" s="11"/>
      <c r="E26" s="12"/>
      <c r="F26" s="68"/>
      <c r="G26" s="62"/>
      <c r="J26" s="62"/>
      <c r="K26" s="62"/>
      <c r="L26" s="70"/>
      <c r="N26" s="11">
        <v>17</v>
      </c>
      <c r="O26" s="11">
        <f t="shared" si="5"/>
        <v>3</v>
      </c>
      <c r="P26" s="11">
        <f t="shared" si="6"/>
        <v>2</v>
      </c>
      <c r="Q26" s="12" t="str" cm="1">
        <f t="array" ref="Q26">INDEX('CancerUnderStudy-ConceptMap'!$H$10:$L$264,O26+1,P26)</f>
        <v>* group[=].element[=].display = ##34#histologySubgroup.histology (WHO 2017) subgroup##34#</v>
      </c>
    </row>
    <row r="27" spans="1:17">
      <c r="B27" s="11"/>
      <c r="C27" s="11"/>
      <c r="D27" s="11"/>
      <c r="E27" s="12"/>
      <c r="F27" s="68"/>
      <c r="G27" s="62"/>
      <c r="J27" s="62"/>
      <c r="K27" s="62"/>
      <c r="L27" s="70"/>
      <c r="N27" s="11">
        <v>18</v>
      </c>
      <c r="O27" s="11">
        <f t="shared" si="5"/>
        <v>3</v>
      </c>
      <c r="P27" s="11">
        <f t="shared" si="6"/>
        <v>3</v>
      </c>
      <c r="Q27" s="12" t="str" cm="1">
        <f t="array" ref="Q27">INDEX('CancerUnderStudy-ConceptMap'!$H$10:$L$264,O27+1,P27)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INDEX('CancerUnderStudy-ConceptMap'!$H$10:$L$264,O28+1,P28)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INDEX('CancerUnderStudy-ConceptMap'!$H$10:$L$264,O29+1,P29)</f>
        <v>* group[=].element[=].target.equivalence = #unmatched</v>
      </c>
    </row>
    <row r="30" spans="1:17" ht="29.5">
      <c r="B30" s="11"/>
      <c r="C30" s="11"/>
      <c r="D30" s="11"/>
      <c r="E30" s="12"/>
      <c r="F30" s="68"/>
      <c r="G30" s="62"/>
      <c r="J30" s="62"/>
      <c r="K30" s="62"/>
      <c r="L30" s="70"/>
      <c r="N30" s="11">
        <v>21</v>
      </c>
      <c r="O30" s="11">
        <f t="shared" si="5"/>
        <v>4</v>
      </c>
      <c r="P30" s="11">
        <f t="shared" si="6"/>
        <v>1</v>
      </c>
      <c r="Q30" s="12" t="str" cm="1">
        <f t="array" ref="Q30">INDEX('CancerUnderStudy-ConceptMap'!$H$10:$L$264,O30+1,P30)</f>
        <v>* group[=].element[+].code = #CancerUnderStudy.histologySubgroup.histologySquamous</v>
      </c>
    </row>
    <row r="31" spans="1:17" s="2" customFormat="1" ht="29.5">
      <c r="A31"/>
      <c r="B31" s="11"/>
      <c r="C31" s="11"/>
      <c r="D31" s="11"/>
      <c r="E31" s="12"/>
      <c r="F31" s="68"/>
      <c r="G31" s="62"/>
      <c r="I31"/>
      <c r="J31" s="62"/>
      <c r="K31" s="62"/>
      <c r="L31" s="70"/>
      <c r="N31" s="11">
        <v>22</v>
      </c>
      <c r="O31" s="11">
        <f t="shared" si="5"/>
        <v>4</v>
      </c>
      <c r="P31" s="11">
        <f t="shared" si="6"/>
        <v>2</v>
      </c>
      <c r="Q31" s="12" t="str" cm="1">
        <f t="array" ref="Q31">INDEX('CancerUnderStudy-ConceptMap'!$H$10:$L$264,O31+1,P31)</f>
        <v>* group[=].element[=].display = ##34#Specifies the histological subgroup for squamous cancers##34#</v>
      </c>
    </row>
    <row r="32" spans="1:17" s="2" customFormat="1">
      <c r="A32"/>
      <c r="B32" s="65"/>
      <c r="C32" s="65"/>
      <c r="D32" s="65"/>
      <c r="F32" s="62"/>
      <c r="G32" s="62"/>
      <c r="I32"/>
      <c r="J32" s="62"/>
      <c r="K32" s="62"/>
      <c r="L32" s="70"/>
      <c r="N32" s="11">
        <v>23</v>
      </c>
      <c r="O32" s="11">
        <f t="shared" si="5"/>
        <v>4</v>
      </c>
      <c r="P32" s="11">
        <f t="shared" si="6"/>
        <v>3</v>
      </c>
      <c r="Q32" s="12" t="str" cm="1">
        <f t="array" ref="Q32">INDEX('CancerUnderStudy-ConceptMap'!$H$10:$L$264,O32+1,P32)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INDEX('CancerUnderStudy-ConceptMap'!$H$10:$L$264,O33+1,P33)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INDEX('CancerUnderStudy-ConceptMap'!$H$10:$L$264,O34+1,P34)</f>
        <v>* group[=].element[=].target.equivalence = #unmatched</v>
      </c>
    </row>
    <row r="35" spans="1:17" s="2" customFormat="1" ht="29.5">
      <c r="A35"/>
      <c r="B35" s="11"/>
      <c r="C35"/>
      <c r="F35" s="62"/>
      <c r="G35" s="62"/>
      <c r="I35" s="62"/>
      <c r="J35" s="62"/>
      <c r="K35" s="62"/>
      <c r="L35" s="70"/>
      <c r="N35" s="11">
        <v>26</v>
      </c>
      <c r="O35" s="11">
        <f t="shared" si="5"/>
        <v>5</v>
      </c>
      <c r="P35" s="11">
        <f t="shared" si="6"/>
        <v>1</v>
      </c>
      <c r="Q35" s="12" t="str" cm="1">
        <f t="array" ref="Q35">INDEX('CancerUnderStudy-ConceptMap'!$H$10:$L$264,O35+1,P35)</f>
        <v>* group[=].element[+].code = #CancerUnderStudy.histologySubgroup.histologyAdenocarcinoma</v>
      </c>
    </row>
    <row r="36" spans="1:17" s="2" customFormat="1" ht="29.5">
      <c r="A36"/>
      <c r="B36" s="11"/>
      <c r="C36"/>
      <c r="F36" s="62"/>
      <c r="G36" s="62"/>
      <c r="I36" s="62"/>
      <c r="J36" s="62"/>
      <c r="K36" s="62"/>
      <c r="L36" s="70"/>
      <c r="N36" s="11">
        <v>27</v>
      </c>
      <c r="O36" s="11">
        <f t="shared" si="5"/>
        <v>5</v>
      </c>
      <c r="P36" s="11">
        <f t="shared" si="6"/>
        <v>2</v>
      </c>
      <c r="Q36" s="12" t="str" cm="1">
        <f t="array" ref="Q36">INDEX('CancerUnderStudy-ConceptMap'!$H$10:$L$264,O36+1,P36)</f>
        <v>* group[=].element[=].display = ##34#Specifies the histological subgroup for adenocarcinomas##34#</v>
      </c>
    </row>
    <row r="37" spans="1:17" s="2" customFormat="1">
      <c r="A37"/>
      <c r="B37" s="11"/>
      <c r="C37"/>
      <c r="F37" s="62"/>
      <c r="G37" s="62"/>
      <c r="I37" s="62"/>
      <c r="J37" s="62"/>
      <c r="K37" s="62"/>
      <c r="L37" s="62"/>
      <c r="N37" s="11">
        <v>28</v>
      </c>
      <c r="O37" s="11">
        <f t="shared" si="5"/>
        <v>5</v>
      </c>
      <c r="P37" s="11">
        <f t="shared" si="6"/>
        <v>3</v>
      </c>
      <c r="Q37" s="12" t="str" cm="1">
        <f t="array" ref="Q37">INDEX('CancerUnderStudy-ConceptMap'!$H$10:$L$264,O37+1,P37)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INDEX('CancerUnderStudy-ConceptMap'!$H$10:$L$264,O38+1,P38)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INDEX('CancerUnderStudy-ConceptMap'!$H$10:$L$264,O39+1,P39)</f>
        <v>* group[=].element[=].target.equivalence = #narrower</v>
      </c>
    </row>
    <row r="40" spans="1:17" s="2" customFormat="1" ht="29.5">
      <c r="A40"/>
      <c r="B40" s="11"/>
      <c r="C40"/>
      <c r="F40" s="62"/>
      <c r="G40" s="62"/>
      <c r="I40" s="62"/>
      <c r="J40" s="62"/>
      <c r="K40" s="62"/>
      <c r="L40" s="62"/>
      <c r="N40" s="11">
        <v>31</v>
      </c>
      <c r="O40" s="11">
        <f t="shared" si="5"/>
        <v>6</v>
      </c>
      <c r="P40" s="11">
        <f t="shared" si="6"/>
        <v>1</v>
      </c>
      <c r="Q40" s="12" t="str" cm="1">
        <f t="array" ref="Q40">INDEX('CancerUnderStudy-ConceptMap'!$H$10:$L$264,O40+1,P40)</f>
        <v>* group[=].element[+].code = #CancerUnderStudy.histologySubgroup.histologyNeuroendocrine</v>
      </c>
    </row>
    <row r="41" spans="1:17" s="2" customFormat="1" ht="29.5">
      <c r="A41"/>
      <c r="B41" s="11"/>
      <c r="C41"/>
      <c r="F41" s="62"/>
      <c r="G41" s="62"/>
      <c r="I41" s="62"/>
      <c r="J41" s="62"/>
      <c r="K41" s="62"/>
      <c r="L41" s="62"/>
      <c r="N41" s="11">
        <v>32</v>
      </c>
      <c r="O41" s="11">
        <f t="shared" si="5"/>
        <v>6</v>
      </c>
      <c r="P41" s="11">
        <f t="shared" si="6"/>
        <v>2</v>
      </c>
      <c r="Q41" s="12" t="str" cm="1">
        <f t="array" ref="Q41">INDEX('CancerUnderStudy-ConceptMap'!$H$10:$L$264,O41+1,P41)</f>
        <v>* group[=].element[=].display = ##34#Specifies the histological subgroup for neuroendocrine cancers ##34#</v>
      </c>
    </row>
    <row r="42" spans="1:17" s="2" customFormat="1">
      <c r="A42"/>
      <c r="B42" s="11"/>
      <c r="C42"/>
      <c r="F42" s="62"/>
      <c r="G42" s="62"/>
      <c r="I42" s="62"/>
      <c r="J42" s="62"/>
      <c r="K42" s="62"/>
      <c r="L42" s="62"/>
      <c r="N42" s="11">
        <v>33</v>
      </c>
      <c r="O42" s="11">
        <f t="shared" si="5"/>
        <v>6</v>
      </c>
      <c r="P42" s="11">
        <f t="shared" si="6"/>
        <v>3</v>
      </c>
      <c r="Q42" s="12" t="str" cm="1">
        <f t="array" ref="Q42">INDEX('CancerUnderStudy-ConceptMap'!$H$10:$L$264,O42+1,P42)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INDEX('CancerUnderStudy-ConceptMap'!$H$10:$L$264,O43+1,P43)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INDEX('CancerUnderStudy-ConceptMap'!$H$10:$L$264,O44+1,P44)</f>
        <v>* group[=].element[=].target.equivalence = #wider</v>
      </c>
    </row>
    <row r="45" spans="1:17" ht="29.5">
      <c r="F45" s="62"/>
      <c r="G45" s="62"/>
      <c r="I45" s="62"/>
      <c r="J45" s="62"/>
      <c r="K45" s="62"/>
      <c r="L45" s="62"/>
      <c r="N45" s="11">
        <v>36</v>
      </c>
      <c r="O45" s="11">
        <f t="shared" si="5"/>
        <v>7</v>
      </c>
      <c r="P45" s="11">
        <f t="shared" si="6"/>
        <v>1</v>
      </c>
      <c r="Q45" s="12" t="str" cm="1">
        <f t="array" ref="Q45">INDEX('CancerUnderStudy-ConceptMap'!$H$10:$L$264,O45+1,P45)</f>
        <v>* group[=].element[+].code = #CancerUnderStudy.histologySubgroup.histologyOdontogenicCarcinoma</v>
      </c>
    </row>
    <row r="46" spans="1:17" ht="29.5">
      <c r="F46" s="62"/>
      <c r="G46" s="62"/>
      <c r="I46" s="62"/>
      <c r="J46" s="62"/>
      <c r="K46" s="62"/>
      <c r="L46" s="62"/>
      <c r="N46" s="11">
        <v>37</v>
      </c>
      <c r="O46" s="11">
        <f t="shared" si="5"/>
        <v>7</v>
      </c>
      <c r="P46" s="11">
        <f t="shared" si="6"/>
        <v>2</v>
      </c>
      <c r="Q46" s="12" t="str" cm="1">
        <f t="array" ref="Q46">INDEX('CancerUnderStudy-ConceptMap'!$H$10:$L$264,O46+1,P46)</f>
        <v>* group[=].element[=].display = ##34#Specifies the histological subgroup for odontogenic carcinomas##34#</v>
      </c>
    </row>
    <row r="47" spans="1:17">
      <c r="B47" t="s">
        <v>1412</v>
      </c>
      <c r="C47" t="s">
        <v>1413</v>
      </c>
      <c r="D47" t="s">
        <v>1414</v>
      </c>
      <c r="E47" t="s">
        <v>1415</v>
      </c>
      <c r="N47" s="11">
        <v>38</v>
      </c>
      <c r="O47" s="11">
        <f t="shared" si="5"/>
        <v>7</v>
      </c>
      <c r="P47" s="11">
        <f t="shared" si="6"/>
        <v>3</v>
      </c>
      <c r="Q47" s="12" t="str" cm="1">
        <f t="array" ref="Q47">INDEX('CancerUnderStudy-ConceptMap'!$H$10:$L$264,O47+1,P47)</f>
        <v>//-- unmatched</v>
      </c>
    </row>
    <row r="48" spans="1:17">
      <c r="N48" s="11">
        <v>39</v>
      </c>
      <c r="O48" s="11">
        <f t="shared" si="5"/>
        <v>7</v>
      </c>
      <c r="P48" s="11">
        <f t="shared" si="6"/>
        <v>4</v>
      </c>
      <c r="Q48" s="12" t="str" cm="1">
        <f t="array" ref="Q48">INDEX('CancerUnderStudy-ConceptMap'!$H$10:$L$264,O48+1,P48)</f>
        <v>//-- unmatched</v>
      </c>
    </row>
    <row r="49" spans="14:17">
      <c r="N49" s="11">
        <v>40</v>
      </c>
      <c r="O49" s="11">
        <f t="shared" si="5"/>
        <v>7</v>
      </c>
      <c r="P49" s="11">
        <f t="shared" si="6"/>
        <v>5</v>
      </c>
      <c r="Q49" s="12" t="str" cm="1">
        <f t="array" ref="Q49">INDEX('CancerUnderStudy-ConceptMap'!$H$10:$L$264,O49+1,P49)</f>
        <v>* group[=].element[=].target.equivalence = #unmatched</v>
      </c>
    </row>
    <row r="50" spans="14:17">
      <c r="N50" s="11">
        <v>41</v>
      </c>
      <c r="O50" s="11">
        <f t="shared" si="5"/>
        <v>8</v>
      </c>
      <c r="P50" s="11">
        <f t="shared" si="6"/>
        <v>1</v>
      </c>
      <c r="Q50" s="12" cm="1">
        <f t="array" ref="Q50">INDEX('CancerUnderStudy-ConceptMap'!$H$10:$L$264,O50+1,P50)</f>
        <v>0</v>
      </c>
    </row>
    <row r="51" spans="14:17">
      <c r="N51" s="11">
        <v>42</v>
      </c>
      <c r="O51" s="11">
        <f t="shared" si="5"/>
        <v>8</v>
      </c>
      <c r="P51" s="11">
        <f t="shared" si="6"/>
        <v>2</v>
      </c>
      <c r="Q51" s="12" cm="1">
        <f t="array" ref="Q51">INDEX('CancerUnderStudy-ConceptMap'!$H$10:$L$264,O51+1,P51)</f>
        <v>0</v>
      </c>
    </row>
    <row r="52" spans="14:17">
      <c r="N52" s="11">
        <v>43</v>
      </c>
      <c r="O52" s="11">
        <f t="shared" si="5"/>
        <v>8</v>
      </c>
      <c r="P52" s="11">
        <f t="shared" si="6"/>
        <v>3</v>
      </c>
      <c r="Q52" s="12" cm="1">
        <f t="array" ref="Q52">INDEX('CancerUnderStudy-ConceptMap'!$H$10:$L$264,O52+1,P52)</f>
        <v>0</v>
      </c>
    </row>
    <row r="53" spans="14:17">
      <c r="N53" s="11">
        <v>44</v>
      </c>
      <c r="O53" s="11">
        <f t="shared" si="5"/>
        <v>8</v>
      </c>
      <c r="P53" s="11">
        <f t="shared" si="6"/>
        <v>4</v>
      </c>
      <c r="Q53" s="12" cm="1">
        <f t="array" ref="Q53">INDEX('CancerUnderStudy-ConceptMap'!$H$10:$L$264,O53+1,P53)</f>
        <v>0</v>
      </c>
    </row>
    <row r="54" spans="14:17">
      <c r="N54" s="11">
        <v>45</v>
      </c>
      <c r="O54" s="11">
        <f t="shared" si="5"/>
        <v>8</v>
      </c>
      <c r="P54" s="11">
        <f t="shared" si="6"/>
        <v>5</v>
      </c>
      <c r="Q54" s="12" cm="1">
        <f t="array" ref="Q54">INDEX('CancerUnderStudy-ConceptMap'!$H$10:$L$264,O54+1,P54)</f>
        <v>0</v>
      </c>
    </row>
    <row r="55" spans="14:17">
      <c r="N55" s="11">
        <v>46</v>
      </c>
      <c r="O55" s="11">
        <f t="shared" si="5"/>
        <v>9</v>
      </c>
      <c r="P55" s="11">
        <f t="shared" si="6"/>
        <v>1</v>
      </c>
      <c r="Q55" s="12" cm="1">
        <f t="array" ref="Q55">INDEX('CancerUnderStudy-ConceptMap'!$H$10:$L$264,O55+1,P55)</f>
        <v>0</v>
      </c>
    </row>
    <row r="56" spans="14:17">
      <c r="N56" s="11">
        <v>47</v>
      </c>
      <c r="O56" s="11">
        <f t="shared" si="5"/>
        <v>9</v>
      </c>
      <c r="P56" s="11">
        <f t="shared" si="6"/>
        <v>2</v>
      </c>
      <c r="Q56" s="12" cm="1">
        <f t="array" ref="Q56">INDEX('CancerUnderStudy-ConceptMap'!$H$10:$L$264,O56+1,P56)</f>
        <v>0</v>
      </c>
    </row>
    <row r="57" spans="14:17">
      <c r="N57" s="11">
        <v>48</v>
      </c>
      <c r="O57" s="11">
        <f t="shared" si="5"/>
        <v>9</v>
      </c>
      <c r="P57" s="11">
        <f t="shared" si="6"/>
        <v>3</v>
      </c>
      <c r="Q57" s="12" cm="1">
        <f t="array" ref="Q57">INDEX('CancerUnderStudy-ConceptMap'!$H$10:$L$264,O57+1,P57)</f>
        <v>0</v>
      </c>
    </row>
    <row r="58" spans="14:17">
      <c r="N58" s="11">
        <v>49</v>
      </c>
      <c r="O58" s="11">
        <f t="shared" si="5"/>
        <v>9</v>
      </c>
      <c r="P58" s="11">
        <f t="shared" si="6"/>
        <v>4</v>
      </c>
      <c r="Q58" s="12" cm="1">
        <f t="array" ref="Q58">INDEX('CancerUnderStudy-ConceptMap'!$H$10:$L$264,O58+1,P58)</f>
        <v>0</v>
      </c>
    </row>
    <row r="59" spans="14:17">
      <c r="N59" s="11">
        <v>50</v>
      </c>
      <c r="O59" s="11">
        <f t="shared" si="5"/>
        <v>9</v>
      </c>
      <c r="P59" s="11">
        <f t="shared" si="6"/>
        <v>5</v>
      </c>
      <c r="Q59" s="12" cm="1">
        <f t="array" ref="Q59">INDEX('CancerUnderStudy-ConceptMap'!$H$10:$L$264,O59+1,P59)</f>
        <v>0</v>
      </c>
    </row>
    <row r="60" spans="14:17">
      <c r="N60" s="11">
        <v>51</v>
      </c>
      <c r="O60" s="11">
        <f t="shared" si="5"/>
        <v>10</v>
      </c>
      <c r="P60" s="11">
        <f t="shared" si="6"/>
        <v>1</v>
      </c>
      <c r="Q60" s="12" cm="1">
        <f t="array" ref="Q60">INDEX('CancerUnderStudy-ConceptMap'!$H$10:$L$264,O60+1,P60)</f>
        <v>0</v>
      </c>
    </row>
    <row r="61" spans="14:17">
      <c r="N61" s="11">
        <v>52</v>
      </c>
      <c r="O61" s="11">
        <f t="shared" si="5"/>
        <v>10</v>
      </c>
      <c r="P61" s="11">
        <f t="shared" si="6"/>
        <v>2</v>
      </c>
      <c r="Q61" s="12" cm="1">
        <f t="array" ref="Q61">INDEX('CancerUnderStudy-ConceptMap'!$H$10:$L$264,O61+1,P61)</f>
        <v>0</v>
      </c>
    </row>
    <row r="62" spans="14:17">
      <c r="N62" s="11">
        <v>53</v>
      </c>
      <c r="O62" s="11">
        <f t="shared" si="5"/>
        <v>10</v>
      </c>
      <c r="P62" s="11">
        <f t="shared" si="6"/>
        <v>3</v>
      </c>
      <c r="Q62" s="12" cm="1">
        <f t="array" ref="Q62">INDEX('CancerUnderStudy-ConceptMap'!$H$10:$L$264,O62+1,P62)</f>
        <v>0</v>
      </c>
    </row>
    <row r="63" spans="14:17">
      <c r="N63" s="11">
        <v>54</v>
      </c>
      <c r="O63" s="11">
        <f t="shared" si="5"/>
        <v>10</v>
      </c>
      <c r="P63" s="11">
        <f t="shared" si="6"/>
        <v>4</v>
      </c>
      <c r="Q63" s="12" cm="1">
        <f t="array" ref="Q63">INDEX('CancerUnderStudy-ConceptMap'!$H$10:$L$264,O63+1,P63)</f>
        <v>0</v>
      </c>
    </row>
    <row r="64" spans="14:17">
      <c r="N64" s="11">
        <v>55</v>
      </c>
      <c r="O64" s="11">
        <f t="shared" si="5"/>
        <v>10</v>
      </c>
      <c r="P64" s="11">
        <f t="shared" si="6"/>
        <v>5</v>
      </c>
      <c r="Q64" s="12" cm="1">
        <f t="array" ref="Q64">INDEX('CancerUnderStudy-ConceptMap'!$H$10:$L$264,O64+1,P64)</f>
        <v>0</v>
      </c>
    </row>
    <row r="65" spans="14:17">
      <c r="N65" s="11">
        <v>56</v>
      </c>
      <c r="O65" s="11">
        <f t="shared" si="5"/>
        <v>11</v>
      </c>
      <c r="P65" s="11">
        <f t="shared" si="6"/>
        <v>1</v>
      </c>
      <c r="Q65" s="12" cm="1">
        <f t="array" ref="Q65">INDEX('CancerUnderStudy-ConceptMap'!$H$10:$L$264,O65+1,P65)</f>
        <v>0</v>
      </c>
    </row>
    <row r="66" spans="14:17">
      <c r="N66" s="11">
        <v>57</v>
      </c>
      <c r="O66" s="11">
        <f t="shared" si="5"/>
        <v>11</v>
      </c>
      <c r="P66" s="11">
        <f t="shared" si="6"/>
        <v>2</v>
      </c>
      <c r="Q66" s="12" cm="1">
        <f t="array" ref="Q66">INDEX('CancerUnderStudy-ConceptMap'!$H$10:$L$264,O66+1,P66)</f>
        <v>0</v>
      </c>
    </row>
    <row r="67" spans="14:17">
      <c r="N67" s="11">
        <v>58</v>
      </c>
      <c r="O67" s="11">
        <f t="shared" si="5"/>
        <v>11</v>
      </c>
      <c r="P67" s="11">
        <f t="shared" si="6"/>
        <v>3</v>
      </c>
      <c r="Q67" s="12" cm="1">
        <f t="array" ref="Q67">INDEX('CancerUnderStudy-ConceptMap'!$H$10:$L$264,O67+1,P67)</f>
        <v>0</v>
      </c>
    </row>
    <row r="68" spans="14:17">
      <c r="N68" s="11">
        <v>59</v>
      </c>
      <c r="O68" s="11">
        <f t="shared" si="5"/>
        <v>11</v>
      </c>
      <c r="P68" s="11">
        <f t="shared" si="6"/>
        <v>4</v>
      </c>
      <c r="Q68" s="12" cm="1">
        <f t="array" ref="Q68">INDEX('CancerUnderStudy-ConceptMap'!$H$10:$L$264,O68+1,P68)</f>
        <v>0</v>
      </c>
    </row>
    <row r="69" spans="14:17">
      <c r="N69" s="11">
        <v>60</v>
      </c>
      <c r="O69" s="11">
        <f t="shared" si="5"/>
        <v>11</v>
      </c>
      <c r="P69" s="11">
        <f t="shared" si="6"/>
        <v>5</v>
      </c>
      <c r="Q69" s="12" cm="1">
        <f t="array" ref="Q69">INDEX('CancerUnderStudy-ConceptMap'!$H$10:$L$264,O69+1,P69)</f>
        <v>0</v>
      </c>
    </row>
    <row r="70" spans="14:17">
      <c r="N70" s="11">
        <v>61</v>
      </c>
      <c r="O70" s="11">
        <f t="shared" si="5"/>
        <v>12</v>
      </c>
      <c r="P70" s="11">
        <f t="shared" si="6"/>
        <v>1</v>
      </c>
      <c r="Q70" s="12" cm="1">
        <f t="array" ref="Q70">INDEX('CancerUnderStudy-ConceptMap'!$H$10:$L$264,O70+1,P70)</f>
        <v>0</v>
      </c>
    </row>
    <row r="71" spans="14:17">
      <c r="N71" s="11">
        <v>62</v>
      </c>
      <c r="O71" s="11">
        <f t="shared" si="5"/>
        <v>12</v>
      </c>
      <c r="P71" s="11">
        <f t="shared" si="6"/>
        <v>2</v>
      </c>
      <c r="Q71" s="12" cm="1">
        <f t="array" ref="Q71">INDEX('CancerUnderStudy-ConceptMap'!$H$10:$L$264,O71+1,P71)</f>
        <v>0</v>
      </c>
    </row>
    <row r="72" spans="14:17">
      <c r="N72" s="11">
        <v>63</v>
      </c>
      <c r="O72" s="11">
        <f t="shared" si="5"/>
        <v>12</v>
      </c>
      <c r="P72" s="11">
        <f t="shared" si="6"/>
        <v>3</v>
      </c>
      <c r="Q72" s="12" cm="1">
        <f t="array" ref="Q72">INDEX('CancerUnderStudy-ConceptMap'!$H$10:$L$264,O72+1,P72)</f>
        <v>0</v>
      </c>
    </row>
    <row r="73" spans="14:17">
      <c r="N73" s="11">
        <v>64</v>
      </c>
      <c r="O73" s="11">
        <f t="shared" si="5"/>
        <v>12</v>
      </c>
      <c r="P73" s="11">
        <f t="shared" si="6"/>
        <v>4</v>
      </c>
      <c r="Q73" s="12" cm="1">
        <f t="array" ref="Q73">INDEX('CancerUnderStudy-ConceptMap'!$H$10:$L$264,O73+1,P73)</f>
        <v>0</v>
      </c>
    </row>
    <row r="74" spans="14:17">
      <c r="N74" s="11">
        <v>65</v>
      </c>
      <c r="O74" s="11">
        <f t="shared" si="5"/>
        <v>12</v>
      </c>
      <c r="P74" s="11">
        <f t="shared" si="6"/>
        <v>5</v>
      </c>
      <c r="Q74" s="12" cm="1">
        <f t="array" ref="Q74">INDEX('CancerUnderStudy-ConceptMap'!$H$10:$L$264,O74+1,P74)</f>
        <v>0</v>
      </c>
    </row>
    <row r="75" spans="14:17">
      <c r="N75" s="11">
        <v>66</v>
      </c>
      <c r="O75" s="11">
        <f t="shared" ref="O75:O138" si="7">IF(MOD(N75,$O$3)=0,N75/$O$3-1,INT(N75/$O$3))</f>
        <v>13</v>
      </c>
      <c r="P75" s="11">
        <f t="shared" ref="P75:P138" si="8">IF(MOD(N75,$O$3)=0,$O$3,MOD(N75,$O$3))</f>
        <v>1</v>
      </c>
      <c r="Q75" s="12" cm="1">
        <f t="array" ref="Q75">INDEX('CancerUnderStudy-ConceptMap'!$H$10:$L$264,O75+1,P75)</f>
        <v>0</v>
      </c>
    </row>
    <row r="76" spans="14:17">
      <c r="N76" s="11">
        <v>67</v>
      </c>
      <c r="O76" s="11">
        <f t="shared" si="7"/>
        <v>13</v>
      </c>
      <c r="P76" s="11">
        <f t="shared" si="8"/>
        <v>2</v>
      </c>
      <c r="Q76" s="12" cm="1">
        <f t="array" ref="Q76">INDEX('CancerUnderStudy-ConceptMap'!$H$10:$L$264,O76+1,P76)</f>
        <v>0</v>
      </c>
    </row>
    <row r="77" spans="14:17">
      <c r="N77" s="11">
        <v>68</v>
      </c>
      <c r="O77" s="11">
        <f t="shared" si="7"/>
        <v>13</v>
      </c>
      <c r="P77" s="11">
        <f t="shared" si="8"/>
        <v>3</v>
      </c>
      <c r="Q77" s="12" cm="1">
        <f t="array" ref="Q77">INDEX('CancerUnderStudy-ConceptMap'!$H$10:$L$264,O77+1,P77)</f>
        <v>0</v>
      </c>
    </row>
    <row r="78" spans="14:17">
      <c r="N78" s="11">
        <v>69</v>
      </c>
      <c r="O78" s="11">
        <f t="shared" si="7"/>
        <v>13</v>
      </c>
      <c r="P78" s="11">
        <f t="shared" si="8"/>
        <v>4</v>
      </c>
      <c r="Q78" s="12" cm="1">
        <f t="array" ref="Q78">INDEX('CancerUnderStudy-ConceptMap'!$H$10:$L$264,O78+1,P78)</f>
        <v>0</v>
      </c>
    </row>
    <row r="79" spans="14:17">
      <c r="N79" s="11">
        <v>70</v>
      </c>
      <c r="O79" s="11">
        <f t="shared" si="7"/>
        <v>13</v>
      </c>
      <c r="P79" s="11">
        <f t="shared" si="8"/>
        <v>5</v>
      </c>
      <c r="Q79" s="12" cm="1">
        <f t="array" ref="Q79">INDEX('CancerUnderStudy-ConceptMap'!$H$10:$L$264,O79+1,P79)</f>
        <v>0</v>
      </c>
    </row>
    <row r="80" spans="14:17">
      <c r="N80" s="11">
        <v>71</v>
      </c>
      <c r="O80" s="11">
        <f t="shared" si="7"/>
        <v>14</v>
      </c>
      <c r="P80" s="11">
        <f t="shared" si="8"/>
        <v>1</v>
      </c>
      <c r="Q80" s="12" cm="1">
        <f t="array" ref="Q80">INDEX('CancerUnderStudy-ConceptMap'!$H$10:$L$264,O80+1,P80)</f>
        <v>0</v>
      </c>
    </row>
    <row r="81" spans="14:17">
      <c r="N81" s="11">
        <v>72</v>
      </c>
      <c r="O81" s="11">
        <f t="shared" si="7"/>
        <v>14</v>
      </c>
      <c r="P81" s="11">
        <f t="shared" si="8"/>
        <v>2</v>
      </c>
      <c r="Q81" s="12" cm="1">
        <f t="array" ref="Q81">INDEX('CancerUnderStudy-ConceptMap'!$H$10:$L$264,O81+1,P81)</f>
        <v>0</v>
      </c>
    </row>
    <row r="82" spans="14:17">
      <c r="N82" s="11">
        <v>73</v>
      </c>
      <c r="O82" s="11">
        <f t="shared" si="7"/>
        <v>14</v>
      </c>
      <c r="P82" s="11">
        <f t="shared" si="8"/>
        <v>3</v>
      </c>
      <c r="Q82" s="12" cm="1">
        <f t="array" ref="Q82">INDEX('CancerUnderStudy-ConceptMap'!$H$10:$L$264,O82+1,P82)</f>
        <v>0</v>
      </c>
    </row>
    <row r="83" spans="14:17">
      <c r="N83" s="11">
        <v>74</v>
      </c>
      <c r="O83" s="11">
        <f t="shared" si="7"/>
        <v>14</v>
      </c>
      <c r="P83" s="11">
        <f t="shared" si="8"/>
        <v>4</v>
      </c>
      <c r="Q83" s="12" cm="1">
        <f t="array" ref="Q83">INDEX('CancerUnderStudy-ConceptMap'!$H$10:$L$264,O83+1,P83)</f>
        <v>0</v>
      </c>
    </row>
    <row r="84" spans="14:17">
      <c r="N84" s="11">
        <v>75</v>
      </c>
      <c r="O84" s="11">
        <f t="shared" si="7"/>
        <v>14</v>
      </c>
      <c r="P84" s="11">
        <f t="shared" si="8"/>
        <v>5</v>
      </c>
      <c r="Q84" s="12" cm="1">
        <f t="array" ref="Q84">INDEX('CancerUnderStudy-ConceptMap'!$H$10:$L$264,O84+1,P84)</f>
        <v>0</v>
      </c>
    </row>
    <row r="85" spans="14:17">
      <c r="N85" s="11">
        <v>76</v>
      </c>
      <c r="O85" s="11">
        <f t="shared" si="7"/>
        <v>15</v>
      </c>
      <c r="P85" s="11">
        <f t="shared" si="8"/>
        <v>1</v>
      </c>
      <c r="Q85" s="12" cm="1">
        <f t="array" ref="Q85">INDEX('CancerUnderStudy-ConceptMap'!$H$10:$L$264,O85+1,P85)</f>
        <v>0</v>
      </c>
    </row>
    <row r="86" spans="14:17">
      <c r="N86" s="11">
        <v>77</v>
      </c>
      <c r="O86" s="11">
        <f t="shared" si="7"/>
        <v>15</v>
      </c>
      <c r="P86" s="11">
        <f t="shared" si="8"/>
        <v>2</v>
      </c>
      <c r="Q86" s="12" cm="1">
        <f t="array" ref="Q86">INDEX('CancerUnderStudy-ConceptMap'!$H$10:$L$264,O86+1,P86)</f>
        <v>0</v>
      </c>
    </row>
    <row r="87" spans="14:17">
      <c r="N87" s="11">
        <v>78</v>
      </c>
      <c r="O87" s="11">
        <f t="shared" si="7"/>
        <v>15</v>
      </c>
      <c r="P87" s="11">
        <f t="shared" si="8"/>
        <v>3</v>
      </c>
      <c r="Q87" s="12" cm="1">
        <f t="array" ref="Q87">INDEX('CancerUnderStudy-ConceptMap'!$H$10:$L$264,O87+1,P87)</f>
        <v>0</v>
      </c>
    </row>
    <row r="88" spans="14:17">
      <c r="N88" s="11">
        <v>79</v>
      </c>
      <c r="O88" s="11">
        <f t="shared" si="7"/>
        <v>15</v>
      </c>
      <c r="P88" s="11">
        <f t="shared" si="8"/>
        <v>4</v>
      </c>
      <c r="Q88" s="12" cm="1">
        <f t="array" ref="Q88">INDEX('CancerUnderStudy-ConceptMap'!$H$10:$L$264,O88+1,P88)</f>
        <v>0</v>
      </c>
    </row>
    <row r="89" spans="14:17">
      <c r="N89" s="11">
        <v>80</v>
      </c>
      <c r="O89" s="11">
        <f t="shared" si="7"/>
        <v>15</v>
      </c>
      <c r="P89" s="11">
        <f t="shared" si="8"/>
        <v>5</v>
      </c>
      <c r="Q89" s="12" cm="1">
        <f t="array" ref="Q89">INDEX('CancerUnderStudy-ConceptMap'!$H$10:$L$264,O89+1,P89)</f>
        <v>0</v>
      </c>
    </row>
    <row r="90" spans="14:17">
      <c r="N90" s="11">
        <v>81</v>
      </c>
      <c r="O90" s="11">
        <f t="shared" si="7"/>
        <v>16</v>
      </c>
      <c r="P90" s="11">
        <f t="shared" si="8"/>
        <v>1</v>
      </c>
      <c r="Q90" s="12" cm="1">
        <f t="array" ref="Q90">INDEX('CancerUnderStudy-ConceptMap'!$H$10:$L$264,O90+1,P90)</f>
        <v>0</v>
      </c>
    </row>
    <row r="91" spans="14:17">
      <c r="N91" s="11">
        <v>82</v>
      </c>
      <c r="O91" s="11">
        <f t="shared" si="7"/>
        <v>16</v>
      </c>
      <c r="P91" s="11">
        <f t="shared" si="8"/>
        <v>2</v>
      </c>
      <c r="Q91" s="12" cm="1">
        <f t="array" ref="Q91">INDEX('CancerUnderStudy-ConceptMap'!$H$10:$L$264,O91+1,P91)</f>
        <v>0</v>
      </c>
    </row>
    <row r="92" spans="14:17">
      <c r="N92" s="11">
        <v>83</v>
      </c>
      <c r="O92" s="11">
        <f t="shared" si="7"/>
        <v>16</v>
      </c>
      <c r="P92" s="11">
        <f t="shared" si="8"/>
        <v>3</v>
      </c>
      <c r="Q92" s="12" cm="1">
        <f t="array" ref="Q92">INDEX('CancerUnderStudy-ConceptMap'!$H$10:$L$264,O92+1,P92)</f>
        <v>0</v>
      </c>
    </row>
    <row r="93" spans="14:17">
      <c r="N93" s="11">
        <v>84</v>
      </c>
      <c r="O93" s="11">
        <f t="shared" si="7"/>
        <v>16</v>
      </c>
      <c r="P93" s="11">
        <f t="shared" si="8"/>
        <v>4</v>
      </c>
      <c r="Q93" s="12" cm="1">
        <f t="array" ref="Q93">INDEX('CancerUnderStudy-ConceptMap'!$H$10:$L$264,O93+1,P93)</f>
        <v>0</v>
      </c>
    </row>
    <row r="94" spans="14:17">
      <c r="N94" s="11">
        <v>85</v>
      </c>
      <c r="O94" s="11">
        <f t="shared" si="7"/>
        <v>16</v>
      </c>
      <c r="P94" s="11">
        <f t="shared" si="8"/>
        <v>5</v>
      </c>
      <c r="Q94" s="12" cm="1">
        <f t="array" ref="Q94">INDEX('CancerUnderStudy-ConceptMap'!$H$10:$L$264,O94+1,P94)</f>
        <v>0</v>
      </c>
    </row>
    <row r="95" spans="14:17">
      <c r="N95" s="11">
        <v>86</v>
      </c>
      <c r="O95" s="11">
        <f t="shared" si="7"/>
        <v>17</v>
      </c>
      <c r="P95" s="11">
        <f t="shared" si="8"/>
        <v>1</v>
      </c>
      <c r="Q95" s="12" cm="1">
        <f t="array" ref="Q95">INDEX('CancerUnderStudy-ConceptMap'!$H$10:$L$264,O95+1,P95)</f>
        <v>0</v>
      </c>
    </row>
    <row r="96" spans="14:17">
      <c r="N96" s="11">
        <v>87</v>
      </c>
      <c r="O96" s="11">
        <f t="shared" si="7"/>
        <v>17</v>
      </c>
      <c r="P96" s="11">
        <f t="shared" si="8"/>
        <v>2</v>
      </c>
      <c r="Q96" s="12" cm="1">
        <f t="array" ref="Q96">INDEX('CancerUnderStudy-ConceptMap'!$H$10:$L$264,O96+1,P96)</f>
        <v>0</v>
      </c>
    </row>
    <row r="97" spans="14:17">
      <c r="N97" s="11">
        <v>88</v>
      </c>
      <c r="O97" s="11">
        <f t="shared" si="7"/>
        <v>17</v>
      </c>
      <c r="P97" s="11">
        <f t="shared" si="8"/>
        <v>3</v>
      </c>
      <c r="Q97" s="12" cm="1">
        <f t="array" ref="Q97">INDEX('CancerUnderStudy-ConceptMap'!$H$10:$L$264,O97+1,P97)</f>
        <v>0</v>
      </c>
    </row>
    <row r="98" spans="14:17">
      <c r="N98" s="11">
        <v>89</v>
      </c>
      <c r="O98" s="11">
        <f t="shared" si="7"/>
        <v>17</v>
      </c>
      <c r="P98" s="11">
        <f t="shared" si="8"/>
        <v>4</v>
      </c>
      <c r="Q98" s="12" cm="1">
        <f t="array" ref="Q98">INDEX('CancerUnderStudy-ConceptMap'!$H$10:$L$264,O98+1,P98)</f>
        <v>0</v>
      </c>
    </row>
    <row r="99" spans="14:17">
      <c r="N99" s="11">
        <v>90</v>
      </c>
      <c r="O99" s="11">
        <f t="shared" si="7"/>
        <v>17</v>
      </c>
      <c r="P99" s="11">
        <f t="shared" si="8"/>
        <v>5</v>
      </c>
      <c r="Q99" s="12" cm="1">
        <f t="array" ref="Q99">INDEX('CancerUnderStudy-ConceptMap'!$H$10:$L$264,O99+1,P99)</f>
        <v>0</v>
      </c>
    </row>
    <row r="100" spans="14:17">
      <c r="N100" s="11">
        <v>91</v>
      </c>
      <c r="O100" s="11">
        <f t="shared" si="7"/>
        <v>18</v>
      </c>
      <c r="P100" s="11">
        <f t="shared" si="8"/>
        <v>1</v>
      </c>
      <c r="Q100" s="12" cm="1">
        <f t="array" ref="Q100">INDEX('CancerUnderStudy-ConceptMap'!$H$10:$L$264,O100+1,P100)</f>
        <v>0</v>
      </c>
    </row>
    <row r="101" spans="14:17">
      <c r="N101" s="11">
        <v>92</v>
      </c>
      <c r="O101" s="11">
        <f t="shared" si="7"/>
        <v>18</v>
      </c>
      <c r="P101" s="11">
        <f t="shared" si="8"/>
        <v>2</v>
      </c>
      <c r="Q101" s="12" cm="1">
        <f t="array" ref="Q101">INDEX('CancerUnderStudy-ConceptMap'!U85:Y339,1+O101,P101)</f>
        <v>0</v>
      </c>
    </row>
    <row r="102" spans="14:17">
      <c r="N102" s="11">
        <v>93</v>
      </c>
      <c r="O102" s="11">
        <f t="shared" si="7"/>
        <v>18</v>
      </c>
      <c r="P102" s="11">
        <f t="shared" si="8"/>
        <v>3</v>
      </c>
      <c r="Q102" s="12" cm="1">
        <f t="array" ref="Q102">INDEX('CancerUnderStudy-ConceptMap'!U86:Y340,1+O102,P102)</f>
        <v>0</v>
      </c>
    </row>
    <row r="103" spans="14:17">
      <c r="N103" s="11">
        <v>94</v>
      </c>
      <c r="O103" s="11">
        <f t="shared" si="7"/>
        <v>18</v>
      </c>
      <c r="P103" s="11">
        <f t="shared" si="8"/>
        <v>4</v>
      </c>
      <c r="Q103" s="12" cm="1">
        <f t="array" ref="Q103">INDEX('CancerUnderStudy-ConceptMap'!U87:Y341,1+O103,P103)</f>
        <v>0</v>
      </c>
    </row>
    <row r="104" spans="14:17">
      <c r="N104" s="11">
        <v>95</v>
      </c>
      <c r="O104" s="11">
        <f t="shared" si="7"/>
        <v>18</v>
      </c>
      <c r="P104" s="11">
        <f t="shared" si="8"/>
        <v>5</v>
      </c>
      <c r="Q104" s="12" cm="1">
        <f t="array" ref="Q104">INDEX('CancerUnderStudy-ConceptMap'!U88:Y342,1+O104,P104)</f>
        <v>0</v>
      </c>
    </row>
    <row r="105" spans="14:17">
      <c r="N105" s="11">
        <v>96</v>
      </c>
      <c r="O105" s="11">
        <f t="shared" si="7"/>
        <v>19</v>
      </c>
      <c r="P105" s="11">
        <f t="shared" si="8"/>
        <v>1</v>
      </c>
      <c r="Q105" s="12" cm="1">
        <f t="array" ref="Q105">INDEX('CancerUnderStudy-ConceptMap'!U89:Y343,1+O105,P105)</f>
        <v>0</v>
      </c>
    </row>
    <row r="106" spans="14:17">
      <c r="N106" s="11">
        <v>97</v>
      </c>
      <c r="O106" s="11">
        <f t="shared" si="7"/>
        <v>19</v>
      </c>
      <c r="P106" s="11">
        <f t="shared" si="8"/>
        <v>2</v>
      </c>
      <c r="Q106" s="12" cm="1">
        <f t="array" ref="Q106">INDEX('CancerUnderStudy-ConceptMap'!U90:Y344,1+O106,P106)</f>
        <v>0</v>
      </c>
    </row>
    <row r="107" spans="14:17">
      <c r="N107" s="11">
        <v>98</v>
      </c>
      <c r="O107" s="11">
        <f t="shared" si="7"/>
        <v>19</v>
      </c>
      <c r="P107" s="11">
        <f t="shared" si="8"/>
        <v>3</v>
      </c>
      <c r="Q107" s="12" cm="1">
        <f t="array" ref="Q107">INDEX('CancerUnderStudy-ConceptMap'!U91:Y345,1+O107,P107)</f>
        <v>0</v>
      </c>
    </row>
    <row r="108" spans="14:17">
      <c r="N108" s="11">
        <v>99</v>
      </c>
      <c r="O108" s="11">
        <f t="shared" si="7"/>
        <v>19</v>
      </c>
      <c r="P108" s="11">
        <f t="shared" si="8"/>
        <v>4</v>
      </c>
      <c r="Q108" s="12" cm="1">
        <f t="array" ref="Q108">INDEX('CancerUnderStudy-ConceptMap'!U92:Y346,1+O108,P108)</f>
        <v>0</v>
      </c>
    </row>
    <row r="109" spans="14:17">
      <c r="N109" s="11">
        <v>100</v>
      </c>
      <c r="O109" s="11">
        <f t="shared" si="7"/>
        <v>19</v>
      </c>
      <c r="P109" s="11">
        <f t="shared" si="8"/>
        <v>5</v>
      </c>
      <c r="Q109" s="12" cm="1">
        <f t="array" ref="Q109">INDEX('CancerUnderStudy-ConceptMap'!U93:Y347,1+O109,P109)</f>
        <v>0</v>
      </c>
    </row>
    <row r="110" spans="14:17">
      <c r="N110" s="11">
        <v>101</v>
      </c>
      <c r="O110" s="11">
        <f t="shared" si="7"/>
        <v>20</v>
      </c>
      <c r="P110" s="11">
        <f t="shared" si="8"/>
        <v>1</v>
      </c>
      <c r="Q110" s="12" cm="1">
        <f t="array" ref="Q110">INDEX('CancerUnderStudy-ConceptMap'!U94:Y348,1+O110,P110)</f>
        <v>0</v>
      </c>
    </row>
    <row r="111" spans="14:17">
      <c r="N111" s="11">
        <v>102</v>
      </c>
      <c r="O111" s="11">
        <f t="shared" si="7"/>
        <v>20</v>
      </c>
      <c r="P111" s="11">
        <f t="shared" si="8"/>
        <v>2</v>
      </c>
      <c r="Q111" s="12" cm="1">
        <f t="array" ref="Q111">INDEX('CancerUnderStudy-ConceptMap'!U95:Y349,1+O111,P111)</f>
        <v>0</v>
      </c>
    </row>
    <row r="112" spans="14:17">
      <c r="N112" s="11">
        <v>103</v>
      </c>
      <c r="O112" s="11">
        <f t="shared" si="7"/>
        <v>20</v>
      </c>
      <c r="P112" s="11">
        <f t="shared" si="8"/>
        <v>3</v>
      </c>
      <c r="Q112" s="12" cm="1">
        <f t="array" ref="Q112">INDEX('CancerUnderStudy-ConceptMap'!U96:Y350,1+O112,P112)</f>
        <v>0</v>
      </c>
    </row>
    <row r="113" spans="14:17">
      <c r="N113" s="11">
        <v>104</v>
      </c>
      <c r="O113" s="11">
        <f t="shared" si="7"/>
        <v>20</v>
      </c>
      <c r="P113" s="11">
        <f t="shared" si="8"/>
        <v>4</v>
      </c>
      <c r="Q113" s="12" cm="1">
        <f t="array" ref="Q113">INDEX('CancerUnderStudy-ConceptMap'!U97:Y351,1+O113,P113)</f>
        <v>0</v>
      </c>
    </row>
    <row r="114" spans="14:17">
      <c r="N114" s="11">
        <v>105</v>
      </c>
      <c r="O114" s="11">
        <f t="shared" si="7"/>
        <v>20</v>
      </c>
      <c r="P114" s="11">
        <f t="shared" si="8"/>
        <v>5</v>
      </c>
      <c r="Q114" s="12" cm="1">
        <f t="array" ref="Q114">INDEX('CancerUnderStudy-ConceptMap'!U98:Y352,1+O114,P114)</f>
        <v>0</v>
      </c>
    </row>
    <row r="115" spans="14:17">
      <c r="N115" s="11">
        <v>106</v>
      </c>
      <c r="O115" s="11">
        <f t="shared" si="7"/>
        <v>21</v>
      </c>
      <c r="P115" s="11">
        <f t="shared" si="8"/>
        <v>1</v>
      </c>
      <c r="Q115" s="12" cm="1">
        <f t="array" ref="Q115">INDEX('CancerUnderStudy-ConceptMap'!U99:Y353,1+O115,P115)</f>
        <v>0</v>
      </c>
    </row>
    <row r="116" spans="14:17">
      <c r="N116" s="11">
        <v>107</v>
      </c>
      <c r="O116" s="11">
        <f t="shared" si="7"/>
        <v>21</v>
      </c>
      <c r="P116" s="11">
        <f t="shared" si="8"/>
        <v>2</v>
      </c>
      <c r="Q116" s="12" cm="1">
        <f t="array" ref="Q116">INDEX('CancerUnderStudy-ConceptMap'!U100:Y354,1+O116,P116)</f>
        <v>0</v>
      </c>
    </row>
    <row r="117" spans="14:17">
      <c r="N117" s="11">
        <v>108</v>
      </c>
      <c r="O117" s="11">
        <f t="shared" si="7"/>
        <v>21</v>
      </c>
      <c r="P117" s="11">
        <f t="shared" si="8"/>
        <v>3</v>
      </c>
      <c r="Q117" s="12" cm="1">
        <f t="array" ref="Q117">INDEX('CancerUnderStudy-ConceptMap'!U101:Y355,1+O117,P117)</f>
        <v>0</v>
      </c>
    </row>
    <row r="118" spans="14:17">
      <c r="N118" s="11">
        <v>109</v>
      </c>
      <c r="O118" s="11">
        <f t="shared" si="7"/>
        <v>21</v>
      </c>
      <c r="P118" s="11">
        <f t="shared" si="8"/>
        <v>4</v>
      </c>
      <c r="Q118" s="12" cm="1">
        <f t="array" ref="Q118">INDEX('CancerUnderStudy-ConceptMap'!U102:Y356,1+O118,P118)</f>
        <v>0</v>
      </c>
    </row>
    <row r="119" spans="14:17">
      <c r="N119" s="11">
        <v>110</v>
      </c>
      <c r="O119" s="11">
        <f t="shared" si="7"/>
        <v>21</v>
      </c>
      <c r="P119" s="11">
        <f t="shared" si="8"/>
        <v>5</v>
      </c>
      <c r="Q119" s="12" cm="1">
        <f t="array" ref="Q119">INDEX('CancerUnderStudy-ConceptMap'!U103:Y357,1+O119,P119)</f>
        <v>0</v>
      </c>
    </row>
    <row r="120" spans="14:17">
      <c r="N120" s="11">
        <v>111</v>
      </c>
      <c r="O120" s="11">
        <f t="shared" si="7"/>
        <v>22</v>
      </c>
      <c r="P120" s="11">
        <f t="shared" si="8"/>
        <v>1</v>
      </c>
      <c r="Q120" s="12" cm="1">
        <f t="array" ref="Q120">INDEX('CancerUnderStudy-ConceptMap'!U104:Y358,1+O120,P120)</f>
        <v>0</v>
      </c>
    </row>
    <row r="121" spans="14:17">
      <c r="N121" s="11">
        <v>112</v>
      </c>
      <c r="O121" s="11">
        <f t="shared" si="7"/>
        <v>22</v>
      </c>
      <c r="P121" s="11">
        <f t="shared" si="8"/>
        <v>2</v>
      </c>
      <c r="Q121" s="12" cm="1">
        <f t="array" ref="Q121">INDEX('CancerUnderStudy-ConceptMap'!U105:Y359,1+O121,P121)</f>
        <v>0</v>
      </c>
    </row>
    <row r="122" spans="14:17">
      <c r="N122" s="11">
        <v>113</v>
      </c>
      <c r="O122" s="11">
        <f t="shared" si="7"/>
        <v>22</v>
      </c>
      <c r="P122" s="11">
        <f t="shared" si="8"/>
        <v>3</v>
      </c>
      <c r="Q122" s="12" cm="1">
        <f t="array" ref="Q122">INDEX('CancerUnderStudy-ConceptMap'!U106:Y360,1+O122,P122)</f>
        <v>0</v>
      </c>
    </row>
    <row r="123" spans="14:17">
      <c r="N123" s="11">
        <v>114</v>
      </c>
      <c r="O123" s="11">
        <f t="shared" si="7"/>
        <v>22</v>
      </c>
      <c r="P123" s="11">
        <f t="shared" si="8"/>
        <v>4</v>
      </c>
      <c r="Q123" s="12" cm="1">
        <f t="array" ref="Q123">INDEX('CancerUnderStudy-ConceptMap'!U107:Y361,1+O123,P123)</f>
        <v>0</v>
      </c>
    </row>
    <row r="124" spans="14:17">
      <c r="N124" s="11">
        <v>115</v>
      </c>
      <c r="O124" s="11">
        <f t="shared" si="7"/>
        <v>22</v>
      </c>
      <c r="P124" s="11">
        <f t="shared" si="8"/>
        <v>5</v>
      </c>
      <c r="Q124" s="12" cm="1">
        <f t="array" ref="Q124">INDEX('CancerUnderStudy-ConceptMap'!U108:Y362,1+O124,P124)</f>
        <v>0</v>
      </c>
    </row>
    <row r="125" spans="14:17">
      <c r="N125" s="11">
        <v>116</v>
      </c>
      <c r="O125" s="11">
        <f t="shared" si="7"/>
        <v>23</v>
      </c>
      <c r="P125" s="11">
        <f t="shared" si="8"/>
        <v>1</v>
      </c>
      <c r="Q125" s="12" cm="1">
        <f t="array" ref="Q125">INDEX('CancerUnderStudy-ConceptMap'!U109:Y363,1+O125,P125)</f>
        <v>0</v>
      </c>
    </row>
    <row r="126" spans="14:17">
      <c r="N126" s="11">
        <v>117</v>
      </c>
      <c r="O126" s="11">
        <f t="shared" si="7"/>
        <v>23</v>
      </c>
      <c r="P126" s="11">
        <f t="shared" si="8"/>
        <v>2</v>
      </c>
      <c r="Q126" s="12" cm="1">
        <f t="array" ref="Q126">INDEX('CancerUnderStudy-ConceptMap'!U110:Y364,1+O126,P126)</f>
        <v>0</v>
      </c>
    </row>
    <row r="127" spans="14:17">
      <c r="N127" s="11">
        <v>118</v>
      </c>
      <c r="O127" s="11">
        <f t="shared" si="7"/>
        <v>23</v>
      </c>
      <c r="P127" s="11">
        <f t="shared" si="8"/>
        <v>3</v>
      </c>
      <c r="Q127" s="12" cm="1">
        <f t="array" ref="Q127">INDEX('CancerUnderStudy-ConceptMap'!U111:Y365,1+O127,P127)</f>
        <v>0</v>
      </c>
    </row>
    <row r="128" spans="14:17">
      <c r="N128" s="11">
        <v>119</v>
      </c>
      <c r="O128" s="11">
        <f t="shared" si="7"/>
        <v>23</v>
      </c>
      <c r="P128" s="11">
        <f t="shared" si="8"/>
        <v>4</v>
      </c>
      <c r="Q128" s="12" cm="1">
        <f t="array" ref="Q128">INDEX('CancerUnderStudy-ConceptMap'!U112:Y366,1+O128,P128)</f>
        <v>0</v>
      </c>
    </row>
    <row r="129" spans="14:17">
      <c r="N129" s="11">
        <v>120</v>
      </c>
      <c r="O129" s="11">
        <f t="shared" si="7"/>
        <v>23</v>
      </c>
      <c r="P129" s="11">
        <f t="shared" si="8"/>
        <v>5</v>
      </c>
      <c r="Q129" s="12" cm="1">
        <f t="array" ref="Q129">INDEX('CancerUnderStudy-ConceptMap'!U113:Y367,1+O129,P129)</f>
        <v>0</v>
      </c>
    </row>
    <row r="130" spans="14:17">
      <c r="N130" s="11">
        <v>121</v>
      </c>
      <c r="O130" s="11">
        <f t="shared" si="7"/>
        <v>24</v>
      </c>
      <c r="P130" s="11">
        <f t="shared" si="8"/>
        <v>1</v>
      </c>
      <c r="Q130" s="12" cm="1">
        <f t="array" ref="Q130">INDEX('CancerUnderStudy-ConceptMap'!U114:Y368,1+O130,P130)</f>
        <v>0</v>
      </c>
    </row>
    <row r="131" spans="14:17">
      <c r="N131" s="11">
        <v>122</v>
      </c>
      <c r="O131" s="11">
        <f t="shared" si="7"/>
        <v>24</v>
      </c>
      <c r="P131" s="11">
        <f t="shared" si="8"/>
        <v>2</v>
      </c>
      <c r="Q131" s="12" cm="1">
        <f t="array" ref="Q131">INDEX('CancerUnderStudy-ConceptMap'!U115:Y369,1+O131,P131)</f>
        <v>0</v>
      </c>
    </row>
    <row r="132" spans="14:17">
      <c r="N132" s="11">
        <v>123</v>
      </c>
      <c r="O132" s="11">
        <f t="shared" si="7"/>
        <v>24</v>
      </c>
      <c r="P132" s="11">
        <f t="shared" si="8"/>
        <v>3</v>
      </c>
      <c r="Q132" s="12" cm="1">
        <f t="array" ref="Q132">INDEX('CancerUnderStudy-ConceptMap'!U116:Y370,1+O132,P132)</f>
        <v>0</v>
      </c>
    </row>
    <row r="133" spans="14:17">
      <c r="N133" s="11">
        <v>124</v>
      </c>
      <c r="O133" s="11">
        <f t="shared" si="7"/>
        <v>24</v>
      </c>
      <c r="P133" s="11">
        <f t="shared" si="8"/>
        <v>4</v>
      </c>
      <c r="Q133" s="12" cm="1">
        <f t="array" ref="Q133">INDEX('CancerUnderStudy-ConceptMap'!U117:Y371,1+O133,P133)</f>
        <v>0</v>
      </c>
    </row>
    <row r="134" spans="14:17">
      <c r="N134" s="11">
        <v>125</v>
      </c>
      <c r="O134" s="11">
        <f t="shared" si="7"/>
        <v>24</v>
      </c>
      <c r="P134" s="11">
        <f t="shared" si="8"/>
        <v>5</v>
      </c>
      <c r="Q134" s="12" cm="1">
        <f t="array" ref="Q134">INDEX('CancerUnderStudy-ConceptMap'!U118:Y372,1+O134,P134)</f>
        <v>0</v>
      </c>
    </row>
    <row r="135" spans="14:17">
      <c r="N135" s="11">
        <v>126</v>
      </c>
      <c r="O135" s="11">
        <f t="shared" si="7"/>
        <v>25</v>
      </c>
      <c r="P135" s="11">
        <f t="shared" si="8"/>
        <v>1</v>
      </c>
      <c r="Q135" s="12" cm="1">
        <f t="array" ref="Q135">INDEX('CancerUnderStudy-ConceptMap'!U119:Y373,1+O135,P135)</f>
        <v>0</v>
      </c>
    </row>
    <row r="136" spans="14:17">
      <c r="N136" s="11">
        <v>127</v>
      </c>
      <c r="O136" s="11">
        <f t="shared" si="7"/>
        <v>25</v>
      </c>
      <c r="P136" s="11">
        <f t="shared" si="8"/>
        <v>2</v>
      </c>
      <c r="Q136" s="12" cm="1">
        <f t="array" ref="Q136">INDEX('CancerUnderStudy-ConceptMap'!U120:Y374,1+O136,P136)</f>
        <v>0</v>
      </c>
    </row>
    <row r="137" spans="14:17">
      <c r="N137" s="11">
        <v>128</v>
      </c>
      <c r="O137" s="11">
        <f t="shared" si="7"/>
        <v>25</v>
      </c>
      <c r="P137" s="11">
        <f t="shared" si="8"/>
        <v>3</v>
      </c>
      <c r="Q137" s="12" cm="1">
        <f t="array" ref="Q137">INDEX('CancerUnderStudy-ConceptMap'!U121:Y375,1+O137,P137)</f>
        <v>0</v>
      </c>
    </row>
    <row r="138" spans="14:17">
      <c r="N138" s="11">
        <v>129</v>
      </c>
      <c r="O138" s="11">
        <f t="shared" si="7"/>
        <v>25</v>
      </c>
      <c r="P138" s="11">
        <f t="shared" si="8"/>
        <v>4</v>
      </c>
      <c r="Q138" s="12" cm="1">
        <f t="array" ref="Q138">INDEX('CancerUnderStudy-ConceptMap'!U122:Y376,1+O138,P138)</f>
        <v>0</v>
      </c>
    </row>
    <row r="139" spans="14:17">
      <c r="N139" s="11">
        <v>130</v>
      </c>
      <c r="O139" s="11">
        <f t="shared" ref="O139:O184" si="9">IF(MOD(N139,$O$3)=0,N139/$O$3-1,INT(N139/$O$3))</f>
        <v>25</v>
      </c>
      <c r="P139" s="11">
        <f t="shared" ref="P139:P184" si="10">IF(MOD(N139,$O$3)=0,$O$3,MOD(N139,$O$3))</f>
        <v>5</v>
      </c>
      <c r="Q139" s="12" cm="1">
        <f t="array" ref="Q139">INDEX('CancerUnderStudy-ConceptMap'!U123:Y377,1+O139,P139)</f>
        <v>0</v>
      </c>
    </row>
    <row r="140" spans="14:17">
      <c r="N140" s="11">
        <v>131</v>
      </c>
      <c r="O140" s="11">
        <f t="shared" si="9"/>
        <v>26</v>
      </c>
      <c r="P140" s="11">
        <f t="shared" si="10"/>
        <v>1</v>
      </c>
      <c r="Q140" s="12" cm="1">
        <f t="array" ref="Q140">INDEX('CancerUnderStudy-ConceptMap'!U124:Y378,1+O140,P140)</f>
        <v>0</v>
      </c>
    </row>
    <row r="141" spans="14:17">
      <c r="N141" s="11">
        <v>132</v>
      </c>
      <c r="O141" s="11">
        <f t="shared" si="9"/>
        <v>26</v>
      </c>
      <c r="P141" s="11">
        <f t="shared" si="10"/>
        <v>2</v>
      </c>
      <c r="Q141" s="12" cm="1">
        <f t="array" ref="Q141">INDEX('CancerUnderStudy-ConceptMap'!U125:Y379,1+O141,P141)</f>
        <v>0</v>
      </c>
    </row>
    <row r="142" spans="14:17">
      <c r="N142" s="11">
        <v>133</v>
      </c>
      <c r="O142" s="11">
        <f t="shared" si="9"/>
        <v>26</v>
      </c>
      <c r="P142" s="11">
        <f t="shared" si="10"/>
        <v>3</v>
      </c>
      <c r="Q142" s="12" cm="1">
        <f t="array" ref="Q142">INDEX('CancerUnderStudy-ConceptMap'!U126:Y380,1+O142,P142)</f>
        <v>0</v>
      </c>
    </row>
    <row r="143" spans="14:17">
      <c r="N143" s="11">
        <v>134</v>
      </c>
      <c r="O143" s="11">
        <f t="shared" si="9"/>
        <v>26</v>
      </c>
      <c r="P143" s="11">
        <f t="shared" si="10"/>
        <v>4</v>
      </c>
      <c r="Q143" s="12" cm="1">
        <f t="array" ref="Q143">INDEX('CancerUnderStudy-ConceptMap'!U127:Y381,1+O143,P143)</f>
        <v>0</v>
      </c>
    </row>
    <row r="144" spans="14:17">
      <c r="N144" s="11">
        <v>135</v>
      </c>
      <c r="O144" s="11">
        <f t="shared" si="9"/>
        <v>26</v>
      </c>
      <c r="P144" s="11">
        <f t="shared" si="10"/>
        <v>5</v>
      </c>
      <c r="Q144" s="12" cm="1">
        <f t="array" ref="Q144">INDEX('CancerUnderStudy-ConceptMap'!U128:Y382,1+O144,P144)</f>
        <v>0</v>
      </c>
    </row>
    <row r="145" spans="14:17">
      <c r="N145" s="11">
        <v>136</v>
      </c>
      <c r="O145" s="11">
        <f t="shared" si="9"/>
        <v>27</v>
      </c>
      <c r="P145" s="11">
        <f t="shared" si="10"/>
        <v>1</v>
      </c>
      <c r="Q145" s="12" cm="1">
        <f t="array" ref="Q145">INDEX('CancerUnderStudy-ConceptMap'!U129:Y383,1+O145,P145)</f>
        <v>0</v>
      </c>
    </row>
    <row r="146" spans="14:17">
      <c r="N146" s="11">
        <v>137</v>
      </c>
      <c r="O146" s="11">
        <f t="shared" si="9"/>
        <v>27</v>
      </c>
      <c r="P146" s="11">
        <f t="shared" si="10"/>
        <v>2</v>
      </c>
      <c r="Q146" s="12" cm="1">
        <f t="array" ref="Q146">INDEX('CancerUnderStudy-ConceptMap'!U130:Y384,1+O146,P146)</f>
        <v>0</v>
      </c>
    </row>
    <row r="147" spans="14:17">
      <c r="N147" s="11">
        <v>138</v>
      </c>
      <c r="O147" s="11">
        <f t="shared" si="9"/>
        <v>27</v>
      </c>
      <c r="P147" s="11">
        <f t="shared" si="10"/>
        <v>3</v>
      </c>
      <c r="Q147" s="12" cm="1">
        <f t="array" ref="Q147">INDEX('CancerUnderStudy-ConceptMap'!U131:Y385,1+O147,P147)</f>
        <v>0</v>
      </c>
    </row>
    <row r="148" spans="14:17">
      <c r="N148" s="11">
        <v>139</v>
      </c>
      <c r="O148" s="11">
        <f t="shared" si="9"/>
        <v>27</v>
      </c>
      <c r="P148" s="11">
        <f t="shared" si="10"/>
        <v>4</v>
      </c>
      <c r="Q148" s="12" cm="1">
        <f t="array" ref="Q148">INDEX('CancerUnderStudy-ConceptMap'!U132:Y386,1+O148,P148)</f>
        <v>0</v>
      </c>
    </row>
    <row r="149" spans="14:17">
      <c r="N149" s="11">
        <v>140</v>
      </c>
      <c r="O149" s="11">
        <f t="shared" si="9"/>
        <v>27</v>
      </c>
      <c r="P149" s="11">
        <f t="shared" si="10"/>
        <v>5</v>
      </c>
      <c r="Q149" s="12" cm="1">
        <f t="array" ref="Q149">INDEX('CancerUnderStudy-ConceptMap'!U133:Y387,1+O149,P149)</f>
        <v>0</v>
      </c>
    </row>
    <row r="150" spans="14:17">
      <c r="N150" s="11">
        <v>141</v>
      </c>
      <c r="O150" s="11">
        <f t="shared" si="9"/>
        <v>28</v>
      </c>
      <c r="P150" s="11">
        <f t="shared" si="10"/>
        <v>1</v>
      </c>
      <c r="Q150" s="12" cm="1">
        <f t="array" ref="Q150">INDEX('CancerUnderStudy-ConceptMap'!U134:Y388,1+O150,P150)</f>
        <v>0</v>
      </c>
    </row>
    <row r="151" spans="14:17">
      <c r="N151" s="11">
        <v>142</v>
      </c>
      <c r="O151" s="11">
        <f t="shared" si="9"/>
        <v>28</v>
      </c>
      <c r="P151" s="11">
        <f t="shared" si="10"/>
        <v>2</v>
      </c>
      <c r="Q151" s="12" cm="1">
        <f t="array" ref="Q151">INDEX('CancerUnderStudy-ConceptMap'!U135:Y389,1+O151,P151)</f>
        <v>0</v>
      </c>
    </row>
    <row r="152" spans="14:17">
      <c r="N152" s="11">
        <v>143</v>
      </c>
      <c r="O152" s="11">
        <f t="shared" si="9"/>
        <v>28</v>
      </c>
      <c r="P152" s="11">
        <f t="shared" si="10"/>
        <v>3</v>
      </c>
      <c r="Q152" s="12" cm="1">
        <f t="array" ref="Q152">INDEX('CancerUnderStudy-ConceptMap'!U136:Y390,1+O152,P152)</f>
        <v>0</v>
      </c>
    </row>
    <row r="153" spans="14:17">
      <c r="N153" s="11">
        <v>144</v>
      </c>
      <c r="O153" s="11">
        <f t="shared" si="9"/>
        <v>28</v>
      </c>
      <c r="P153" s="11">
        <f t="shared" si="10"/>
        <v>4</v>
      </c>
      <c r="Q153" s="12" cm="1">
        <f t="array" ref="Q153">INDEX('CancerUnderStudy-ConceptMap'!U137:Y391,1+O153,P153)</f>
        <v>0</v>
      </c>
    </row>
    <row r="154" spans="14:17">
      <c r="N154" s="11">
        <v>145</v>
      </c>
      <c r="O154" s="11">
        <f t="shared" si="9"/>
        <v>28</v>
      </c>
      <c r="P154" s="11">
        <f t="shared" si="10"/>
        <v>5</v>
      </c>
      <c r="Q154" s="12" cm="1">
        <f t="array" ref="Q154">INDEX('CancerUnderStudy-ConceptMap'!U138:Y392,1+O154,P154)</f>
        <v>0</v>
      </c>
    </row>
    <row r="155" spans="14:17">
      <c r="N155" s="11">
        <v>146</v>
      </c>
      <c r="O155" s="11">
        <f t="shared" si="9"/>
        <v>29</v>
      </c>
      <c r="P155" s="11">
        <f t="shared" si="10"/>
        <v>1</v>
      </c>
      <c r="Q155" s="12" cm="1">
        <f t="array" ref="Q155">INDEX('CancerUnderStudy-ConceptMap'!U139:Y393,1+O155,P155)</f>
        <v>0</v>
      </c>
    </row>
    <row r="156" spans="14:17">
      <c r="N156" s="11">
        <v>147</v>
      </c>
      <c r="O156" s="11">
        <f t="shared" si="9"/>
        <v>29</v>
      </c>
      <c r="P156" s="11">
        <f t="shared" si="10"/>
        <v>2</v>
      </c>
      <c r="Q156" s="12" cm="1">
        <f t="array" ref="Q156">INDEX('CancerUnderStudy-ConceptMap'!U140:Y394,1+O156,P156)</f>
        <v>0</v>
      </c>
    </row>
    <row r="157" spans="14:17">
      <c r="N157" s="11">
        <v>148</v>
      </c>
      <c r="O157" s="11">
        <f t="shared" si="9"/>
        <v>29</v>
      </c>
      <c r="P157" s="11">
        <f t="shared" si="10"/>
        <v>3</v>
      </c>
      <c r="Q157" s="12" cm="1">
        <f t="array" ref="Q157">INDEX('CancerUnderStudy-ConceptMap'!U141:Y395,1+O157,P157)</f>
        <v>0</v>
      </c>
    </row>
    <row r="158" spans="14:17">
      <c r="N158" s="11">
        <v>149</v>
      </c>
      <c r="O158" s="11">
        <f t="shared" si="9"/>
        <v>29</v>
      </c>
      <c r="P158" s="11">
        <f t="shared" si="10"/>
        <v>4</v>
      </c>
      <c r="Q158" s="12" cm="1">
        <f t="array" ref="Q158">INDEX('CancerUnderStudy-ConceptMap'!U142:Y396,1+O158,P158)</f>
        <v>0</v>
      </c>
    </row>
    <row r="159" spans="14:17">
      <c r="N159" s="11">
        <v>150</v>
      </c>
      <c r="O159" s="11">
        <f t="shared" si="9"/>
        <v>29</v>
      </c>
      <c r="P159" s="11">
        <f t="shared" si="10"/>
        <v>5</v>
      </c>
      <c r="Q159" s="12" cm="1">
        <f t="array" ref="Q159">INDEX('CancerUnderStudy-ConceptMap'!U143:Y397,1+O159,P159)</f>
        <v>0</v>
      </c>
    </row>
    <row r="160" spans="14:17">
      <c r="N160" s="11">
        <v>151</v>
      </c>
      <c r="O160" s="11">
        <f t="shared" si="9"/>
        <v>30</v>
      </c>
      <c r="P160" s="11">
        <f t="shared" si="10"/>
        <v>1</v>
      </c>
      <c r="Q160" s="12" cm="1">
        <f t="array" ref="Q160">INDEX('CancerUnderStudy-ConceptMap'!U144:Y398,1+O160,P160)</f>
        <v>0</v>
      </c>
    </row>
    <row r="161" spans="14:17">
      <c r="N161" s="11">
        <v>152</v>
      </c>
      <c r="O161" s="11">
        <f t="shared" si="9"/>
        <v>30</v>
      </c>
      <c r="P161" s="11">
        <f t="shared" si="10"/>
        <v>2</v>
      </c>
      <c r="Q161" s="12" cm="1">
        <f t="array" ref="Q161">INDEX('CancerUnderStudy-ConceptMap'!U145:Y399,1+O161,P161)</f>
        <v>0</v>
      </c>
    </row>
    <row r="162" spans="14:17">
      <c r="N162" s="11">
        <v>153</v>
      </c>
      <c r="O162" s="11">
        <f t="shared" si="9"/>
        <v>30</v>
      </c>
      <c r="P162" s="11">
        <f t="shared" si="10"/>
        <v>3</v>
      </c>
      <c r="Q162" s="12" cm="1">
        <f t="array" ref="Q162">INDEX('CancerUnderStudy-ConceptMap'!U146:Y400,1+O162,P162)</f>
        <v>0</v>
      </c>
    </row>
    <row r="163" spans="14:17">
      <c r="N163" s="11">
        <v>154</v>
      </c>
      <c r="O163" s="11">
        <f t="shared" si="9"/>
        <v>30</v>
      </c>
      <c r="P163" s="11">
        <f t="shared" si="10"/>
        <v>4</v>
      </c>
      <c r="Q163" s="12" cm="1">
        <f t="array" ref="Q163">INDEX('CancerUnderStudy-ConceptMap'!U147:Y401,1+O163,P163)</f>
        <v>0</v>
      </c>
    </row>
    <row r="164" spans="14:17">
      <c r="N164" s="11">
        <v>155</v>
      </c>
      <c r="O164" s="11">
        <f t="shared" si="9"/>
        <v>30</v>
      </c>
      <c r="P164" s="11">
        <f t="shared" si="10"/>
        <v>5</v>
      </c>
      <c r="Q164" s="12" cm="1">
        <f t="array" ref="Q164">INDEX('CancerUnderStudy-ConceptMap'!U148:Y402,1+O164,P164)</f>
        <v>0</v>
      </c>
    </row>
    <row r="165" spans="14:17">
      <c r="N165" s="11">
        <v>156</v>
      </c>
      <c r="O165" s="11">
        <f t="shared" si="9"/>
        <v>31</v>
      </c>
      <c r="P165" s="11">
        <f t="shared" si="10"/>
        <v>1</v>
      </c>
      <c r="Q165" s="12" cm="1">
        <f t="array" ref="Q165">INDEX('CancerUnderStudy-ConceptMap'!U149:Y403,1+O165,P165)</f>
        <v>0</v>
      </c>
    </row>
    <row r="166" spans="14:17">
      <c r="N166" s="11">
        <v>157</v>
      </c>
      <c r="O166" s="11">
        <f t="shared" si="9"/>
        <v>31</v>
      </c>
      <c r="P166" s="11">
        <f t="shared" si="10"/>
        <v>2</v>
      </c>
      <c r="Q166" s="12" cm="1">
        <f t="array" ref="Q166">INDEX('CancerUnderStudy-ConceptMap'!U150:Y404,1+O166,P166)</f>
        <v>0</v>
      </c>
    </row>
    <row r="167" spans="14:17">
      <c r="N167" s="11">
        <v>158</v>
      </c>
      <c r="O167" s="11">
        <f t="shared" si="9"/>
        <v>31</v>
      </c>
      <c r="P167" s="11">
        <f t="shared" si="10"/>
        <v>3</v>
      </c>
      <c r="Q167" s="12" cm="1">
        <f t="array" ref="Q167">INDEX('CancerUnderStudy-ConceptMap'!U151:Y405,1+O167,P167)</f>
        <v>0</v>
      </c>
    </row>
    <row r="168" spans="14:17">
      <c r="N168" s="11">
        <v>159</v>
      </c>
      <c r="O168" s="11">
        <f t="shared" si="9"/>
        <v>31</v>
      </c>
      <c r="P168" s="11">
        <f t="shared" si="10"/>
        <v>4</v>
      </c>
      <c r="Q168" s="12" cm="1">
        <f t="array" ref="Q168">INDEX('CancerUnderStudy-ConceptMap'!U152:Y406,1+O168,P168)</f>
        <v>0</v>
      </c>
    </row>
    <row r="169" spans="14:17">
      <c r="N169" s="11">
        <v>160</v>
      </c>
      <c r="O169" s="11">
        <f t="shared" si="9"/>
        <v>31</v>
      </c>
      <c r="P169" s="11">
        <f t="shared" si="10"/>
        <v>5</v>
      </c>
      <c r="Q169" s="12" cm="1">
        <f t="array" ref="Q169">INDEX('CancerUnderStudy-ConceptMap'!U153:Y407,1+O169,P169)</f>
        <v>0</v>
      </c>
    </row>
    <row r="170" spans="14:17">
      <c r="N170" s="11">
        <v>161</v>
      </c>
      <c r="O170" s="11">
        <f t="shared" si="9"/>
        <v>32</v>
      </c>
      <c r="P170" s="11">
        <f t="shared" si="10"/>
        <v>1</v>
      </c>
      <c r="Q170" s="12" cm="1">
        <f t="array" ref="Q170">INDEX('CancerUnderStudy-ConceptMap'!U154:Y408,1+O170,P170)</f>
        <v>0</v>
      </c>
    </row>
    <row r="171" spans="14:17">
      <c r="N171" s="11">
        <v>162</v>
      </c>
      <c r="O171" s="11">
        <f t="shared" si="9"/>
        <v>32</v>
      </c>
      <c r="P171" s="11">
        <f t="shared" si="10"/>
        <v>2</v>
      </c>
      <c r="Q171" s="12" cm="1">
        <f t="array" ref="Q171">INDEX('CancerUnderStudy-ConceptMap'!U155:Y409,1+O171,P171)</f>
        <v>0</v>
      </c>
    </row>
    <row r="172" spans="14:17">
      <c r="N172" s="11">
        <v>163</v>
      </c>
      <c r="O172" s="11">
        <f t="shared" si="9"/>
        <v>32</v>
      </c>
      <c r="P172" s="11">
        <f t="shared" si="10"/>
        <v>3</v>
      </c>
      <c r="Q172" s="12" cm="1">
        <f t="array" ref="Q172">INDEX('CancerUnderStudy-ConceptMap'!U156:Y410,1+O172,P172)</f>
        <v>0</v>
      </c>
    </row>
    <row r="173" spans="14:17">
      <c r="N173" s="11">
        <v>164</v>
      </c>
      <c r="O173" s="11">
        <f t="shared" si="9"/>
        <v>32</v>
      </c>
      <c r="P173" s="11">
        <f t="shared" si="10"/>
        <v>4</v>
      </c>
      <c r="Q173" s="12" cm="1">
        <f t="array" ref="Q173">INDEX('CancerUnderStudy-ConceptMap'!U157:Y411,1+O173,P173)</f>
        <v>0</v>
      </c>
    </row>
    <row r="174" spans="14:17">
      <c r="N174" s="11">
        <v>165</v>
      </c>
      <c r="O174" s="11">
        <f t="shared" si="9"/>
        <v>32</v>
      </c>
      <c r="P174" s="11">
        <f t="shared" si="10"/>
        <v>5</v>
      </c>
      <c r="Q174" s="12" cm="1">
        <f t="array" ref="Q174">INDEX('CancerUnderStudy-ConceptMap'!U158:Y412,1+O174,P174)</f>
        <v>0</v>
      </c>
    </row>
    <row r="175" spans="14:17">
      <c r="N175" s="11">
        <v>166</v>
      </c>
      <c r="O175" s="11">
        <f t="shared" si="9"/>
        <v>33</v>
      </c>
      <c r="P175" s="11">
        <f t="shared" si="10"/>
        <v>1</v>
      </c>
      <c r="Q175" s="12" cm="1">
        <f t="array" ref="Q175">INDEX('CancerUnderStudy-ConceptMap'!U159:Y413,1+O175,P175)</f>
        <v>0</v>
      </c>
    </row>
    <row r="176" spans="14:17">
      <c r="N176" s="11">
        <v>167</v>
      </c>
      <c r="O176" s="11">
        <f t="shared" si="9"/>
        <v>33</v>
      </c>
      <c r="P176" s="11">
        <f t="shared" si="10"/>
        <v>2</v>
      </c>
      <c r="Q176" s="12" cm="1">
        <f t="array" ref="Q176">INDEX('CancerUnderStudy-ConceptMap'!U160:Y414,1+O176,P176)</f>
        <v>0</v>
      </c>
    </row>
    <row r="177" spans="14:17">
      <c r="N177" s="11">
        <v>168</v>
      </c>
      <c r="O177" s="11">
        <f t="shared" si="9"/>
        <v>33</v>
      </c>
      <c r="P177" s="11">
        <f t="shared" si="10"/>
        <v>3</v>
      </c>
      <c r="Q177" s="12" cm="1">
        <f t="array" ref="Q177">INDEX('CancerUnderStudy-ConceptMap'!U161:Y415,1+O177,P177)</f>
        <v>0</v>
      </c>
    </row>
    <row r="178" spans="14:17">
      <c r="N178" s="11">
        <v>169</v>
      </c>
      <c r="O178" s="11">
        <f t="shared" si="9"/>
        <v>33</v>
      </c>
      <c r="P178" s="11">
        <f t="shared" si="10"/>
        <v>4</v>
      </c>
      <c r="Q178" s="12" cm="1">
        <f t="array" ref="Q178">INDEX('CancerUnderStudy-ConceptMap'!U162:Y416,1+O178,P178)</f>
        <v>0</v>
      </c>
    </row>
    <row r="179" spans="14:17">
      <c r="N179" s="11">
        <v>170</v>
      </c>
      <c r="O179" s="11">
        <f t="shared" si="9"/>
        <v>33</v>
      </c>
      <c r="P179" s="11">
        <f t="shared" si="10"/>
        <v>5</v>
      </c>
      <c r="Q179" s="12" cm="1">
        <f t="array" ref="Q179">INDEX('CancerUnderStudy-ConceptMap'!U163:Y417,1+O179,P179)</f>
        <v>0</v>
      </c>
    </row>
    <row r="180" spans="14:17">
      <c r="N180" s="11">
        <v>171</v>
      </c>
      <c r="O180" s="11">
        <f t="shared" si="9"/>
        <v>34</v>
      </c>
      <c r="P180" s="11">
        <f t="shared" si="10"/>
        <v>1</v>
      </c>
      <c r="Q180" s="12" cm="1">
        <f t="array" ref="Q180">INDEX('CancerUnderStudy-ConceptMap'!U164:Y418,1+O180,P180)</f>
        <v>0</v>
      </c>
    </row>
    <row r="181" spans="14:17">
      <c r="N181" s="11">
        <v>172</v>
      </c>
      <c r="O181" s="11">
        <f t="shared" si="9"/>
        <v>34</v>
      </c>
      <c r="P181" s="11">
        <f t="shared" si="10"/>
        <v>2</v>
      </c>
      <c r="Q181" s="12" cm="1">
        <f t="array" ref="Q181">INDEX('CancerUnderStudy-ConceptMap'!U165:Y419,1+O181,P181)</f>
        <v>0</v>
      </c>
    </row>
    <row r="182" spans="14:17">
      <c r="N182" s="11">
        <v>173</v>
      </c>
      <c r="O182" s="11">
        <f t="shared" si="9"/>
        <v>34</v>
      </c>
      <c r="P182" s="11">
        <f t="shared" si="10"/>
        <v>3</v>
      </c>
      <c r="Q182" s="12" cm="1">
        <f t="array" ref="Q182">INDEX('CancerUnderStudy-ConceptMap'!U166:Y420,1+O182,P182)</f>
        <v>0</v>
      </c>
    </row>
    <row r="183" spans="14:17">
      <c r="N183" s="11">
        <v>174</v>
      </c>
      <c r="O183" s="11">
        <f t="shared" si="9"/>
        <v>34</v>
      </c>
      <c r="P183" s="11">
        <f t="shared" si="10"/>
        <v>4</v>
      </c>
      <c r="Q183" s="12" cm="1">
        <f t="array" ref="Q183">INDEX('CancerUnderStudy-ConceptMap'!U167:Y421,1+O183,P183)</f>
        <v>0</v>
      </c>
    </row>
    <row r="184" spans="14:17">
      <c r="N184" s="11">
        <v>175</v>
      </c>
      <c r="O184" s="11">
        <f t="shared" si="9"/>
        <v>34</v>
      </c>
      <c r="P184" s="11">
        <f t="shared" si="10"/>
        <v>5</v>
      </c>
      <c r="Q184" s="12" cm="1">
        <f t="array" ref="Q184">INDEX('CancerUnderStudy-ConceptMap'!U168:Y422,1+O184,P184)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A048A39-E9DB-492F-941B-F4DC8B934434}">
          <x14:formula1>
            <xm:f>Foglio2!$D$6:$D$15</xm:f>
          </x14:formula1>
          <xm:sqref>L37:L46 I34:I46 J21:K46 F10:G46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2B226-125B-4977-85C1-5ECFE82B6C10}">
  <sheetPr codeName="Foglio13">
    <tabColor theme="0" tint="-0.34998626667073579"/>
  </sheetPr>
  <dimension ref="B1:G77"/>
  <sheetViews>
    <sheetView workbookViewId="0">
      <selection activeCell="G51" sqref="G5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IF('CancerUnderStudy-ConceptMap'!Q10=0,"//---END",'CancerUnderStudy-ConceptMap'!Q10)</f>
        <v>* group[=].element[+].code = #CancerUnderStudy</v>
      </c>
    </row>
    <row r="21" spans="2:7">
      <c r="B21" s="12" t="str">
        <f>IF('CancerUnderStudy-ConceptMap'!Q11=0,"//---END",'CancerUnderStudy-ConceptMap'!Q11)</f>
        <v>* group[=].element[=].display = ##34#Cancer Under Study##34#</v>
      </c>
    </row>
    <row r="22" spans="2:7">
      <c r="B22" s="12" t="str">
        <f>IF('CancerUnderStudy-ConceptMap'!Q12=0,"//---END",'CancerUnderStudy-ConceptMap'!Q12)</f>
        <v>* group[=].element[=].target.code = #Osiris.Patient</v>
      </c>
    </row>
    <row r="23" spans="2:7">
      <c r="B23" s="12" t="str">
        <f>IF('CancerUnderStudy-ConceptMap'!Q13=0,"//---END",'CancerUnderStudy-ConceptMap'!Q13)</f>
        <v>* group[=].element[=].target.display = ##34#Patient##34#</v>
      </c>
    </row>
    <row r="24" spans="2:7">
      <c r="B24" s="12" t="str">
        <f>IF('CancerUnderStudy-ConceptMap'!Q14=0,"//---END",'CancerUnderStudy-ConceptMap'!Q14)</f>
        <v>* group[=].element[=].target.equivalence = #equivalent</v>
      </c>
    </row>
    <row r="25" spans="2:7">
      <c r="B25" s="12" t="str">
        <f>IF('CancerUnderStudy-ConceptMap'!Q15=0,"//---END",'CancerUnderStudy-ConceptMap'!Q15)</f>
        <v>* group[=].element[+].code = #CancerUnderStudy.diagnosisDate</v>
      </c>
      <c r="G25" s="7"/>
    </row>
    <row r="26" spans="2:7">
      <c r="B26" s="12" t="str">
        <f>IF('CancerUnderStudy-ConceptMap'!Q16=0,"//---END",'CancerUnderStudy-ConceptMap'!Q16)</f>
        <v>* group[=].element[=].display = ##34#Date of diagnosis##34#</v>
      </c>
    </row>
    <row r="27" spans="2:7">
      <c r="B27" s="12" t="str">
        <f>IF('CancerUnderStudy-ConceptMap'!Q17=0,"//---END",'CancerUnderStudy-ConceptMap'!Q17)</f>
        <v>* group[=].element[=].target.code = #Osiris.Patient.BirthDate</v>
      </c>
    </row>
    <row r="28" spans="2:7">
      <c r="B28" s="12" t="str">
        <f>IF('CancerUnderStudy-ConceptMap'!Q18=0,"//---END",'CancerUnderStudy-ConceptMap'!Q18)</f>
        <v>* group[=].element[=].target.display = ##34#Birth Date [C4]##34#</v>
      </c>
    </row>
    <row r="29" spans="2:7">
      <c r="B29" s="12" t="str">
        <f>IF('CancerUnderStudy-ConceptMap'!Q19=0,"//---END",'CancerUnderStudy-ConceptMap'!Q19)</f>
        <v>* group[=].element[=].target.equivalence = #relatedto</v>
      </c>
    </row>
    <row r="30" spans="2:7">
      <c r="B30" s="12" t="str">
        <f>IF('CancerUnderStudy-ConceptMap'!Q20=0,"//---END",'CancerUnderStudy-ConceptMap'!Q20)</f>
        <v>* group[=].element[+].code = #CancerUnderStudy.ageAtDiagnosis</v>
      </c>
    </row>
    <row r="31" spans="2:7">
      <c r="B31" s="12" t="str">
        <f>IF('CancerUnderStudy-ConceptMap'!Q21=0,"//---END",'CancerUnderStudy-ConceptMap'!Q21)</f>
        <v>* group[=].element[=].display = ##34#Age at diagnosis##34#</v>
      </c>
    </row>
    <row r="32" spans="2:7">
      <c r="B32" s="12" t="str">
        <f>IF('CancerUnderStudy-ConceptMap'!Q22=0,"//---END",'CancerUnderStudy-ConceptMap'!Q22)</f>
        <v>* group[=].element[=].target.code = #Osiris.Patient.BirthDate</v>
      </c>
    </row>
    <row r="33" spans="2:2">
      <c r="B33" s="12" t="str">
        <f>IF('CancerUnderStudy-ConceptMap'!Q23=0,"//---END",'CancerUnderStudy-ConceptMap'!Q23)</f>
        <v>* group[=].element[=].target.display = ##34#Birth Date [C4]##34#</v>
      </c>
    </row>
    <row r="34" spans="2:2">
      <c r="B34" s="12" t="str">
        <f>IF('CancerUnderStudy-ConceptMap'!Q24=0,"//---END",'CancerUnderStudy-ConceptMap'!Q24)</f>
        <v>* group[=].element[=].target.equivalence = #equivalent</v>
      </c>
    </row>
    <row r="35" spans="2:2">
      <c r="B35" s="12" t="str">
        <f>IF('CancerUnderStudy-ConceptMap'!Q25=0,"//---END",'CancerUnderStudy-ConceptMap'!Q25)</f>
        <v>* group[=].element[+].code = #CancerUnderStudy.histologySubgroup</v>
      </c>
    </row>
    <row r="36" spans="2:2">
      <c r="B36" s="12" t="str">
        <f>IF('CancerUnderStudy-ConceptMap'!Q26=0,"//---END",'CancerUnderStudy-ConceptMap'!Q26)</f>
        <v>* group[=].element[=].display = ##34#histologySubgroup.histology (WHO 2017) subgroup##34#</v>
      </c>
    </row>
    <row r="37" spans="2:2">
      <c r="B37" s="12" t="str">
        <f>IF('CancerUnderStudy-ConceptMap'!Q27=0,"//---END",'CancerUnderStudy-ConceptMap'!Q27)</f>
        <v>//-- unmatched</v>
      </c>
    </row>
    <row r="38" spans="2:2">
      <c r="B38" s="12" t="str">
        <f>IF('CancerUnderStudy-ConceptMap'!Q28=0,"//---END",'CancerUnderStudy-ConceptMap'!Q28)</f>
        <v>//-- unmatched</v>
      </c>
    </row>
    <row r="39" spans="2:2">
      <c r="B39" s="12" t="str">
        <f>IF('CancerUnderStudy-ConceptMap'!Q29=0,"//---END",'CancerUnderStudy-ConceptMap'!Q29)</f>
        <v>* group[=].element[=].target.equivalence = #unmatched</v>
      </c>
    </row>
    <row r="40" spans="2:2">
      <c r="B40" s="12" t="str">
        <f>IF('CancerUnderStudy-ConceptMap'!Q30=0,"//---END",'CancerUnderStudy-ConceptMap'!Q30)</f>
        <v>* group[=].element[+].code = #CancerUnderStudy.histologySubgroup.histologySquamous</v>
      </c>
    </row>
    <row r="41" spans="2:2">
      <c r="B41" s="12" t="str">
        <f>IF('CancerUnderStudy-ConceptMap'!Q31=0,"//---END",'CancerUnderStudy-ConceptMap'!Q31)</f>
        <v>* group[=].element[=].display = ##34#Specifies the histological subgroup for squamous cancers##34#</v>
      </c>
    </row>
    <row r="42" spans="2:2">
      <c r="B42" s="12" t="str">
        <f>IF('CancerUnderStudy-ConceptMap'!Q32=0,"//---END",'CancerUnderStudy-ConceptMap'!Q32)</f>
        <v>//-- unmatched</v>
      </c>
    </row>
    <row r="43" spans="2:2">
      <c r="B43" s="12" t="str">
        <f>IF('CancerUnderStudy-ConceptMap'!Q33=0,"//---END",'CancerUnderStudy-ConceptMap'!Q33)</f>
        <v>//-- unmatched</v>
      </c>
    </row>
    <row r="44" spans="2:2">
      <c r="B44" s="12" t="str">
        <f>IF('CancerUnderStudy-ConceptMap'!Q34=0,"//---END",'CancerUnderStudy-ConceptMap'!Q34)</f>
        <v>* group[=].element[=].target.equivalence = #unmatched</v>
      </c>
    </row>
    <row r="45" spans="2:2">
      <c r="B45" s="12" t="str">
        <f>IF('CancerUnderStudy-ConceptMap'!Q35=0,"//---END",'CancerUnderStudy-ConceptMap'!Q35)</f>
        <v>* group[=].element[+].code = #CancerUnderStudy.histologySubgroup.histologyAdenocarcinoma</v>
      </c>
    </row>
    <row r="46" spans="2:2">
      <c r="B46" s="12" t="str">
        <f>IF('CancerUnderStudy-ConceptMap'!Q36=0,"//---END",'CancerUnderStudy-ConceptMap'!Q36)</f>
        <v>* group[=].element[=].display = ##34#Specifies the histological subgroup for adenocarcinomas##34#</v>
      </c>
    </row>
    <row r="47" spans="2:2">
      <c r="B47" s="12" t="str">
        <f>IF('CancerUnderStudy-ConceptMap'!Q37=0,"//---END",'CancerUnderStudy-ConceptMap'!Q37)</f>
        <v>* group[=].element[=].target.code = #Osiris.Patient.Gender</v>
      </c>
    </row>
    <row r="48" spans="2:2">
      <c r="B48" s="12" t="str">
        <f>IF('CancerUnderStudy-ConceptMap'!Q38=0,"//---END",'CancerUnderStudy-ConceptMap'!Q38)</f>
        <v>* group[=].element[=].target.display = ##34#Gender [C2]##34#</v>
      </c>
    </row>
    <row r="49" spans="2:2">
      <c r="B49" s="12" t="str">
        <f>IF('CancerUnderStudy-ConceptMap'!Q39=0,"//---END",'CancerUnderStudy-ConceptMap'!Q39)</f>
        <v>* group[=].element[=].target.equivalence = #narrower</v>
      </c>
    </row>
    <row r="50" spans="2:2">
      <c r="B50" s="12" t="str">
        <f>IF('CancerUnderStudy-ConceptMap'!Q40=0,"//---END",'CancerUnderStudy-ConceptMap'!Q40)</f>
        <v>* group[=].element[+].code = #CancerUnderStudy.histologySubgroup.histologyNeuroendocrine</v>
      </c>
    </row>
    <row r="51" spans="2:2">
      <c r="B51" s="12" t="str">
        <f>IF('CancerUnderStudy-ConceptMap'!Q41=0,"//---END",'CancerUnderStudy-ConceptMap'!Q41)</f>
        <v>* group[=].element[=].display = ##34#Specifies the histological subgroup for neuroendocrine cancers ##34#</v>
      </c>
    </row>
    <row r="52" spans="2:2">
      <c r="B52" s="12" t="str">
        <f>IF('CancerUnderStudy-ConceptMap'!Q42=0,"//---END",'CancerUnderStudy-ConceptMap'!Q42)</f>
        <v>* group[=].element[=].target.code = #Osiris.Patient.Ethnicity</v>
      </c>
    </row>
    <row r="53" spans="2:2">
      <c r="B53" s="12" t="str">
        <f>IF('CancerUnderStudy-ConceptMap'!Q43=0,"//---END",'CancerUnderStudy-ConceptMap'!Q43)</f>
        <v>* group[=].element[=].target.display = ##34#Ethnicity [C3]##34#</v>
      </c>
    </row>
    <row r="54" spans="2:2">
      <c r="B54" s="12" t="str">
        <f>IF('CancerUnderStudy-ConceptMap'!Q44=0,"//---END",'CancerUnderStudy-ConceptMap'!Q44)</f>
        <v>* group[=].element[=].target.equivalence = #wider</v>
      </c>
    </row>
    <row r="55" spans="2:2">
      <c r="B55" s="12" t="str">
        <f>IF('CancerUnderStudy-ConceptMap'!Q45=0,"//---END",'CancerUnderStudy-ConceptMap'!Q45)</f>
        <v>* group[=].element[+].code = #CancerUnderStudy.histologySubgroup.histologyOdontogenicCarcinoma</v>
      </c>
    </row>
    <row r="56" spans="2:2">
      <c r="B56" s="12" t="str">
        <f>IF('CancerUnderStudy-ConceptMap'!Q46=0,"//---END",'CancerUnderStudy-ConceptMap'!Q46)</f>
        <v>* group[=].element[=].display = ##34#Specifies the histological subgroup for odontogenic carcinomas##34#</v>
      </c>
    </row>
    <row r="57" spans="2:2">
      <c r="B57" s="12" t="str">
        <f>IF('CancerUnderStudy-ConceptMap'!Q47=0,"//---END",'CancerUnderStudy-ConceptMap'!Q47)</f>
        <v>//-- unmatched</v>
      </c>
    </row>
    <row r="58" spans="2:2">
      <c r="B58" s="12" t="str">
        <f>IF('CancerUnderStudy-ConceptMap'!Q48=0,"//---END",'CancerUnderStudy-ConceptMap'!Q48)</f>
        <v>//-- unmatched</v>
      </c>
    </row>
    <row r="59" spans="2:2">
      <c r="B59" s="12" t="str">
        <f>IF('CancerUnderStudy-ConceptMap'!Q49=0,"//---END",'CancerUnderStudy-ConceptMap'!Q49)</f>
        <v>* group[=].element[=].target.equivalence = #unmatched</v>
      </c>
    </row>
    <row r="60" spans="2:2">
      <c r="B60" s="12" t="str">
        <f>IF('CancerUnderStudy-ConceptMap'!Q50=0,"//---END",'CancerUnderStudy-ConceptMap'!Q50)</f>
        <v>//---END</v>
      </c>
    </row>
    <row r="61" spans="2:2">
      <c r="B61" s="12" t="str">
        <f>IF('CancerUnderStudy-ConceptMap'!Q51=0,"//---END",'CancerUnderStudy-ConceptMap'!Q51)</f>
        <v>//---END</v>
      </c>
    </row>
    <row r="62" spans="2:2">
      <c r="B62" s="12" t="str">
        <f>IF('CancerUnderStudy-ConceptMap'!Q52=0,"//---END",'CancerUnderStudy-ConceptMap'!Q52)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20"/>
  <sheetViews>
    <sheetView workbookViewId="0">
      <selection activeCell="I1" sqref="I1:I2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4" t="s">
        <v>21</v>
      </c>
    </row>
    <row r="2" spans="1:9">
      <c r="I2" s="25" t="s">
        <v>20</v>
      </c>
    </row>
    <row r="3" spans="1:9" ht="15.5" thickBot="1">
      <c r="I3" s="25" t="str">
        <f>I1</f>
        <v>// -------------------------------------------------------------------------------</v>
      </c>
    </row>
    <row r="4" spans="1:9">
      <c r="A4" s="5" t="s">
        <v>12</v>
      </c>
      <c r="B4" s="46" t="s">
        <v>154</v>
      </c>
      <c r="I4" s="17" t="str">
        <f>CONCATENATE("Logical: ",B4)</f>
        <v>Logical: SubjectI4rc</v>
      </c>
    </row>
    <row r="5" spans="1:9">
      <c r="A5" s="15" t="s">
        <v>17</v>
      </c>
      <c r="B5" s="47" t="s">
        <v>10</v>
      </c>
      <c r="I5" s="17" t="str">
        <f>CONCATENATE("Id: ",B5)</f>
        <v>Id: Subject</v>
      </c>
    </row>
    <row r="6" spans="1:9">
      <c r="A6" s="15" t="s">
        <v>11</v>
      </c>
      <c r="B6" s="48" t="s">
        <v>155</v>
      </c>
      <c r="I6" s="18" t="str">
        <f>CONCATENATE("Title: ##34#",B6,"##34#")</f>
        <v>Title: ##34#Subject of care##34#</v>
      </c>
    </row>
    <row r="7" spans="1:9" ht="30.25" thickBot="1">
      <c r="A7" s="27" t="s">
        <v>3</v>
      </c>
      <c r="B7" s="49" t="s">
        <v>156</v>
      </c>
      <c r="C7" s="9" t="s">
        <v>4</v>
      </c>
      <c r="D7" s="1" t="s">
        <v>5</v>
      </c>
      <c r="E7" s="3" t="s">
        <v>6</v>
      </c>
      <c r="F7" s="3" t="s">
        <v>7</v>
      </c>
      <c r="G7" s="3" t="s">
        <v>8</v>
      </c>
      <c r="I7" s="18" t="str">
        <f>CONCATENATE("Description: "," ##334#",B7,"##334#",)</f>
        <v>Description:  ##334#Subject of care 
Maturity Level: 0 Draft##334#</v>
      </c>
    </row>
    <row r="8" spans="1:9" ht="59">
      <c r="A8" s="11">
        <v>1</v>
      </c>
      <c r="B8" s="11" t="s">
        <v>157</v>
      </c>
      <c r="C8" s="14" t="s">
        <v>33</v>
      </c>
      <c r="D8" s="12" t="s">
        <v>35</v>
      </c>
      <c r="E8" s="11">
        <v>1</v>
      </c>
      <c r="F8" s="11">
        <v>1</v>
      </c>
      <c r="G8" s="11" t="s">
        <v>2</v>
      </c>
      <c r="H8" s="26"/>
      <c r="I8" s="12" t="str">
        <f t="shared" ref="I8:I20" si="0">CONCATENATE("* ",B8, " ",E8,"..",F8," ",G8," ##34#",C8,"##34# ##334#",D8,"##334#")</f>
        <v>* dateOfBirth 1..1 BackboneElement ##34#Date of birth##34# ##334#Date of birth as recorded in the patient's identity document or in the hospital record. In the absence of documentation, the one declared by the patient will be recorded##334#</v>
      </c>
    </row>
    <row r="9" spans="1:9" ht="59">
      <c r="A9" s="11">
        <v>2</v>
      </c>
      <c r="B9" s="11" t="s">
        <v>158</v>
      </c>
      <c r="C9" s="14" t="s">
        <v>33</v>
      </c>
      <c r="D9" s="12" t="s">
        <v>35</v>
      </c>
      <c r="E9" s="11">
        <v>0</v>
      </c>
      <c r="F9" s="11">
        <v>1</v>
      </c>
      <c r="G9" s="11" t="s">
        <v>164</v>
      </c>
      <c r="H9" s="26"/>
      <c r="I9" s="12" t="str">
        <f t="shared" si="0"/>
        <v>* dateOfBirth.date 0..1 date ##34#Date of birth##34# ##334#Date of birth as recorded in the patient's identity document or in the hospital record. In the absence of documentation, the one declared by the patient will be recorded##334#</v>
      </c>
    </row>
    <row r="10" spans="1:9" ht="29.5">
      <c r="A10" s="11">
        <v>3</v>
      </c>
      <c r="B10" s="11" t="s">
        <v>159</v>
      </c>
      <c r="C10" s="14" t="s">
        <v>39</v>
      </c>
      <c r="D10" s="12" t="s">
        <v>41</v>
      </c>
      <c r="E10" s="11">
        <v>0</v>
      </c>
      <c r="F10" s="11">
        <v>1</v>
      </c>
      <c r="G10" s="11" t="s">
        <v>165</v>
      </c>
      <c r="H10" s="26"/>
      <c r="I10" s="12" t="str">
        <f t="shared" si="0"/>
        <v>* dateOfBirth.unknown 0..1 boolean ##34#Date of birth day unknown##34# ##334#Describes if day of date of birthday is unknown##334#</v>
      </c>
    </row>
    <row r="11" spans="1:9" ht="44.25">
      <c r="A11" s="11">
        <v>4</v>
      </c>
      <c r="B11" s="11" t="s">
        <v>160</v>
      </c>
      <c r="C11" s="14" t="s">
        <v>50</v>
      </c>
      <c r="D11" s="12" t="s">
        <v>52</v>
      </c>
      <c r="E11" s="11">
        <v>0</v>
      </c>
      <c r="F11" s="11">
        <v>1</v>
      </c>
      <c r="G11" s="11" t="s">
        <v>0</v>
      </c>
      <c r="H11" s="26"/>
      <c r="I11" s="12" t="str">
        <f t="shared" si="0"/>
        <v>* maritalStatus 0..1 CodeableConcept ##34#Marital status##34# ##334#Describes the marital status declared by the patient, at the time of diagnosis (section 4, Primary Cancer)##334#</v>
      </c>
    </row>
    <row r="12" spans="1:9" ht="59">
      <c r="A12" s="11">
        <v>5</v>
      </c>
      <c r="B12" s="11" t="s">
        <v>161</v>
      </c>
      <c r="C12" s="50" t="s">
        <v>166</v>
      </c>
      <c r="D12" s="51" t="s">
        <v>167</v>
      </c>
      <c r="E12" s="11">
        <v>1</v>
      </c>
      <c r="F12" s="11">
        <v>1</v>
      </c>
      <c r="G12" s="11" t="s">
        <v>0</v>
      </c>
      <c r="H12" s="26"/>
      <c r="I12" s="12" t="str">
        <f t="shared" si="0"/>
        <v>* sexOrGender 1..1 CodeableConcept ##34#Gender/Sex##34# ##334#Describes biological sex as recorded in the patient's identity document or in the hospital record. In the absence of documentation, the one declared by the patient will be recorded##334#</v>
      </c>
    </row>
    <row r="13" spans="1:9" ht="44.25">
      <c r="A13" s="11">
        <v>6</v>
      </c>
      <c r="B13" s="11" t="s">
        <v>162</v>
      </c>
      <c r="C13" s="14" t="s">
        <v>59</v>
      </c>
      <c r="D13" s="12" t="s">
        <v>61</v>
      </c>
      <c r="E13" s="11">
        <v>0</v>
      </c>
      <c r="F13" s="11" t="s">
        <v>9</v>
      </c>
      <c r="G13" s="11" t="s">
        <v>0</v>
      </c>
      <c r="H13" s="26"/>
      <c r="I13" s="12" t="str">
        <f t="shared" si="0"/>
        <v>* race 0..* CodeableConcept ##34#Race##34# ##334#Describes race as recorded in  the hospital record, the one declared by the patient,, otherwise, the onerecognized by the observer##334#</v>
      </c>
    </row>
    <row r="14" spans="1:9" ht="29.5">
      <c r="A14" s="11">
        <v>7</v>
      </c>
      <c r="B14" s="11" t="s">
        <v>163</v>
      </c>
      <c r="C14" s="14" t="s">
        <v>65</v>
      </c>
      <c r="D14" s="12" t="s">
        <v>67</v>
      </c>
      <c r="E14" s="11">
        <v>0</v>
      </c>
      <c r="F14" s="11" t="s">
        <v>9</v>
      </c>
      <c r="G14" s="11" t="s">
        <v>0</v>
      </c>
      <c r="H14" s="26"/>
      <c r="I14" s="12" t="str">
        <f t="shared" si="0"/>
        <v>* countryOfResidence 0..* CodeableConcept ##34#Country of Residence ##34# ##334#Country of residence at the time of diagnosis##334#</v>
      </c>
    </row>
    <row r="15" spans="1:9">
      <c r="A15" s="11"/>
      <c r="B15" s="11"/>
      <c r="C15" s="11"/>
      <c r="D15" s="11"/>
      <c r="E15" s="11"/>
      <c r="F15" s="11"/>
      <c r="G15" s="11"/>
      <c r="H15" s="26"/>
      <c r="I15" s="12" t="str">
        <f t="shared" si="0"/>
        <v>*  ..  ##34###34# ##334###334#</v>
      </c>
    </row>
    <row r="16" spans="1:9">
      <c r="A16" s="11"/>
      <c r="B16" s="11"/>
      <c r="C16" s="11"/>
      <c r="D16" s="12"/>
      <c r="E16" s="11"/>
      <c r="F16" s="11"/>
      <c r="G16" s="11"/>
      <c r="H16" s="26"/>
      <c r="I16" s="12" t="str">
        <f t="shared" si="0"/>
        <v>*  ..  ##34###34# ##334###334#</v>
      </c>
    </row>
    <row r="17" spans="9:9">
      <c r="I17" s="12" t="str">
        <f t="shared" si="0"/>
        <v>*  ..  ##34###34# ##334###334#</v>
      </c>
    </row>
    <row r="18" spans="9:9">
      <c r="I18" s="12" t="str">
        <f t="shared" si="0"/>
        <v>*  ..  ##34###34# ##334###334#</v>
      </c>
    </row>
    <row r="19" spans="9:9">
      <c r="I19" s="12" t="str">
        <f t="shared" si="0"/>
        <v>*  ..  ##34###34# ##334###334#</v>
      </c>
    </row>
    <row r="20" spans="9:9">
      <c r="I20" s="12" t="str">
        <f t="shared" si="0"/>
        <v>*  ..  ##34###34# ##334###334#</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4"/>
  <sheetViews>
    <sheetView workbookViewId="0">
      <selection activeCell="I1" sqref="I1:I20"/>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176</v>
      </c>
      <c r="E4" s="20" t="str">
        <f>CONCATENATE("Mapping: ",C4)</f>
        <v>Mapping: I4RCSubject2Fhir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Subject</v>
      </c>
      <c r="E7" s="21" t="str">
        <f>CONCATENATE("Source: ",C7)</f>
        <v>Source: Subject</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Subject!B5</f>
        <v>Subject</v>
      </c>
      <c r="C9" s="6" t="s">
        <v>15</v>
      </c>
      <c r="E9" s="28" t="str">
        <f>CONCATENATE("* -&gt; ##34#",C9,"##34#")</f>
        <v>* -&gt; ##34#Patient##34#</v>
      </c>
      <c r="H9" s="7"/>
      <c r="I9" s="7"/>
      <c r="J9" s="7"/>
      <c r="K9" s="7"/>
      <c r="L9" s="7"/>
      <c r="M9" s="7"/>
      <c r="N9" s="7"/>
      <c r="O9" s="7"/>
    </row>
    <row r="10" spans="1:15">
      <c r="A10" s="11"/>
      <c r="B10" s="11" t="str">
        <f>Subject!B8</f>
        <v>dateOfBirth</v>
      </c>
      <c r="C10" s="11" t="s">
        <v>169</v>
      </c>
      <c r="E10" s="12" t="str">
        <f t="shared" ref="E10:E25" si="0">IF(B10=0,"*  -&gt; ##34###34#",CONCATENATE("* ",B10," -&gt; ##34#",C10,"##34#"))</f>
        <v>* dateOfBirth -&gt; ##34#.birthDate##34#</v>
      </c>
      <c r="H10" s="7"/>
      <c r="I10" s="7"/>
      <c r="J10" s="7"/>
      <c r="K10" s="7"/>
      <c r="L10" s="7"/>
      <c r="M10" s="7"/>
      <c r="N10" s="7"/>
      <c r="O10" s="7"/>
    </row>
    <row r="11" spans="1:15">
      <c r="A11" s="11"/>
      <c r="B11" s="11" t="str">
        <f>Subject!B9</f>
        <v>dateOfBirth.date</v>
      </c>
      <c r="C11" s="11" t="s">
        <v>169</v>
      </c>
      <c r="E11" s="12" t="str">
        <f t="shared" si="0"/>
        <v>* dateOfBirth.date -&gt; ##34#.birthDate##34#</v>
      </c>
      <c r="H11" s="7"/>
      <c r="I11" s="7"/>
      <c r="J11" s="7"/>
      <c r="K11" s="7"/>
      <c r="L11" s="7"/>
      <c r="M11" s="7"/>
      <c r="N11" s="7"/>
      <c r="O11" s="7"/>
    </row>
    <row r="12" spans="1:15">
      <c r="A12" s="11"/>
      <c r="B12" s="11" t="str">
        <f>Subject!B10</f>
        <v>dateOfBirth.unknown</v>
      </c>
      <c r="C12" s="11" t="s">
        <v>170</v>
      </c>
      <c r="E12" s="12" t="str">
        <f t="shared" si="0"/>
        <v>* dateOfBirth.unknown -&gt; ##34#.birthDate.extension('data-absent-reason').where(valueCode = 'unknown')##34#</v>
      </c>
      <c r="H12" s="7"/>
      <c r="I12" s="7"/>
      <c r="J12" s="7"/>
      <c r="K12" s="7"/>
      <c r="L12" s="7"/>
      <c r="M12" s="7"/>
      <c r="N12" s="7"/>
      <c r="O12" s="7"/>
    </row>
    <row r="13" spans="1:15">
      <c r="A13" s="11"/>
      <c r="B13" s="11" t="str">
        <f>Subject!B11</f>
        <v>maritalStatus</v>
      </c>
      <c r="C13" s="11" t="s">
        <v>171</v>
      </c>
      <c r="E13" s="12" t="str">
        <f t="shared" si="0"/>
        <v>* maritalStatus -&gt; ##34#.maritalStatus##34#</v>
      </c>
      <c r="H13" s="7"/>
      <c r="I13" s="7"/>
      <c r="J13" s="7"/>
      <c r="K13" s="7"/>
      <c r="L13" s="7"/>
      <c r="M13" s="7"/>
      <c r="N13" s="7"/>
      <c r="O13" s="7"/>
    </row>
    <row r="14" spans="1:15">
      <c r="A14" s="11"/>
      <c r="B14" s="11" t="str">
        <f>Subject!$B$12</f>
        <v>sexOrGender</v>
      </c>
      <c r="C14" s="11" t="s">
        <v>172</v>
      </c>
      <c r="E14" s="12" t="str">
        <f t="shared" si="0"/>
        <v>* sexOrGender -&gt; ##34#.gender##34#</v>
      </c>
      <c r="H14" s="7"/>
      <c r="I14" s="7"/>
      <c r="J14" s="7"/>
      <c r="K14" s="7"/>
      <c r="L14" s="7"/>
      <c r="M14" s="7"/>
      <c r="N14" s="7"/>
      <c r="O14" s="7"/>
    </row>
    <row r="15" spans="1:15">
      <c r="A15" s="11"/>
      <c r="B15" s="11" t="str">
        <f>Subject!$B$12</f>
        <v>sexOrGender</v>
      </c>
      <c r="C15" s="11" t="s">
        <v>173</v>
      </c>
      <c r="E15" s="12" t="str">
        <f t="shared" si="0"/>
        <v>* sexOrGender -&gt; ##34#.extension('individual-recordedSexOrGender').value##34#</v>
      </c>
      <c r="H15" s="7"/>
      <c r="I15" s="7"/>
      <c r="J15" s="7"/>
      <c r="K15" s="7"/>
      <c r="L15" s="7"/>
      <c r="M15" s="7"/>
      <c r="N15" s="7"/>
      <c r="O15" s="7"/>
    </row>
    <row r="16" spans="1:15">
      <c r="A16" s="11"/>
      <c r="B16" s="11" t="str">
        <f>Subject!$B$12</f>
        <v>sexOrGender</v>
      </c>
      <c r="C16" s="11" t="s">
        <v>174</v>
      </c>
      <c r="E16" s="12" t="str">
        <f t="shared" si="0"/>
        <v>* sexOrGender -&gt; ##34#.extension('patient-sexForClinicalUse').value##34#</v>
      </c>
      <c r="H16" s="7"/>
      <c r="I16" s="7"/>
      <c r="J16" s="7"/>
      <c r="K16" s="7"/>
      <c r="L16" s="7"/>
      <c r="M16" s="7"/>
      <c r="N16" s="7"/>
      <c r="O16" s="7"/>
    </row>
    <row r="17" spans="1:5">
      <c r="A17" s="11"/>
      <c r="B17" s="11" t="str">
        <f>Subject!B13</f>
        <v>race</v>
      </c>
      <c r="C17" s="11" t="s">
        <v>23</v>
      </c>
      <c r="E17" s="12" t="str">
        <f t="shared" si="0"/>
        <v>* race -&gt; ##34#to be mapped##34#</v>
      </c>
    </row>
    <row r="18" spans="1:5">
      <c r="A18" s="11"/>
      <c r="B18" s="11" t="str">
        <f>Subject!B14</f>
        <v>countryOfResidence</v>
      </c>
      <c r="C18" s="11" t="s">
        <v>175</v>
      </c>
      <c r="E18" s="12" t="str">
        <f t="shared" si="0"/>
        <v>* countryOfResidence -&gt; ##34#.address.country##34#</v>
      </c>
    </row>
    <row r="19" spans="1:5">
      <c r="A19" s="11"/>
      <c r="B19" s="11">
        <f>Subject!B15</f>
        <v>0</v>
      </c>
      <c r="C19" s="12"/>
      <c r="E19" s="12" t="str">
        <f t="shared" si="0"/>
        <v>*  -&gt; ##34###34#</v>
      </c>
    </row>
    <row r="20" spans="1:5">
      <c r="A20" s="11"/>
      <c r="B20" s="11">
        <f>Subject!B16</f>
        <v>0</v>
      </c>
      <c r="C20" s="12"/>
      <c r="E20" s="12" t="str">
        <f t="shared" si="0"/>
        <v>*  -&gt; ##34###34#</v>
      </c>
    </row>
    <row r="21" spans="1:5">
      <c r="B21" s="11">
        <f>Subject!B17</f>
        <v>0</v>
      </c>
      <c r="C21" s="12"/>
      <c r="E21" s="12" t="str">
        <f t="shared" si="0"/>
        <v>*  -&gt; ##34###34#</v>
      </c>
    </row>
    <row r="22" spans="1:5">
      <c r="B22" s="11">
        <f>Subject!B18</f>
        <v>0</v>
      </c>
      <c r="C22" s="12"/>
      <c r="E22" s="12" t="str">
        <f t="shared" si="0"/>
        <v>*  -&gt; ##34###34#</v>
      </c>
    </row>
    <row r="23" spans="1:5">
      <c r="B23" s="11">
        <f>Subject!B19</f>
        <v>0</v>
      </c>
      <c r="C23" s="12"/>
      <c r="E23" s="12" t="str">
        <f t="shared" si="0"/>
        <v>*  -&gt; ##34###34#</v>
      </c>
    </row>
    <row r="24" spans="1:5">
      <c r="B24" s="11">
        <f>Subject!B20</f>
        <v>0</v>
      </c>
      <c r="C24" s="12"/>
      <c r="E24" s="12" t="str">
        <f t="shared" si="0"/>
        <v>*  -&gt; ##34###34#</v>
      </c>
    </row>
    <row r="25" spans="1:5">
      <c r="B25" s="11">
        <f>Subject!B21</f>
        <v>0</v>
      </c>
      <c r="C25" s="12"/>
      <c r="E25" s="12" t="str">
        <f t="shared" si="0"/>
        <v>*  -&gt; ##34###34#</v>
      </c>
    </row>
    <row r="26" spans="1:5">
      <c r="B26" s="11">
        <f>Subject!B22</f>
        <v>0</v>
      </c>
      <c r="C26" s="12"/>
      <c r="E26" s="12"/>
    </row>
    <row r="27" spans="1:5">
      <c r="B27" s="11">
        <f>Subject!B23</f>
        <v>0</v>
      </c>
      <c r="C27" s="12"/>
      <c r="E27" s="12"/>
    </row>
    <row r="28" spans="1:5">
      <c r="B28" s="11">
        <f>Subject!B24</f>
        <v>0</v>
      </c>
      <c r="E28" s="12"/>
    </row>
    <row r="29" spans="1:5">
      <c r="B29" s="11">
        <f>Subject!B25</f>
        <v>0</v>
      </c>
      <c r="C29" s="12"/>
      <c r="E29" s="12"/>
    </row>
    <row r="30" spans="1:5">
      <c r="B30" s="11">
        <f>Subject!B26</f>
        <v>0</v>
      </c>
      <c r="E30" s="12"/>
    </row>
    <row r="31" spans="1:5">
      <c r="B31" s="11">
        <f>Subject!B27</f>
        <v>0</v>
      </c>
      <c r="E31" s="12"/>
    </row>
    <row r="32" spans="1:5">
      <c r="B32" s="11">
        <f>Subject!B28</f>
        <v>0</v>
      </c>
      <c r="E32" s="12"/>
    </row>
    <row r="33" spans="2:2">
      <c r="B33" s="11">
        <f>Subject!B29</f>
        <v>0</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1"/>
  <sheetViews>
    <sheetView workbookViewId="0">
      <selection activeCell="I1" sqref="I1:I20"/>
    </sheetView>
  </sheetViews>
  <sheetFormatPr defaultRowHeight="14.75"/>
  <cols>
    <col min="3" max="3" width="108.2265625" style="12" customWidth="1"/>
    <col min="7" max="7" width="29.54296875" customWidth="1"/>
    <col min="8" max="8" width="54.90625" customWidth="1"/>
  </cols>
  <sheetData>
    <row r="1" spans="3:7" ht="15.5" thickBot="1">
      <c r="C1" s="24" t="str">
        <f>Subject!I1</f>
        <v>// -------------------------------------------------------------------------------</v>
      </c>
    </row>
    <row r="2" spans="3:7" ht="16.75" thickBot="1">
      <c r="C2" s="25" t="str">
        <f>Subject!I2</f>
        <v>//  Logical Model</v>
      </c>
      <c r="G2" s="30" t="s">
        <v>177</v>
      </c>
    </row>
    <row r="3" spans="3:7">
      <c r="C3" s="25" t="str">
        <f>Subject!I3</f>
        <v>// -------------------------------------------------------------------------------</v>
      </c>
    </row>
    <row r="4" spans="3:7">
      <c r="C4" s="17" t="str">
        <f>Subject!I4</f>
        <v>Logical: SubjectI4rc</v>
      </c>
    </row>
    <row r="5" spans="3:7">
      <c r="C5" s="17" t="str">
        <f>Subject!I5</f>
        <v>Id: Subject</v>
      </c>
    </row>
    <row r="6" spans="3:7">
      <c r="C6" s="17" t="str">
        <f>Subject!I6</f>
        <v>Title: ##34#Subject of care##34#</v>
      </c>
    </row>
    <row r="7" spans="3:7" ht="29.5">
      <c r="C7" s="17" t="str">
        <f>Subject!I7</f>
        <v>Description:  ##334#Subject of care 
Maturity Level: 0 Draft##334#</v>
      </c>
    </row>
    <row r="8" spans="3:7" ht="29.5">
      <c r="C8" s="12" t="str">
        <f>IF(Subject!I8="*  ..  ##34###34# ##334###334#","//--- END",Subject!I8)</f>
        <v>* dateOfBirth 1..1 BackboneElement ##34#Date of birth##34# ##334#Date of birth as recorded in the patient's identity document or in the hospital record. In the absence of documentation, the one declared by the patient will be recorded##334#</v>
      </c>
    </row>
    <row r="9" spans="3:7" ht="29.5">
      <c r="C9" s="12" t="str">
        <f>IF(Subject!I9="*  ..  ##34###34# ##334###334#","//--- END",Subject!I9)</f>
        <v>* dateOfBirth.date 0..1 date ##34#Date of birth##34# ##334#Date of birth as recorded in the patient's identity document or in the hospital record. In the absence of documentation, the one declared by the patient will be recorded##334#</v>
      </c>
    </row>
    <row r="10" spans="3:7" ht="29.5">
      <c r="C10" s="12" t="str">
        <f>IF(Subject!I10="*  ..  ##34###34# ##334###334#","//--- END",Subject!I10)</f>
        <v>* dateOfBirth.unknown 0..1 boolean ##34#Date of birth day unknown##34# ##334#Describes if day of date of birthday is unknown##334#</v>
      </c>
    </row>
    <row r="11" spans="3:7" ht="29.5">
      <c r="C11" s="12" t="str">
        <f>IF(Subject!I11="*  ..  ##34###34# ##334###334#","//--- END",Subject!I11)</f>
        <v>* maritalStatus 0..1 CodeableConcept ##34#Marital status##34# ##334#Describes the marital status declared by the patient, at the time of diagnosis (section 4, Primary Cancer)##334#</v>
      </c>
    </row>
    <row r="12" spans="3:7" ht="44.25">
      <c r="C12" s="12" t="str">
        <f>IF(Subject!I12="*  ..  ##34###34# ##334###334#","//--- END",Subject!I12)</f>
        <v>* sexOrGender 1..1 CodeableConcept ##34#Gender/Sex##34# ##334#Describes biological sex as recorded in the patient's identity document or in the hospital record. In the absence of documentation, the one declared by the patient will be recorded##334#</v>
      </c>
    </row>
    <row r="13" spans="3:7" ht="29.5">
      <c r="C13" s="12" t="str">
        <f>IF(Subject!I13="*  ..  ##34###34# ##334###334#","//--- END",Subject!I13)</f>
        <v>* race 0..* CodeableConcept ##34#Race##34# ##334#Describes race as recorded in  the hospital record, the one declared by the patient,, otherwise, the onerecognized by the observer##334#</v>
      </c>
    </row>
    <row r="14" spans="3:7" ht="29.5">
      <c r="C14" s="12" t="str">
        <f>IF(Subject!I14="*  ..  ##34###34# ##334###334#","//--- END",Subject!I14)</f>
        <v>* countryOfResidence 0..* CodeableConcept ##34#Country of Residence ##34# ##334#Country of residence at the time of diagnosis##334#</v>
      </c>
    </row>
    <row r="15" spans="3:7">
      <c r="C15" s="12" t="str">
        <f>IF(Subject!I15="*  ..  ##34###34# ##334###334#","//--- END",Subject!I15)</f>
        <v>//--- END</v>
      </c>
    </row>
    <row r="16" spans="3:7">
      <c r="C16" s="12" t="str">
        <f>IF(Subject!I16="*  ..  ##34###34# ##334###334#","//--- END",Subject!I16)</f>
        <v>//--- END</v>
      </c>
    </row>
    <row r="17" spans="3:3">
      <c r="C17" s="12" t="str">
        <f>IF(Subject!I17="*  ..  ##34###34# ##334###334#","//--- END",Subject!I17)</f>
        <v>//--- END</v>
      </c>
    </row>
    <row r="30" spans="3:3">
      <c r="C30" s="24" t="str">
        <f>'Subject-Map-1'!E1</f>
        <v>// -------------------------------------------------------------------------------</v>
      </c>
    </row>
    <row r="31" spans="3:3">
      <c r="C31" s="25" t="str">
        <f>'Subject-Map-1'!E2</f>
        <v>//  Map to FHIR R4</v>
      </c>
    </row>
    <row r="32" spans="3:3">
      <c r="C32" s="25" t="str">
        <f>'Subject-Map-1'!E3</f>
        <v>// -------------------------------------------------------------------------------</v>
      </c>
    </row>
    <row r="33" spans="3:3">
      <c r="C33" s="12" t="str">
        <f>'Subject-Map-1'!E4</f>
        <v>Mapping: I4RCSubject2Fhir</v>
      </c>
    </row>
    <row r="34" spans="3:3">
      <c r="C34" s="12" t="str">
        <f>'Subject-Map-1'!E5</f>
        <v>Id: fhir</v>
      </c>
    </row>
    <row r="35" spans="3:3">
      <c r="C35" s="12" t="str">
        <f>'Subject-Map-1'!E6</f>
        <v>Title: ##34#Idea4RC Subject model to FHIR R4 Map##34#</v>
      </c>
    </row>
    <row r="36" spans="3:3">
      <c r="C36" s="12" t="str">
        <f>'Subject-Map-1'!E7</f>
        <v>Source: Subject</v>
      </c>
    </row>
    <row r="37" spans="3:3">
      <c r="C37" s="12" t="str">
        <f>'Subject-Map-1'!E8</f>
        <v>Target: ##34#hl7.org/fhir/r4##34#</v>
      </c>
    </row>
    <row r="39" spans="3:3">
      <c r="C39" s="4" t="str">
        <f>'Subject-Map-1'!E9</f>
        <v>* -&gt; ##34#Patient##34#</v>
      </c>
    </row>
    <row r="40" spans="3:3">
      <c r="C40" s="12" t="str">
        <f>IF('Subject-Map-1'!E10="*  -&gt; ##34###34#","// --END",'Subject-Map-1'!E10)</f>
        <v>* dateOfBirth -&gt; ##34#.birthDate##34#</v>
      </c>
    </row>
    <row r="41" spans="3:3">
      <c r="C41" s="12" t="str">
        <f>IF('Subject-Map-1'!E11="*  -&gt; ##34###34#","// --END",'Subject-Map-1'!E11)</f>
        <v>* dateOfBirth.date -&gt; ##34#.birthDate##34#</v>
      </c>
    </row>
    <row r="42" spans="3:3">
      <c r="C42" s="12" t="str">
        <f>IF('Subject-Map-1'!E12="*  -&gt; ##34###34#","// --END",'Subject-Map-1'!E12)</f>
        <v>* dateOfBirth.unknown -&gt; ##34#.birthDate.extension('data-absent-reason').where(valueCode = 'unknown')##34#</v>
      </c>
    </row>
    <row r="43" spans="3:3">
      <c r="C43" s="12" t="str">
        <f>IF('Subject-Map-1'!E13="*  -&gt; ##34###34#","// --END",'Subject-Map-1'!E13)</f>
        <v>* maritalStatus -&gt; ##34#.maritalStatus##34#</v>
      </c>
    </row>
    <row r="44" spans="3:3">
      <c r="C44" s="12" t="str">
        <f>IF('Subject-Map-1'!E14="*  -&gt; ##34###34#","// --END",'Subject-Map-1'!E14)</f>
        <v>* sexOrGender -&gt; ##34#.gender##34#</v>
      </c>
    </row>
    <row r="45" spans="3:3">
      <c r="C45" s="12" t="str">
        <f>IF('Subject-Map-1'!E15="*  -&gt; ##34###34#","// --END",'Subject-Map-1'!E15)</f>
        <v>* sexOrGender -&gt; ##34#.extension('individual-recordedSexOrGender').value##34#</v>
      </c>
    </row>
    <row r="46" spans="3:3">
      <c r="C46" s="12" t="str">
        <f>IF('Subject-Map-1'!E16="*  -&gt; ##34###34#","// --END",'Subject-Map-1'!E16)</f>
        <v>* sexOrGender -&gt; ##34#.extension('patient-sexForClinicalUse').value##34#</v>
      </c>
    </row>
    <row r="47" spans="3:3">
      <c r="C47" s="12" t="str">
        <f>IF('Subject-Map-1'!E17="*  -&gt; ##34###34#","// --END",'Subject-Map-1'!E17)</f>
        <v>* race -&gt; ##34#to be mapped##34#</v>
      </c>
    </row>
    <row r="48" spans="3:3">
      <c r="C48" s="12" t="str">
        <f>IF('Subject-Map-1'!E18="*  -&gt; ##34###34#","// --END",'Subject-Map-1'!E18)</f>
        <v>* countryOfResidence -&gt; ##34#.address.country##34#</v>
      </c>
    </row>
    <row r="49" spans="3:3">
      <c r="C49" s="12" t="str">
        <f>IF('Subject-Map-1'!E19="*  -&gt; ##34###34#","// --END",'Subject-Map-1'!E19)</f>
        <v>// --END</v>
      </c>
    </row>
    <row r="50" spans="3:3">
      <c r="C50" s="12" t="str">
        <f>IF('Subject-Map-1'!E20="*  -&gt; ##34###34#","// --END",'Subject-Map-1'!E20)</f>
        <v>// --END</v>
      </c>
    </row>
    <row r="51" spans="3:3">
      <c r="C51" s="12" t="str">
        <f>IF('Subject-Map-1'!E21="*  -&gt; ##34###34#","// --END",'Subject-Map-1'!E21)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AD6AE-01FF-44D5-9E6F-2CF1DEF6AF68}">
  <sheetPr codeName="Foglio43">
    <tabColor theme="9" tint="0.39997558519241921"/>
  </sheetPr>
  <dimension ref="A3:Q184"/>
  <sheetViews>
    <sheetView workbookViewId="0">
      <selection activeCell="I1" sqref="I1:I20"/>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Subject!B5</f>
        <v>Subject</v>
      </c>
      <c r="C10" s="6" t="str">
        <f>Subject!B6</f>
        <v>Subject of care</v>
      </c>
      <c r="D10" s="61" t="str">
        <f>ConvertOsiris!I2</f>
        <v>Patient</v>
      </c>
      <c r="E10" s="61" t="str">
        <f>ConvertOsiris!J2</f>
        <v>Patient</v>
      </c>
      <c r="F10" s="68" t="s">
        <v>1439</v>
      </c>
      <c r="G10" s="62"/>
      <c r="H10" s="12" t="str">
        <f>"* group[=].element[+].code = #"&amp;B10</f>
        <v>* group[=].element[+].code = #Subject</v>
      </c>
      <c r="I10" s="12" t="str">
        <f>"* group[=].element[=].display = ##34#"&amp;C10&amp;"##34#"</f>
        <v>* group[=].element[=].display = ##34#Subject of care##34#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INDEX('Subject-ConceptMap'!$H$10:$L$264,O10+1,P10)</f>
        <v>* group[=].element[+].code = #Subject</v>
      </c>
    </row>
    <row r="11" spans="1:17" ht="44.25">
      <c r="A11" s="63"/>
      <c r="B11" s="11" t="str">
        <f>$B$10&amp;"."&amp;Subject!B8</f>
        <v>Subject.dateOfBirth</v>
      </c>
      <c r="C11" s="11" t="str">
        <f>Subject!C8</f>
        <v>Date of birth</v>
      </c>
      <c r="D11" s="11" t="str">
        <f>ConvertOsiris!I6</f>
        <v>Patient.BirthDate</v>
      </c>
      <c r="E11" s="11" t="str">
        <f>ConvertOsiris!J6</f>
        <v>Birth Date [C4]</v>
      </c>
      <c r="F11" s="68" t="s">
        <v>1417</v>
      </c>
      <c r="G11" s="62"/>
      <c r="H11" s="12" t="str">
        <f t="shared" ref="H11:H17" si="0">"* group[=].element[+].code = #"&amp;B11</f>
        <v>* group[=].element[+].code = #Subject.dateOfBirth</v>
      </c>
      <c r="I11" s="12" t="str">
        <f t="shared" ref="I11:I17" si="1">"* group[=].element[=].display = ##34#"&amp;C11&amp;"##34#"</f>
        <v>* group[=].element[=].display = ##34#Date of birth##34#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INDEX('Subject-ConceptMap'!$H$10:$L$264,O11+1,P11)</f>
        <v>* group[=].element[=].display = ##34#Subject of care##34#</v>
      </c>
    </row>
    <row r="12" spans="1:17" ht="44.25">
      <c r="A12" s="63"/>
      <c r="B12" s="11" t="str">
        <f>$B$10&amp;"."&amp;Subject!B9</f>
        <v>Subject.dateOfBirth.date</v>
      </c>
      <c r="C12" s="11" t="str">
        <f>Subject!C9</f>
        <v>Date of birth</v>
      </c>
      <c r="D12" s="11" t="str">
        <f>ConvertOsiris!I6</f>
        <v>Patient.BirthDate</v>
      </c>
      <c r="E12" s="11" t="str">
        <f>ConvertOsiris!J6</f>
        <v>Birth Date [C4]</v>
      </c>
      <c r="F12" s="68" t="s">
        <v>1439</v>
      </c>
      <c r="G12" s="62"/>
      <c r="H12" s="12" t="str">
        <f t="shared" si="0"/>
        <v>* group[=].element[+].code = #Subject.dateOfBirth.date</v>
      </c>
      <c r="I12" s="12" t="str">
        <f t="shared" si="1"/>
        <v>* group[=].element[=].display = ##34#Date of birth##34#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INDEX('Subject-ConceptMap'!$H$10:$L$264,O12+1,P12)</f>
        <v>* group[=].element[=].target.code = #Osiris.Patient</v>
      </c>
    </row>
    <row r="13" spans="1:17" ht="44.25">
      <c r="A13" s="63"/>
      <c r="B13" s="11" t="str">
        <f>$B$10&amp;"."&amp;Subject!B10</f>
        <v>Subject.dateOfBirth.unknown</v>
      </c>
      <c r="C13" s="11" t="str">
        <f>Subject!C10</f>
        <v>Date of birth day unknown</v>
      </c>
      <c r="D13" s="11"/>
      <c r="E13" s="11"/>
      <c r="F13" s="68" t="s">
        <v>1434</v>
      </c>
      <c r="G13" s="62"/>
      <c r="H13" s="12" t="str">
        <f t="shared" si="0"/>
        <v>* group[=].element[+].code = #Subject.dateOfBirth.unknown</v>
      </c>
      <c r="I13" s="12" t="str">
        <f t="shared" si="1"/>
        <v>* group[=].element[=].display = ##34#Date of birth day unknown##34#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INDEX('Subject-ConceptMap'!$H$10:$L$264,O13+1,P13)</f>
        <v>* group[=].element[=].target.display = ##34#Patient##34#</v>
      </c>
    </row>
    <row r="14" spans="1:17" ht="44.25">
      <c r="A14" s="63"/>
      <c r="B14" s="11" t="str">
        <f>$B$10&amp;"."&amp;Subject!B11</f>
        <v>Subject.maritalStatus</v>
      </c>
      <c r="C14" s="11" t="str">
        <f>Subject!C11</f>
        <v>Marital status</v>
      </c>
      <c r="D14" s="11"/>
      <c r="E14" s="11"/>
      <c r="F14" s="68" t="s">
        <v>1434</v>
      </c>
      <c r="G14" s="62"/>
      <c r="H14" s="12" t="str">
        <f t="shared" si="0"/>
        <v>* group[=].element[+].code = #Subject.maritalStatus</v>
      </c>
      <c r="I14" s="12" t="str">
        <f t="shared" si="1"/>
        <v>* group[=].element[=].display = ##34#Marital status##34#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INDEX('Subject-ConceptMap'!$H$10:$L$264,O14+1,P14)</f>
        <v>* group[=].element[=].target.equivalence = #equivalent</v>
      </c>
    </row>
    <row r="15" spans="1:17" ht="44.25">
      <c r="A15" s="63"/>
      <c r="B15" s="11" t="str">
        <f>$B$10&amp;"."&amp;Subject!B12</f>
        <v>Subject.sexOrGender</v>
      </c>
      <c r="C15" s="11" t="str">
        <f>Subject!C12</f>
        <v>Gender/Sex</v>
      </c>
      <c r="D15" s="11" t="str">
        <f>ConvertOsiris!I4</f>
        <v>Patient.Gender</v>
      </c>
      <c r="E15" s="11" t="str">
        <f>ConvertOsiris!J4</f>
        <v>Gender [C2]</v>
      </c>
      <c r="F15" s="68" t="s">
        <v>1443</v>
      </c>
      <c r="G15" s="62"/>
      <c r="H15" s="12" t="str">
        <f t="shared" si="0"/>
        <v>* group[=].element[+].code = #Subject.sexOrGender</v>
      </c>
      <c r="I15" s="12" t="str">
        <f t="shared" si="1"/>
        <v>* group[=].element[=].display = ##34#Gender/Sex##34#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INDEX('Subject-ConceptMap'!$H$10:$L$264,O15+1,P15)</f>
        <v>* group[=].element[+].code = #Subject.dateOfBirth</v>
      </c>
    </row>
    <row r="16" spans="1:17" ht="44.25">
      <c r="A16" s="63"/>
      <c r="B16" s="11" t="str">
        <f>$B$10&amp;"."&amp;Subject!B13</f>
        <v>Subject.race</v>
      </c>
      <c r="C16" s="11" t="str">
        <f>Subject!C13</f>
        <v>Race</v>
      </c>
      <c r="D16" s="11" t="str">
        <f>ConvertOsiris!I5</f>
        <v>Patient.Ethnicity</v>
      </c>
      <c r="E16" s="11" t="str">
        <f>ConvertOsiris!J5</f>
        <v>Ethnicity [C3]</v>
      </c>
      <c r="F16" s="68" t="s">
        <v>1441</v>
      </c>
      <c r="G16" s="62"/>
      <c r="H16" s="12" t="str">
        <f t="shared" si="0"/>
        <v>* group[=].element[+].code = #Subject.race</v>
      </c>
      <c r="I16" s="12" t="str">
        <f t="shared" si="1"/>
        <v>* group[=].element[=].display = ##34#Race##34#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INDEX('Subject-ConceptMap'!$H$10:$L$264,O16+1,P16)</f>
        <v>* group[=].element[=].display = ##34#Date of birth##34#</v>
      </c>
    </row>
    <row r="17" spans="1:17" ht="44.25">
      <c r="A17" s="63"/>
      <c r="B17" s="11" t="str">
        <f>$B$10&amp;"."&amp;Subject!B14</f>
        <v>Subject.countryOfResidence</v>
      </c>
      <c r="C17" s="11" t="str">
        <f>Subject!C14</f>
        <v xml:space="preserve">Country of Residence </v>
      </c>
      <c r="D17" s="11"/>
      <c r="E17" s="12"/>
      <c r="F17" s="68" t="s">
        <v>1434</v>
      </c>
      <c r="G17" s="62"/>
      <c r="H17" s="12" t="str">
        <f t="shared" si="0"/>
        <v>* group[=].element[+].code = #Subject.countryOfResidence</v>
      </c>
      <c r="I17" s="12" t="str">
        <f t="shared" si="1"/>
        <v>* group[=].element[=].display = ##34#Country of Residence ##34#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INDEX('Subject-ConceptMap'!$H$10:$L$264,O17+1,P17)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INDEX('Subject-ConceptMap'!$H$10:$L$264,O18+1,P18)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INDEX('Subject-ConceptMap'!$H$10:$L$264,O19+1,P19)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INDEX('Subject-ConceptMap'!$H$10:$L$264,O20+1,P20)</f>
        <v>* group[=].element[+].code = #Subject.dateOfBirth.date</v>
      </c>
    </row>
    <row r="21" spans="1:17">
      <c r="B21" s="11"/>
      <c r="C21" s="11"/>
      <c r="D21" s="11"/>
      <c r="E21" s="12"/>
      <c r="F21" s="68"/>
      <c r="G21" s="62"/>
      <c r="J21" s="62"/>
      <c r="K21" s="62"/>
      <c r="L21" s="70"/>
      <c r="N21" s="11">
        <v>12</v>
      </c>
      <c r="O21" s="11">
        <f t="shared" si="5"/>
        <v>2</v>
      </c>
      <c r="P21" s="11">
        <f t="shared" si="6"/>
        <v>2</v>
      </c>
      <c r="Q21" s="12" t="str" cm="1">
        <f t="array" ref="Q21">INDEX('Subject-ConceptMap'!$H$10:$L$264,O21+1,P21)</f>
        <v>* group[=].element[=].display = ##34#Date of birth##34#</v>
      </c>
    </row>
    <row r="22" spans="1:17">
      <c r="B22" s="11"/>
      <c r="C22" s="11"/>
      <c r="D22" s="11"/>
      <c r="E22" s="12"/>
      <c r="F22" s="68"/>
      <c r="G22" s="62"/>
      <c r="J22" s="62"/>
      <c r="K22" s="62"/>
      <c r="L22" s="70"/>
      <c r="N22" s="11">
        <v>13</v>
      </c>
      <c r="O22" s="11">
        <f t="shared" si="5"/>
        <v>2</v>
      </c>
      <c r="P22" s="11">
        <f t="shared" si="6"/>
        <v>3</v>
      </c>
      <c r="Q22" s="12" t="str" cm="1">
        <f t="array" ref="Q22">INDEX('Subject-ConceptMap'!$H$10:$L$264,O22+1,P22)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INDEX('Subject-ConceptMap'!$H$10:$L$264,O23+1,P23)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INDEX('Subject-ConceptMap'!$H$10:$L$264,O24+1,P24)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INDEX('Subject-ConceptMap'!$H$10:$L$264,O25+1,P25)</f>
        <v>* group[=].element[+].code = #Subject.dateOfBirth.unknown</v>
      </c>
    </row>
    <row r="26" spans="1:17">
      <c r="B26" s="11"/>
      <c r="C26" s="11"/>
      <c r="D26" s="11"/>
      <c r="E26" s="12"/>
      <c r="F26" s="68"/>
      <c r="G26" s="62"/>
      <c r="J26" s="62"/>
      <c r="K26" s="62"/>
      <c r="L26" s="70"/>
      <c r="N26" s="11">
        <v>17</v>
      </c>
      <c r="O26" s="11">
        <f t="shared" si="5"/>
        <v>3</v>
      </c>
      <c r="P26" s="11">
        <f t="shared" si="6"/>
        <v>2</v>
      </c>
      <c r="Q26" s="12" t="str" cm="1">
        <f t="array" ref="Q26">INDEX('Subject-ConceptMap'!$H$10:$L$264,O26+1,P26)</f>
        <v>* group[=].element[=].display = ##34#Date of birth day unknown##34#</v>
      </c>
    </row>
    <row r="27" spans="1:17">
      <c r="B27" s="11"/>
      <c r="C27" s="11"/>
      <c r="D27" s="11"/>
      <c r="E27" s="12"/>
      <c r="F27" s="68"/>
      <c r="G27" s="62"/>
      <c r="J27" s="62"/>
      <c r="K27" s="62"/>
      <c r="L27" s="70"/>
      <c r="N27" s="11">
        <v>18</v>
      </c>
      <c r="O27" s="11">
        <f t="shared" si="5"/>
        <v>3</v>
      </c>
      <c r="P27" s="11">
        <f t="shared" si="6"/>
        <v>3</v>
      </c>
      <c r="Q27" s="12" t="str" cm="1">
        <f t="array" ref="Q27">INDEX('Subject-ConceptMap'!$H$10:$L$264,O27+1,P27)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INDEX('Subject-ConceptMap'!$H$10:$L$264,O28+1,P28)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INDEX('Subject-ConceptMap'!$H$10:$L$264,O29+1,P29)</f>
        <v>* group[=].element[=].target.equivalence = #unmatched</v>
      </c>
    </row>
    <row r="30" spans="1:17">
      <c r="B30" s="11"/>
      <c r="C30" s="11"/>
      <c r="D30" s="11"/>
      <c r="E30" s="12"/>
      <c r="F30" s="68"/>
      <c r="G30" s="62"/>
      <c r="J30" s="62"/>
      <c r="K30" s="62"/>
      <c r="L30" s="70"/>
      <c r="N30" s="11">
        <v>21</v>
      </c>
      <c r="O30" s="11">
        <f t="shared" si="5"/>
        <v>4</v>
      </c>
      <c r="P30" s="11">
        <f t="shared" si="6"/>
        <v>1</v>
      </c>
      <c r="Q30" s="12" t="str" cm="1">
        <f t="array" ref="Q30">INDEX('Subject-ConceptMap'!$H$10:$L$264,O30+1,P30)</f>
        <v>* group[=].element[+].code = #Subject.maritalStatus</v>
      </c>
    </row>
    <row r="31" spans="1:17" s="2" customFormat="1">
      <c r="A31"/>
      <c r="B31" s="11"/>
      <c r="C31" s="11"/>
      <c r="D31" s="11"/>
      <c r="E31" s="12"/>
      <c r="F31" s="68"/>
      <c r="G31" s="62"/>
      <c r="I31"/>
      <c r="J31" s="62"/>
      <c r="K31" s="62"/>
      <c r="L31" s="70"/>
      <c r="N31" s="11">
        <v>22</v>
      </c>
      <c r="O31" s="11">
        <f t="shared" si="5"/>
        <v>4</v>
      </c>
      <c r="P31" s="11">
        <f t="shared" si="6"/>
        <v>2</v>
      </c>
      <c r="Q31" s="12" t="str" cm="1">
        <f t="array" ref="Q31">INDEX('Subject-ConceptMap'!$H$10:$L$264,O31+1,P31)</f>
        <v>* group[=].element[=].display = ##34#Marital status##34#</v>
      </c>
    </row>
    <row r="32" spans="1:17" s="2" customFormat="1">
      <c r="A32"/>
      <c r="B32" s="65"/>
      <c r="C32" s="65"/>
      <c r="D32" s="65"/>
      <c r="F32" s="62"/>
      <c r="G32" s="62"/>
      <c r="I32"/>
      <c r="J32" s="62"/>
      <c r="K32" s="62"/>
      <c r="L32" s="70"/>
      <c r="N32" s="11">
        <v>23</v>
      </c>
      <c r="O32" s="11">
        <f t="shared" si="5"/>
        <v>4</v>
      </c>
      <c r="P32" s="11">
        <f t="shared" si="6"/>
        <v>3</v>
      </c>
      <c r="Q32" s="12" t="str" cm="1">
        <f t="array" ref="Q32">INDEX('Subject-ConceptMap'!$H$10:$L$264,O32+1,P32)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INDEX('Subject-ConceptMap'!$H$10:$L$264,O33+1,P33)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INDEX('Subject-ConceptMap'!$H$10:$L$264,O34+1,P34)</f>
        <v>* group[=].element[=].target.equivalence = #unmatched</v>
      </c>
    </row>
    <row r="35" spans="1:17" s="2" customFormat="1">
      <c r="A35"/>
      <c r="B35" s="11"/>
      <c r="C35"/>
      <c r="F35" s="62"/>
      <c r="G35" s="62"/>
      <c r="I35" s="62"/>
      <c r="J35" s="62"/>
      <c r="K35" s="62"/>
      <c r="L35" s="70"/>
      <c r="N35" s="11">
        <v>26</v>
      </c>
      <c r="O35" s="11">
        <f t="shared" si="5"/>
        <v>5</v>
      </c>
      <c r="P35" s="11">
        <f t="shared" si="6"/>
        <v>1</v>
      </c>
      <c r="Q35" s="12" t="str" cm="1">
        <f t="array" ref="Q35">INDEX('Subject-ConceptMap'!$H$10:$L$264,O35+1,P35)</f>
        <v>* group[=].element[+].code = #Subject.sexOrGender</v>
      </c>
    </row>
    <row r="36" spans="1:17" s="2" customFormat="1">
      <c r="A36"/>
      <c r="B36" s="11"/>
      <c r="C36"/>
      <c r="F36" s="62"/>
      <c r="G36" s="62"/>
      <c r="I36" s="62"/>
      <c r="J36" s="62"/>
      <c r="K36" s="62"/>
      <c r="L36" s="70"/>
      <c r="N36" s="11">
        <v>27</v>
      </c>
      <c r="O36" s="11">
        <f t="shared" si="5"/>
        <v>5</v>
      </c>
      <c r="P36" s="11">
        <f t="shared" si="6"/>
        <v>2</v>
      </c>
      <c r="Q36" s="12" t="str" cm="1">
        <f t="array" ref="Q36">INDEX('Subject-ConceptMap'!$H$10:$L$264,O36+1,P36)</f>
        <v>* group[=].element[=].display = ##34#Gender/Sex##34#</v>
      </c>
    </row>
    <row r="37" spans="1:17" s="2" customFormat="1">
      <c r="A37"/>
      <c r="B37" s="11"/>
      <c r="C37"/>
      <c r="F37" s="62"/>
      <c r="G37" s="62"/>
      <c r="I37" s="62"/>
      <c r="J37" s="62"/>
      <c r="K37" s="62"/>
      <c r="L37" s="62"/>
      <c r="N37" s="11">
        <v>28</v>
      </c>
      <c r="O37" s="11">
        <f t="shared" si="5"/>
        <v>5</v>
      </c>
      <c r="P37" s="11">
        <f t="shared" si="6"/>
        <v>3</v>
      </c>
      <c r="Q37" s="12" t="str" cm="1">
        <f t="array" ref="Q37">INDEX('Subject-ConceptMap'!$H$10:$L$264,O37+1,P37)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INDEX('Subject-ConceptMap'!$H$10:$L$264,O38+1,P38)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INDEX('Subject-ConceptMap'!$H$10:$L$264,O39+1,P39)</f>
        <v>* group[=].element[=].target.equivalence = #narrower</v>
      </c>
    </row>
    <row r="40" spans="1:17" s="2" customFormat="1">
      <c r="A40"/>
      <c r="B40" s="11"/>
      <c r="C40"/>
      <c r="F40" s="62"/>
      <c r="G40" s="62"/>
      <c r="I40" s="62"/>
      <c r="J40" s="62"/>
      <c r="K40" s="62"/>
      <c r="L40" s="62"/>
      <c r="N40" s="11">
        <v>31</v>
      </c>
      <c r="O40" s="11">
        <f t="shared" si="5"/>
        <v>6</v>
      </c>
      <c r="P40" s="11">
        <f t="shared" si="6"/>
        <v>1</v>
      </c>
      <c r="Q40" s="12" t="str" cm="1">
        <f t="array" ref="Q40">INDEX('Subject-ConceptMap'!$H$10:$L$264,O40+1,P40)</f>
        <v>* group[=].element[+].code = #Subject.race</v>
      </c>
    </row>
    <row r="41" spans="1:17" s="2" customFormat="1">
      <c r="A41"/>
      <c r="B41" s="11"/>
      <c r="C41"/>
      <c r="F41" s="62"/>
      <c r="G41" s="62"/>
      <c r="I41" s="62"/>
      <c r="J41" s="62"/>
      <c r="K41" s="62"/>
      <c r="L41" s="62"/>
      <c r="N41" s="11">
        <v>32</v>
      </c>
      <c r="O41" s="11">
        <f t="shared" si="5"/>
        <v>6</v>
      </c>
      <c r="P41" s="11">
        <f t="shared" si="6"/>
        <v>2</v>
      </c>
      <c r="Q41" s="12" t="str" cm="1">
        <f t="array" ref="Q41">INDEX('Subject-ConceptMap'!$H$10:$L$264,O41+1,P41)</f>
        <v>* group[=].element[=].display = ##34#Race##34#</v>
      </c>
    </row>
    <row r="42" spans="1:17" s="2" customFormat="1">
      <c r="A42"/>
      <c r="B42" s="11"/>
      <c r="C42"/>
      <c r="F42" s="62"/>
      <c r="G42" s="62"/>
      <c r="I42" s="62"/>
      <c r="J42" s="62"/>
      <c r="K42" s="62"/>
      <c r="L42" s="62"/>
      <c r="N42" s="11">
        <v>33</v>
      </c>
      <c r="O42" s="11">
        <f t="shared" si="5"/>
        <v>6</v>
      </c>
      <c r="P42" s="11">
        <f t="shared" si="6"/>
        <v>3</v>
      </c>
      <c r="Q42" s="12" t="str" cm="1">
        <f t="array" ref="Q42">INDEX('Subject-ConceptMap'!$H$10:$L$264,O42+1,P42)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INDEX('Subject-ConceptMap'!$H$10:$L$264,O43+1,P43)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INDEX('Subject-ConceptMap'!$H$10:$L$264,O44+1,P44)</f>
        <v>* group[=].element[=].target.equivalence = #wider</v>
      </c>
    </row>
    <row r="45" spans="1:17">
      <c r="F45" s="62"/>
      <c r="G45" s="62"/>
      <c r="I45" s="62"/>
      <c r="J45" s="62"/>
      <c r="K45" s="62"/>
      <c r="L45" s="62"/>
      <c r="N45" s="11">
        <v>36</v>
      </c>
      <c r="O45" s="11">
        <f t="shared" si="5"/>
        <v>7</v>
      </c>
      <c r="P45" s="11">
        <f t="shared" si="6"/>
        <v>1</v>
      </c>
      <c r="Q45" s="12" t="str" cm="1">
        <f t="array" ref="Q45">INDEX('Subject-ConceptMap'!$H$10:$L$264,O45+1,P45)</f>
        <v>* group[=].element[+].code = #Subject.countryOfResidence</v>
      </c>
    </row>
    <row r="46" spans="1:17">
      <c r="F46" s="62"/>
      <c r="G46" s="62"/>
      <c r="I46" s="62"/>
      <c r="J46" s="62"/>
      <c r="K46" s="62"/>
      <c r="L46" s="62"/>
      <c r="N46" s="11">
        <v>37</v>
      </c>
      <c r="O46" s="11">
        <f t="shared" si="5"/>
        <v>7</v>
      </c>
      <c r="P46" s="11">
        <f t="shared" si="6"/>
        <v>2</v>
      </c>
      <c r="Q46" s="12" t="str" cm="1">
        <f t="array" ref="Q46">INDEX('Subject-ConceptMap'!$H$10:$L$264,O46+1,P46)</f>
        <v>* group[=].element[=].display = ##34#Country of Residence ##34#</v>
      </c>
    </row>
    <row r="47" spans="1:17">
      <c r="B47" t="s">
        <v>1412</v>
      </c>
      <c r="C47" t="s">
        <v>1413</v>
      </c>
      <c r="D47" t="s">
        <v>1414</v>
      </c>
      <c r="E47" t="s">
        <v>1415</v>
      </c>
      <c r="N47" s="11">
        <v>38</v>
      </c>
      <c r="O47" s="11">
        <f t="shared" si="5"/>
        <v>7</v>
      </c>
      <c r="P47" s="11">
        <f t="shared" si="6"/>
        <v>3</v>
      </c>
      <c r="Q47" s="12" t="str" cm="1">
        <f t="array" ref="Q47">INDEX('Subject-ConceptMap'!$H$10:$L$264,O47+1,P47)</f>
        <v>//-- unmatched</v>
      </c>
    </row>
    <row r="48" spans="1:17">
      <c r="N48" s="11">
        <v>39</v>
      </c>
      <c r="O48" s="11">
        <f t="shared" si="5"/>
        <v>7</v>
      </c>
      <c r="P48" s="11">
        <f t="shared" si="6"/>
        <v>4</v>
      </c>
      <c r="Q48" s="12" t="str" cm="1">
        <f t="array" ref="Q48">INDEX('Subject-ConceptMap'!$H$10:$L$264,O48+1,P48)</f>
        <v>//-- unmatched</v>
      </c>
    </row>
    <row r="49" spans="14:17">
      <c r="N49" s="11">
        <v>40</v>
      </c>
      <c r="O49" s="11">
        <f t="shared" si="5"/>
        <v>7</v>
      </c>
      <c r="P49" s="11">
        <f t="shared" si="6"/>
        <v>5</v>
      </c>
      <c r="Q49" s="12" t="str" cm="1">
        <f t="array" ref="Q49">INDEX('Subject-ConceptMap'!$H$10:$L$264,O49+1,P49)</f>
        <v>* group[=].element[=].target.equivalence = #unmatched</v>
      </c>
    </row>
    <row r="50" spans="14:17">
      <c r="N50" s="11">
        <v>41</v>
      </c>
      <c r="O50" s="11">
        <f t="shared" si="5"/>
        <v>8</v>
      </c>
      <c r="P50" s="11">
        <f t="shared" si="6"/>
        <v>1</v>
      </c>
      <c r="Q50" s="12" cm="1">
        <f t="array" ref="Q50">INDEX('Subject-ConceptMap'!$H$10:$L$264,O50+1,P50)</f>
        <v>0</v>
      </c>
    </row>
    <row r="51" spans="14:17">
      <c r="N51" s="11">
        <v>42</v>
      </c>
      <c r="O51" s="11">
        <f t="shared" si="5"/>
        <v>8</v>
      </c>
      <c r="P51" s="11">
        <f t="shared" si="6"/>
        <v>2</v>
      </c>
      <c r="Q51" s="12" cm="1">
        <f t="array" ref="Q51">INDEX('Subject-ConceptMap'!$H$10:$L$264,O51+1,P51)</f>
        <v>0</v>
      </c>
    </row>
    <row r="52" spans="14:17">
      <c r="N52" s="11">
        <v>43</v>
      </c>
      <c r="O52" s="11">
        <f t="shared" si="5"/>
        <v>8</v>
      </c>
      <c r="P52" s="11">
        <f t="shared" si="6"/>
        <v>3</v>
      </c>
      <c r="Q52" s="12" cm="1">
        <f t="array" ref="Q52">INDEX('Subject-ConceptMap'!$H$10:$L$264,O52+1,P52)</f>
        <v>0</v>
      </c>
    </row>
    <row r="53" spans="14:17">
      <c r="N53" s="11">
        <v>44</v>
      </c>
      <c r="O53" s="11">
        <f t="shared" si="5"/>
        <v>8</v>
      </c>
      <c r="P53" s="11">
        <f t="shared" si="6"/>
        <v>4</v>
      </c>
      <c r="Q53" s="12" cm="1">
        <f t="array" ref="Q53">INDEX('Subject-ConceptMap'!$H$10:$L$264,O53+1,P53)</f>
        <v>0</v>
      </c>
    </row>
    <row r="54" spans="14:17">
      <c r="N54" s="11">
        <v>45</v>
      </c>
      <c r="O54" s="11">
        <f t="shared" si="5"/>
        <v>8</v>
      </c>
      <c r="P54" s="11">
        <f t="shared" si="6"/>
        <v>5</v>
      </c>
      <c r="Q54" s="12" cm="1">
        <f t="array" ref="Q54">INDEX('Subject-ConceptMap'!$H$10:$L$264,O54+1,P54)</f>
        <v>0</v>
      </c>
    </row>
    <row r="55" spans="14:17">
      <c r="N55" s="11">
        <v>46</v>
      </c>
      <c r="O55" s="11">
        <f t="shared" si="5"/>
        <v>9</v>
      </c>
      <c r="P55" s="11">
        <f t="shared" si="6"/>
        <v>1</v>
      </c>
      <c r="Q55" s="12" cm="1">
        <f t="array" ref="Q55">INDEX('Subject-ConceptMap'!$H$10:$L$264,O55+1,P55)</f>
        <v>0</v>
      </c>
    </row>
    <row r="56" spans="14:17">
      <c r="N56" s="11">
        <v>47</v>
      </c>
      <c r="O56" s="11">
        <f t="shared" si="5"/>
        <v>9</v>
      </c>
      <c r="P56" s="11">
        <f t="shared" si="6"/>
        <v>2</v>
      </c>
      <c r="Q56" s="12" cm="1">
        <f t="array" ref="Q56">INDEX('Subject-ConceptMap'!$H$10:$L$264,O56+1,P56)</f>
        <v>0</v>
      </c>
    </row>
    <row r="57" spans="14:17">
      <c r="N57" s="11">
        <v>48</v>
      </c>
      <c r="O57" s="11">
        <f t="shared" si="5"/>
        <v>9</v>
      </c>
      <c r="P57" s="11">
        <f t="shared" si="6"/>
        <v>3</v>
      </c>
      <c r="Q57" s="12" cm="1">
        <f t="array" ref="Q57">INDEX('Subject-ConceptMap'!$H$10:$L$264,O57+1,P57)</f>
        <v>0</v>
      </c>
    </row>
    <row r="58" spans="14:17">
      <c r="N58" s="11">
        <v>49</v>
      </c>
      <c r="O58" s="11">
        <f t="shared" si="5"/>
        <v>9</v>
      </c>
      <c r="P58" s="11">
        <f t="shared" si="6"/>
        <v>4</v>
      </c>
      <c r="Q58" s="12" cm="1">
        <f t="array" ref="Q58">INDEX('Subject-ConceptMap'!$H$10:$L$264,O58+1,P58)</f>
        <v>0</v>
      </c>
    </row>
    <row r="59" spans="14:17">
      <c r="N59" s="11">
        <v>50</v>
      </c>
      <c r="O59" s="11">
        <f t="shared" si="5"/>
        <v>9</v>
      </c>
      <c r="P59" s="11">
        <f t="shared" si="6"/>
        <v>5</v>
      </c>
      <c r="Q59" s="12" cm="1">
        <f t="array" ref="Q59">INDEX('Subject-ConceptMap'!$H$10:$L$264,O59+1,P59)</f>
        <v>0</v>
      </c>
    </row>
    <row r="60" spans="14:17">
      <c r="N60" s="11">
        <v>51</v>
      </c>
      <c r="O60" s="11">
        <f t="shared" si="5"/>
        <v>10</v>
      </c>
      <c r="P60" s="11">
        <f t="shared" si="6"/>
        <v>1</v>
      </c>
      <c r="Q60" s="12" cm="1">
        <f t="array" ref="Q60">INDEX('Subject-ConceptMap'!$H$10:$L$264,O60+1,P60)</f>
        <v>0</v>
      </c>
    </row>
    <row r="61" spans="14:17">
      <c r="N61" s="11">
        <v>52</v>
      </c>
      <c r="O61" s="11">
        <f t="shared" si="5"/>
        <v>10</v>
      </c>
      <c r="P61" s="11">
        <f t="shared" si="6"/>
        <v>2</v>
      </c>
      <c r="Q61" s="12" cm="1">
        <f t="array" ref="Q61">INDEX('Subject-ConceptMap'!$H$10:$L$264,O61+1,P61)</f>
        <v>0</v>
      </c>
    </row>
    <row r="62" spans="14:17">
      <c r="N62" s="11">
        <v>53</v>
      </c>
      <c r="O62" s="11">
        <f t="shared" si="5"/>
        <v>10</v>
      </c>
      <c r="P62" s="11">
        <f t="shared" si="6"/>
        <v>3</v>
      </c>
      <c r="Q62" s="12" cm="1">
        <f t="array" ref="Q62">INDEX('Subject-ConceptMap'!$H$10:$L$264,O62+1,P62)</f>
        <v>0</v>
      </c>
    </row>
    <row r="63" spans="14:17">
      <c r="N63" s="11">
        <v>54</v>
      </c>
      <c r="O63" s="11">
        <f t="shared" si="5"/>
        <v>10</v>
      </c>
      <c r="P63" s="11">
        <f t="shared" si="6"/>
        <v>4</v>
      </c>
      <c r="Q63" s="12" cm="1">
        <f t="array" ref="Q63">INDEX('Subject-ConceptMap'!$H$10:$L$264,O63+1,P63)</f>
        <v>0</v>
      </c>
    </row>
    <row r="64" spans="14:17">
      <c r="N64" s="11">
        <v>55</v>
      </c>
      <c r="O64" s="11">
        <f t="shared" si="5"/>
        <v>10</v>
      </c>
      <c r="P64" s="11">
        <f t="shared" si="6"/>
        <v>5</v>
      </c>
      <c r="Q64" s="12" cm="1">
        <f t="array" ref="Q64">INDEX('Subject-ConceptMap'!$H$10:$L$264,O64+1,P64)</f>
        <v>0</v>
      </c>
    </row>
    <row r="65" spans="14:17">
      <c r="N65" s="11">
        <v>56</v>
      </c>
      <c r="O65" s="11">
        <f t="shared" si="5"/>
        <v>11</v>
      </c>
      <c r="P65" s="11">
        <f t="shared" si="6"/>
        <v>1</v>
      </c>
      <c r="Q65" s="12" cm="1">
        <f t="array" ref="Q65">INDEX('Subject-ConceptMap'!$H$10:$L$264,O65+1,P65)</f>
        <v>0</v>
      </c>
    </row>
    <row r="66" spans="14:17">
      <c r="N66" s="11">
        <v>57</v>
      </c>
      <c r="O66" s="11">
        <f t="shared" si="5"/>
        <v>11</v>
      </c>
      <c r="P66" s="11">
        <f t="shared" si="6"/>
        <v>2</v>
      </c>
      <c r="Q66" s="12" cm="1">
        <f t="array" ref="Q66">INDEX('Subject-ConceptMap'!$H$10:$L$264,O66+1,P66)</f>
        <v>0</v>
      </c>
    </row>
    <row r="67" spans="14:17">
      <c r="N67" s="11">
        <v>58</v>
      </c>
      <c r="O67" s="11">
        <f t="shared" si="5"/>
        <v>11</v>
      </c>
      <c r="P67" s="11">
        <f t="shared" si="6"/>
        <v>3</v>
      </c>
      <c r="Q67" s="12" cm="1">
        <f t="array" ref="Q67">INDEX('Subject-ConceptMap'!$H$10:$L$264,O67+1,P67)</f>
        <v>0</v>
      </c>
    </row>
    <row r="68" spans="14:17">
      <c r="N68" s="11">
        <v>59</v>
      </c>
      <c r="O68" s="11">
        <f t="shared" si="5"/>
        <v>11</v>
      </c>
      <c r="P68" s="11">
        <f t="shared" si="6"/>
        <v>4</v>
      </c>
      <c r="Q68" s="12" cm="1">
        <f t="array" ref="Q68">INDEX('Subject-ConceptMap'!$H$10:$L$264,O68+1,P68)</f>
        <v>0</v>
      </c>
    </row>
    <row r="69" spans="14:17">
      <c r="N69" s="11">
        <v>60</v>
      </c>
      <c r="O69" s="11">
        <f t="shared" si="5"/>
        <v>11</v>
      </c>
      <c r="P69" s="11">
        <f t="shared" si="6"/>
        <v>5</v>
      </c>
      <c r="Q69" s="12" cm="1">
        <f t="array" ref="Q69">INDEX('Subject-ConceptMap'!$H$10:$L$264,O69+1,P69)</f>
        <v>0</v>
      </c>
    </row>
    <row r="70" spans="14:17">
      <c r="N70" s="11">
        <v>61</v>
      </c>
      <c r="O70" s="11">
        <f t="shared" si="5"/>
        <v>12</v>
      </c>
      <c r="P70" s="11">
        <f t="shared" si="6"/>
        <v>1</v>
      </c>
      <c r="Q70" s="12" cm="1">
        <f t="array" ref="Q70">INDEX('Subject-ConceptMap'!$H$10:$L$264,O70+1,P70)</f>
        <v>0</v>
      </c>
    </row>
    <row r="71" spans="14:17">
      <c r="N71" s="11">
        <v>62</v>
      </c>
      <c r="O71" s="11">
        <f t="shared" si="5"/>
        <v>12</v>
      </c>
      <c r="P71" s="11">
        <f t="shared" si="6"/>
        <v>2</v>
      </c>
      <c r="Q71" s="12" cm="1">
        <f t="array" ref="Q71">INDEX('Subject-ConceptMap'!$H$10:$L$264,O71+1,P71)</f>
        <v>0</v>
      </c>
    </row>
    <row r="72" spans="14:17">
      <c r="N72" s="11">
        <v>63</v>
      </c>
      <c r="O72" s="11">
        <f t="shared" si="5"/>
        <v>12</v>
      </c>
      <c r="P72" s="11">
        <f t="shared" si="6"/>
        <v>3</v>
      </c>
      <c r="Q72" s="12" cm="1">
        <f t="array" ref="Q72">INDEX('Subject-ConceptMap'!$H$10:$L$264,O72+1,P72)</f>
        <v>0</v>
      </c>
    </row>
    <row r="73" spans="14:17">
      <c r="N73" s="11">
        <v>64</v>
      </c>
      <c r="O73" s="11">
        <f t="shared" si="5"/>
        <v>12</v>
      </c>
      <c r="P73" s="11">
        <f t="shared" si="6"/>
        <v>4</v>
      </c>
      <c r="Q73" s="12" cm="1">
        <f t="array" ref="Q73">INDEX('Subject-ConceptMap'!$H$10:$L$264,O73+1,P73)</f>
        <v>0</v>
      </c>
    </row>
    <row r="74" spans="14:17">
      <c r="N74" s="11">
        <v>65</v>
      </c>
      <c r="O74" s="11">
        <f t="shared" si="5"/>
        <v>12</v>
      </c>
      <c r="P74" s="11">
        <f t="shared" si="6"/>
        <v>5</v>
      </c>
      <c r="Q74" s="12" cm="1">
        <f t="array" ref="Q74">INDEX('Subject-ConceptMap'!$H$10:$L$264,O74+1,P74)</f>
        <v>0</v>
      </c>
    </row>
    <row r="75" spans="14:17">
      <c r="N75" s="11">
        <v>66</v>
      </c>
      <c r="O75" s="11">
        <f t="shared" ref="O75:O138" si="7">IF(MOD(N75,$O$3)=0,N75/$O$3-1,INT(N75/$O$3))</f>
        <v>13</v>
      </c>
      <c r="P75" s="11">
        <f t="shared" ref="P75:P138" si="8">IF(MOD(N75,$O$3)=0,$O$3,MOD(N75,$O$3))</f>
        <v>1</v>
      </c>
      <c r="Q75" s="12" cm="1">
        <f t="array" ref="Q75">INDEX('Subject-ConceptMap'!$H$10:$L$264,O75+1,P75)</f>
        <v>0</v>
      </c>
    </row>
    <row r="76" spans="14:17">
      <c r="N76" s="11">
        <v>67</v>
      </c>
      <c r="O76" s="11">
        <f t="shared" si="7"/>
        <v>13</v>
      </c>
      <c r="P76" s="11">
        <f t="shared" si="8"/>
        <v>2</v>
      </c>
      <c r="Q76" s="12" cm="1">
        <f t="array" ref="Q76">INDEX('Subject-ConceptMap'!$H$10:$L$264,O76+1,P76)</f>
        <v>0</v>
      </c>
    </row>
    <row r="77" spans="14:17">
      <c r="N77" s="11">
        <v>68</v>
      </c>
      <c r="O77" s="11">
        <f t="shared" si="7"/>
        <v>13</v>
      </c>
      <c r="P77" s="11">
        <f t="shared" si="8"/>
        <v>3</v>
      </c>
      <c r="Q77" s="12" cm="1">
        <f t="array" ref="Q77">INDEX('Subject-ConceptMap'!$H$10:$L$264,O77+1,P77)</f>
        <v>0</v>
      </c>
    </row>
    <row r="78" spans="14:17">
      <c r="N78" s="11">
        <v>69</v>
      </c>
      <c r="O78" s="11">
        <f t="shared" si="7"/>
        <v>13</v>
      </c>
      <c r="P78" s="11">
        <f t="shared" si="8"/>
        <v>4</v>
      </c>
      <c r="Q78" s="12" cm="1">
        <f t="array" ref="Q78">INDEX('Subject-ConceptMap'!$H$10:$L$264,O78+1,P78)</f>
        <v>0</v>
      </c>
    </row>
    <row r="79" spans="14:17">
      <c r="N79" s="11">
        <v>70</v>
      </c>
      <c r="O79" s="11">
        <f t="shared" si="7"/>
        <v>13</v>
      </c>
      <c r="P79" s="11">
        <f t="shared" si="8"/>
        <v>5</v>
      </c>
      <c r="Q79" s="12" cm="1">
        <f t="array" ref="Q79">INDEX('Subject-ConceptMap'!$H$10:$L$264,O79+1,P79)</f>
        <v>0</v>
      </c>
    </row>
    <row r="80" spans="14:17">
      <c r="N80" s="11">
        <v>71</v>
      </c>
      <c r="O80" s="11">
        <f t="shared" si="7"/>
        <v>14</v>
      </c>
      <c r="P80" s="11">
        <f t="shared" si="8"/>
        <v>1</v>
      </c>
      <c r="Q80" s="12" cm="1">
        <f t="array" ref="Q80">INDEX('Subject-ConceptMap'!$H$10:$L$264,O80+1,P80)</f>
        <v>0</v>
      </c>
    </row>
    <row r="81" spans="14:17">
      <c r="N81" s="11">
        <v>72</v>
      </c>
      <c r="O81" s="11">
        <f t="shared" si="7"/>
        <v>14</v>
      </c>
      <c r="P81" s="11">
        <f t="shared" si="8"/>
        <v>2</v>
      </c>
      <c r="Q81" s="12" cm="1">
        <f t="array" ref="Q81">INDEX('Subject-ConceptMap'!$H$10:$L$264,O81+1,P81)</f>
        <v>0</v>
      </c>
    </row>
    <row r="82" spans="14:17">
      <c r="N82" s="11">
        <v>73</v>
      </c>
      <c r="O82" s="11">
        <f t="shared" si="7"/>
        <v>14</v>
      </c>
      <c r="P82" s="11">
        <f t="shared" si="8"/>
        <v>3</v>
      </c>
      <c r="Q82" s="12" cm="1">
        <f t="array" ref="Q82">INDEX('Subject-ConceptMap'!$H$10:$L$264,O82+1,P82)</f>
        <v>0</v>
      </c>
    </row>
    <row r="83" spans="14:17">
      <c r="N83" s="11">
        <v>74</v>
      </c>
      <c r="O83" s="11">
        <f t="shared" si="7"/>
        <v>14</v>
      </c>
      <c r="P83" s="11">
        <f t="shared" si="8"/>
        <v>4</v>
      </c>
      <c r="Q83" s="12" cm="1">
        <f t="array" ref="Q83">INDEX('Subject-ConceptMap'!$H$10:$L$264,O83+1,P83)</f>
        <v>0</v>
      </c>
    </row>
    <row r="84" spans="14:17">
      <c r="N84" s="11">
        <v>75</v>
      </c>
      <c r="O84" s="11">
        <f t="shared" si="7"/>
        <v>14</v>
      </c>
      <c r="P84" s="11">
        <f t="shared" si="8"/>
        <v>5</v>
      </c>
      <c r="Q84" s="12" cm="1">
        <f t="array" ref="Q84">INDEX('Subject-ConceptMap'!$H$10:$L$264,O84+1,P84)</f>
        <v>0</v>
      </c>
    </row>
    <row r="85" spans="14:17">
      <c r="N85" s="11">
        <v>76</v>
      </c>
      <c r="O85" s="11">
        <f t="shared" si="7"/>
        <v>15</v>
      </c>
      <c r="P85" s="11">
        <f t="shared" si="8"/>
        <v>1</v>
      </c>
      <c r="Q85" s="12" cm="1">
        <f t="array" ref="Q85">INDEX('Subject-ConceptMap'!$H$10:$L$264,O85+1,P85)</f>
        <v>0</v>
      </c>
    </row>
    <row r="86" spans="14:17">
      <c r="N86" s="11">
        <v>77</v>
      </c>
      <c r="O86" s="11">
        <f t="shared" si="7"/>
        <v>15</v>
      </c>
      <c r="P86" s="11">
        <f t="shared" si="8"/>
        <v>2</v>
      </c>
      <c r="Q86" s="12" cm="1">
        <f t="array" ref="Q86">INDEX('Subject-ConceptMap'!$H$10:$L$264,O86+1,P86)</f>
        <v>0</v>
      </c>
    </row>
    <row r="87" spans="14:17">
      <c r="N87" s="11">
        <v>78</v>
      </c>
      <c r="O87" s="11">
        <f t="shared" si="7"/>
        <v>15</v>
      </c>
      <c r="P87" s="11">
        <f t="shared" si="8"/>
        <v>3</v>
      </c>
      <c r="Q87" s="12" cm="1">
        <f t="array" ref="Q87">INDEX('Subject-ConceptMap'!$H$10:$L$264,O87+1,P87)</f>
        <v>0</v>
      </c>
    </row>
    <row r="88" spans="14:17">
      <c r="N88" s="11">
        <v>79</v>
      </c>
      <c r="O88" s="11">
        <f t="shared" si="7"/>
        <v>15</v>
      </c>
      <c r="P88" s="11">
        <f t="shared" si="8"/>
        <v>4</v>
      </c>
      <c r="Q88" s="12" cm="1">
        <f t="array" ref="Q88">INDEX('Subject-ConceptMap'!$H$10:$L$264,O88+1,P88)</f>
        <v>0</v>
      </c>
    </row>
    <row r="89" spans="14:17">
      <c r="N89" s="11">
        <v>80</v>
      </c>
      <c r="O89" s="11">
        <f t="shared" si="7"/>
        <v>15</v>
      </c>
      <c r="P89" s="11">
        <f t="shared" si="8"/>
        <v>5</v>
      </c>
      <c r="Q89" s="12" cm="1">
        <f t="array" ref="Q89">INDEX('Subject-ConceptMap'!$H$10:$L$264,O89+1,P89)</f>
        <v>0</v>
      </c>
    </row>
    <row r="90" spans="14:17">
      <c r="N90" s="11">
        <v>81</v>
      </c>
      <c r="O90" s="11">
        <f t="shared" si="7"/>
        <v>16</v>
      </c>
      <c r="P90" s="11">
        <f t="shared" si="8"/>
        <v>1</v>
      </c>
      <c r="Q90" s="12" cm="1">
        <f t="array" ref="Q90">INDEX('Subject-ConceptMap'!$H$10:$L$264,O90+1,P90)</f>
        <v>0</v>
      </c>
    </row>
    <row r="91" spans="14:17">
      <c r="N91" s="11">
        <v>82</v>
      </c>
      <c r="O91" s="11">
        <f t="shared" si="7"/>
        <v>16</v>
      </c>
      <c r="P91" s="11">
        <f t="shared" si="8"/>
        <v>2</v>
      </c>
      <c r="Q91" s="12" cm="1">
        <f t="array" ref="Q91">INDEX('Subject-ConceptMap'!$H$10:$L$264,O91+1,P91)</f>
        <v>0</v>
      </c>
    </row>
    <row r="92" spans="14:17">
      <c r="N92" s="11">
        <v>83</v>
      </c>
      <c r="O92" s="11">
        <f t="shared" si="7"/>
        <v>16</v>
      </c>
      <c r="P92" s="11">
        <f t="shared" si="8"/>
        <v>3</v>
      </c>
      <c r="Q92" s="12" cm="1">
        <f t="array" ref="Q92">INDEX('Subject-ConceptMap'!$H$10:$L$264,O92+1,P92)</f>
        <v>0</v>
      </c>
    </row>
    <row r="93" spans="14:17">
      <c r="N93" s="11">
        <v>84</v>
      </c>
      <c r="O93" s="11">
        <f t="shared" si="7"/>
        <v>16</v>
      </c>
      <c r="P93" s="11">
        <f t="shared" si="8"/>
        <v>4</v>
      </c>
      <c r="Q93" s="12" cm="1">
        <f t="array" ref="Q93">INDEX('Subject-ConceptMap'!$H$10:$L$264,O93+1,P93)</f>
        <v>0</v>
      </c>
    </row>
    <row r="94" spans="14:17">
      <c r="N94" s="11">
        <v>85</v>
      </c>
      <c r="O94" s="11">
        <f t="shared" si="7"/>
        <v>16</v>
      </c>
      <c r="P94" s="11">
        <f t="shared" si="8"/>
        <v>5</v>
      </c>
      <c r="Q94" s="12" cm="1">
        <f t="array" ref="Q94">INDEX('Subject-ConceptMap'!$H$10:$L$264,O94+1,P94)</f>
        <v>0</v>
      </c>
    </row>
    <row r="95" spans="14:17">
      <c r="N95" s="11">
        <v>86</v>
      </c>
      <c r="O95" s="11">
        <f t="shared" si="7"/>
        <v>17</v>
      </c>
      <c r="P95" s="11">
        <f t="shared" si="8"/>
        <v>1</v>
      </c>
      <c r="Q95" s="12" cm="1">
        <f t="array" ref="Q95">INDEX('Subject-ConceptMap'!$H$10:$L$264,O95+1,P95)</f>
        <v>0</v>
      </c>
    </row>
    <row r="96" spans="14:17">
      <c r="N96" s="11">
        <v>87</v>
      </c>
      <c r="O96" s="11">
        <f t="shared" si="7"/>
        <v>17</v>
      </c>
      <c r="P96" s="11">
        <f t="shared" si="8"/>
        <v>2</v>
      </c>
      <c r="Q96" s="12" cm="1">
        <f t="array" ref="Q96">INDEX('Subject-ConceptMap'!$H$10:$L$264,O96+1,P96)</f>
        <v>0</v>
      </c>
    </row>
    <row r="97" spans="14:17">
      <c r="N97" s="11">
        <v>88</v>
      </c>
      <c r="O97" s="11">
        <f t="shared" si="7"/>
        <v>17</v>
      </c>
      <c r="P97" s="11">
        <f t="shared" si="8"/>
        <v>3</v>
      </c>
      <c r="Q97" s="12" cm="1">
        <f t="array" ref="Q97">INDEX('Subject-ConceptMap'!$H$10:$L$264,O97+1,P97)</f>
        <v>0</v>
      </c>
    </row>
    <row r="98" spans="14:17">
      <c r="N98" s="11">
        <v>89</v>
      </c>
      <c r="O98" s="11">
        <f t="shared" si="7"/>
        <v>17</v>
      </c>
      <c r="P98" s="11">
        <f t="shared" si="8"/>
        <v>4</v>
      </c>
      <c r="Q98" s="12" cm="1">
        <f t="array" ref="Q98">INDEX('Subject-ConceptMap'!$H$10:$L$264,O98+1,P98)</f>
        <v>0</v>
      </c>
    </row>
    <row r="99" spans="14:17">
      <c r="N99" s="11">
        <v>90</v>
      </c>
      <c r="O99" s="11">
        <f t="shared" si="7"/>
        <v>17</v>
      </c>
      <c r="P99" s="11">
        <f t="shared" si="8"/>
        <v>5</v>
      </c>
      <c r="Q99" s="12" cm="1">
        <f t="array" ref="Q99">INDEX('Subject-ConceptMap'!$H$10:$L$264,O99+1,P99)</f>
        <v>0</v>
      </c>
    </row>
    <row r="100" spans="14:17">
      <c r="N100" s="11">
        <v>91</v>
      </c>
      <c r="O100" s="11">
        <f t="shared" si="7"/>
        <v>18</v>
      </c>
      <c r="P100" s="11">
        <f t="shared" si="8"/>
        <v>1</v>
      </c>
      <c r="Q100" s="12" cm="1">
        <f t="array" ref="Q100">INDEX('Subject-ConceptMap'!$H$10:$L$264,O100+1,P100)</f>
        <v>0</v>
      </c>
    </row>
    <row r="101" spans="14:17">
      <c r="N101" s="11">
        <v>92</v>
      </c>
      <c r="O101" s="11">
        <f t="shared" si="7"/>
        <v>18</v>
      </c>
      <c r="P101" s="11">
        <f t="shared" si="8"/>
        <v>2</v>
      </c>
      <c r="Q101" s="12" cm="1">
        <f t="array" ref="Q101">INDEX('Subject-ConceptMap'!U85:Y339,1+O101,P101)</f>
        <v>0</v>
      </c>
    </row>
    <row r="102" spans="14:17">
      <c r="N102" s="11">
        <v>93</v>
      </c>
      <c r="O102" s="11">
        <f t="shared" si="7"/>
        <v>18</v>
      </c>
      <c r="P102" s="11">
        <f t="shared" si="8"/>
        <v>3</v>
      </c>
      <c r="Q102" s="12" cm="1">
        <f t="array" ref="Q102">INDEX('Subject-ConceptMap'!U86:Y340,1+O102,P102)</f>
        <v>0</v>
      </c>
    </row>
    <row r="103" spans="14:17">
      <c r="N103" s="11">
        <v>94</v>
      </c>
      <c r="O103" s="11">
        <f t="shared" si="7"/>
        <v>18</v>
      </c>
      <c r="P103" s="11">
        <f t="shared" si="8"/>
        <v>4</v>
      </c>
      <c r="Q103" s="12" cm="1">
        <f t="array" ref="Q103">INDEX('Subject-ConceptMap'!U87:Y341,1+O103,P103)</f>
        <v>0</v>
      </c>
    </row>
    <row r="104" spans="14:17">
      <c r="N104" s="11">
        <v>95</v>
      </c>
      <c r="O104" s="11">
        <f t="shared" si="7"/>
        <v>18</v>
      </c>
      <c r="P104" s="11">
        <f t="shared" si="8"/>
        <v>5</v>
      </c>
      <c r="Q104" s="12" cm="1">
        <f t="array" ref="Q104">INDEX('Subject-ConceptMap'!U88:Y342,1+O104,P104)</f>
        <v>0</v>
      </c>
    </row>
    <row r="105" spans="14:17">
      <c r="N105" s="11">
        <v>96</v>
      </c>
      <c r="O105" s="11">
        <f t="shared" si="7"/>
        <v>19</v>
      </c>
      <c r="P105" s="11">
        <f t="shared" si="8"/>
        <v>1</v>
      </c>
      <c r="Q105" s="12" cm="1">
        <f t="array" ref="Q105">INDEX('Subject-ConceptMap'!U89:Y343,1+O105,P105)</f>
        <v>0</v>
      </c>
    </row>
    <row r="106" spans="14:17">
      <c r="N106" s="11">
        <v>97</v>
      </c>
      <c r="O106" s="11">
        <f t="shared" si="7"/>
        <v>19</v>
      </c>
      <c r="P106" s="11">
        <f t="shared" si="8"/>
        <v>2</v>
      </c>
      <c r="Q106" s="12" cm="1">
        <f t="array" ref="Q106">INDEX('Subject-ConceptMap'!U90:Y344,1+O106,P106)</f>
        <v>0</v>
      </c>
    </row>
    <row r="107" spans="14:17">
      <c r="N107" s="11">
        <v>98</v>
      </c>
      <c r="O107" s="11">
        <f t="shared" si="7"/>
        <v>19</v>
      </c>
      <c r="P107" s="11">
        <f t="shared" si="8"/>
        <v>3</v>
      </c>
      <c r="Q107" s="12" cm="1">
        <f t="array" ref="Q107">INDEX('Subject-ConceptMap'!U91:Y345,1+O107,P107)</f>
        <v>0</v>
      </c>
    </row>
    <row r="108" spans="14:17">
      <c r="N108" s="11">
        <v>99</v>
      </c>
      <c r="O108" s="11">
        <f t="shared" si="7"/>
        <v>19</v>
      </c>
      <c r="P108" s="11">
        <f t="shared" si="8"/>
        <v>4</v>
      </c>
      <c r="Q108" s="12" cm="1">
        <f t="array" ref="Q108">INDEX('Subject-ConceptMap'!U92:Y346,1+O108,P108)</f>
        <v>0</v>
      </c>
    </row>
    <row r="109" spans="14:17">
      <c r="N109" s="11">
        <v>100</v>
      </c>
      <c r="O109" s="11">
        <f t="shared" si="7"/>
        <v>19</v>
      </c>
      <c r="P109" s="11">
        <f t="shared" si="8"/>
        <v>5</v>
      </c>
      <c r="Q109" s="12" cm="1">
        <f t="array" ref="Q109">INDEX('Subject-ConceptMap'!U93:Y347,1+O109,P109)</f>
        <v>0</v>
      </c>
    </row>
    <row r="110" spans="14:17">
      <c r="N110" s="11">
        <v>101</v>
      </c>
      <c r="O110" s="11">
        <f t="shared" si="7"/>
        <v>20</v>
      </c>
      <c r="P110" s="11">
        <f t="shared" si="8"/>
        <v>1</v>
      </c>
      <c r="Q110" s="12" cm="1">
        <f t="array" ref="Q110">INDEX('Subject-ConceptMap'!U94:Y348,1+O110,P110)</f>
        <v>0</v>
      </c>
    </row>
    <row r="111" spans="14:17">
      <c r="N111" s="11">
        <v>102</v>
      </c>
      <c r="O111" s="11">
        <f t="shared" si="7"/>
        <v>20</v>
      </c>
      <c r="P111" s="11">
        <f t="shared" si="8"/>
        <v>2</v>
      </c>
      <c r="Q111" s="12" cm="1">
        <f t="array" ref="Q111">INDEX('Subject-ConceptMap'!U95:Y349,1+O111,P111)</f>
        <v>0</v>
      </c>
    </row>
    <row r="112" spans="14:17">
      <c r="N112" s="11">
        <v>103</v>
      </c>
      <c r="O112" s="11">
        <f t="shared" si="7"/>
        <v>20</v>
      </c>
      <c r="P112" s="11">
        <f t="shared" si="8"/>
        <v>3</v>
      </c>
      <c r="Q112" s="12" cm="1">
        <f t="array" ref="Q112">INDEX('Subject-ConceptMap'!U96:Y350,1+O112,P112)</f>
        <v>0</v>
      </c>
    </row>
    <row r="113" spans="14:17">
      <c r="N113" s="11">
        <v>104</v>
      </c>
      <c r="O113" s="11">
        <f t="shared" si="7"/>
        <v>20</v>
      </c>
      <c r="P113" s="11">
        <f t="shared" si="8"/>
        <v>4</v>
      </c>
      <c r="Q113" s="12" cm="1">
        <f t="array" ref="Q113">INDEX('Subject-ConceptMap'!U97:Y351,1+O113,P113)</f>
        <v>0</v>
      </c>
    </row>
    <row r="114" spans="14:17">
      <c r="N114" s="11">
        <v>105</v>
      </c>
      <c r="O114" s="11">
        <f t="shared" si="7"/>
        <v>20</v>
      </c>
      <c r="P114" s="11">
        <f t="shared" si="8"/>
        <v>5</v>
      </c>
      <c r="Q114" s="12" cm="1">
        <f t="array" ref="Q114">INDEX('Subject-ConceptMap'!U98:Y352,1+O114,P114)</f>
        <v>0</v>
      </c>
    </row>
    <row r="115" spans="14:17">
      <c r="N115" s="11">
        <v>106</v>
      </c>
      <c r="O115" s="11">
        <f t="shared" si="7"/>
        <v>21</v>
      </c>
      <c r="P115" s="11">
        <f t="shared" si="8"/>
        <v>1</v>
      </c>
      <c r="Q115" s="12" cm="1">
        <f t="array" ref="Q115">INDEX('Subject-ConceptMap'!U99:Y353,1+O115,P115)</f>
        <v>0</v>
      </c>
    </row>
    <row r="116" spans="14:17">
      <c r="N116" s="11">
        <v>107</v>
      </c>
      <c r="O116" s="11">
        <f t="shared" si="7"/>
        <v>21</v>
      </c>
      <c r="P116" s="11">
        <f t="shared" si="8"/>
        <v>2</v>
      </c>
      <c r="Q116" s="12" cm="1">
        <f t="array" ref="Q116">INDEX('Subject-ConceptMap'!U100:Y354,1+O116,P116)</f>
        <v>0</v>
      </c>
    </row>
    <row r="117" spans="14:17">
      <c r="N117" s="11">
        <v>108</v>
      </c>
      <c r="O117" s="11">
        <f t="shared" si="7"/>
        <v>21</v>
      </c>
      <c r="P117" s="11">
        <f t="shared" si="8"/>
        <v>3</v>
      </c>
      <c r="Q117" s="12" cm="1">
        <f t="array" ref="Q117">INDEX('Subject-ConceptMap'!U101:Y355,1+O117,P117)</f>
        <v>0</v>
      </c>
    </row>
    <row r="118" spans="14:17">
      <c r="N118" s="11">
        <v>109</v>
      </c>
      <c r="O118" s="11">
        <f t="shared" si="7"/>
        <v>21</v>
      </c>
      <c r="P118" s="11">
        <f t="shared" si="8"/>
        <v>4</v>
      </c>
      <c r="Q118" s="12" cm="1">
        <f t="array" ref="Q118">INDEX('Subject-ConceptMap'!U102:Y356,1+O118,P118)</f>
        <v>0</v>
      </c>
    </row>
    <row r="119" spans="14:17">
      <c r="N119" s="11">
        <v>110</v>
      </c>
      <c r="O119" s="11">
        <f t="shared" si="7"/>
        <v>21</v>
      </c>
      <c r="P119" s="11">
        <f t="shared" si="8"/>
        <v>5</v>
      </c>
      <c r="Q119" s="12" cm="1">
        <f t="array" ref="Q119">INDEX('Subject-ConceptMap'!U103:Y357,1+O119,P119)</f>
        <v>0</v>
      </c>
    </row>
    <row r="120" spans="14:17">
      <c r="N120" s="11">
        <v>111</v>
      </c>
      <c r="O120" s="11">
        <f t="shared" si="7"/>
        <v>22</v>
      </c>
      <c r="P120" s="11">
        <f t="shared" si="8"/>
        <v>1</v>
      </c>
      <c r="Q120" s="12" cm="1">
        <f t="array" ref="Q120">INDEX('Subject-ConceptMap'!U104:Y358,1+O120,P120)</f>
        <v>0</v>
      </c>
    </row>
    <row r="121" spans="14:17">
      <c r="N121" s="11">
        <v>112</v>
      </c>
      <c r="O121" s="11">
        <f t="shared" si="7"/>
        <v>22</v>
      </c>
      <c r="P121" s="11">
        <f t="shared" si="8"/>
        <v>2</v>
      </c>
      <c r="Q121" s="12" cm="1">
        <f t="array" ref="Q121">INDEX('Subject-ConceptMap'!U105:Y359,1+O121,P121)</f>
        <v>0</v>
      </c>
    </row>
    <row r="122" spans="14:17">
      <c r="N122" s="11">
        <v>113</v>
      </c>
      <c r="O122" s="11">
        <f t="shared" si="7"/>
        <v>22</v>
      </c>
      <c r="P122" s="11">
        <f t="shared" si="8"/>
        <v>3</v>
      </c>
      <c r="Q122" s="12" cm="1">
        <f t="array" ref="Q122">INDEX('Subject-ConceptMap'!U106:Y360,1+O122,P122)</f>
        <v>0</v>
      </c>
    </row>
    <row r="123" spans="14:17">
      <c r="N123" s="11">
        <v>114</v>
      </c>
      <c r="O123" s="11">
        <f t="shared" si="7"/>
        <v>22</v>
      </c>
      <c r="P123" s="11">
        <f t="shared" si="8"/>
        <v>4</v>
      </c>
      <c r="Q123" s="12" cm="1">
        <f t="array" ref="Q123">INDEX('Subject-ConceptMap'!U107:Y361,1+O123,P123)</f>
        <v>0</v>
      </c>
    </row>
    <row r="124" spans="14:17">
      <c r="N124" s="11">
        <v>115</v>
      </c>
      <c r="O124" s="11">
        <f t="shared" si="7"/>
        <v>22</v>
      </c>
      <c r="P124" s="11">
        <f t="shared" si="8"/>
        <v>5</v>
      </c>
      <c r="Q124" s="12" cm="1">
        <f t="array" ref="Q124">INDEX('Subject-ConceptMap'!U108:Y362,1+O124,P124)</f>
        <v>0</v>
      </c>
    </row>
    <row r="125" spans="14:17">
      <c r="N125" s="11">
        <v>116</v>
      </c>
      <c r="O125" s="11">
        <f t="shared" si="7"/>
        <v>23</v>
      </c>
      <c r="P125" s="11">
        <f t="shared" si="8"/>
        <v>1</v>
      </c>
      <c r="Q125" s="12" cm="1">
        <f t="array" ref="Q125">INDEX('Subject-ConceptMap'!U109:Y363,1+O125,P125)</f>
        <v>0</v>
      </c>
    </row>
    <row r="126" spans="14:17">
      <c r="N126" s="11">
        <v>117</v>
      </c>
      <c r="O126" s="11">
        <f t="shared" si="7"/>
        <v>23</v>
      </c>
      <c r="P126" s="11">
        <f t="shared" si="8"/>
        <v>2</v>
      </c>
      <c r="Q126" s="12" cm="1">
        <f t="array" ref="Q126">INDEX('Subject-ConceptMap'!U110:Y364,1+O126,P126)</f>
        <v>0</v>
      </c>
    </row>
    <row r="127" spans="14:17">
      <c r="N127" s="11">
        <v>118</v>
      </c>
      <c r="O127" s="11">
        <f t="shared" si="7"/>
        <v>23</v>
      </c>
      <c r="P127" s="11">
        <f t="shared" si="8"/>
        <v>3</v>
      </c>
      <c r="Q127" s="12" cm="1">
        <f t="array" ref="Q127">INDEX('Subject-ConceptMap'!U111:Y365,1+O127,P127)</f>
        <v>0</v>
      </c>
    </row>
    <row r="128" spans="14:17">
      <c r="N128" s="11">
        <v>119</v>
      </c>
      <c r="O128" s="11">
        <f t="shared" si="7"/>
        <v>23</v>
      </c>
      <c r="P128" s="11">
        <f t="shared" si="8"/>
        <v>4</v>
      </c>
      <c r="Q128" s="12" cm="1">
        <f t="array" ref="Q128">INDEX('Subject-ConceptMap'!U112:Y366,1+O128,P128)</f>
        <v>0</v>
      </c>
    </row>
    <row r="129" spans="14:17">
      <c r="N129" s="11">
        <v>120</v>
      </c>
      <c r="O129" s="11">
        <f t="shared" si="7"/>
        <v>23</v>
      </c>
      <c r="P129" s="11">
        <f t="shared" si="8"/>
        <v>5</v>
      </c>
      <c r="Q129" s="12" cm="1">
        <f t="array" ref="Q129">INDEX('Subject-ConceptMap'!U113:Y367,1+O129,P129)</f>
        <v>0</v>
      </c>
    </row>
    <row r="130" spans="14:17">
      <c r="N130" s="11">
        <v>121</v>
      </c>
      <c r="O130" s="11">
        <f t="shared" si="7"/>
        <v>24</v>
      </c>
      <c r="P130" s="11">
        <f t="shared" si="8"/>
        <v>1</v>
      </c>
      <c r="Q130" s="12" cm="1">
        <f t="array" ref="Q130">INDEX('Subject-ConceptMap'!U114:Y368,1+O130,P130)</f>
        <v>0</v>
      </c>
    </row>
    <row r="131" spans="14:17">
      <c r="N131" s="11">
        <v>122</v>
      </c>
      <c r="O131" s="11">
        <f t="shared" si="7"/>
        <v>24</v>
      </c>
      <c r="P131" s="11">
        <f t="shared" si="8"/>
        <v>2</v>
      </c>
      <c r="Q131" s="12" cm="1">
        <f t="array" ref="Q131">INDEX('Subject-ConceptMap'!U115:Y369,1+O131,P131)</f>
        <v>0</v>
      </c>
    </row>
    <row r="132" spans="14:17">
      <c r="N132" s="11">
        <v>123</v>
      </c>
      <c r="O132" s="11">
        <f t="shared" si="7"/>
        <v>24</v>
      </c>
      <c r="P132" s="11">
        <f t="shared" si="8"/>
        <v>3</v>
      </c>
      <c r="Q132" s="12" cm="1">
        <f t="array" ref="Q132">INDEX('Subject-ConceptMap'!U116:Y370,1+O132,P132)</f>
        <v>0</v>
      </c>
    </row>
    <row r="133" spans="14:17">
      <c r="N133" s="11">
        <v>124</v>
      </c>
      <c r="O133" s="11">
        <f t="shared" si="7"/>
        <v>24</v>
      </c>
      <c r="P133" s="11">
        <f t="shared" si="8"/>
        <v>4</v>
      </c>
      <c r="Q133" s="12" cm="1">
        <f t="array" ref="Q133">INDEX('Subject-ConceptMap'!U117:Y371,1+O133,P133)</f>
        <v>0</v>
      </c>
    </row>
    <row r="134" spans="14:17">
      <c r="N134" s="11">
        <v>125</v>
      </c>
      <c r="O134" s="11">
        <f t="shared" si="7"/>
        <v>24</v>
      </c>
      <c r="P134" s="11">
        <f t="shared" si="8"/>
        <v>5</v>
      </c>
      <c r="Q134" s="12" cm="1">
        <f t="array" ref="Q134">INDEX('Subject-ConceptMap'!U118:Y372,1+O134,P134)</f>
        <v>0</v>
      </c>
    </row>
    <row r="135" spans="14:17">
      <c r="N135" s="11">
        <v>126</v>
      </c>
      <c r="O135" s="11">
        <f t="shared" si="7"/>
        <v>25</v>
      </c>
      <c r="P135" s="11">
        <f t="shared" si="8"/>
        <v>1</v>
      </c>
      <c r="Q135" s="12" cm="1">
        <f t="array" ref="Q135">INDEX('Subject-ConceptMap'!U119:Y373,1+O135,P135)</f>
        <v>0</v>
      </c>
    </row>
    <row r="136" spans="14:17">
      <c r="N136" s="11">
        <v>127</v>
      </c>
      <c r="O136" s="11">
        <f t="shared" si="7"/>
        <v>25</v>
      </c>
      <c r="P136" s="11">
        <f t="shared" si="8"/>
        <v>2</v>
      </c>
      <c r="Q136" s="12" cm="1">
        <f t="array" ref="Q136">INDEX('Subject-ConceptMap'!U120:Y374,1+O136,P136)</f>
        <v>0</v>
      </c>
    </row>
    <row r="137" spans="14:17">
      <c r="N137" s="11">
        <v>128</v>
      </c>
      <c r="O137" s="11">
        <f t="shared" si="7"/>
        <v>25</v>
      </c>
      <c r="P137" s="11">
        <f t="shared" si="8"/>
        <v>3</v>
      </c>
      <c r="Q137" s="12" cm="1">
        <f t="array" ref="Q137">INDEX('Subject-ConceptMap'!U121:Y375,1+O137,P137)</f>
        <v>0</v>
      </c>
    </row>
    <row r="138" spans="14:17">
      <c r="N138" s="11">
        <v>129</v>
      </c>
      <c r="O138" s="11">
        <f t="shared" si="7"/>
        <v>25</v>
      </c>
      <c r="P138" s="11">
        <f t="shared" si="8"/>
        <v>4</v>
      </c>
      <c r="Q138" s="12" cm="1">
        <f t="array" ref="Q138">INDEX('Subject-ConceptMap'!U122:Y376,1+O138,P138)</f>
        <v>0</v>
      </c>
    </row>
    <row r="139" spans="14:17">
      <c r="N139" s="11">
        <v>130</v>
      </c>
      <c r="O139" s="11">
        <f t="shared" ref="O139:O184" si="9">IF(MOD(N139,$O$3)=0,N139/$O$3-1,INT(N139/$O$3))</f>
        <v>25</v>
      </c>
      <c r="P139" s="11">
        <f t="shared" ref="P139:P184" si="10">IF(MOD(N139,$O$3)=0,$O$3,MOD(N139,$O$3))</f>
        <v>5</v>
      </c>
      <c r="Q139" s="12" cm="1">
        <f t="array" ref="Q139">INDEX('Subject-ConceptMap'!U123:Y377,1+O139,P139)</f>
        <v>0</v>
      </c>
    </row>
    <row r="140" spans="14:17">
      <c r="N140" s="11">
        <v>131</v>
      </c>
      <c r="O140" s="11">
        <f t="shared" si="9"/>
        <v>26</v>
      </c>
      <c r="P140" s="11">
        <f t="shared" si="10"/>
        <v>1</v>
      </c>
      <c r="Q140" s="12" cm="1">
        <f t="array" ref="Q140">INDEX('Subject-ConceptMap'!U124:Y378,1+O140,P140)</f>
        <v>0</v>
      </c>
    </row>
    <row r="141" spans="14:17">
      <c r="N141" s="11">
        <v>132</v>
      </c>
      <c r="O141" s="11">
        <f t="shared" si="9"/>
        <v>26</v>
      </c>
      <c r="P141" s="11">
        <f t="shared" si="10"/>
        <v>2</v>
      </c>
      <c r="Q141" s="12" cm="1">
        <f t="array" ref="Q141">INDEX('Subject-ConceptMap'!U125:Y379,1+O141,P141)</f>
        <v>0</v>
      </c>
    </row>
    <row r="142" spans="14:17">
      <c r="N142" s="11">
        <v>133</v>
      </c>
      <c r="O142" s="11">
        <f t="shared" si="9"/>
        <v>26</v>
      </c>
      <c r="P142" s="11">
        <f t="shared" si="10"/>
        <v>3</v>
      </c>
      <c r="Q142" s="12" cm="1">
        <f t="array" ref="Q142">INDEX('Subject-ConceptMap'!U126:Y380,1+O142,P142)</f>
        <v>0</v>
      </c>
    </row>
    <row r="143" spans="14:17">
      <c r="N143" s="11">
        <v>134</v>
      </c>
      <c r="O143" s="11">
        <f t="shared" si="9"/>
        <v>26</v>
      </c>
      <c r="P143" s="11">
        <f t="shared" si="10"/>
        <v>4</v>
      </c>
      <c r="Q143" s="12" cm="1">
        <f t="array" ref="Q143">INDEX('Subject-ConceptMap'!U127:Y381,1+O143,P143)</f>
        <v>0</v>
      </c>
    </row>
    <row r="144" spans="14:17">
      <c r="N144" s="11">
        <v>135</v>
      </c>
      <c r="O144" s="11">
        <f t="shared" si="9"/>
        <v>26</v>
      </c>
      <c r="P144" s="11">
        <f t="shared" si="10"/>
        <v>5</v>
      </c>
      <c r="Q144" s="12" cm="1">
        <f t="array" ref="Q144">INDEX('Subject-ConceptMap'!U128:Y382,1+O144,P144)</f>
        <v>0</v>
      </c>
    </row>
    <row r="145" spans="14:17">
      <c r="N145" s="11">
        <v>136</v>
      </c>
      <c r="O145" s="11">
        <f t="shared" si="9"/>
        <v>27</v>
      </c>
      <c r="P145" s="11">
        <f t="shared" si="10"/>
        <v>1</v>
      </c>
      <c r="Q145" s="12" cm="1">
        <f t="array" ref="Q145">INDEX('Subject-ConceptMap'!U129:Y383,1+O145,P145)</f>
        <v>0</v>
      </c>
    </row>
    <row r="146" spans="14:17">
      <c r="N146" s="11">
        <v>137</v>
      </c>
      <c r="O146" s="11">
        <f t="shared" si="9"/>
        <v>27</v>
      </c>
      <c r="P146" s="11">
        <f t="shared" si="10"/>
        <v>2</v>
      </c>
      <c r="Q146" s="12" cm="1">
        <f t="array" ref="Q146">INDEX('Subject-ConceptMap'!U130:Y384,1+O146,P146)</f>
        <v>0</v>
      </c>
    </row>
    <row r="147" spans="14:17">
      <c r="N147" s="11">
        <v>138</v>
      </c>
      <c r="O147" s="11">
        <f t="shared" si="9"/>
        <v>27</v>
      </c>
      <c r="P147" s="11">
        <f t="shared" si="10"/>
        <v>3</v>
      </c>
      <c r="Q147" s="12" cm="1">
        <f t="array" ref="Q147">INDEX('Subject-ConceptMap'!U131:Y385,1+O147,P147)</f>
        <v>0</v>
      </c>
    </row>
    <row r="148" spans="14:17">
      <c r="N148" s="11">
        <v>139</v>
      </c>
      <c r="O148" s="11">
        <f t="shared" si="9"/>
        <v>27</v>
      </c>
      <c r="P148" s="11">
        <f t="shared" si="10"/>
        <v>4</v>
      </c>
      <c r="Q148" s="12" cm="1">
        <f t="array" ref="Q148">INDEX('Subject-ConceptMap'!U132:Y386,1+O148,P148)</f>
        <v>0</v>
      </c>
    </row>
    <row r="149" spans="14:17">
      <c r="N149" s="11">
        <v>140</v>
      </c>
      <c r="O149" s="11">
        <f t="shared" si="9"/>
        <v>27</v>
      </c>
      <c r="P149" s="11">
        <f t="shared" si="10"/>
        <v>5</v>
      </c>
      <c r="Q149" s="12" cm="1">
        <f t="array" ref="Q149">INDEX('Subject-ConceptMap'!U133:Y387,1+O149,P149)</f>
        <v>0</v>
      </c>
    </row>
    <row r="150" spans="14:17">
      <c r="N150" s="11">
        <v>141</v>
      </c>
      <c r="O150" s="11">
        <f t="shared" si="9"/>
        <v>28</v>
      </c>
      <c r="P150" s="11">
        <f t="shared" si="10"/>
        <v>1</v>
      </c>
      <c r="Q150" s="12" cm="1">
        <f t="array" ref="Q150">INDEX('Subject-ConceptMap'!U134:Y388,1+O150,P150)</f>
        <v>0</v>
      </c>
    </row>
    <row r="151" spans="14:17">
      <c r="N151" s="11">
        <v>142</v>
      </c>
      <c r="O151" s="11">
        <f t="shared" si="9"/>
        <v>28</v>
      </c>
      <c r="P151" s="11">
        <f t="shared" si="10"/>
        <v>2</v>
      </c>
      <c r="Q151" s="12" cm="1">
        <f t="array" ref="Q151">INDEX('Subject-ConceptMap'!U135:Y389,1+O151,P151)</f>
        <v>0</v>
      </c>
    </row>
    <row r="152" spans="14:17">
      <c r="N152" s="11">
        <v>143</v>
      </c>
      <c r="O152" s="11">
        <f t="shared" si="9"/>
        <v>28</v>
      </c>
      <c r="P152" s="11">
        <f t="shared" si="10"/>
        <v>3</v>
      </c>
      <c r="Q152" s="12" cm="1">
        <f t="array" ref="Q152">INDEX('Subject-ConceptMap'!U136:Y390,1+O152,P152)</f>
        <v>0</v>
      </c>
    </row>
    <row r="153" spans="14:17">
      <c r="N153" s="11">
        <v>144</v>
      </c>
      <c r="O153" s="11">
        <f t="shared" si="9"/>
        <v>28</v>
      </c>
      <c r="P153" s="11">
        <f t="shared" si="10"/>
        <v>4</v>
      </c>
      <c r="Q153" s="12" cm="1">
        <f t="array" ref="Q153">INDEX('Subject-ConceptMap'!U137:Y391,1+O153,P153)</f>
        <v>0</v>
      </c>
    </row>
    <row r="154" spans="14:17">
      <c r="N154" s="11">
        <v>145</v>
      </c>
      <c r="O154" s="11">
        <f t="shared" si="9"/>
        <v>28</v>
      </c>
      <c r="P154" s="11">
        <f t="shared" si="10"/>
        <v>5</v>
      </c>
      <c r="Q154" s="12" cm="1">
        <f t="array" ref="Q154">INDEX('Subject-ConceptMap'!U138:Y392,1+O154,P154)</f>
        <v>0</v>
      </c>
    </row>
    <row r="155" spans="14:17">
      <c r="N155" s="11">
        <v>146</v>
      </c>
      <c r="O155" s="11">
        <f t="shared" si="9"/>
        <v>29</v>
      </c>
      <c r="P155" s="11">
        <f t="shared" si="10"/>
        <v>1</v>
      </c>
      <c r="Q155" s="12" cm="1">
        <f t="array" ref="Q155">INDEX('Subject-ConceptMap'!U139:Y393,1+O155,P155)</f>
        <v>0</v>
      </c>
    </row>
    <row r="156" spans="14:17">
      <c r="N156" s="11">
        <v>147</v>
      </c>
      <c r="O156" s="11">
        <f t="shared" si="9"/>
        <v>29</v>
      </c>
      <c r="P156" s="11">
        <f t="shared" si="10"/>
        <v>2</v>
      </c>
      <c r="Q156" s="12" cm="1">
        <f t="array" ref="Q156">INDEX('Subject-ConceptMap'!U140:Y394,1+O156,P156)</f>
        <v>0</v>
      </c>
    </row>
    <row r="157" spans="14:17">
      <c r="N157" s="11">
        <v>148</v>
      </c>
      <c r="O157" s="11">
        <f t="shared" si="9"/>
        <v>29</v>
      </c>
      <c r="P157" s="11">
        <f t="shared" si="10"/>
        <v>3</v>
      </c>
      <c r="Q157" s="12" cm="1">
        <f t="array" ref="Q157">INDEX('Subject-ConceptMap'!U141:Y395,1+O157,P157)</f>
        <v>0</v>
      </c>
    </row>
    <row r="158" spans="14:17">
      <c r="N158" s="11">
        <v>149</v>
      </c>
      <c r="O158" s="11">
        <f t="shared" si="9"/>
        <v>29</v>
      </c>
      <c r="P158" s="11">
        <f t="shared" si="10"/>
        <v>4</v>
      </c>
      <c r="Q158" s="12" cm="1">
        <f t="array" ref="Q158">INDEX('Subject-ConceptMap'!U142:Y396,1+O158,P158)</f>
        <v>0</v>
      </c>
    </row>
    <row r="159" spans="14:17">
      <c r="N159" s="11">
        <v>150</v>
      </c>
      <c r="O159" s="11">
        <f t="shared" si="9"/>
        <v>29</v>
      </c>
      <c r="P159" s="11">
        <f t="shared" si="10"/>
        <v>5</v>
      </c>
      <c r="Q159" s="12" cm="1">
        <f t="array" ref="Q159">INDEX('Subject-ConceptMap'!U143:Y397,1+O159,P159)</f>
        <v>0</v>
      </c>
    </row>
    <row r="160" spans="14:17">
      <c r="N160" s="11">
        <v>151</v>
      </c>
      <c r="O160" s="11">
        <f t="shared" si="9"/>
        <v>30</v>
      </c>
      <c r="P160" s="11">
        <f t="shared" si="10"/>
        <v>1</v>
      </c>
      <c r="Q160" s="12" cm="1">
        <f t="array" ref="Q160">INDEX('Subject-ConceptMap'!U144:Y398,1+O160,P160)</f>
        <v>0</v>
      </c>
    </row>
    <row r="161" spans="14:17">
      <c r="N161" s="11">
        <v>152</v>
      </c>
      <c r="O161" s="11">
        <f t="shared" si="9"/>
        <v>30</v>
      </c>
      <c r="P161" s="11">
        <f t="shared" si="10"/>
        <v>2</v>
      </c>
      <c r="Q161" s="12" cm="1">
        <f t="array" ref="Q161">INDEX('Subject-ConceptMap'!U145:Y399,1+O161,P161)</f>
        <v>0</v>
      </c>
    </row>
    <row r="162" spans="14:17">
      <c r="N162" s="11">
        <v>153</v>
      </c>
      <c r="O162" s="11">
        <f t="shared" si="9"/>
        <v>30</v>
      </c>
      <c r="P162" s="11">
        <f t="shared" si="10"/>
        <v>3</v>
      </c>
      <c r="Q162" s="12" cm="1">
        <f t="array" ref="Q162">INDEX('Subject-ConceptMap'!U146:Y400,1+O162,P162)</f>
        <v>0</v>
      </c>
    </row>
    <row r="163" spans="14:17">
      <c r="N163" s="11">
        <v>154</v>
      </c>
      <c r="O163" s="11">
        <f t="shared" si="9"/>
        <v>30</v>
      </c>
      <c r="P163" s="11">
        <f t="shared" si="10"/>
        <v>4</v>
      </c>
      <c r="Q163" s="12" cm="1">
        <f t="array" ref="Q163">INDEX('Subject-ConceptMap'!U147:Y401,1+O163,P163)</f>
        <v>0</v>
      </c>
    </row>
    <row r="164" spans="14:17">
      <c r="N164" s="11">
        <v>155</v>
      </c>
      <c r="O164" s="11">
        <f t="shared" si="9"/>
        <v>30</v>
      </c>
      <c r="P164" s="11">
        <f t="shared" si="10"/>
        <v>5</v>
      </c>
      <c r="Q164" s="12" cm="1">
        <f t="array" ref="Q164">INDEX('Subject-ConceptMap'!U148:Y402,1+O164,P164)</f>
        <v>0</v>
      </c>
    </row>
    <row r="165" spans="14:17">
      <c r="N165" s="11">
        <v>156</v>
      </c>
      <c r="O165" s="11">
        <f t="shared" si="9"/>
        <v>31</v>
      </c>
      <c r="P165" s="11">
        <f t="shared" si="10"/>
        <v>1</v>
      </c>
      <c r="Q165" s="12" cm="1">
        <f t="array" ref="Q165">INDEX('Subject-ConceptMap'!U149:Y403,1+O165,P165)</f>
        <v>0</v>
      </c>
    </row>
    <row r="166" spans="14:17">
      <c r="N166" s="11">
        <v>157</v>
      </c>
      <c r="O166" s="11">
        <f t="shared" si="9"/>
        <v>31</v>
      </c>
      <c r="P166" s="11">
        <f t="shared" si="10"/>
        <v>2</v>
      </c>
      <c r="Q166" s="12" cm="1">
        <f t="array" ref="Q166">INDEX('Subject-ConceptMap'!U150:Y404,1+O166,P166)</f>
        <v>0</v>
      </c>
    </row>
    <row r="167" spans="14:17">
      <c r="N167" s="11">
        <v>158</v>
      </c>
      <c r="O167" s="11">
        <f t="shared" si="9"/>
        <v>31</v>
      </c>
      <c r="P167" s="11">
        <f t="shared" si="10"/>
        <v>3</v>
      </c>
      <c r="Q167" s="12" cm="1">
        <f t="array" ref="Q167">INDEX('Subject-ConceptMap'!U151:Y405,1+O167,P167)</f>
        <v>0</v>
      </c>
    </row>
    <row r="168" spans="14:17">
      <c r="N168" s="11">
        <v>159</v>
      </c>
      <c r="O168" s="11">
        <f t="shared" si="9"/>
        <v>31</v>
      </c>
      <c r="P168" s="11">
        <f t="shared" si="10"/>
        <v>4</v>
      </c>
      <c r="Q168" s="12" cm="1">
        <f t="array" ref="Q168">INDEX('Subject-ConceptMap'!U152:Y406,1+O168,P168)</f>
        <v>0</v>
      </c>
    </row>
    <row r="169" spans="14:17">
      <c r="N169" s="11">
        <v>160</v>
      </c>
      <c r="O169" s="11">
        <f t="shared" si="9"/>
        <v>31</v>
      </c>
      <c r="P169" s="11">
        <f t="shared" si="10"/>
        <v>5</v>
      </c>
      <c r="Q169" s="12" cm="1">
        <f t="array" ref="Q169">INDEX('Subject-ConceptMap'!U153:Y407,1+O169,P169)</f>
        <v>0</v>
      </c>
    </row>
    <row r="170" spans="14:17">
      <c r="N170" s="11">
        <v>161</v>
      </c>
      <c r="O170" s="11">
        <f t="shared" si="9"/>
        <v>32</v>
      </c>
      <c r="P170" s="11">
        <f t="shared" si="10"/>
        <v>1</v>
      </c>
      <c r="Q170" s="12" cm="1">
        <f t="array" ref="Q170">INDEX('Subject-ConceptMap'!U154:Y408,1+O170,P170)</f>
        <v>0</v>
      </c>
    </row>
    <row r="171" spans="14:17">
      <c r="N171" s="11">
        <v>162</v>
      </c>
      <c r="O171" s="11">
        <f t="shared" si="9"/>
        <v>32</v>
      </c>
      <c r="P171" s="11">
        <f t="shared" si="10"/>
        <v>2</v>
      </c>
      <c r="Q171" s="12" cm="1">
        <f t="array" ref="Q171">INDEX('Subject-ConceptMap'!U155:Y409,1+O171,P171)</f>
        <v>0</v>
      </c>
    </row>
    <row r="172" spans="14:17">
      <c r="N172" s="11">
        <v>163</v>
      </c>
      <c r="O172" s="11">
        <f t="shared" si="9"/>
        <v>32</v>
      </c>
      <c r="P172" s="11">
        <f t="shared" si="10"/>
        <v>3</v>
      </c>
      <c r="Q172" s="12" cm="1">
        <f t="array" ref="Q172">INDEX('Subject-ConceptMap'!U156:Y410,1+O172,P172)</f>
        <v>0</v>
      </c>
    </row>
    <row r="173" spans="14:17">
      <c r="N173" s="11">
        <v>164</v>
      </c>
      <c r="O173" s="11">
        <f t="shared" si="9"/>
        <v>32</v>
      </c>
      <c r="P173" s="11">
        <f t="shared" si="10"/>
        <v>4</v>
      </c>
      <c r="Q173" s="12" cm="1">
        <f t="array" ref="Q173">INDEX('Subject-ConceptMap'!U157:Y411,1+O173,P173)</f>
        <v>0</v>
      </c>
    </row>
    <row r="174" spans="14:17">
      <c r="N174" s="11">
        <v>165</v>
      </c>
      <c r="O174" s="11">
        <f t="shared" si="9"/>
        <v>32</v>
      </c>
      <c r="P174" s="11">
        <f t="shared" si="10"/>
        <v>5</v>
      </c>
      <c r="Q174" s="12" cm="1">
        <f t="array" ref="Q174">INDEX('Subject-ConceptMap'!U158:Y412,1+O174,P174)</f>
        <v>0</v>
      </c>
    </row>
    <row r="175" spans="14:17">
      <c r="N175" s="11">
        <v>166</v>
      </c>
      <c r="O175" s="11">
        <f t="shared" si="9"/>
        <v>33</v>
      </c>
      <c r="P175" s="11">
        <f t="shared" si="10"/>
        <v>1</v>
      </c>
      <c r="Q175" s="12" cm="1">
        <f t="array" ref="Q175">INDEX('Subject-ConceptMap'!U159:Y413,1+O175,P175)</f>
        <v>0</v>
      </c>
    </row>
    <row r="176" spans="14:17">
      <c r="N176" s="11">
        <v>167</v>
      </c>
      <c r="O176" s="11">
        <f t="shared" si="9"/>
        <v>33</v>
      </c>
      <c r="P176" s="11">
        <f t="shared" si="10"/>
        <v>2</v>
      </c>
      <c r="Q176" s="12" cm="1">
        <f t="array" ref="Q176">INDEX('Subject-ConceptMap'!U160:Y414,1+O176,P176)</f>
        <v>0</v>
      </c>
    </row>
    <row r="177" spans="14:17">
      <c r="N177" s="11">
        <v>168</v>
      </c>
      <c r="O177" s="11">
        <f t="shared" si="9"/>
        <v>33</v>
      </c>
      <c r="P177" s="11">
        <f t="shared" si="10"/>
        <v>3</v>
      </c>
      <c r="Q177" s="12" cm="1">
        <f t="array" ref="Q177">INDEX('Subject-ConceptMap'!U161:Y415,1+O177,P177)</f>
        <v>0</v>
      </c>
    </row>
    <row r="178" spans="14:17">
      <c r="N178" s="11">
        <v>169</v>
      </c>
      <c r="O178" s="11">
        <f t="shared" si="9"/>
        <v>33</v>
      </c>
      <c r="P178" s="11">
        <f t="shared" si="10"/>
        <v>4</v>
      </c>
      <c r="Q178" s="12" cm="1">
        <f t="array" ref="Q178">INDEX('Subject-ConceptMap'!U162:Y416,1+O178,P178)</f>
        <v>0</v>
      </c>
    </row>
    <row r="179" spans="14:17">
      <c r="N179" s="11">
        <v>170</v>
      </c>
      <c r="O179" s="11">
        <f t="shared" si="9"/>
        <v>33</v>
      </c>
      <c r="P179" s="11">
        <f t="shared" si="10"/>
        <v>5</v>
      </c>
      <c r="Q179" s="12" cm="1">
        <f t="array" ref="Q179">INDEX('Subject-ConceptMap'!U163:Y417,1+O179,P179)</f>
        <v>0</v>
      </c>
    </row>
    <row r="180" spans="14:17">
      <c r="N180" s="11">
        <v>171</v>
      </c>
      <c r="O180" s="11">
        <f t="shared" si="9"/>
        <v>34</v>
      </c>
      <c r="P180" s="11">
        <f t="shared" si="10"/>
        <v>1</v>
      </c>
      <c r="Q180" s="12" cm="1">
        <f t="array" ref="Q180">INDEX('Subject-ConceptMap'!U164:Y418,1+O180,P180)</f>
        <v>0</v>
      </c>
    </row>
    <row r="181" spans="14:17">
      <c r="N181" s="11">
        <v>172</v>
      </c>
      <c r="O181" s="11">
        <f t="shared" si="9"/>
        <v>34</v>
      </c>
      <c r="P181" s="11">
        <f t="shared" si="10"/>
        <v>2</v>
      </c>
      <c r="Q181" s="12" cm="1">
        <f t="array" ref="Q181">INDEX('Subject-ConceptMap'!U165:Y419,1+O181,P181)</f>
        <v>0</v>
      </c>
    </row>
    <row r="182" spans="14:17">
      <c r="N182" s="11">
        <v>173</v>
      </c>
      <c r="O182" s="11">
        <f t="shared" si="9"/>
        <v>34</v>
      </c>
      <c r="P182" s="11">
        <f t="shared" si="10"/>
        <v>3</v>
      </c>
      <c r="Q182" s="12" cm="1">
        <f t="array" ref="Q182">INDEX('Subject-ConceptMap'!U166:Y420,1+O182,P182)</f>
        <v>0</v>
      </c>
    </row>
    <row r="183" spans="14:17">
      <c r="N183" s="11">
        <v>174</v>
      </c>
      <c r="O183" s="11">
        <f t="shared" si="9"/>
        <v>34</v>
      </c>
      <c r="P183" s="11">
        <f t="shared" si="10"/>
        <v>4</v>
      </c>
      <c r="Q183" s="12" cm="1">
        <f t="array" ref="Q183">INDEX('Subject-ConceptMap'!U167:Y421,1+O183,P183)</f>
        <v>0</v>
      </c>
    </row>
    <row r="184" spans="14:17">
      <c r="N184" s="11">
        <v>175</v>
      </c>
      <c r="O184" s="11">
        <f t="shared" si="9"/>
        <v>34</v>
      </c>
      <c r="P184" s="11">
        <f t="shared" si="10"/>
        <v>5</v>
      </c>
      <c r="Q184" s="12" cm="1">
        <f t="array" ref="Q184">INDEX('Subject-ConceptMap'!U168:Y422,1+O184,P184)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D5EF33B-3919-4BE4-A8D6-CE0404C75504}">
          <x14:formula1>
            <xm:f>Foglio2!$D$6:$D$15</xm:f>
          </x14:formula1>
          <xm:sqref>L37:L46 I34:I46 J21:K46 F10:G46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27781-A722-49BA-8657-D6A93BE71BAA}">
  <sheetPr codeName="Foglio12">
    <tabColor rgb="FFFF0000"/>
  </sheetPr>
  <dimension ref="B1:G77"/>
  <sheetViews>
    <sheetView workbookViewId="0">
      <selection activeCell="I1" sqref="I1:I20"/>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IF('Subject-ConceptMap'!Q10=0,"//---END",'Subject-ConceptMap'!Q10)</f>
        <v>* group[=].element[+].code = #Subject</v>
      </c>
    </row>
    <row r="21" spans="2:7">
      <c r="B21" s="12" t="str">
        <f>IF('Subject-ConceptMap'!Q11=0,"//---END",'Subject-ConceptMap'!Q11)</f>
        <v>* group[=].element[=].display = ##34#Subject of care##34#</v>
      </c>
    </row>
    <row r="22" spans="2:7">
      <c r="B22" s="12" t="str">
        <f>IF('Subject-ConceptMap'!Q12=0,"//---END",'Subject-ConceptMap'!Q12)</f>
        <v>* group[=].element[=].target.code = #Osiris.Patient</v>
      </c>
    </row>
    <row r="23" spans="2:7">
      <c r="B23" s="12" t="str">
        <f>IF('Subject-ConceptMap'!Q13=0,"//---END",'Subject-ConceptMap'!Q13)</f>
        <v>* group[=].element[=].target.display = ##34#Patient##34#</v>
      </c>
    </row>
    <row r="24" spans="2:7">
      <c r="B24" s="12" t="str">
        <f>IF('Subject-ConceptMap'!Q14=0,"//---END",'Subject-ConceptMap'!Q14)</f>
        <v>* group[=].element[=].target.equivalence = #equivalent</v>
      </c>
    </row>
    <row r="25" spans="2:7">
      <c r="B25" s="12" t="str">
        <f>IF('Subject-ConceptMap'!Q15=0,"//---END",'Subject-ConceptMap'!Q15)</f>
        <v>* group[=].element[+].code = #Subject.dateOfBirth</v>
      </c>
      <c r="G25" s="7"/>
    </row>
    <row r="26" spans="2:7">
      <c r="B26" s="12" t="str">
        <f>IF('Subject-ConceptMap'!Q16=0,"//---END",'Subject-ConceptMap'!Q16)</f>
        <v>* group[=].element[=].display = ##34#Date of birth##34#</v>
      </c>
    </row>
    <row r="27" spans="2:7">
      <c r="B27" s="12" t="str">
        <f>IF('Subject-ConceptMap'!Q17=0,"//---END",'Subject-ConceptMap'!Q17)</f>
        <v>* group[=].element[=].target.code = #Osiris.Patient.BirthDate</v>
      </c>
    </row>
    <row r="28" spans="2:7">
      <c r="B28" s="12" t="str">
        <f>IF('Subject-ConceptMap'!Q18=0,"//---END",'Subject-ConceptMap'!Q18)</f>
        <v>* group[=].element[=].target.display = ##34#Birth Date [C4]##34#</v>
      </c>
    </row>
    <row r="29" spans="2:7">
      <c r="B29" s="12" t="str">
        <f>IF('Subject-ConceptMap'!Q19=0,"//---END",'Subject-ConceptMap'!Q19)</f>
        <v>* group[=].element[=].target.equivalence = #relatedto</v>
      </c>
    </row>
    <row r="30" spans="2:7">
      <c r="B30" s="12" t="str">
        <f>IF('Subject-ConceptMap'!Q20=0,"//---END",'Subject-ConceptMap'!Q20)</f>
        <v>* group[=].element[+].code = #Subject.dateOfBirth.date</v>
      </c>
    </row>
    <row r="31" spans="2:7">
      <c r="B31" s="12" t="str">
        <f>IF('Subject-ConceptMap'!Q21=0,"//---END",'Subject-ConceptMap'!Q21)</f>
        <v>* group[=].element[=].display = ##34#Date of birth##34#</v>
      </c>
    </row>
    <row r="32" spans="2:7">
      <c r="B32" s="12" t="str">
        <f>IF('Subject-ConceptMap'!Q22=0,"//---END",'Subject-ConceptMap'!Q22)</f>
        <v>* group[=].element[=].target.code = #Osiris.Patient.BirthDate</v>
      </c>
    </row>
    <row r="33" spans="2:2">
      <c r="B33" s="12" t="str">
        <f>IF('Subject-ConceptMap'!Q23=0,"//---END",'Subject-ConceptMap'!Q23)</f>
        <v>* group[=].element[=].target.display = ##34#Birth Date [C4]##34#</v>
      </c>
    </row>
    <row r="34" spans="2:2">
      <c r="B34" s="12" t="str">
        <f>IF('Subject-ConceptMap'!Q24=0,"//---END",'Subject-ConceptMap'!Q24)</f>
        <v>* group[=].element[=].target.equivalence = #equivalent</v>
      </c>
    </row>
    <row r="35" spans="2:2">
      <c r="B35" s="12" t="str">
        <f>IF('Subject-ConceptMap'!Q25=0,"//---END",'Subject-ConceptMap'!Q25)</f>
        <v>* group[=].element[+].code = #Subject.dateOfBirth.unknown</v>
      </c>
    </row>
    <row r="36" spans="2:2">
      <c r="B36" s="12" t="str">
        <f>IF('Subject-ConceptMap'!Q26=0,"//---END",'Subject-ConceptMap'!Q26)</f>
        <v>* group[=].element[=].display = ##34#Date of birth day unknown##34#</v>
      </c>
    </row>
    <row r="37" spans="2:2">
      <c r="B37" s="12" t="str">
        <f>IF('Subject-ConceptMap'!Q27=0,"//---END",'Subject-ConceptMap'!Q27)</f>
        <v>//-- unmatched</v>
      </c>
    </row>
    <row r="38" spans="2:2">
      <c r="B38" s="12" t="str">
        <f>IF('Subject-ConceptMap'!Q28=0,"//---END",'Subject-ConceptMap'!Q28)</f>
        <v>//-- unmatched</v>
      </c>
    </row>
    <row r="39" spans="2:2">
      <c r="B39" s="12" t="str">
        <f>IF('Subject-ConceptMap'!Q29=0,"//---END",'Subject-ConceptMap'!Q29)</f>
        <v>* group[=].element[=].target.equivalence = #unmatched</v>
      </c>
    </row>
    <row r="40" spans="2:2">
      <c r="B40" s="12" t="str">
        <f>IF('Subject-ConceptMap'!Q30=0,"//---END",'Subject-ConceptMap'!Q30)</f>
        <v>* group[=].element[+].code = #Subject.maritalStatus</v>
      </c>
    </row>
    <row r="41" spans="2:2">
      <c r="B41" s="12" t="str">
        <f>IF('Subject-ConceptMap'!Q31=0,"//---END",'Subject-ConceptMap'!Q31)</f>
        <v>* group[=].element[=].display = ##34#Marital status##34#</v>
      </c>
    </row>
    <row r="42" spans="2:2">
      <c r="B42" s="12" t="str">
        <f>IF('Subject-ConceptMap'!Q32=0,"//---END",'Subject-ConceptMap'!Q32)</f>
        <v>//-- unmatched</v>
      </c>
    </row>
    <row r="43" spans="2:2">
      <c r="B43" s="12" t="str">
        <f>IF('Subject-ConceptMap'!Q33=0,"//---END",'Subject-ConceptMap'!Q33)</f>
        <v>//-- unmatched</v>
      </c>
    </row>
    <row r="44" spans="2:2">
      <c r="B44" s="12" t="str">
        <f>IF('Subject-ConceptMap'!Q34=0,"//---END",'Subject-ConceptMap'!Q34)</f>
        <v>* group[=].element[=].target.equivalence = #unmatched</v>
      </c>
    </row>
    <row r="45" spans="2:2">
      <c r="B45" s="12" t="str">
        <f>IF('Subject-ConceptMap'!Q35=0,"//---END",'Subject-ConceptMap'!Q35)</f>
        <v>* group[=].element[+].code = #Subject.sexOrGender</v>
      </c>
    </row>
    <row r="46" spans="2:2">
      <c r="B46" s="12" t="str">
        <f>IF('Subject-ConceptMap'!Q36=0,"//---END",'Subject-ConceptMap'!Q36)</f>
        <v>* group[=].element[=].display = ##34#Gender/Sex##34#</v>
      </c>
    </row>
    <row r="47" spans="2:2">
      <c r="B47" s="12" t="str">
        <f>IF('Subject-ConceptMap'!Q37=0,"//---END",'Subject-ConceptMap'!Q37)</f>
        <v>* group[=].element[=].target.code = #Osiris.Patient.Gender</v>
      </c>
    </row>
    <row r="48" spans="2:2">
      <c r="B48" s="12" t="str">
        <f>IF('Subject-ConceptMap'!Q38=0,"//---END",'Subject-ConceptMap'!Q38)</f>
        <v>* group[=].element[=].target.display = ##34#Gender [C2]##34#</v>
      </c>
    </row>
    <row r="49" spans="2:2">
      <c r="B49" s="12" t="str">
        <f>IF('Subject-ConceptMap'!Q39=0,"//---END",'Subject-ConceptMap'!Q39)</f>
        <v>* group[=].element[=].target.equivalence = #narrower</v>
      </c>
    </row>
    <row r="50" spans="2:2">
      <c r="B50" s="12" t="str">
        <f>IF('Subject-ConceptMap'!Q40=0,"//---END",'Subject-ConceptMap'!Q40)</f>
        <v>* group[=].element[+].code = #Subject.race</v>
      </c>
    </row>
    <row r="51" spans="2:2">
      <c r="B51" s="12" t="str">
        <f>IF('Subject-ConceptMap'!Q41=0,"//---END",'Subject-ConceptMap'!Q41)</f>
        <v>* group[=].element[=].display = ##34#Race##34#</v>
      </c>
    </row>
    <row r="52" spans="2:2">
      <c r="B52" s="12" t="str">
        <f>IF('Subject-ConceptMap'!Q42=0,"//---END",'Subject-ConceptMap'!Q42)</f>
        <v>* group[=].element[=].target.code = #Osiris.Patient.Ethnicity</v>
      </c>
    </row>
    <row r="53" spans="2:2">
      <c r="B53" s="12" t="str">
        <f>IF('Subject-ConceptMap'!Q43=0,"//---END",'Subject-ConceptMap'!Q43)</f>
        <v>* group[=].element[=].target.display = ##34#Ethnicity [C3]##34#</v>
      </c>
    </row>
    <row r="54" spans="2:2">
      <c r="B54" s="12" t="str">
        <f>IF('Subject-ConceptMap'!Q44=0,"//---END",'Subject-ConceptMap'!Q44)</f>
        <v>* group[=].element[=].target.equivalence = #wider</v>
      </c>
    </row>
    <row r="55" spans="2:2">
      <c r="B55" s="12" t="str">
        <f>IF('Subject-ConceptMap'!Q45=0,"//---END",'Subject-ConceptMap'!Q45)</f>
        <v>* group[=].element[+].code = #Subject.countryOfResidence</v>
      </c>
    </row>
    <row r="56" spans="2:2">
      <c r="B56" s="12" t="str">
        <f>IF('Subject-ConceptMap'!Q46=0,"//---END",'Subject-ConceptMap'!Q46)</f>
        <v>* group[=].element[=].display = ##34#Country of Residence ##34#</v>
      </c>
    </row>
    <row r="57" spans="2:2">
      <c r="B57" s="12" t="str">
        <f>IF('Subject-ConceptMap'!Q47=0,"//---END",'Subject-ConceptMap'!Q47)</f>
        <v>//-- unmatched</v>
      </c>
    </row>
    <row r="58" spans="2:2">
      <c r="B58" s="12" t="str">
        <f>IF('Subject-ConceptMap'!Q48=0,"//---END",'Subject-ConceptMap'!Q48)</f>
        <v>//-- unmatched</v>
      </c>
    </row>
    <row r="59" spans="2:2">
      <c r="B59" s="12" t="str">
        <f>IF('Subject-ConceptMap'!Q49=0,"//---END",'Subject-ConceptMap'!Q49)</f>
        <v>* group[=].element[=].target.equivalence = #unmatched</v>
      </c>
    </row>
    <row r="60" spans="2:2">
      <c r="B60" s="12" t="str">
        <f>IF('Subject-ConceptMap'!Q50=0,"//---END",'Subject-ConceptMap'!Q50)</f>
        <v>//---END</v>
      </c>
    </row>
    <row r="61" spans="2:2">
      <c r="B61" s="12" t="str">
        <f>IF('Subject-ConceptMap'!Q51=0,"//---END",'Subject-ConceptMap'!Q51)</f>
        <v>//---END</v>
      </c>
    </row>
    <row r="62" spans="2:2">
      <c r="B62" s="12" t="str">
        <f>IF('Subject-ConceptMap'!Q52=0,"//---END",'Subject-ConceptMap'!Q52)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53" t="str">
        <f>OsirisDataElementConcept[[#Headers],[DataElementConcept]]</f>
        <v>DataElementConcept</v>
      </c>
      <c r="L1" t="s">
        <v>1409</v>
      </c>
    </row>
    <row r="2" spans="4:13">
      <c r="I2" s="55" t="str">
        <f>OsirisDataElementConcept!$A$2</f>
        <v>Patient</v>
      </c>
      <c r="J2" s="55" t="str">
        <f>OsirisDataElementConcept!$A$2</f>
        <v>Patient</v>
      </c>
      <c r="K2" s="55" t="str">
        <f>OsirisDataElementConcept!$A$2</f>
        <v>Patient</v>
      </c>
      <c r="L2" s="57" t="s">
        <v>1410</v>
      </c>
      <c r="M2" s="57" t="s">
        <v>2</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4"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4"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4"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4"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4"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4"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4"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4"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4"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4"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5" t="str">
        <f>OsirisDataElementConcept!$A$12</f>
        <v>Consent</v>
      </c>
      <c r="J13" s="55" t="str">
        <f>OsirisDataElementConcept!$A$12</f>
        <v>Consent</v>
      </c>
      <c r="K13" s="55" t="str">
        <f>OsirisDataElementConcept!$A$12</f>
        <v>Consent</v>
      </c>
      <c r="L13" s="56">
        <v>1</v>
      </c>
      <c r="M13" s="57" t="s">
        <v>2</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4"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4"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5" t="s">
        <v>281</v>
      </c>
      <c r="J16" s="55" t="s">
        <v>281</v>
      </c>
      <c r="K16" s="55" t="s">
        <v>281</v>
      </c>
      <c r="L16" s="56">
        <v>0</v>
      </c>
      <c r="M16" s="57" t="s">
        <v>2</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4"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4"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4"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5" t="s">
        <v>305</v>
      </c>
      <c r="J20" s="55" t="s">
        <v>305</v>
      </c>
      <c r="K20" s="55" t="s">
        <v>305</v>
      </c>
      <c r="L20" s="56">
        <v>0</v>
      </c>
      <c r="M20" s="57" t="s">
        <v>2</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4"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4"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5" t="s">
        <v>320</v>
      </c>
      <c r="J23" s="55" t="s">
        <v>320</v>
      </c>
      <c r="K23" s="55" t="s">
        <v>320</v>
      </c>
      <c r="L23" s="56">
        <v>1</v>
      </c>
      <c r="M23" s="57" t="s">
        <v>2</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4"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4"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4"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4"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4"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4"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4"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4"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4"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4"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4"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4"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4"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5" t="s">
        <v>414</v>
      </c>
      <c r="J37" s="55" t="s">
        <v>414</v>
      </c>
      <c r="K37" s="55" t="s">
        <v>414</v>
      </c>
      <c r="L37" s="56">
        <v>0</v>
      </c>
      <c r="M37" s="57" t="s">
        <v>2</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4"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4"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4"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4"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4"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5" t="s">
        <v>451</v>
      </c>
      <c r="J43" s="55" t="s">
        <v>451</v>
      </c>
      <c r="K43" s="55" t="s">
        <v>451</v>
      </c>
      <c r="L43" s="56">
        <v>0</v>
      </c>
      <c r="M43" s="57" t="s">
        <v>2</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4"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4"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4"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5" t="s">
        <v>466</v>
      </c>
      <c r="J47" s="55" t="s">
        <v>466</v>
      </c>
      <c r="K47" s="55" t="s">
        <v>466</v>
      </c>
      <c r="L47" s="56">
        <v>0</v>
      </c>
      <c r="M47" s="57" t="s">
        <v>2</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4"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4"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5" t="s">
        <v>479</v>
      </c>
      <c r="J50" s="55" t="s">
        <v>479</v>
      </c>
      <c r="K50" s="55" t="s">
        <v>479</v>
      </c>
      <c r="L50" s="56">
        <v>0</v>
      </c>
      <c r="M50" s="57" t="s">
        <v>2</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4"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4"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4"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5" t="s">
        <v>498</v>
      </c>
      <c r="J54" s="55" t="s">
        <v>498</v>
      </c>
      <c r="K54" s="55" t="s">
        <v>498</v>
      </c>
      <c r="L54" s="56">
        <v>0</v>
      </c>
      <c r="M54" s="57" t="s">
        <v>2</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4"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4"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4"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4"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4"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4"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4"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4"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4"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4"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5" t="s">
        <v>563</v>
      </c>
      <c r="J65" s="55" t="s">
        <v>563</v>
      </c>
      <c r="K65" s="55" t="s">
        <v>563</v>
      </c>
      <c r="L65" s="56">
        <v>0</v>
      </c>
      <c r="M65" s="57" t="s">
        <v>2</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4"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4"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4"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4"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5" t="s">
        <v>584</v>
      </c>
      <c r="J70" s="55" t="s">
        <v>584</v>
      </c>
      <c r="K70" s="55" t="s">
        <v>584</v>
      </c>
      <c r="L70" s="56">
        <v>0</v>
      </c>
      <c r="M70" s="57" t="s">
        <v>2</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4"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4"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5" t="s">
        <v>595</v>
      </c>
      <c r="J73" s="55" t="s">
        <v>595</v>
      </c>
      <c r="K73" s="55" t="s">
        <v>595</v>
      </c>
      <c r="L73" s="56">
        <v>0</v>
      </c>
      <c r="M73" s="57" t="s">
        <v>2</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4"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4"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4"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4"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4"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4"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4"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4"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5" t="s">
        <v>647</v>
      </c>
      <c r="J82" s="55" t="s">
        <v>647</v>
      </c>
      <c r="K82" s="55" t="s">
        <v>647</v>
      </c>
      <c r="L82" s="56">
        <v>1</v>
      </c>
      <c r="M82" s="57" t="s">
        <v>2</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4"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4"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4"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4"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5" t="s">
        <v>677</v>
      </c>
      <c r="J87" s="55" t="s">
        <v>677</v>
      </c>
      <c r="K87" s="55" t="s">
        <v>677</v>
      </c>
      <c r="L87" s="56">
        <v>0</v>
      </c>
      <c r="M87" s="57" t="s">
        <v>2</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4"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5" t="s">
        <v>684</v>
      </c>
      <c r="J89" s="55" t="s">
        <v>684</v>
      </c>
      <c r="K89" s="55" t="s">
        <v>684</v>
      </c>
      <c r="L89" s="56">
        <v>1</v>
      </c>
      <c r="M89" s="57" t="s">
        <v>2</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4"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5" t="s">
        <v>692</v>
      </c>
      <c r="J91" s="55" t="s">
        <v>692</v>
      </c>
      <c r="K91" s="55" t="s">
        <v>692</v>
      </c>
      <c r="L91" s="56">
        <v>0</v>
      </c>
      <c r="M91" s="57" t="s">
        <v>2</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4"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4"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4"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5"/>
      <c r="I95" s="55" t="s">
        <v>715</v>
      </c>
      <c r="J95" s="55" t="s">
        <v>715</v>
      </c>
      <c r="K95" s="55" t="s">
        <v>715</v>
      </c>
      <c r="L95" s="56">
        <v>1</v>
      </c>
      <c r="M95" s="57" t="s">
        <v>2</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4"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4"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4"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4"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5" t="s">
        <v>742</v>
      </c>
      <c r="J100" s="55" t="s">
        <v>742</v>
      </c>
      <c r="K100" s="55" t="s">
        <v>742</v>
      </c>
      <c r="L100" s="56">
        <v>0</v>
      </c>
      <c r="M100" s="57" t="s">
        <v>2</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4"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4"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4"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5" t="s">
        <v>760</v>
      </c>
      <c r="J104" s="55" t="s">
        <v>760</v>
      </c>
      <c r="K104" s="55" t="s">
        <v>760</v>
      </c>
      <c r="L104" s="56">
        <v>1</v>
      </c>
      <c r="M104" s="57" t="s">
        <v>2</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4"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4"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4"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4"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4"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5" t="str">
        <f>OsirisDataElementConcept!$A$90</f>
        <v>GenomeEntity</v>
      </c>
      <c r="J110" s="55" t="str">
        <f>OsirisDataElementConcept!$A$90</f>
        <v>GenomeEntity</v>
      </c>
      <c r="K110" s="55" t="str">
        <f>OsirisDataElementConcept!$A$90</f>
        <v>GenomeEntity</v>
      </c>
      <c r="L110" s="56">
        <v>1</v>
      </c>
      <c r="M110" s="57" t="s">
        <v>2</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4"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4"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4"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4"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5" t="str">
        <f>OsirisDataElementConcept!$A$94</f>
        <v>Fusion</v>
      </c>
      <c r="J115" s="55" t="str">
        <f>OsirisDataElementConcept!$A$94</f>
        <v>Fusion</v>
      </c>
      <c r="K115" s="55" t="str">
        <f>OsirisDataElementConcept!$A$94</f>
        <v>Fusion</v>
      </c>
      <c r="L115" s="56">
        <v>1</v>
      </c>
      <c r="M115" s="57" t="s">
        <v>2</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4"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4"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4"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4"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4"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4"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4"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4"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5" t="str">
        <f>OsirisDataElementConcept!$A$102</f>
        <v>CNV</v>
      </c>
      <c r="J124" s="55" t="str">
        <f>OsirisDataElementConcept!$A$102</f>
        <v>CNV</v>
      </c>
      <c r="K124" s="55" t="str">
        <f>OsirisDataElementConcept!$A$102</f>
        <v>CNV</v>
      </c>
      <c r="L124" s="56">
        <v>1</v>
      </c>
      <c r="M124" s="57" t="s">
        <v>2</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4"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4"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4"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4"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4"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5" t="str">
        <f>OsirisDataElementConcept!$A$109</f>
        <v>Variant</v>
      </c>
      <c r="J130" s="55" t="str">
        <f>OsirisDataElementConcept!$A$109</f>
        <v>Variant</v>
      </c>
      <c r="K130" s="55" t="str">
        <f>OsirisDataElementConcept!$A$109</f>
        <v>Variant</v>
      </c>
      <c r="L130" s="56">
        <v>1</v>
      </c>
      <c r="M130" s="57" t="s">
        <v>2</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4"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4"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4"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5" t="str">
        <f>OsirisDataElementConcept!$A$111</f>
        <v>Annotation</v>
      </c>
      <c r="J134" s="55" t="str">
        <f>OsirisDataElementConcept!$A$111</f>
        <v>Annotation</v>
      </c>
      <c r="K134" s="55" t="str">
        <f>OsirisDataElementConcept!$A$111</f>
        <v>Annotation</v>
      </c>
      <c r="L134" s="56">
        <v>0</v>
      </c>
      <c r="M134" s="57" t="s">
        <v>2</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4"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4"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4"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4"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4"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4"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4"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4"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4"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4"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4"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4"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4"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4"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4"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4"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4"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5" t="str">
        <f>OsirisDataElementConcept!$A$128</f>
        <v>VariantInSample</v>
      </c>
      <c r="I152" s="55" t="str">
        <f>OsirisDataElementConcept!$A$128</f>
        <v>VariantInSample</v>
      </c>
      <c r="J152" s="55" t="str">
        <f>OsirisDataElementConcept!$A$128</f>
        <v>VariantInSample</v>
      </c>
      <c r="K152" s="55" t="str">
        <f>OsirisDataElementConcept!$A$128</f>
        <v>VariantInSample</v>
      </c>
      <c r="L152" s="56">
        <v>1</v>
      </c>
      <c r="M152" s="57" t="s">
        <v>2</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4"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4"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4"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4"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4" t="str">
        <f>IF(LEN(OsirisDataElementConcept!I131)=9,"1","0")</f>
        <v>0</v>
      </c>
      <c r="M157" s="75" t="s">
        <v>2</v>
      </c>
    </row>
    <row r="158" spans="4:15">
      <c r="D158" t="str">
        <f>OsirisDataElementConcept!C158</f>
        <v>CommonImage_PixelSpacing</v>
      </c>
      <c r="H158" t="str">
        <f>OsirisDataElementConcept!$A$133</f>
        <v>GeneExpression</v>
      </c>
      <c r="I158" s="55" t="str">
        <f>OsirisDataElementConcept!$A$133</f>
        <v>GeneExpression</v>
      </c>
      <c r="J158" s="55" t="str">
        <f>OsirisDataElementConcept!$A$133</f>
        <v>GeneExpression</v>
      </c>
      <c r="K158" s="55" t="str">
        <f>OsirisDataElementConcept!$A$133</f>
        <v>GeneExpression</v>
      </c>
      <c r="L158" s="56">
        <v>1</v>
      </c>
      <c r="M158" s="57" t="s">
        <v>2</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4" t="str">
        <f>IF(LEN(OsirisDataElementConcept!I132)=9,"1","0")</f>
        <v>1</v>
      </c>
      <c r="M159" s="75" t="s">
        <v>2</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4" t="str">
        <f>IF(LEN(OsirisDataElementConcept!I133)=9,"1","0")</f>
        <v>1</v>
      </c>
      <c r="M160" s="75" t="s">
        <v>2</v>
      </c>
    </row>
    <row r="161" spans="4:13">
      <c r="D161" t="str">
        <f>OsirisDataElementConcept!C161</f>
        <v>CommonImage_Columns</v>
      </c>
      <c r="H161" t="str">
        <f>OsirisDataElementConcept!$A$134</f>
        <v>Equipment</v>
      </c>
      <c r="I161" s="55" t="str">
        <f>OsirisDataElementConcept!$A$134</f>
        <v>Equipment</v>
      </c>
      <c r="J161" s="55" t="str">
        <f>OsirisDataElementConcept!$A$134</f>
        <v>Equipment</v>
      </c>
      <c r="K161" s="55" t="str">
        <f>OsirisDataElementConcept!$A$134</f>
        <v>Equipment</v>
      </c>
      <c r="L161" s="56">
        <v>0</v>
      </c>
      <c r="M161" s="57" t="s">
        <v>2</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4" t="str">
        <f>IF(LEN(OsirisDataElementConcept!I134)=9,"1","0")</f>
        <v>0</v>
      </c>
      <c r="M162" s="75" t="s">
        <v>2</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4" t="str">
        <f>IF(LEN(OsirisDataElementConcept!I135)=9,"1","0")</f>
        <v>0</v>
      </c>
      <c r="M163" s="75" t="s">
        <v>2</v>
      </c>
    </row>
    <row r="164" spans="4:13">
      <c r="D164" t="str">
        <f>OsirisDataElementConcept!C164</f>
        <v>MRImage_MRAcquisitionType</v>
      </c>
      <c r="H164" t="str">
        <f>OsirisDataElementConcept!$A$136</f>
        <v>Study</v>
      </c>
      <c r="I164" s="55" t="str">
        <f>OsirisDataElementConcept!$A$136</f>
        <v>Study</v>
      </c>
      <c r="J164" s="55" t="str">
        <f>OsirisDataElementConcept!$A$136</f>
        <v>Study</v>
      </c>
      <c r="K164" s="55" t="str">
        <f>OsirisDataElementConcept!$A$136</f>
        <v>Study</v>
      </c>
      <c r="L164" s="56">
        <v>0</v>
      </c>
      <c r="M164" s="57" t="s">
        <v>2</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4" t="str">
        <f>IF(LEN(OsirisDataElementConcept!I136)=9,"1","0")</f>
        <v>0</v>
      </c>
      <c r="M165" s="75" t="s">
        <v>2</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4" t="str">
        <f>IF(LEN(OsirisDataElementConcept!I137)=9,"1","0")</f>
        <v>0</v>
      </c>
      <c r="M166" s="75" t="s">
        <v>2</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4" t="str">
        <f>IF(LEN(OsirisDataElementConcept!I138)=9,"1","0")</f>
        <v>0</v>
      </c>
      <c r="M167" s="75" t="s">
        <v>2</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4" t="str">
        <f>IF(LEN(OsirisDataElementConcept!I139)=9,"1","0")</f>
        <v>0</v>
      </c>
      <c r="M168" s="75" t="s">
        <v>2</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4" t="str">
        <f>IF(LEN(OsirisDataElementConcept!I140)=9,"1","0")</f>
        <v>0</v>
      </c>
      <c r="M169" s="75" t="s">
        <v>2</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4" t="str">
        <f>IF(LEN(OsirisDataElementConcept!I141)=9,"1","0")</f>
        <v>0</v>
      </c>
      <c r="M170" s="75" t="s">
        <v>2</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4" t="str">
        <f>IF(LEN(OsirisDataElementConcept!I142)=9,"1","0")</f>
        <v>0</v>
      </c>
      <c r="M171" s="75" t="s">
        <v>2</v>
      </c>
    </row>
    <row r="172" spans="4:13">
      <c r="D172" t="str">
        <f>OsirisDataElementConcept!C172</f>
        <v>CTImage_XRayTubeCurrent</v>
      </c>
      <c r="H172" t="str">
        <f>OsirisDataElementConcept!$A$144</f>
        <v>Series</v>
      </c>
      <c r="I172" s="55" t="str">
        <f>OsirisDataElementConcept!$A$144</f>
        <v>Series</v>
      </c>
      <c r="J172" s="55" t="str">
        <f>OsirisDataElementConcept!$A$144</f>
        <v>Series</v>
      </c>
      <c r="K172" s="55" t="str">
        <f>OsirisDataElementConcept!$A$144</f>
        <v>Series</v>
      </c>
      <c r="L172" s="56">
        <v>0</v>
      </c>
      <c r="M172" s="57" t="s">
        <v>2</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4" t="str">
        <f>IF(LEN(OsirisDataElementConcept!I143)=9,"1","0")</f>
        <v>0</v>
      </c>
      <c r="M173" s="75" t="s">
        <v>2</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4" t="str">
        <f>IF(LEN(OsirisDataElementConcept!I144)=9,"1","0")</f>
        <v>0</v>
      </c>
      <c r="M174" s="75" t="s">
        <v>2</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4" t="str">
        <f>IF(LEN(OsirisDataElementConcept!I145)=9,"1","0")</f>
        <v>0</v>
      </c>
      <c r="M175" s="75" t="s">
        <v>2</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4" t="str">
        <f>IF(LEN(OsirisDataElementConcept!I146)=9,"1","0")</f>
        <v>0</v>
      </c>
      <c r="M176" s="75" t="s">
        <v>2</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4" t="str">
        <f>IF(LEN(OsirisDataElementConcept!I147)=9,"1","0")</f>
        <v>0</v>
      </c>
      <c r="M177" s="75" t="s">
        <v>2</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4" t="str">
        <f>IF(LEN(OsirisDataElementConcept!I148)=9,"1","0")</f>
        <v>0</v>
      </c>
      <c r="M178" s="75" t="s">
        <v>2</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4" t="str">
        <f>IF(LEN(OsirisDataElementConcept!I149)=9,"1","0")</f>
        <v>0</v>
      </c>
      <c r="M179" s="75" t="s">
        <v>2</v>
      </c>
    </row>
    <row r="180" spans="4:13">
      <c r="D180" t="str">
        <f>OsirisDataElementConcept!C180</f>
        <v>NMImage_AttenuationCorrectionMethod</v>
      </c>
      <c r="H180" t="str">
        <f>OsirisDataElementConcept!$A$152</f>
        <v>Injection</v>
      </c>
      <c r="I180" s="55" t="str">
        <f>OsirisDataElementConcept!$A$152</f>
        <v>Injection</v>
      </c>
      <c r="J180" s="55" t="str">
        <f>OsirisDataElementConcept!$A$152</f>
        <v>Injection</v>
      </c>
      <c r="K180" s="55" t="str">
        <f>OsirisDataElementConcept!$A$152</f>
        <v>Injection</v>
      </c>
      <c r="L180" s="56">
        <v>0</v>
      </c>
      <c r="M180" s="57" t="s">
        <v>2</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4" t="str">
        <f>IF(LEN(OsirisDataElementConcept!I150)=9,"1","0")</f>
        <v>0</v>
      </c>
      <c r="M181" s="75" t="s">
        <v>2</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4" t="str">
        <f>IF(LEN(OsirisDataElementConcept!I151)=9,"1","0")</f>
        <v>0</v>
      </c>
      <c r="M182" s="75" t="s">
        <v>2</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4" t="str">
        <f>IF(LEN(OsirisDataElementConcept!I152)=9,"1","0")</f>
        <v>0</v>
      </c>
      <c r="M183" s="75" t="s">
        <v>2</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4" t="str">
        <f>IF(LEN(OsirisDataElementConcept!I153)=9,"1","0")</f>
        <v>0</v>
      </c>
      <c r="M184" s="75" t="s">
        <v>2</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4" t="str">
        <f>IF(LEN(OsirisDataElementConcept!I154)=9,"1","0")</f>
        <v>0</v>
      </c>
      <c r="M185" s="75" t="s">
        <v>2</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4" t="str">
        <f>IF(LEN(OsirisDataElementConcept!I155)=9,"1","0")</f>
        <v>0</v>
      </c>
      <c r="M186" s="75" t="s">
        <v>2</v>
      </c>
    </row>
    <row r="187" spans="4:13">
      <c r="D187" t="str">
        <f>OsirisDataElementConcept!C187</f>
        <v>DXImage_KVP</v>
      </c>
      <c r="H187" t="str">
        <f>OsirisDataElementConcept!$A$159</f>
        <v>CommonImage</v>
      </c>
      <c r="I187" s="55" t="str">
        <f>OsirisDataElementConcept!$A$159</f>
        <v>CommonImage</v>
      </c>
      <c r="J187" s="55" t="str">
        <f>OsirisDataElementConcept!$A$159</f>
        <v>CommonImage</v>
      </c>
      <c r="K187" s="55" t="str">
        <f>OsirisDataElementConcept!$A$159</f>
        <v>CommonImage</v>
      </c>
      <c r="L187" s="56">
        <v>0</v>
      </c>
      <c r="M187" s="56" t="s">
        <v>2</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4" t="str">
        <f>IF(LEN(OsirisDataElementConcept!I156)=9,"1","0")</f>
        <v>0</v>
      </c>
      <c r="M188" s="75" t="s">
        <v>2</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4" t="str">
        <f>IF(LEN(OsirisDataElementConcept!I157)=9,"1","0")</f>
        <v>0</v>
      </c>
      <c r="M189" s="75" t="s">
        <v>2</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4" t="str">
        <f>IF(LEN(OsirisDataElementConcept!I158)=9,"1","0")</f>
        <v>0</v>
      </c>
      <c r="M190" s="75" t="s">
        <v>2</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4" t="str">
        <f>IF(LEN(OsirisDataElementConcept!I159)=9,"1","0")</f>
        <v>0</v>
      </c>
      <c r="M191" s="75" t="s">
        <v>2</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4" t="str">
        <f>IF(LEN(OsirisDataElementConcept!I160)=9,"1","0")</f>
        <v>0</v>
      </c>
      <c r="M192" s="75" t="s">
        <v>2</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4" t="str">
        <f>IF(LEN(OsirisDataElementConcept!I161)=9,"1","0")</f>
        <v>0</v>
      </c>
      <c r="M193" s="75" t="s">
        <v>2</v>
      </c>
    </row>
    <row r="194" spans="4:13">
      <c r="D194" t="str">
        <f>OsirisDataElementConcept!C194</f>
        <v>ROISegmentation_ROIDescription</v>
      </c>
      <c r="H194" t="str">
        <f>OsirisDataElementConcept!$A$166</f>
        <v>MRImage</v>
      </c>
      <c r="I194" s="55" t="str">
        <f>OsirisDataElementConcept!$A$166</f>
        <v>MRImage</v>
      </c>
      <c r="J194" s="55" t="str">
        <f>OsirisDataElementConcept!$A$166</f>
        <v>MRImage</v>
      </c>
      <c r="K194" s="55" t="str">
        <f>OsirisDataElementConcept!$A$166</f>
        <v>MRImage</v>
      </c>
      <c r="L194" s="56">
        <v>0</v>
      </c>
      <c r="M194" s="57" t="s">
        <v>2</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4" t="str">
        <f>IF(LEN(OsirisDataElementConcept!I162)=9,"1","0")</f>
        <v>0</v>
      </c>
      <c r="M195" s="75" t="s">
        <v>2</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4" t="str">
        <f>IF(LEN(OsirisDataElementConcept!I163)=9,"1","0")</f>
        <v>0</v>
      </c>
      <c r="M196" s="75" t="s">
        <v>2</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4" t="str">
        <f>IF(LEN(OsirisDataElementConcept!I164)=9,"1","0")</f>
        <v>0</v>
      </c>
      <c r="M197" s="75" t="s">
        <v>2</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4" t="str">
        <f>IF(LEN(OsirisDataElementConcept!I165)=9,"1","0")</f>
        <v>0</v>
      </c>
      <c r="M198" s="75" t="s">
        <v>2</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4" t="str">
        <f>IF(LEN(OsirisDataElementConcept!I166)=9,"1","0")</f>
        <v>0</v>
      </c>
      <c r="M199" s="75" t="s">
        <v>2</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4" t="str">
        <f>IF(LEN(OsirisDataElementConcept!I167)=9,"1","0")</f>
        <v>0</v>
      </c>
      <c r="M200" s="75" t="s">
        <v>2</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4" t="str">
        <f>IF(LEN(OsirisDataElementConcept!I168)=9,"1","0")</f>
        <v>0</v>
      </c>
      <c r="M201" s="75" t="s">
        <v>2</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4" t="str">
        <f>IF(LEN(OsirisDataElementConcept!I169)=9,"1","0")</f>
        <v>0</v>
      </c>
      <c r="M202" s="75" t="s">
        <v>2</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4" t="str">
        <f>IF(LEN(OsirisDataElementConcept!I170)=9,"1","0")</f>
        <v>0</v>
      </c>
      <c r="M203" s="75" t="s">
        <v>2</v>
      </c>
    </row>
    <row r="204" spans="4:13">
      <c r="D204" t="str">
        <f>OsirisDataElementConcept!C204</f>
        <v>RadiomicsCriteria_IntensityResampling</v>
      </c>
      <c r="H204" s="55" t="str">
        <f>OsirisDataElementConcept!$A$171</f>
        <v>CTImage</v>
      </c>
      <c r="I204" s="55" t="str">
        <f>OsirisDataElementConcept!$A$171</f>
        <v>CTImage</v>
      </c>
      <c r="J204" s="55" t="str">
        <f>OsirisDataElementConcept!$A$171</f>
        <v>CTImage</v>
      </c>
      <c r="K204" s="55" t="str">
        <f>OsirisDataElementConcept!$A$171</f>
        <v>CTImage</v>
      </c>
      <c r="L204" s="56">
        <v>0</v>
      </c>
      <c r="M204" s="57" t="s">
        <v>2</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4" t="str">
        <f>IF(LEN(OsirisDataElementConcept!I171)=9,"1","0")</f>
        <v>0</v>
      </c>
      <c r="M205" s="75" t="s">
        <v>2</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4" t="str">
        <f>IF(LEN(OsirisDataElementConcept!I172)=9,"1","0")</f>
        <v>0</v>
      </c>
      <c r="M206" s="75" t="s">
        <v>2</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4" t="str">
        <f>IF(LEN(OsirisDataElementConcept!I173)=9,"1","0")</f>
        <v>0</v>
      </c>
      <c r="M207" s="75" t="s">
        <v>2</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4" t="str">
        <f>IF(LEN(OsirisDataElementConcept!I174)=9,"1","0")</f>
        <v>0</v>
      </c>
      <c r="M208" s="75" t="s">
        <v>2</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4" t="str">
        <f>IF(LEN(OsirisDataElementConcept!I175)=9,"1","0")</f>
        <v>0</v>
      </c>
      <c r="M209" s="75" t="s">
        <v>2</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4" t="str">
        <f>IF(LEN(OsirisDataElementConcept!I176)=9,"1","0")</f>
        <v>0</v>
      </c>
      <c r="M210" s="75" t="s">
        <v>2</v>
      </c>
    </row>
    <row r="211" spans="4:13">
      <c r="D211" t="str">
        <f>OsirisDataElementConcept!C211</f>
        <v>RadiomicsImageFilter_SoftwareVersion</v>
      </c>
      <c r="H211" s="55" t="str">
        <f>OsirisDataElementConcept!$A$178</f>
        <v>PTImage</v>
      </c>
      <c r="I211" s="55" t="str">
        <f>OsirisDataElementConcept!$A$178</f>
        <v>PTImage</v>
      </c>
      <c r="J211" s="55" t="str">
        <f>OsirisDataElementConcept!$A$178</f>
        <v>PTImage</v>
      </c>
      <c r="K211" s="55" t="str">
        <f>OsirisDataElementConcept!$A$178</f>
        <v>PTImage</v>
      </c>
      <c r="L211" s="56">
        <v>0</v>
      </c>
      <c r="M211" s="55" t="s">
        <v>2</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4" t="str">
        <f>IF(LEN(OsirisDataElementConcept!I177)=9,"1","0")</f>
        <v>0</v>
      </c>
      <c r="M212" s="75" t="s">
        <v>2</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4" t="str">
        <f>IF(LEN(OsirisDataElementConcept!I178)=9,"1","0")</f>
        <v>0</v>
      </c>
      <c r="M213" s="75" t="s">
        <v>2</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4" t="str">
        <f>IF(LEN(OsirisDataElementConcept!I179)=9,"1","0")</f>
        <v>0</v>
      </c>
      <c r="M214" s="75" t="s">
        <v>2</v>
      </c>
    </row>
    <row r="215" spans="4:13">
      <c r="D215" t="str">
        <f>OsirisDataElementConcept!C215</f>
        <v>RadiomicsImageFilter_IntensityRounding</v>
      </c>
      <c r="H215" s="55" t="str">
        <f>OsirisDataElementConcept!$A$182</f>
        <v>NMImage</v>
      </c>
      <c r="I215" s="55" t="str">
        <f>OsirisDataElementConcept!$A$182</f>
        <v>NMImage</v>
      </c>
      <c r="J215" s="55" t="str">
        <f>OsirisDataElementConcept!$A$182</f>
        <v>NMImage</v>
      </c>
      <c r="K215" s="55" t="str">
        <f>OsirisDataElementConcept!$A$182</f>
        <v>NMImage</v>
      </c>
      <c r="L215" s="56">
        <v>0</v>
      </c>
      <c r="M215" s="55" t="s">
        <v>2</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4" t="str">
        <f>IF(LEN(OsirisDataElementConcept!I180)=9,"1","0")</f>
        <v>0</v>
      </c>
      <c r="M216" s="75" t="s">
        <v>2</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4" t="str">
        <f>IF(LEN(OsirisDataElementConcept!I181)=9,"1","0")</f>
        <v>0</v>
      </c>
      <c r="M217" s="75" t="s">
        <v>2</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4" t="str">
        <f>IF(LEN(OsirisDataElementConcept!I182)=9,"1","0")</f>
        <v>0</v>
      </c>
      <c r="M218" s="75" t="s">
        <v>2</v>
      </c>
    </row>
    <row r="219" spans="4:13">
      <c r="D219" t="str">
        <f>OsirisDataElementConcept!C219</f>
        <v>RadiomicsFeature_Value</v>
      </c>
      <c r="H219" s="55" t="str">
        <f>OsirisDataElementConcept!$A$186</f>
        <v>DXImage</v>
      </c>
      <c r="I219" s="55" t="str">
        <f>OsirisDataElementConcept!$A$186</f>
        <v>DXImage</v>
      </c>
      <c r="J219" s="55" t="str">
        <f>OsirisDataElementConcept!$A$186</f>
        <v>DXImage</v>
      </c>
      <c r="K219" s="55" t="str">
        <f>OsirisDataElementConcept!$A$186</f>
        <v>DXImage</v>
      </c>
      <c r="L219" s="56">
        <v>0</v>
      </c>
      <c r="M219" s="55" t="s">
        <v>2</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4" t="str">
        <f>IF(LEN(OsirisDataElementConcept!I183)=9,"1","0")</f>
        <v>0</v>
      </c>
      <c r="M220" s="75" t="s">
        <v>2</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4" t="str">
        <f>IF(LEN(OsirisDataElementConcept!I184)=9,"1","0")</f>
        <v>0</v>
      </c>
      <c r="M221" s="75" t="s">
        <v>2</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4" t="str">
        <f>IF(LEN(OsirisDataElementConcept!I185)=9,"1","0")</f>
        <v>0</v>
      </c>
      <c r="M222" s="75" t="s">
        <v>2</v>
      </c>
    </row>
    <row r="223" spans="4:13" ht="44.25">
      <c r="D223" t="str">
        <f>OsirisDataElementConcept!C223</f>
        <v/>
      </c>
      <c r="H223" t="str">
        <f>OsirisDataElementConcept!A190</f>
        <v>DXImage</v>
      </c>
      <c r="I223" s="77"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4" t="str">
        <f>IF(LEN(OsirisDataElementConcept!I186)=9,"1","0")</f>
        <v>0</v>
      </c>
      <c r="M223" s="75" t="s">
        <v>2</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4" t="str">
        <f>IF(LEN(OsirisDataElementConcept!I187)=9,"1","0")</f>
        <v>0</v>
      </c>
      <c r="M224" s="75" t="s">
        <v>2</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4" t="str">
        <f>IF(LEN(OsirisDataElementConcept!I188)=9,"1","0")</f>
        <v>0</v>
      </c>
      <c r="M225" s="75" t="s">
        <v>2</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4" t="str">
        <f>IF(LEN(OsirisDataElementConcept!I189)=9,"1","0")</f>
        <v>0</v>
      </c>
      <c r="M226" s="75" t="s">
        <v>2</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4" t="str">
        <f>IF(LEN(OsirisDataElementConcept!I190)=9,"1","0")</f>
        <v>0</v>
      </c>
      <c r="M227" s="75" t="s">
        <v>2</v>
      </c>
    </row>
    <row r="228" spans="4:13">
      <c r="D228" t="str">
        <f>OsirisDataElementConcept!C228</f>
        <v/>
      </c>
      <c r="H228" s="55" t="str">
        <f>OsirisDataElementConcept!$A$195</f>
        <v>ROISegmentation</v>
      </c>
      <c r="I228" s="55" t="str">
        <f>OsirisDataElementConcept!$A$195</f>
        <v>ROISegmentation</v>
      </c>
      <c r="J228" s="55" t="str">
        <f>OsirisDataElementConcept!$A$195</f>
        <v>ROISegmentation</v>
      </c>
      <c r="K228" s="55" t="str">
        <f>OsirisDataElementConcept!$A$195</f>
        <v>ROISegmentation</v>
      </c>
      <c r="L228" s="56">
        <v>0</v>
      </c>
      <c r="M228" s="55" t="s">
        <v>2</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4" t="str">
        <f>IF(LEN(OsirisDataElementConcept!I191)=9,"1","0")</f>
        <v>0</v>
      </c>
      <c r="M229" s="75" t="s">
        <v>2</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4" t="str">
        <f>IF(LEN(OsirisDataElementConcept!I192)=9,"1","0")</f>
        <v>0</v>
      </c>
      <c r="M230" s="75" t="s">
        <v>2</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4" t="str">
        <f>IF(LEN(OsirisDataElementConcept!I193)=9,"1","0")</f>
        <v>0</v>
      </c>
      <c r="M231" s="75" t="s">
        <v>2</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4" t="str">
        <f>IF(LEN(OsirisDataElementConcept!I194)=9,"1","0")</f>
        <v>0</v>
      </c>
      <c r="M232" s="75" t="s">
        <v>2</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4" t="str">
        <f>IF(LEN(OsirisDataElementConcept!I195)=9,"1","0")</f>
        <v>0</v>
      </c>
      <c r="M233" s="75" t="s">
        <v>2</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4" t="str">
        <f>IF(LEN(OsirisDataElementConcept!I196)=9,"1","0")</f>
        <v>0</v>
      </c>
      <c r="M234" s="75" t="s">
        <v>2</v>
      </c>
    </row>
    <row r="235" spans="4:13">
      <c r="H235" s="55" t="str">
        <f>OsirisDataElementConcept!$A$197</f>
        <v>RadiomicsCriteria</v>
      </c>
      <c r="I235" s="55" t="str">
        <f>OsirisDataElementConcept!$A$197</f>
        <v>RadiomicsCriteria</v>
      </c>
      <c r="J235" s="55" t="str">
        <f>OsirisDataElementConcept!$A$197</f>
        <v>RadiomicsCriteria</v>
      </c>
      <c r="K235" s="55" t="str">
        <f>OsirisDataElementConcept!$A$197</f>
        <v>RadiomicsCriteria</v>
      </c>
      <c r="L235" s="56">
        <v>0</v>
      </c>
      <c r="M235" s="55" t="s">
        <v>2</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4" t="str">
        <f>IF(LEN(OsirisDataElementConcept!I197)=9,"1","0")</f>
        <v>0</v>
      </c>
      <c r="M236" s="75" t="s">
        <v>2</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4" t="str">
        <f>IF(LEN(OsirisDataElementConcept!I198)=9,"1","0")</f>
        <v>0</v>
      </c>
      <c r="M237" s="75" t="s">
        <v>2</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4" t="str">
        <f>IF(LEN(OsirisDataElementConcept!I199)=9,"1","0")</f>
        <v>0</v>
      </c>
      <c r="M238" s="75" t="s">
        <v>2</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4" t="str">
        <f>IF(LEN(OsirisDataElementConcept!I200)=9,"1","0")</f>
        <v>0</v>
      </c>
      <c r="M239" s="75" t="s">
        <v>2</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4" t="str">
        <f>IF(LEN(OsirisDataElementConcept!I201)=9,"1","0")</f>
        <v>0</v>
      </c>
      <c r="M240" s="75" t="s">
        <v>2</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4" t="str">
        <f>IF(LEN(OsirisDataElementConcept!I202)=9,"1","0")</f>
        <v>0</v>
      </c>
      <c r="M241" s="75" t="s">
        <v>2</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4" t="str">
        <f>IF(LEN(OsirisDataElementConcept!I203)=9,"1","0")</f>
        <v>0</v>
      </c>
      <c r="M242" s="75" t="s">
        <v>2</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4" t="str">
        <f>IF(LEN(OsirisDataElementConcept!I204)=9,"1","0")</f>
        <v>0</v>
      </c>
      <c r="M243" s="75" t="s">
        <v>2</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4" t="str">
        <f>IF(LEN(OsirisDataElementConcept!I205)=9,"1","0")</f>
        <v>0</v>
      </c>
      <c r="M244" s="75" t="s">
        <v>2</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4" t="str">
        <f>IF(LEN(OsirisDataElementConcept!I206)=9,"1","0")</f>
        <v>0</v>
      </c>
      <c r="M245" s="75" t="s">
        <v>2</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4" t="str">
        <f>IF(LEN(OsirisDataElementConcept!I207)=9,"1","0")</f>
        <v>0</v>
      </c>
      <c r="M246" s="75" t="s">
        <v>2</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4" t="str">
        <f>IF(LEN(OsirisDataElementConcept!I208)=9,"1","0")</f>
        <v>0</v>
      </c>
      <c r="M247" s="75" t="s">
        <v>2</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4" t="str">
        <f>IF(LEN(OsirisDataElementConcept!I209)=9,"1","0")</f>
        <v>0</v>
      </c>
      <c r="M248" s="75" t="s">
        <v>2</v>
      </c>
    </row>
    <row r="249" spans="8:13">
      <c r="H249" s="55" t="str">
        <f>OsirisDataElementConcept!$A$210</f>
        <v>RadiomicsImageFilter</v>
      </c>
      <c r="I249" s="55" t="str">
        <f>OsirisDataElementConcept!$A$210</f>
        <v>RadiomicsImageFilter</v>
      </c>
      <c r="J249" s="55" t="str">
        <f>OsirisDataElementConcept!$A$210</f>
        <v>RadiomicsImageFilter</v>
      </c>
      <c r="K249" s="55" t="str">
        <f>OsirisDataElementConcept!$A$210</f>
        <v>RadiomicsImageFilter</v>
      </c>
      <c r="L249" s="56">
        <v>0</v>
      </c>
      <c r="M249" s="55" t="s">
        <v>2</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4" t="str">
        <f>IF(LEN(OsirisDataElementConcept!I210)=9,"1","0")</f>
        <v>0</v>
      </c>
      <c r="M250" s="75" t="s">
        <v>2</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4" t="str">
        <f>IF(LEN(OsirisDataElementConcept!I211)=9,"1","0")</f>
        <v>0</v>
      </c>
      <c r="M251" s="75" t="s">
        <v>2</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4" t="str">
        <f>IF(LEN(OsirisDataElementConcept!I212)=9,"1","0")</f>
        <v>0</v>
      </c>
      <c r="M252" s="75" t="s">
        <v>2</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4" t="str">
        <f>IF(LEN(OsirisDataElementConcept!I213)=9,"1","0")</f>
        <v>0</v>
      </c>
      <c r="M253" s="75" t="s">
        <v>2</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4" t="str">
        <f>IF(LEN(OsirisDataElementConcept!I214)=9,"1","0")</f>
        <v>0</v>
      </c>
      <c r="M254" s="75" t="s">
        <v>2</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4" t="str">
        <f>IF(LEN(OsirisDataElementConcept!I215)=9,"1","0")</f>
        <v>0</v>
      </c>
      <c r="M255" s="75" t="s">
        <v>2</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4" t="str">
        <f>IF(LEN(OsirisDataElementConcept!I216)=9,"1","0")</f>
        <v>0</v>
      </c>
      <c r="M256" s="75" t="s">
        <v>2</v>
      </c>
    </row>
    <row r="257" spans="8:13">
      <c r="H257" s="55" t="str">
        <f>OsirisDataElementConcept!$A$218</f>
        <v>RadiomicsFeature</v>
      </c>
      <c r="I257" s="55" t="str">
        <f>OsirisDataElementConcept!$A$218</f>
        <v>RadiomicsFeature</v>
      </c>
      <c r="J257" s="55" t="str">
        <f>OsirisDataElementConcept!$A$218</f>
        <v>RadiomicsFeature</v>
      </c>
      <c r="K257" s="55" t="str">
        <f>OsirisDataElementConcept!$A$218</f>
        <v>RadiomicsFeature</v>
      </c>
      <c r="L257" s="56">
        <v>0</v>
      </c>
      <c r="M257" s="55" t="s">
        <v>2</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4" t="str">
        <f>IF(LEN(OsirisDataElementConcept!I217)=9,"1","0")</f>
        <v>0</v>
      </c>
      <c r="M258" s="75" t="s">
        <v>2</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4" t="str">
        <f>IF(LEN(OsirisDataElementConcept!I218)=9,"1","0")</f>
        <v>0</v>
      </c>
      <c r="M259" s="75" t="s">
        <v>2</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4" t="str">
        <f>IF(LEN(OsirisDataElementConcept!I219)=9,"1","0")</f>
        <v>0</v>
      </c>
      <c r="M260" s="75" t="s">
        <v>2</v>
      </c>
    </row>
  </sheetData>
  <autoFilter ref="D2:U232" xr:uid="{65625CB6-A4D1-445C-8FA0-02E90328069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4" t="s">
        <v>21</v>
      </c>
    </row>
    <row r="2" spans="1:9">
      <c r="I2" s="25" t="s">
        <v>20</v>
      </c>
    </row>
    <row r="3" spans="1:9" ht="15.5" thickBot="1">
      <c r="I3" s="25" t="str">
        <f>I1</f>
        <v>// -------------------------------------------------------------------------------</v>
      </c>
    </row>
    <row r="4" spans="1:9">
      <c r="A4" s="5" t="s">
        <v>12</v>
      </c>
      <c r="B4" s="46" t="s">
        <v>1406</v>
      </c>
      <c r="I4" s="17" t="str">
        <f>CONCATENATE("Logical: ",B4)</f>
        <v>Logical: Osiris</v>
      </c>
    </row>
    <row r="5" spans="1:9">
      <c r="A5" s="15" t="s">
        <v>17</v>
      </c>
      <c r="B5" s="47" t="s">
        <v>1406</v>
      </c>
      <c r="I5" s="17" t="str">
        <f>CONCATENATE("Id: ",B5)</f>
        <v>Id: Osiris</v>
      </c>
    </row>
    <row r="6" spans="1:9">
      <c r="A6" s="15" t="s">
        <v>11</v>
      </c>
      <c r="B6" s="48" t="s">
        <v>1407</v>
      </c>
      <c r="I6" s="18" t="str">
        <f>CONCATENATE("Title: ##34#",B6,"##34#")</f>
        <v>Title: ##34#Osiris Model##34#</v>
      </c>
    </row>
    <row r="7" spans="1:9" ht="15.5" thickBot="1">
      <c r="A7" s="27" t="s">
        <v>3</v>
      </c>
      <c r="B7" s="52" t="s">
        <v>1408</v>
      </c>
      <c r="C7" s="9" t="s">
        <v>4</v>
      </c>
      <c r="D7" s="1" t="s">
        <v>5</v>
      </c>
      <c r="E7" s="3" t="s">
        <v>6</v>
      </c>
      <c r="F7" s="3" t="s">
        <v>7</v>
      </c>
      <c r="G7" s="3" t="s">
        <v>8</v>
      </c>
      <c r="I7" s="18"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9</v>
      </c>
      <c r="G8" s="11" t="str">
        <f>ConvertOsiris!M2</f>
        <v>BackboneElement</v>
      </c>
      <c r="H8" s="26"/>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9</v>
      </c>
      <c r="G9" s="11" t="str">
        <f>ConvertOsiris!M3</f>
        <v>string</v>
      </c>
      <c r="H9" s="26"/>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9</v>
      </c>
      <c r="G10" s="11" t="str">
        <f>ConvertOsiris!M4</f>
        <v>string</v>
      </c>
      <c r="H10" s="26"/>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9</v>
      </c>
      <c r="G11" s="11" t="str">
        <f>ConvertOsiris!M5</f>
        <v>string</v>
      </c>
      <c r="H11" s="26"/>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9</v>
      </c>
      <c r="G12" s="11" t="str">
        <f>ConvertOsiris!M6</f>
        <v>date</v>
      </c>
      <c r="H12" s="26"/>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9</v>
      </c>
      <c r="G13" s="11" t="str">
        <f>ConvertOsiris!M7</f>
        <v>date</v>
      </c>
      <c r="H13" s="26"/>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9</v>
      </c>
      <c r="G14" s="11" t="str">
        <f>ConvertOsiris!M8</f>
        <v>string</v>
      </c>
      <c r="H14" s="26"/>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9</v>
      </c>
      <c r="G15" s="11" t="str">
        <f>ConvertOsiris!M9</f>
        <v>string</v>
      </c>
      <c r="H15" s="26"/>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9</v>
      </c>
      <c r="G16" s="11" t="str">
        <f>ConvertOsiris!M10</f>
        <v>string</v>
      </c>
      <c r="H16" s="26"/>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9</v>
      </c>
      <c r="G17" s="11" t="str">
        <f>ConvertOsiris!M11</f>
        <v>date</v>
      </c>
      <c r="H17" s="26"/>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9</v>
      </c>
      <c r="G18" s="11" t="str">
        <f>ConvertOsiris!M12</f>
        <v>string</v>
      </c>
      <c r="H18" s="26"/>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9</v>
      </c>
      <c r="G19" s="11" t="str">
        <f>ConvertOsiris!M13</f>
        <v>BackboneElement</v>
      </c>
      <c r="H19" s="26"/>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9</v>
      </c>
      <c r="G20" s="11" t="str">
        <f>ConvertOsiris!M14</f>
        <v>date</v>
      </c>
      <c r="H20" s="26"/>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9</v>
      </c>
      <c r="G21" s="11" t="str">
        <f>ConvertOsiris!M15</f>
        <v>string</v>
      </c>
      <c r="H21" s="26"/>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9</v>
      </c>
      <c r="G22" s="11" t="str">
        <f>ConvertOsiris!M16</f>
        <v>BackboneElement</v>
      </c>
      <c r="H22" s="26"/>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9</v>
      </c>
      <c r="G23" s="11" t="str">
        <f>ConvertOsiris!M17</f>
        <v>string</v>
      </c>
      <c r="H23" s="26"/>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9</v>
      </c>
      <c r="G24" s="11" t="str">
        <f>ConvertOsiris!M18</f>
        <v>date</v>
      </c>
      <c r="H24" s="26"/>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9</v>
      </c>
      <c r="G25" s="11" t="str">
        <f>ConvertOsiris!M19</f>
        <v>date</v>
      </c>
      <c r="H25" s="26"/>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9</v>
      </c>
      <c r="G26" s="11" t="str">
        <f>ConvertOsiris!M20</f>
        <v>BackboneElement</v>
      </c>
      <c r="H26" s="26"/>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9</v>
      </c>
      <c r="G27" s="11" t="str">
        <f>ConvertOsiris!M21</f>
        <v>string</v>
      </c>
      <c r="H27" s="26"/>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9</v>
      </c>
      <c r="G28" s="11" t="str">
        <f>ConvertOsiris!M22</f>
        <v>string</v>
      </c>
      <c r="H28" s="26"/>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9</v>
      </c>
      <c r="G29" s="11" t="str">
        <f>ConvertOsiris!M23</f>
        <v>BackboneElement</v>
      </c>
      <c r="H29" s="26"/>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9</v>
      </c>
      <c r="G30" s="11" t="str">
        <f>ConvertOsiris!M24</f>
        <v>string</v>
      </c>
      <c r="H30" s="26"/>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9</v>
      </c>
      <c r="G31" s="11" t="str">
        <f>ConvertOsiris!M25</f>
        <v>date</v>
      </c>
      <c r="H31" s="26"/>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9</v>
      </c>
      <c r="G32" s="11" t="str">
        <f>ConvertOsiris!M26</f>
        <v>date</v>
      </c>
      <c r="H32" s="26"/>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9</v>
      </c>
      <c r="G33" s="11" t="str">
        <f>ConvertOsiris!M27</f>
        <v>string</v>
      </c>
      <c r="H33" s="26"/>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9</v>
      </c>
      <c r="G34" s="11" t="str">
        <f>ConvertOsiris!M28</f>
        <v>integer</v>
      </c>
      <c r="H34" s="26"/>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9</v>
      </c>
      <c r="G35" s="11" t="str">
        <f>ConvertOsiris!M29</f>
        <v>string</v>
      </c>
      <c r="H35" s="26"/>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9</v>
      </c>
      <c r="G36" s="11" t="str">
        <f>ConvertOsiris!M30</f>
        <v>string</v>
      </c>
      <c r="H36" s="26"/>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9</v>
      </c>
      <c r="G37" s="11" t="str">
        <f>ConvertOsiris!M31</f>
        <v>string</v>
      </c>
      <c r="H37" s="26"/>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9</v>
      </c>
      <c r="G38" s="11" t="str">
        <f>ConvertOsiris!M32</f>
        <v>string</v>
      </c>
      <c r="H38" s="26"/>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9</v>
      </c>
      <c r="G39" s="11" t="str">
        <f>ConvertOsiris!M33</f>
        <v>date</v>
      </c>
      <c r="H39" s="26"/>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9</v>
      </c>
      <c r="G40" s="11" t="str">
        <f>ConvertOsiris!M34</f>
        <v>string</v>
      </c>
      <c r="H40" s="26"/>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9</v>
      </c>
      <c r="G41" s="11" t="str">
        <f>ConvertOsiris!M35</f>
        <v>string</v>
      </c>
      <c r="H41" s="26"/>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9</v>
      </c>
      <c r="G42" s="11" t="str">
        <f>ConvertOsiris!M36</f>
        <v>string</v>
      </c>
      <c r="H42" s="26"/>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9</v>
      </c>
      <c r="G43" s="11" t="str">
        <f>ConvertOsiris!M37</f>
        <v>BackboneElement</v>
      </c>
      <c r="H43" s="26"/>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9</v>
      </c>
      <c r="G44" s="11" t="str">
        <f>ConvertOsiris!M38</f>
        <v>string</v>
      </c>
      <c r="H44" s="26"/>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9</v>
      </c>
      <c r="G45" s="11" t="str">
        <f>ConvertOsiris!M39</f>
        <v>string</v>
      </c>
      <c r="H45" s="26"/>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9</v>
      </c>
      <c r="G46" s="11" t="str">
        <f>ConvertOsiris!M40</f>
        <v>string</v>
      </c>
      <c r="H46" s="26"/>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9</v>
      </c>
      <c r="G47" s="11" t="str">
        <f>ConvertOsiris!M41</f>
        <v>string</v>
      </c>
      <c r="H47" s="26"/>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9</v>
      </c>
      <c r="G48" s="11" t="str">
        <f>ConvertOsiris!M42</f>
        <v>string</v>
      </c>
      <c r="H48" s="26"/>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9</v>
      </c>
      <c r="G49" s="11" t="str">
        <f>ConvertOsiris!M43</f>
        <v>BackboneElement</v>
      </c>
      <c r="H49" s="26"/>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9</v>
      </c>
      <c r="G50" s="11" t="str">
        <f>ConvertOsiris!M44</f>
        <v>string</v>
      </c>
      <c r="H50" s="26"/>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9</v>
      </c>
      <c r="G51" s="11" t="str">
        <f>ConvertOsiris!M45</f>
        <v>string</v>
      </c>
      <c r="H51" s="26"/>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9</v>
      </c>
      <c r="G52" s="11" t="str">
        <f>ConvertOsiris!M46</f>
        <v>date</v>
      </c>
      <c r="H52" s="26"/>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9</v>
      </c>
      <c r="G53" s="11" t="str">
        <f>ConvertOsiris!M47</f>
        <v>BackboneElement</v>
      </c>
      <c r="H53" s="26"/>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9</v>
      </c>
      <c r="G54" s="11" t="str">
        <f>ConvertOsiris!M48</f>
        <v>date</v>
      </c>
      <c r="H54" s="26"/>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9</v>
      </c>
      <c r="G55" s="11" t="str">
        <f>ConvertOsiris!M49</f>
        <v>string</v>
      </c>
      <c r="H55" s="26"/>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9</v>
      </c>
      <c r="G56" s="11" t="str">
        <f>ConvertOsiris!M50</f>
        <v>BackboneElement</v>
      </c>
      <c r="H56" s="26"/>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9</v>
      </c>
      <c r="G57" s="11" t="str">
        <f>ConvertOsiris!M51</f>
        <v>string</v>
      </c>
      <c r="H57" s="26"/>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9</v>
      </c>
      <c r="G58" s="11" t="str">
        <f>ConvertOsiris!M52</f>
        <v>string</v>
      </c>
      <c r="H58" s="26"/>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9</v>
      </c>
      <c r="G59" s="11" t="str">
        <f>ConvertOsiris!M53</f>
        <v>string</v>
      </c>
      <c r="H59" s="26"/>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9</v>
      </c>
      <c r="G60" s="11" t="str">
        <f>ConvertOsiris!M54</f>
        <v>BackboneElement</v>
      </c>
      <c r="H60" s="26"/>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9</v>
      </c>
      <c r="G61" s="11" t="str">
        <f>ConvertOsiris!M55</f>
        <v>string</v>
      </c>
      <c r="H61" s="26"/>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9</v>
      </c>
      <c r="G62" s="11" t="str">
        <f>ConvertOsiris!M56</f>
        <v>string</v>
      </c>
      <c r="H62" s="26"/>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9</v>
      </c>
      <c r="G63" s="11" t="str">
        <f>ConvertOsiris!M57</f>
        <v>string</v>
      </c>
      <c r="H63" s="26"/>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9</v>
      </c>
      <c r="G64" s="11" t="str">
        <f>ConvertOsiris!M58</f>
        <v>date</v>
      </c>
      <c r="H64" s="26"/>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9</v>
      </c>
      <c r="G65" s="11" t="str">
        <f>ConvertOsiris!M59</f>
        <v>date</v>
      </c>
      <c r="H65" s="26"/>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9</v>
      </c>
      <c r="G66" s="11" t="str">
        <f>ConvertOsiris!M60</f>
        <v>string</v>
      </c>
      <c r="H66" s="26"/>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9</v>
      </c>
      <c r="G67" s="11" t="str">
        <f>ConvertOsiris!M61</f>
        <v>string</v>
      </c>
      <c r="H67" s="26"/>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9</v>
      </c>
      <c r="G68" s="11" t="str">
        <f>ConvertOsiris!M62</f>
        <v>string</v>
      </c>
      <c r="H68" s="26"/>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9</v>
      </c>
      <c r="G69" s="11" t="str">
        <f>ConvertOsiris!M63</f>
        <v>string</v>
      </c>
      <c r="H69" s="26"/>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9</v>
      </c>
      <c r="G70" s="11" t="str">
        <f>ConvertOsiris!M64</f>
        <v>string</v>
      </c>
      <c r="H70" s="26"/>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9</v>
      </c>
      <c r="G71" s="11" t="str">
        <f>ConvertOsiris!M65</f>
        <v>BackboneElement</v>
      </c>
      <c r="H71" s="26"/>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9</v>
      </c>
      <c r="G72" s="11" t="str">
        <f>ConvertOsiris!M66</f>
        <v>string</v>
      </c>
      <c r="H72" s="26"/>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9</v>
      </c>
      <c r="G73" s="11" t="str">
        <f>ConvertOsiris!M67</f>
        <v>date</v>
      </c>
      <c r="H73" s="26"/>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9</v>
      </c>
      <c r="G74" s="11" t="str">
        <f>ConvertOsiris!M68</f>
        <v>date</v>
      </c>
      <c r="H74" s="26"/>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9</v>
      </c>
      <c r="G75" s="11" t="str">
        <f>ConvertOsiris!M69</f>
        <v>string</v>
      </c>
      <c r="H75" s="26"/>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9</v>
      </c>
      <c r="G76" s="11" t="str">
        <f>ConvertOsiris!M70</f>
        <v>BackboneElement</v>
      </c>
      <c r="H76" s="26"/>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9</v>
      </c>
      <c r="G77" s="11" t="str">
        <f>ConvertOsiris!M71</f>
        <v>string</v>
      </c>
      <c r="H77" s="26"/>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9</v>
      </c>
      <c r="G78" s="11" t="str">
        <f>ConvertOsiris!M72</f>
        <v>string</v>
      </c>
      <c r="H78" s="26"/>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9</v>
      </c>
      <c r="G79" s="11" t="str">
        <f>ConvertOsiris!M73</f>
        <v>BackboneElement</v>
      </c>
      <c r="H79" s="26"/>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9</v>
      </c>
      <c r="G80" s="11" t="str">
        <f>ConvertOsiris!M74</f>
        <v>string</v>
      </c>
      <c r="H80" s="26"/>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9</v>
      </c>
      <c r="G81" s="11" t="str">
        <f>ConvertOsiris!M75</f>
        <v>string</v>
      </c>
      <c r="H81" s="26"/>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9</v>
      </c>
      <c r="G82" s="11" t="str">
        <f>ConvertOsiris!M76</f>
        <v>date</v>
      </c>
      <c r="H82" s="26"/>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9</v>
      </c>
      <c r="G83" s="11" t="str">
        <f>ConvertOsiris!M77</f>
        <v>string</v>
      </c>
      <c r="H83" s="26"/>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9</v>
      </c>
      <c r="G84" s="11" t="str">
        <f>ConvertOsiris!M78</f>
        <v>string</v>
      </c>
      <c r="H84" s="26"/>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9</v>
      </c>
      <c r="G85" s="11" t="str">
        <f>ConvertOsiris!M79</f>
        <v>string</v>
      </c>
      <c r="H85" s="26"/>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9</v>
      </c>
      <c r="G86" s="11" t="str">
        <f>ConvertOsiris!M80</f>
        <v>string</v>
      </c>
      <c r="H86" s="26"/>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9</v>
      </c>
      <c r="G87" s="11" t="str">
        <f>ConvertOsiris!M81</f>
        <v>integer</v>
      </c>
      <c r="H87" s="26"/>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9</v>
      </c>
      <c r="G88" s="11" t="str">
        <f>ConvertOsiris!M82</f>
        <v>BackboneElement</v>
      </c>
      <c r="H88" s="26"/>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9</v>
      </c>
      <c r="G89" s="11" t="str">
        <f>ConvertOsiris!M83</f>
        <v>string</v>
      </c>
      <c r="H89" s="26"/>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9</v>
      </c>
      <c r="G90" s="11" t="str">
        <f>ConvertOsiris!M84</f>
        <v>string</v>
      </c>
      <c r="H90" s="26"/>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9</v>
      </c>
      <c r="G91" s="11" t="str">
        <f>ConvertOsiris!M85</f>
        <v>string</v>
      </c>
      <c r="H91" s="26"/>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9</v>
      </c>
      <c r="G92" s="11" t="str">
        <f>ConvertOsiris!M86</f>
        <v>date</v>
      </c>
      <c r="H92" s="26"/>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9</v>
      </c>
      <c r="G93" s="11" t="str">
        <f>ConvertOsiris!M87</f>
        <v>BackboneElement</v>
      </c>
      <c r="H93" s="26"/>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9</v>
      </c>
      <c r="G94" s="11" t="str">
        <f>ConvertOsiris!M88</f>
        <v>string</v>
      </c>
      <c r="H94" s="26"/>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9</v>
      </c>
      <c r="G95" s="11" t="str">
        <f>ConvertOsiris!M89</f>
        <v>BackboneElement</v>
      </c>
      <c r="H95" s="26"/>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9</v>
      </c>
      <c r="G96" s="11" t="str">
        <f>ConvertOsiris!M90</f>
        <v>string</v>
      </c>
      <c r="H96" s="26"/>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9</v>
      </c>
      <c r="G97" s="11" t="str">
        <f>ConvertOsiris!M91</f>
        <v>BackboneElement</v>
      </c>
      <c r="H97" s="26"/>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9</v>
      </c>
      <c r="G98" s="11" t="str">
        <f>ConvertOsiris!M92</f>
        <v>integer</v>
      </c>
      <c r="H98" s="26"/>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9</v>
      </c>
      <c r="G99" s="11" t="str">
        <f>ConvertOsiris!M93</f>
        <v>string</v>
      </c>
      <c r="H99" s="26"/>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9</v>
      </c>
      <c r="G100" s="11" t="str">
        <f>ConvertOsiris!M94</f>
        <v>integer</v>
      </c>
      <c r="H100" s="26"/>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9</v>
      </c>
      <c r="G101" s="11" t="str">
        <f>ConvertOsiris!M95</f>
        <v>BackboneElement</v>
      </c>
      <c r="H101" s="26"/>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9</v>
      </c>
      <c r="G102" s="11" t="str">
        <f>ConvertOsiris!M96</f>
        <v>string</v>
      </c>
      <c r="H102" s="26"/>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9</v>
      </c>
      <c r="G103" s="11" t="str">
        <f>ConvertOsiris!M97</f>
        <v>string</v>
      </c>
      <c r="H103" s="26"/>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9</v>
      </c>
      <c r="G104" s="11" t="str">
        <f>ConvertOsiris!M98</f>
        <v>string</v>
      </c>
      <c r="H104" s="26"/>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9</v>
      </c>
      <c r="G105" s="11" t="str">
        <f>ConvertOsiris!M99</f>
        <v>string</v>
      </c>
      <c r="H105" s="26"/>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9</v>
      </c>
      <c r="G106" s="11" t="str">
        <f>ConvertOsiris!M100</f>
        <v>BackboneElement</v>
      </c>
      <c r="H106" s="26"/>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9</v>
      </c>
      <c r="G107" s="11" t="str">
        <f>ConvertOsiris!M101</f>
        <v>string</v>
      </c>
      <c r="H107" s="26"/>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9</v>
      </c>
      <c r="G108" s="11" t="str">
        <f>ConvertOsiris!M102</f>
        <v>string</v>
      </c>
      <c r="H108" s="26"/>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9</v>
      </c>
      <c r="G109" s="11" t="str">
        <f>ConvertOsiris!M103</f>
        <v>string</v>
      </c>
      <c r="H109" s="26"/>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9</v>
      </c>
      <c r="G110" s="11" t="str">
        <f>ConvertOsiris!M104</f>
        <v>BackboneElement</v>
      </c>
      <c r="H110" s="26"/>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9</v>
      </c>
      <c r="G111" s="11" t="str">
        <f>ConvertOsiris!M105</f>
        <v>string</v>
      </c>
      <c r="H111" s="26"/>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9</v>
      </c>
      <c r="G112" s="11" t="str">
        <f>ConvertOsiris!M106</f>
        <v>integer</v>
      </c>
      <c r="H112" s="26"/>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9</v>
      </c>
      <c r="G113" s="11" t="str">
        <f>ConvertOsiris!M107</f>
        <v>integer</v>
      </c>
      <c r="H113" s="26"/>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9</v>
      </c>
      <c r="G114" s="11" t="str">
        <f>ConvertOsiris!M108</f>
        <v>string</v>
      </c>
      <c r="H114" s="26"/>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9</v>
      </c>
      <c r="G115" s="11" t="str">
        <f>ConvertOsiris!M109</f>
        <v>string</v>
      </c>
      <c r="H115" s="26"/>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9</v>
      </c>
      <c r="G116" s="11" t="str">
        <f>ConvertOsiris!M110</f>
        <v>BackboneElement</v>
      </c>
      <c r="H116" s="26"/>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9</v>
      </c>
      <c r="G117" s="11" t="str">
        <f>ConvertOsiris!M111</f>
        <v>string</v>
      </c>
      <c r="H117" s="26"/>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9</v>
      </c>
      <c r="G118" s="11" t="str">
        <f>ConvertOsiris!M112</f>
        <v>string</v>
      </c>
      <c r="H118" s="26"/>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9</v>
      </c>
      <c r="G119" s="11" t="str">
        <f>ConvertOsiris!M113</f>
        <v>string</v>
      </c>
      <c r="H119" s="26"/>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9</v>
      </c>
      <c r="G120" s="11" t="str">
        <f>ConvertOsiris!M114</f>
        <v>string</v>
      </c>
      <c r="H120" s="26"/>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9</v>
      </c>
      <c r="G121" s="11" t="str">
        <f>ConvertOsiris!M115</f>
        <v>BackboneElement</v>
      </c>
      <c r="H121" s="26"/>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9</v>
      </c>
      <c r="G122" s="11" t="str">
        <f>ConvertOsiris!M116</f>
        <v>string</v>
      </c>
      <c r="H122" s="26"/>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9</v>
      </c>
      <c r="G123" s="11" t="str">
        <f>ConvertOsiris!M117</f>
        <v>integer</v>
      </c>
      <c r="H123" s="26"/>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9</v>
      </c>
      <c r="G124" s="11" t="str">
        <f>ConvertOsiris!M118</f>
        <v>string</v>
      </c>
      <c r="H124" s="26"/>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9</v>
      </c>
      <c r="G125" s="11" t="str">
        <f>ConvertOsiris!M119</f>
        <v>integer</v>
      </c>
      <c r="H125" s="26"/>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9</v>
      </c>
      <c r="G126" s="11" t="str">
        <f>ConvertOsiris!M120</f>
        <v>string</v>
      </c>
      <c r="H126" s="26"/>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9</v>
      </c>
      <c r="G127" s="11" t="str">
        <f>ConvertOsiris!M121</f>
        <v>string</v>
      </c>
      <c r="H127" s="26"/>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9</v>
      </c>
      <c r="G128" s="11" t="str">
        <f>ConvertOsiris!M122</f>
        <v>integer</v>
      </c>
      <c r="H128" s="26"/>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9</v>
      </c>
      <c r="G129" s="11" t="str">
        <f>ConvertOsiris!M123</f>
        <v>integer</v>
      </c>
      <c r="H129" s="26"/>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9</v>
      </c>
      <c r="G130" s="11" t="str">
        <f>ConvertOsiris!M124</f>
        <v>BackboneElement</v>
      </c>
      <c r="H130" s="26"/>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9</v>
      </c>
      <c r="G131" s="11" t="str">
        <f>ConvertOsiris!M125</f>
        <v>decimal</v>
      </c>
      <c r="H131" s="26"/>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9</v>
      </c>
      <c r="G132" s="11" t="str">
        <f>ConvertOsiris!M126</f>
        <v>string</v>
      </c>
      <c r="H132" s="26"/>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9</v>
      </c>
      <c r="G133" s="11" t="str">
        <f>ConvertOsiris!M127</f>
        <v>integer</v>
      </c>
      <c r="H133" s="26"/>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9</v>
      </c>
      <c r="G134" s="11" t="str">
        <f>ConvertOsiris!M128</f>
        <v>string</v>
      </c>
      <c r="H134" s="26"/>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9</v>
      </c>
      <c r="G135" s="11" t="str">
        <f>ConvertOsiris!M129</f>
        <v>integer</v>
      </c>
      <c r="H135" s="26"/>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9</v>
      </c>
      <c r="G136" s="11" t="str">
        <f>ConvertOsiris!M130</f>
        <v>BackboneElement</v>
      </c>
      <c r="H136" s="26"/>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9</v>
      </c>
      <c r="G137" s="11" t="str">
        <f>ConvertOsiris!M131</f>
        <v>string</v>
      </c>
      <c r="H137" s="26"/>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9</v>
      </c>
      <c r="G138" s="11" t="str">
        <f>ConvertOsiris!M132</f>
        <v>string</v>
      </c>
      <c r="H138" s="26"/>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9</v>
      </c>
      <c r="G139" s="11" t="str">
        <f>ConvertOsiris!M133</f>
        <v>string</v>
      </c>
      <c r="H139" s="26"/>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9</v>
      </c>
      <c r="G140" s="11" t="str">
        <f>ConvertOsiris!M134</f>
        <v>BackboneElement</v>
      </c>
      <c r="H140" s="26"/>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9</v>
      </c>
      <c r="G141" s="11" t="str">
        <f>ConvertOsiris!M135</f>
        <v>string</v>
      </c>
      <c r="H141" s="26"/>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9</v>
      </c>
      <c r="G142" s="11" t="str">
        <f>ConvertOsiris!M136</f>
        <v>string</v>
      </c>
      <c r="H142" s="26"/>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9</v>
      </c>
      <c r="G143" s="11" t="str">
        <f>ConvertOsiris!M137</f>
        <v>string</v>
      </c>
      <c r="H143" s="26"/>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9</v>
      </c>
      <c r="G144" s="11" t="str">
        <f>ConvertOsiris!M138</f>
        <v>string</v>
      </c>
      <c r="H144" s="26"/>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9</v>
      </c>
      <c r="G145" s="11" t="str">
        <f>ConvertOsiris!M139</f>
        <v>string</v>
      </c>
      <c r="H145" s="26"/>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9</v>
      </c>
      <c r="G146" s="11" t="str">
        <f>ConvertOsiris!M140</f>
        <v>decimal</v>
      </c>
      <c r="H146" s="26"/>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9</v>
      </c>
      <c r="G147" s="11" t="str">
        <f>ConvertOsiris!M141</f>
        <v>string</v>
      </c>
      <c r="H147" s="26"/>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9</v>
      </c>
      <c r="G148" s="11" t="str">
        <f>ConvertOsiris!M142</f>
        <v>string</v>
      </c>
      <c r="H148" s="26"/>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9</v>
      </c>
      <c r="G149" s="11" t="str">
        <f>ConvertOsiris!M143</f>
        <v>string</v>
      </c>
      <c r="H149" s="26"/>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9</v>
      </c>
      <c r="G150" s="11" t="str">
        <f>ConvertOsiris!M144</f>
        <v>string</v>
      </c>
      <c r="H150" s="26"/>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9</v>
      </c>
      <c r="G151" s="11" t="str">
        <f>ConvertOsiris!M145</f>
        <v>string</v>
      </c>
      <c r="H151" s="26"/>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9</v>
      </c>
      <c r="G152" s="11" t="str">
        <f>ConvertOsiris!M146</f>
        <v>string</v>
      </c>
      <c r="H152" s="26"/>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9</v>
      </c>
      <c r="G153" s="11" t="str">
        <f>ConvertOsiris!M147</f>
        <v>string</v>
      </c>
      <c r="H153" s="26"/>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9</v>
      </c>
      <c r="G154" s="11" t="str">
        <f>ConvertOsiris!M148</f>
        <v>string</v>
      </c>
      <c r="H154" s="26"/>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9</v>
      </c>
      <c r="G155" s="11" t="str">
        <f>ConvertOsiris!M149</f>
        <v>string</v>
      </c>
      <c r="H155" s="26"/>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9</v>
      </c>
      <c r="G156" s="11" t="str">
        <f>ConvertOsiris!M150</f>
        <v>string</v>
      </c>
      <c r="H156" s="26"/>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9</v>
      </c>
      <c r="G157" s="11" t="str">
        <f>ConvertOsiris!M151</f>
        <v>string</v>
      </c>
      <c r="H157" s="26"/>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9</v>
      </c>
      <c r="G158" s="11" t="str">
        <f>ConvertOsiris!M152</f>
        <v>BackboneElement</v>
      </c>
      <c r="H158" s="26"/>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9</v>
      </c>
      <c r="G159" s="11" t="str">
        <f>ConvertOsiris!M153</f>
        <v>integer</v>
      </c>
      <c r="H159" s="26"/>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9</v>
      </c>
      <c r="G160" s="11" t="str">
        <f>ConvertOsiris!M154</f>
        <v>integer</v>
      </c>
      <c r="H160" s="26"/>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9</v>
      </c>
      <c r="G161" s="11" t="str">
        <f>ConvertOsiris!M155</f>
        <v>string</v>
      </c>
      <c r="H161" s="26"/>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9</v>
      </c>
      <c r="G162" s="11" t="str">
        <f>ConvertOsiris!M156</f>
        <v>string</v>
      </c>
      <c r="H162" s="26"/>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9</v>
      </c>
      <c r="G163" s="11" t="str">
        <f>ConvertOsiris!M157</f>
        <v>BackboneElement</v>
      </c>
      <c r="H163" s="26"/>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9</v>
      </c>
      <c r="G164" s="11" t="str">
        <f>ConvertOsiris!M158</f>
        <v>BackboneElement</v>
      </c>
      <c r="H164" s="26"/>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9</v>
      </c>
      <c r="G165" s="11" t="str">
        <f>ConvertOsiris!M159</f>
        <v>BackboneElement</v>
      </c>
      <c r="H165" s="26"/>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9</v>
      </c>
      <c r="G166" s="11" t="str">
        <f>ConvertOsiris!M160</f>
        <v>BackboneElement</v>
      </c>
      <c r="H166" s="26"/>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9</v>
      </c>
      <c r="G167" s="11" t="str">
        <f>ConvertOsiris!M161</f>
        <v>BackboneElement</v>
      </c>
      <c r="H167" s="26"/>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9</v>
      </c>
      <c r="G168" s="11" t="str">
        <f>ConvertOsiris!M162</f>
        <v>BackboneElement</v>
      </c>
      <c r="H168" s="26"/>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9</v>
      </c>
      <c r="G169" s="11" t="str">
        <f>ConvertOsiris!M163</f>
        <v>BackboneElement</v>
      </c>
      <c r="H169" s="26"/>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9</v>
      </c>
      <c r="G170" s="11" t="str">
        <f>ConvertOsiris!M164</f>
        <v>BackboneElement</v>
      </c>
      <c r="H170" s="26"/>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9</v>
      </c>
      <c r="G171" s="11" t="str">
        <f>ConvertOsiris!M165</f>
        <v>BackboneElement</v>
      </c>
      <c r="H171" s="26"/>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9</v>
      </c>
      <c r="G172" s="11" t="str">
        <f>ConvertOsiris!M166</f>
        <v>BackboneElement</v>
      </c>
      <c r="H172" s="26"/>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9</v>
      </c>
      <c r="G173" s="11" t="str">
        <f>ConvertOsiris!M167</f>
        <v>BackboneElement</v>
      </c>
      <c r="H173" s="26"/>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9</v>
      </c>
      <c r="G174" s="11" t="str">
        <f>ConvertOsiris!M168</f>
        <v>BackboneElement</v>
      </c>
      <c r="H174" s="26"/>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9</v>
      </c>
      <c r="G175" s="11" t="str">
        <f>ConvertOsiris!M169</f>
        <v>BackboneElement</v>
      </c>
      <c r="H175" s="26"/>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9</v>
      </c>
      <c r="G176" s="11" t="str">
        <f>ConvertOsiris!M170</f>
        <v>BackboneElement</v>
      </c>
      <c r="H176" s="26"/>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9</v>
      </c>
      <c r="G177" s="11" t="str">
        <f>ConvertOsiris!M171</f>
        <v>BackboneElement</v>
      </c>
      <c r="H177" s="26"/>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9</v>
      </c>
      <c r="G178" s="11" t="str">
        <f>ConvertOsiris!M172</f>
        <v>BackboneElement</v>
      </c>
      <c r="H178" s="26"/>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9</v>
      </c>
      <c r="G179" s="11" t="str">
        <f>ConvertOsiris!M173</f>
        <v>BackboneElement</v>
      </c>
      <c r="H179" s="26"/>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9</v>
      </c>
      <c r="G180" s="11" t="str">
        <f>ConvertOsiris!M174</f>
        <v>BackboneElement</v>
      </c>
      <c r="H180" s="26"/>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9</v>
      </c>
      <c r="G181" s="11" t="str">
        <f>ConvertOsiris!M175</f>
        <v>BackboneElement</v>
      </c>
      <c r="H181" s="26"/>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9</v>
      </c>
      <c r="G182" s="11" t="str">
        <f>ConvertOsiris!M176</f>
        <v>BackboneElement</v>
      </c>
      <c r="H182" s="26"/>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9</v>
      </c>
      <c r="G183" s="11" t="str">
        <f>ConvertOsiris!M177</f>
        <v>BackboneElement</v>
      </c>
      <c r="H183" s="26"/>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9</v>
      </c>
      <c r="G184" s="11" t="str">
        <f>ConvertOsiris!M178</f>
        <v>BackboneElement</v>
      </c>
      <c r="H184" s="26"/>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9</v>
      </c>
      <c r="G185" s="11" t="str">
        <f>ConvertOsiris!M179</f>
        <v>BackboneElement</v>
      </c>
      <c r="H185" s="26"/>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9</v>
      </c>
      <c r="G186" s="11" t="str">
        <f>ConvertOsiris!M180</f>
        <v>BackboneElement</v>
      </c>
      <c r="H186" s="26"/>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9</v>
      </c>
      <c r="G187" s="11" t="str">
        <f>ConvertOsiris!M181</f>
        <v>BackboneElement</v>
      </c>
      <c r="H187" s="26"/>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9</v>
      </c>
      <c r="G188" s="11" t="str">
        <f>ConvertOsiris!M182</f>
        <v>BackboneElement</v>
      </c>
      <c r="H188" s="26"/>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9</v>
      </c>
      <c r="G189" s="11" t="str">
        <f>ConvertOsiris!M183</f>
        <v>BackboneElement</v>
      </c>
      <c r="H189" s="26"/>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9</v>
      </c>
      <c r="G190" s="11" t="str">
        <f>ConvertOsiris!M184</f>
        <v>BackboneElement</v>
      </c>
      <c r="H190" s="26"/>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9</v>
      </c>
      <c r="G191" s="11" t="str">
        <f>ConvertOsiris!M185</f>
        <v>BackboneElement</v>
      </c>
      <c r="H191" s="26"/>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9</v>
      </c>
      <c r="G192" s="11" t="str">
        <f>ConvertOsiris!M186</f>
        <v>BackboneElement</v>
      </c>
      <c r="H192" s="26"/>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9</v>
      </c>
      <c r="G193" s="11" t="str">
        <f>ConvertOsiris!M187</f>
        <v>BackboneElement</v>
      </c>
      <c r="H193" s="26"/>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9</v>
      </c>
      <c r="G194" s="11" t="str">
        <f>ConvertOsiris!M188</f>
        <v>BackboneElement</v>
      </c>
      <c r="H194" s="26"/>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9</v>
      </c>
      <c r="G195" s="11" t="str">
        <f>ConvertOsiris!M189</f>
        <v>BackboneElement</v>
      </c>
      <c r="H195" s="26"/>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9</v>
      </c>
      <c r="G196" s="11" t="str">
        <f>ConvertOsiris!M190</f>
        <v>BackboneElement</v>
      </c>
      <c r="H196" s="26"/>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9</v>
      </c>
      <c r="G197" s="11" t="str">
        <f>ConvertOsiris!M191</f>
        <v>BackboneElement</v>
      </c>
      <c r="H197" s="26"/>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9</v>
      </c>
      <c r="G198" s="11" t="str">
        <f>ConvertOsiris!M192</f>
        <v>BackboneElement</v>
      </c>
      <c r="H198" s="26"/>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9</v>
      </c>
      <c r="G199" s="11" t="str">
        <f>ConvertOsiris!M193</f>
        <v>BackboneElement</v>
      </c>
      <c r="H199" s="26"/>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9</v>
      </c>
      <c r="G200" s="11" t="str">
        <f>ConvertOsiris!M194</f>
        <v>BackboneElement</v>
      </c>
      <c r="H200" s="26"/>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9</v>
      </c>
      <c r="G201" s="11" t="str">
        <f>ConvertOsiris!M195</f>
        <v>BackboneElement</v>
      </c>
      <c r="H201" s="26"/>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9</v>
      </c>
      <c r="G202" s="11" t="str">
        <f>ConvertOsiris!M196</f>
        <v>BackboneElement</v>
      </c>
      <c r="H202" s="26"/>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9</v>
      </c>
      <c r="G203" s="11" t="str">
        <f>ConvertOsiris!M197</f>
        <v>BackboneElement</v>
      </c>
      <c r="H203" s="26"/>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9</v>
      </c>
      <c r="G204" s="11" t="str">
        <f>ConvertOsiris!M198</f>
        <v>BackboneElement</v>
      </c>
      <c r="H204" s="26"/>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9</v>
      </c>
      <c r="G205" s="11" t="str">
        <f>ConvertOsiris!M199</f>
        <v>BackboneElement</v>
      </c>
      <c r="H205" s="26"/>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9</v>
      </c>
      <c r="G206" s="11" t="str">
        <f>ConvertOsiris!M200</f>
        <v>BackboneElement</v>
      </c>
      <c r="H206" s="26"/>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9</v>
      </c>
      <c r="G207" s="11" t="str">
        <f>ConvertOsiris!M201</f>
        <v>BackboneElement</v>
      </c>
      <c r="H207" s="26"/>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9</v>
      </c>
      <c r="G208" s="11" t="str">
        <f>ConvertOsiris!M202</f>
        <v>BackboneElement</v>
      </c>
      <c r="H208" s="26"/>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9</v>
      </c>
      <c r="G209" s="11" t="str">
        <f>ConvertOsiris!M203</f>
        <v>BackboneElement</v>
      </c>
      <c r="H209" s="26"/>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9</v>
      </c>
      <c r="G210" s="11" t="str">
        <f>ConvertOsiris!M204</f>
        <v>BackboneElement</v>
      </c>
      <c r="H210" s="26"/>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9</v>
      </c>
      <c r="G211" s="11" t="str">
        <f>ConvertOsiris!M205</f>
        <v>BackboneElement</v>
      </c>
      <c r="H211" s="26"/>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9</v>
      </c>
      <c r="G212" s="11" t="str">
        <f>ConvertOsiris!M206</f>
        <v>BackboneElement</v>
      </c>
      <c r="H212" s="26"/>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9</v>
      </c>
      <c r="G213" s="11" t="str">
        <f>ConvertOsiris!M207</f>
        <v>BackboneElement</v>
      </c>
      <c r="H213" s="26"/>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9</v>
      </c>
      <c r="G214" s="11" t="str">
        <f>ConvertOsiris!M208</f>
        <v>BackboneElement</v>
      </c>
      <c r="H214" s="26"/>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9</v>
      </c>
      <c r="G215" s="11" t="str">
        <f>ConvertOsiris!M209</f>
        <v>BackboneElement</v>
      </c>
      <c r="H215" s="26"/>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9</v>
      </c>
      <c r="G216" s="11" t="str">
        <f>ConvertOsiris!M210</f>
        <v>BackboneElement</v>
      </c>
      <c r="H216" s="26"/>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9</v>
      </c>
      <c r="G217" s="11" t="str">
        <f>ConvertOsiris!M211</f>
        <v>BackboneElement</v>
      </c>
      <c r="H217" s="26"/>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9</v>
      </c>
      <c r="G218" s="11" t="str">
        <f>ConvertOsiris!M212</f>
        <v>BackboneElement</v>
      </c>
      <c r="H218" s="26"/>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9</v>
      </c>
      <c r="G219" s="11" t="str">
        <f>ConvertOsiris!M213</f>
        <v>BackboneElement</v>
      </c>
      <c r="H219" s="26"/>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9</v>
      </c>
      <c r="G220" s="11" t="str">
        <f>ConvertOsiris!M214</f>
        <v>BackboneElement</v>
      </c>
      <c r="H220" s="26"/>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9</v>
      </c>
      <c r="G221" s="11" t="str">
        <f>ConvertOsiris!M215</f>
        <v>BackboneElement</v>
      </c>
      <c r="H221" s="26"/>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9</v>
      </c>
      <c r="G222" s="11" t="str">
        <f>ConvertOsiris!M216</f>
        <v>BackboneElement</v>
      </c>
      <c r="H222" s="26"/>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9</v>
      </c>
      <c r="G223" s="11" t="str">
        <f>ConvertOsiris!M217</f>
        <v>BackboneElement</v>
      </c>
      <c r="H223" s="26"/>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9</v>
      </c>
      <c r="G224" s="11" t="str">
        <f>ConvertOsiris!M218</f>
        <v>BackboneElement</v>
      </c>
      <c r="H224" s="26"/>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9</v>
      </c>
      <c r="G225" s="11" t="str">
        <f>ConvertOsiris!M219</f>
        <v>BackboneElement</v>
      </c>
      <c r="H225" s="26"/>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9</v>
      </c>
      <c r="G226" s="11" t="str">
        <f>ConvertOsiris!M220</f>
        <v>BackboneElement</v>
      </c>
      <c r="H226" s="26"/>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9</v>
      </c>
      <c r="G227" s="11" t="str">
        <f>ConvertOsiris!M221</f>
        <v>BackboneElement</v>
      </c>
      <c r="H227" s="26"/>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9</v>
      </c>
      <c r="G228" s="11" t="str">
        <f>ConvertOsiris!M222</f>
        <v>BackboneElement</v>
      </c>
      <c r="H228" s="26"/>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9</v>
      </c>
      <c r="G229" s="11" t="str">
        <f>ConvertOsiris!M223</f>
        <v>BackboneElement</v>
      </c>
      <c r="H229" s="26"/>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9</v>
      </c>
      <c r="G230" s="11" t="str">
        <f>ConvertOsiris!M224</f>
        <v>BackboneElement</v>
      </c>
      <c r="H230" s="26"/>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9</v>
      </c>
      <c r="G231" s="11" t="str">
        <f>ConvertOsiris!M225</f>
        <v>BackboneElement</v>
      </c>
      <c r="H231" s="26"/>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9</v>
      </c>
      <c r="G232" s="11" t="str">
        <f>ConvertOsiris!M226</f>
        <v>BackboneElement</v>
      </c>
      <c r="H232" s="26"/>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9</v>
      </c>
      <c r="G233" s="11" t="str">
        <f>ConvertOsiris!M227</f>
        <v>BackboneElement</v>
      </c>
      <c r="H233" s="26"/>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9</v>
      </c>
      <c r="G234" s="11" t="str">
        <f>ConvertOsiris!M228</f>
        <v>BackboneElement</v>
      </c>
      <c r="H234" s="26"/>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9</v>
      </c>
      <c r="G235" s="11" t="str">
        <f>ConvertOsiris!M229</f>
        <v>BackboneElement</v>
      </c>
      <c r="H235" s="26"/>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9</v>
      </c>
      <c r="G236" s="11" t="str">
        <f>ConvertOsiris!M230</f>
        <v>BackboneElement</v>
      </c>
      <c r="H236" s="26"/>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9</v>
      </c>
      <c r="G237" s="11" t="str">
        <f>ConvertOsiris!M231</f>
        <v>BackboneElement</v>
      </c>
      <c r="H237" s="26"/>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9</v>
      </c>
      <c r="G238" s="11" t="str">
        <f>ConvertOsiris!M232</f>
        <v>BackboneElement</v>
      </c>
      <c r="H238" s="26"/>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9</v>
      </c>
      <c r="G239" s="11" t="str">
        <f>ConvertOsiris!M233</f>
        <v>BackboneElement</v>
      </c>
      <c r="H239" s="26"/>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9</v>
      </c>
      <c r="G240" s="11" t="str">
        <f>ConvertOsiris!M234</f>
        <v>BackboneElement</v>
      </c>
      <c r="H240" s="26"/>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9</v>
      </c>
      <c r="G241" s="11" t="str">
        <f>ConvertOsiris!M235</f>
        <v>BackboneElement</v>
      </c>
      <c r="H241" s="26"/>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9</v>
      </c>
      <c r="G242" s="11" t="str">
        <f>ConvertOsiris!M236</f>
        <v>BackboneElement</v>
      </c>
      <c r="H242" s="26"/>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9</v>
      </c>
      <c r="G243" s="11" t="str">
        <f>ConvertOsiris!M237</f>
        <v>BackboneElement</v>
      </c>
      <c r="H243" s="26"/>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9</v>
      </c>
      <c r="G244" s="11" t="str">
        <f>ConvertOsiris!M238</f>
        <v>BackboneElement</v>
      </c>
      <c r="H244" s="26"/>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9</v>
      </c>
      <c r="G245" s="11" t="str">
        <f>ConvertOsiris!M239</f>
        <v>BackboneElement</v>
      </c>
      <c r="H245" s="26"/>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9</v>
      </c>
      <c r="G246" s="11" t="str">
        <f>ConvertOsiris!M240</f>
        <v>BackboneElement</v>
      </c>
      <c r="H246" s="26"/>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9</v>
      </c>
      <c r="G247" s="11" t="str">
        <f>ConvertOsiris!M241</f>
        <v>BackboneElement</v>
      </c>
      <c r="H247" s="26"/>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9</v>
      </c>
      <c r="G248" s="11" t="str">
        <f>ConvertOsiris!M242</f>
        <v>BackboneElement</v>
      </c>
      <c r="H248" s="26"/>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9</v>
      </c>
      <c r="G249" s="11" t="str">
        <f>ConvertOsiris!M243</f>
        <v>BackboneElement</v>
      </c>
      <c r="H249" s="26"/>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9</v>
      </c>
      <c r="G250" s="11" t="str">
        <f>ConvertOsiris!M244</f>
        <v>BackboneElement</v>
      </c>
      <c r="H250" s="26"/>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9</v>
      </c>
      <c r="G251" s="11" t="str">
        <f>ConvertOsiris!M245</f>
        <v>BackboneElement</v>
      </c>
      <c r="H251" s="26"/>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9</v>
      </c>
      <c r="G252" s="11" t="str">
        <f>ConvertOsiris!M246</f>
        <v>BackboneElement</v>
      </c>
      <c r="H252" s="26"/>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9</v>
      </c>
      <c r="G253" s="11" t="str">
        <f>ConvertOsiris!M247</f>
        <v>BackboneElement</v>
      </c>
      <c r="H253" s="26"/>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9</v>
      </c>
      <c r="G254" s="11" t="str">
        <f>ConvertOsiris!M248</f>
        <v>BackboneElement</v>
      </c>
      <c r="H254" s="26"/>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9</v>
      </c>
      <c r="G255" s="11" t="str">
        <f>ConvertOsiris!M249</f>
        <v>BackboneElement</v>
      </c>
      <c r="H255" s="26"/>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9</v>
      </c>
      <c r="G256" s="11" t="str">
        <f>ConvertOsiris!M250</f>
        <v>BackboneElement</v>
      </c>
      <c r="H256" s="26"/>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9</v>
      </c>
      <c r="G257" s="11" t="str">
        <f>ConvertOsiris!M251</f>
        <v>BackboneElement</v>
      </c>
      <c r="H257" s="26"/>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9</v>
      </c>
      <c r="G258" s="11" t="str">
        <f>ConvertOsiris!M252</f>
        <v>BackboneElement</v>
      </c>
      <c r="H258" s="26"/>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9</v>
      </c>
      <c r="G259" s="11" t="str">
        <f>ConvertOsiris!M253</f>
        <v>BackboneElement</v>
      </c>
      <c r="H259" s="26"/>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9</v>
      </c>
      <c r="G260" s="11" t="str">
        <f>ConvertOsiris!M254</f>
        <v>BackboneElement</v>
      </c>
      <c r="H260" s="26"/>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9</v>
      </c>
      <c r="G261" s="11" t="str">
        <f>ConvertOsiris!M255</f>
        <v>BackboneElement</v>
      </c>
      <c r="H261" s="26"/>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9</v>
      </c>
      <c r="G262" s="11" t="str">
        <f>ConvertOsiris!M256</f>
        <v>BackboneElement</v>
      </c>
      <c r="H262" s="26"/>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9</v>
      </c>
      <c r="G263" s="11" t="str">
        <f>ConvertOsiris!M257</f>
        <v>BackboneElement</v>
      </c>
      <c r="H263" s="26"/>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9</v>
      </c>
      <c r="G264" s="11" t="str">
        <f>ConvertOsiris!M258</f>
        <v>BackboneElement</v>
      </c>
      <c r="H264" s="26"/>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9</v>
      </c>
      <c r="G265" s="11" t="str">
        <f>ConvertOsiris!M259</f>
        <v>BackboneElement</v>
      </c>
      <c r="H265" s="26"/>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9</v>
      </c>
      <c r="G266" s="11" t="str">
        <f>ConvertOsiris!M260</f>
        <v>BackboneElement</v>
      </c>
      <c r="H266" s="26"/>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9</v>
      </c>
      <c r="G267" s="11">
        <f>ConvertOsiris!M261</f>
        <v>0</v>
      </c>
      <c r="H267" s="26"/>
      <c r="I267" s="12" t="str">
        <f t="shared" si="4"/>
        <v>//---- END</v>
      </c>
    </row>
    <row r="268" spans="1:9">
      <c r="A268" s="11">
        <v>261</v>
      </c>
      <c r="B268" s="11">
        <f>ConvertOsiris!I262</f>
        <v>0</v>
      </c>
      <c r="C268" s="12">
        <f>ConvertOsiris!J262</f>
        <v>0</v>
      </c>
      <c r="D268" s="12">
        <f>ConvertOsiris!K262</f>
        <v>0</v>
      </c>
      <c r="E268" s="12">
        <f>ConvertOsiris!L262</f>
        <v>0</v>
      </c>
      <c r="F268" s="11" t="s">
        <v>9</v>
      </c>
      <c r="G268" s="11">
        <f>ConvertOsiris!M262</f>
        <v>0</v>
      </c>
      <c r="H268" s="26"/>
      <c r="I268" s="12" t="str">
        <f t="shared" si="4"/>
        <v>//---- END</v>
      </c>
    </row>
    <row r="269" spans="1:9">
      <c r="A269" s="11">
        <v>262</v>
      </c>
      <c r="B269" s="11">
        <f>ConvertOsiris!I263</f>
        <v>0</v>
      </c>
      <c r="C269" s="12">
        <f>ConvertOsiris!J263</f>
        <v>0</v>
      </c>
      <c r="D269" s="12">
        <f>ConvertOsiris!K263</f>
        <v>0</v>
      </c>
      <c r="E269" s="12">
        <f>ConvertOsiris!L263</f>
        <v>0</v>
      </c>
      <c r="F269" s="11" t="s">
        <v>9</v>
      </c>
      <c r="G269" s="11">
        <f>ConvertOsiris!M263</f>
        <v>0</v>
      </c>
      <c r="H269" s="26"/>
      <c r="I269" s="12" t="str">
        <f t="shared" si="4"/>
        <v>//---- END</v>
      </c>
    </row>
    <row r="270" spans="1:9">
      <c r="A270" s="11">
        <v>263</v>
      </c>
      <c r="B270" s="11">
        <f>ConvertOsiris!I264</f>
        <v>0</v>
      </c>
      <c r="C270" s="12">
        <f>ConvertOsiris!J264</f>
        <v>0</v>
      </c>
      <c r="D270" s="12">
        <f>ConvertOsiris!K264</f>
        <v>0</v>
      </c>
      <c r="E270" s="12">
        <f>ConvertOsiris!L264</f>
        <v>0</v>
      </c>
      <c r="F270" s="11" t="s">
        <v>9</v>
      </c>
      <c r="G270" s="11">
        <f>ConvertOsiris!M264</f>
        <v>0</v>
      </c>
      <c r="H270" s="26"/>
      <c r="I270" s="12" t="str">
        <f t="shared" si="4"/>
        <v>//---- END</v>
      </c>
    </row>
    <row r="271" spans="1:9">
      <c r="B271" s="11"/>
      <c r="C271" s="12"/>
      <c r="D271" s="12"/>
      <c r="E271" s="12"/>
      <c r="F271" s="11"/>
      <c r="G271" s="11"/>
      <c r="H271" s="26"/>
      <c r="I271" s="12"/>
    </row>
    <row r="272" spans="1:9">
      <c r="B272" s="11"/>
      <c r="C272" s="12"/>
      <c r="D272" s="12"/>
      <c r="E272" s="12"/>
      <c r="F272" s="11"/>
      <c r="G272" s="11"/>
      <c r="H272" s="26"/>
      <c r="I272" s="12"/>
    </row>
    <row r="273" spans="9:9">
      <c r="I273" s="12"/>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1469</v>
      </c>
      <c r="E4" s="20" t="str">
        <f>CONCATENATE("Mapping: ",C4)</f>
        <v>Mapping: xxxxxxxxx</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Osiris</v>
      </c>
      <c r="E7" s="21" t="str">
        <f>CONCATENATE("Source: ",C7)</f>
        <v>Source: Osiris</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Osiris!B5</f>
        <v>Osiris</v>
      </c>
      <c r="C9" s="6"/>
      <c r="E9" s="28" t="str">
        <f>CONCATENATE("* -&gt; ##34#",C9,"##34#")</f>
        <v>* -&gt; ##34###34#</v>
      </c>
      <c r="H9" s="7"/>
      <c r="I9" s="7"/>
      <c r="J9" s="7"/>
      <c r="K9" s="7"/>
      <c r="L9" s="7"/>
      <c r="M9" s="7"/>
      <c r="N9" s="7"/>
      <c r="O9" s="7"/>
    </row>
    <row r="10" spans="1:15">
      <c r="A10" s="11"/>
      <c r="B10" s="11" t="str">
        <f>Osiris!B8</f>
        <v>Patient</v>
      </c>
      <c r="C10" s="11" t="s">
        <v>169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169</v>
      </c>
      <c r="E11" s="12" t="str">
        <f t="shared" si="0"/>
        <v>* Patient.Id -&gt; ##34#.birthDate##34#</v>
      </c>
      <c r="H11" s="7"/>
      <c r="I11" s="7"/>
      <c r="J11" s="7"/>
      <c r="K11" s="7"/>
      <c r="L11" s="7"/>
      <c r="M11" s="7"/>
      <c r="N11" s="7"/>
      <c r="O11" s="7"/>
    </row>
    <row r="12" spans="1:15">
      <c r="A12" s="11"/>
      <c r="B12" s="11" t="str">
        <f>Osiris!B10</f>
        <v>Patient.Gender</v>
      </c>
      <c r="C12" s="11" t="s">
        <v>170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171</v>
      </c>
      <c r="E13" s="12" t="str">
        <f t="shared" si="0"/>
        <v>* Patient.Ethnicity -&gt; ##34#.maritalStatus##34#</v>
      </c>
      <c r="H13" s="7"/>
      <c r="I13" s="7"/>
      <c r="J13" s="7"/>
      <c r="K13" s="7"/>
      <c r="L13" s="7"/>
      <c r="M13" s="7"/>
      <c r="N13" s="7"/>
      <c r="O13" s="7"/>
    </row>
    <row r="14" spans="1:15">
      <c r="A14" s="11"/>
      <c r="B14" s="11" t="str">
        <f>Osiris!$B$12</f>
        <v>Patient.BirthDate</v>
      </c>
      <c r="C14" s="11" t="s">
        <v>172</v>
      </c>
      <c r="E14" s="12" t="str">
        <f t="shared" si="0"/>
        <v>* Patient.BirthDate -&gt; ##34#.gender##34#</v>
      </c>
      <c r="H14" s="7"/>
      <c r="I14" s="7"/>
      <c r="J14" s="7"/>
      <c r="K14" s="7"/>
      <c r="L14" s="7"/>
      <c r="M14" s="7"/>
      <c r="N14" s="7"/>
      <c r="O14" s="7"/>
    </row>
    <row r="15" spans="1:15">
      <c r="A15" s="11"/>
      <c r="B15" s="11" t="str">
        <f>Osiris!$B$12</f>
        <v>Patient.BirthDate</v>
      </c>
      <c r="C15" s="11" t="s">
        <v>173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174</v>
      </c>
      <c r="E16" s="12" t="str">
        <f t="shared" si="0"/>
        <v>* Patient.BirthDate -&gt; ##34#.extension('patient-sexForClinicalUse').value##34#</v>
      </c>
      <c r="H16" s="7"/>
      <c r="I16" s="7"/>
      <c r="J16" s="7"/>
      <c r="K16" s="7"/>
      <c r="L16" s="7"/>
      <c r="M16" s="7"/>
      <c r="N16" s="7"/>
      <c r="O16" s="7"/>
    </row>
    <row r="17" spans="1:5">
      <c r="A17" s="11"/>
      <c r="B17" s="11" t="str">
        <f>Osiris!B13</f>
        <v>Patient.DeathDate</v>
      </c>
      <c r="C17" s="11" t="s">
        <v>23</v>
      </c>
      <c r="E17" s="12" t="str">
        <f t="shared" si="0"/>
        <v>* Patient.DeathDate -&gt; ##34#to be mapped##34#</v>
      </c>
    </row>
    <row r="18" spans="1:5">
      <c r="A18" s="11"/>
      <c r="B18" s="11" t="str">
        <f>Osiris!B14</f>
        <v>Patient.ProviderCenterId</v>
      </c>
      <c r="C18" s="11" t="s">
        <v>175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4" t="str">
        <f>Osiris!I1</f>
        <v>// -------------------------------------------------------------------------------</v>
      </c>
    </row>
    <row r="2" spans="3:7" ht="16.75" thickBot="1">
      <c r="C2" s="25" t="str">
        <f>Osiris!I2</f>
        <v>//  Logical Model</v>
      </c>
      <c r="G2" s="30" t="s">
        <v>1411</v>
      </c>
    </row>
    <row r="3" spans="3:7">
      <c r="C3" s="25" t="str">
        <f>Osiris!I3</f>
        <v>// -------------------------------------------------------------------------------</v>
      </c>
    </row>
    <row r="4" spans="3:7">
      <c r="C4" s="17" t="str">
        <f>Osiris!I4</f>
        <v>Logical: Osiris</v>
      </c>
    </row>
    <row r="5" spans="3:7">
      <c r="C5" s="17" t="str">
        <f>Osiris!I5</f>
        <v>Id: Osiris</v>
      </c>
    </row>
    <row r="6" spans="3:7">
      <c r="C6" s="17" t="str">
        <f>Osiris!I6</f>
        <v>Title: ##34#Osiris Model##34#</v>
      </c>
    </row>
    <row r="7" spans="3:7">
      <c r="C7" s="17"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6"/>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4" t="str">
        <f>Osiris!I1</f>
        <v>// -------------------------------------------------------------------------------</v>
      </c>
    </row>
    <row r="2" spans="3:7" ht="16.75" thickBot="1">
      <c r="C2" s="25" t="str">
        <f>Osiris!I2</f>
        <v>//  Logical Model</v>
      </c>
      <c r="G2" s="30" t="s">
        <v>1470</v>
      </c>
    </row>
    <row r="3" spans="3:7">
      <c r="C3" s="25" t="str">
        <f>Osiris!I3</f>
        <v>// -------------------------------------------------------------------------------</v>
      </c>
    </row>
    <row r="4" spans="3:7">
      <c r="C4" s="17" t="str">
        <f>Osiris!I4</f>
        <v>Logical: Osiris</v>
      </c>
    </row>
    <row r="5" spans="3:7">
      <c r="C5" s="17" t="str">
        <f>Osiris!I5</f>
        <v>Id: Osiris</v>
      </c>
    </row>
    <row r="6" spans="3:7">
      <c r="C6" s="17" t="str">
        <f>Osiris!I6</f>
        <v>Title: ##34#Osiris Model##34#</v>
      </c>
    </row>
    <row r="7" spans="3:7">
      <c r="C7" s="17"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4" t="str">
        <f>'Osiris-Map'!E1</f>
        <v>// -------------------------------------------------------------------------------</v>
      </c>
    </row>
    <row r="31" spans="3:3">
      <c r="C31" s="25" t="str">
        <f>'Osiris-Map'!E2</f>
        <v>//  Map to FHIR R4</v>
      </c>
    </row>
    <row r="32" spans="3:3">
      <c r="C32" s="25"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t="s">
        <v>176</v>
      </c>
      <c r="E4" s="58"/>
      <c r="H4" s="12"/>
      <c r="I4" s="11"/>
      <c r="J4" s="11"/>
      <c r="K4" s="11"/>
      <c r="L4" s="11"/>
    </row>
    <row r="5" spans="1:17" ht="15.5" thickBot="1">
      <c r="B5" s="10" t="s">
        <v>17</v>
      </c>
      <c r="C5" s="13" t="s">
        <v>14</v>
      </c>
      <c r="E5" s="59"/>
      <c r="H5" s="12"/>
      <c r="I5" s="11"/>
      <c r="J5" s="11"/>
      <c r="K5" s="11"/>
      <c r="L5" s="11"/>
    </row>
    <row r="6" spans="1:17" ht="15.5" thickBot="1">
      <c r="B6" s="10" t="s">
        <v>11</v>
      </c>
      <c r="C6" s="7" t="s">
        <v>168</v>
      </c>
      <c r="E6" s="7"/>
      <c r="H6" s="17" t="s">
        <v>1454</v>
      </c>
      <c r="I6" s="71" t="s">
        <v>1455</v>
      </c>
      <c r="J6" s="17" t="s">
        <v>1452</v>
      </c>
      <c r="K6" s="71" t="s">
        <v>1453</v>
      </c>
      <c r="L6" s="67" t="s">
        <v>1447</v>
      </c>
    </row>
    <row r="7" spans="1:17">
      <c r="B7" s="64" t="s">
        <v>19</v>
      </c>
      <c r="C7" s="60" t="str">
        <f>B9</f>
        <v>Osiris</v>
      </c>
      <c r="E7" s="60"/>
      <c r="H7" s="12"/>
      <c r="I7" s="11"/>
      <c r="J7" s="11"/>
      <c r="K7" s="11"/>
      <c r="L7" s="11"/>
    </row>
    <row r="8" spans="1:17">
      <c r="B8" s="66" t="s">
        <v>16</v>
      </c>
      <c r="C8" s="11" t="s">
        <v>13</v>
      </c>
      <c r="D8" s="12"/>
      <c r="E8" s="11"/>
      <c r="F8" s="67" t="s">
        <v>1447</v>
      </c>
      <c r="G8" s="70"/>
      <c r="H8" s="12"/>
      <c r="I8" s="11"/>
      <c r="J8" s="67"/>
      <c r="K8" s="67"/>
      <c r="L8" s="67"/>
    </row>
    <row r="9" spans="1:17">
      <c r="A9" s="63"/>
      <c r="B9" s="6" t="str">
        <f>Osiris!B5</f>
        <v>Osiris</v>
      </c>
      <c r="C9" s="11"/>
      <c r="D9" s="6"/>
      <c r="E9" s="6"/>
      <c r="F9" s="11"/>
      <c r="H9" s="12"/>
      <c r="I9" s="11"/>
      <c r="J9" s="11"/>
      <c r="K9" s="11"/>
      <c r="L9" s="67"/>
    </row>
    <row r="10" spans="1:17" ht="44.25">
      <c r="A10" s="63"/>
      <c r="B10" s="11" t="str">
        <f>Osiris!B8</f>
        <v>Patient</v>
      </c>
      <c r="C10" s="11" t="str">
        <f>Osiris!C8</f>
        <v>Patient</v>
      </c>
      <c r="D10" s="61" t="str">
        <f>Subject!B5</f>
        <v>Subject</v>
      </c>
      <c r="E10" s="61" t="str">
        <f>Subject!B6</f>
        <v>Subject of care</v>
      </c>
      <c r="F10" s="68" t="s">
        <v>1439</v>
      </c>
      <c r="G10" s="62"/>
      <c r="H10" s="12" t="str">
        <f>"* group[=].element[+].code = #"&amp;$B$9&amp;"."&amp;B10</f>
        <v>* group[=].element[+].code = #Osiris.Patient</v>
      </c>
      <c r="I10" s="12" t="str">
        <f>"* group[=].element[=].display = ##34#"&amp;C10&amp;"##34#"</f>
        <v>* group[=].element[=].display = ##34#Patient##34#</v>
      </c>
      <c r="J10" s="12" t="str">
        <f>IF(F10="unmatched","//-- unmatched","* group[=].element[=].target.code = #"&amp;D10)</f>
        <v>* group[=].element[=].target.code = #Subject</v>
      </c>
      <c r="K10" s="12" t="str">
        <f>IF(F10="unmatched","//-- unmatched","* group[=].element[=].target.display = ##34#"&amp;E10&amp;"##34#")</f>
        <v>* group[=].element[=].target.display = ##34#Subject of care##34#</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63"/>
      <c r="B11" s="11" t="str">
        <f>Osiris!B9</f>
        <v>Patient.Id</v>
      </c>
      <c r="C11" s="11" t="str">
        <f>Osiris!C9</f>
        <v>Patient Id [C1]</v>
      </c>
      <c r="D11" s="11"/>
      <c r="E11" s="11"/>
      <c r="F11" s="68" t="s">
        <v>1434</v>
      </c>
      <c r="G11" s="62"/>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63"/>
      <c r="B12" s="11" t="str">
        <f>Osiris!B10</f>
        <v>Patient.Gender</v>
      </c>
      <c r="C12" s="11" t="str">
        <f>Osiris!C10</f>
        <v>Gender [C2]</v>
      </c>
      <c r="D12" s="11" t="str">
        <f>$D$10&amp;"."&amp;Subject!B12</f>
        <v>Subject.sexOrGender</v>
      </c>
      <c r="E12" s="11" t="str">
        <f>Subject!C12</f>
        <v>Gender/Sex</v>
      </c>
      <c r="F12" s="68" t="s">
        <v>1441</v>
      </c>
      <c r="G12" s="62"/>
      <c r="H12" s="12" t="str">
        <f t="shared" si="0"/>
        <v>* group[=].element[+].code = #Osiris.Patient.Gender</v>
      </c>
      <c r="I12" s="12" t="str">
        <f t="shared" si="1"/>
        <v>* group[=].element[=].display = ##34#Gender [C2]##34#</v>
      </c>
      <c r="J12" s="12" t="str">
        <f t="shared" si="2"/>
        <v>* group[=].element[=].target.code = #Subject.sexOrGender</v>
      </c>
      <c r="K12" s="12" t="str">
        <f t="shared" si="3"/>
        <v>* group[=].element[=].target.display = ##34#Gender/Sex##34#</v>
      </c>
      <c r="L12" s="12" t="str">
        <f t="shared" si="4"/>
        <v>* group[=].element[=].target.equivalence = #wider</v>
      </c>
      <c r="N12" s="11">
        <v>3</v>
      </c>
      <c r="O12" s="11">
        <f t="shared" si="5"/>
        <v>0</v>
      </c>
      <c r="P12" s="11">
        <f t="shared" si="6"/>
        <v>3</v>
      </c>
      <c r="Q12" s="12" t="str" cm="1">
        <f t="array" ref="Q12">INDEX('Osiris-ConceptMap'!$H$10:$L$264,O12+1,P12)</f>
        <v>* group[=].element[=].target.code = #Subject</v>
      </c>
    </row>
    <row r="13" spans="1:17" ht="44.25">
      <c r="A13" s="63"/>
      <c r="B13" s="11" t="str">
        <f>Osiris!B11</f>
        <v>Patient.Ethnicity</v>
      </c>
      <c r="C13" s="11" t="str">
        <f>Osiris!C11</f>
        <v>Ethnicity [C3]</v>
      </c>
      <c r="D13" s="11" t="str">
        <f>$D$10&amp;"."&amp;Subject!B13</f>
        <v>Subject.race</v>
      </c>
      <c r="E13" s="11" t="str">
        <f>Subject!C13</f>
        <v>Race</v>
      </c>
      <c r="F13" s="68" t="s">
        <v>1417</v>
      </c>
      <c r="G13" s="62"/>
      <c r="H13" s="12" t="str">
        <f t="shared" si="0"/>
        <v>* group[=].element[+].code = #Osiris.Patient.Ethnicity</v>
      </c>
      <c r="I13" s="12" t="str">
        <f t="shared" si="1"/>
        <v>* group[=].element[=].display = ##34#Ethnicity [C3]##34#</v>
      </c>
      <c r="J13" s="12" t="str">
        <f t="shared" si="2"/>
        <v>* group[=].element[=].target.code = #Subject.race</v>
      </c>
      <c r="K13" s="12" t="str">
        <f t="shared" si="3"/>
        <v>* group[=].element[=].target.display = ##34#Race##34#</v>
      </c>
      <c r="L13" s="12" t="str">
        <f t="shared" si="4"/>
        <v>* group[=].element[=].target.equivalence = #relatedto</v>
      </c>
      <c r="N13" s="11">
        <v>4</v>
      </c>
      <c r="O13" s="11">
        <f t="shared" si="5"/>
        <v>0</v>
      </c>
      <c r="P13" s="11">
        <f t="shared" si="6"/>
        <v>4</v>
      </c>
      <c r="Q13" s="12" t="str" cm="1">
        <f t="array" ref="Q13">INDEX('Osiris-ConceptMap'!$H$10:$L$264,O13+1,P13)</f>
        <v>* group[=].element[=].target.display = ##34#Subject of care##34#</v>
      </c>
    </row>
    <row r="14" spans="1:17" ht="44.25">
      <c r="A14" s="63"/>
      <c r="B14" s="11" t="str">
        <f>Osiris!$B$12</f>
        <v>Patient.BirthDate</v>
      </c>
      <c r="C14" s="11" t="str">
        <f>Osiris!C12</f>
        <v>Birth Date [C4]</v>
      </c>
      <c r="D14" s="11" t="str">
        <f>$D$10&amp;"."&amp;Subject!B9</f>
        <v>Subject.dateOfBirth.date</v>
      </c>
      <c r="E14" s="11" t="str">
        <f>Subject!C9</f>
        <v>Date of birth</v>
      </c>
      <c r="F14" s="68" t="s">
        <v>1439</v>
      </c>
      <c r="G14" s="62"/>
      <c r="H14" s="12" t="str">
        <f t="shared" si="0"/>
        <v>* group[=].element[+].code = #Osiris.Patient.BirthDate</v>
      </c>
      <c r="I14" s="12" t="str">
        <f t="shared" si="1"/>
        <v>* group[=].element[=].display = ##34#Birth Date [C4]##34#</v>
      </c>
      <c r="J14" s="12" t="str">
        <f t="shared" si="2"/>
        <v>* group[=].element[=].target.code = #Subject.dateOfBirth.date</v>
      </c>
      <c r="K14" s="12" t="str">
        <f t="shared" si="3"/>
        <v>* group[=].element[=].target.display = ##34#Date of birth##34#</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63"/>
      <c r="B15" s="11" t="str">
        <f>Osiris!B13</f>
        <v>Patient.DeathDate</v>
      </c>
      <c r="C15" s="11" t="str">
        <f>Osiris!C13</f>
        <v>Death Date [C5]</v>
      </c>
      <c r="D15" s="11"/>
      <c r="E15" s="11"/>
      <c r="F15" s="68" t="s">
        <v>1434</v>
      </c>
      <c r="G15" s="62"/>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63"/>
      <c r="B16" s="11" t="str">
        <f>Osiris!B14</f>
        <v>Patient.ProviderCenterId</v>
      </c>
      <c r="C16" s="11" t="str">
        <f>Osiris!C14</f>
        <v>Provider  Center  Id [C6]</v>
      </c>
      <c r="D16" s="11"/>
      <c r="E16" s="11"/>
      <c r="F16" s="68" t="s">
        <v>1434</v>
      </c>
      <c r="G16" s="62"/>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63"/>
      <c r="B17" s="11" t="str">
        <f>Osiris!B15</f>
        <v>Patient.OriginCenterId</v>
      </c>
      <c r="C17" s="11" t="str">
        <f>Osiris!C15</f>
        <v>Origin  Center  Id [C71]</v>
      </c>
      <c r="D17" s="11"/>
      <c r="E17" s="12"/>
      <c r="F17" s="68" t="s">
        <v>1434</v>
      </c>
      <c r="G17" s="62"/>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63"/>
      <c r="B18" s="11" t="str">
        <f>Osiris!B16</f>
        <v>Patient.CauseOfDeath</v>
      </c>
      <c r="C18" s="11" t="str">
        <f>Osiris!C16</f>
        <v>Cause of death [C7]</v>
      </c>
      <c r="D18" s="11"/>
      <c r="E18" s="12"/>
      <c r="F18" s="68" t="s">
        <v>1434</v>
      </c>
      <c r="G18" s="62"/>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8" t="s">
        <v>1434</v>
      </c>
      <c r="G19" s="62"/>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8" t="s">
        <v>1434</v>
      </c>
      <c r="G20" s="62"/>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8"/>
      <c r="G21" s="62"/>
      <c r="J21" s="62"/>
      <c r="K21" s="62"/>
      <c r="L21" s="70"/>
      <c r="N21" s="11">
        <v>12</v>
      </c>
      <c r="O21" s="11">
        <f t="shared" si="5"/>
        <v>2</v>
      </c>
      <c r="P21" s="11">
        <f t="shared" si="6"/>
        <v>2</v>
      </c>
      <c r="Q21" s="12" t="str" cm="1">
        <f t="array" ref="Q21">INDEX('Osiris-ConceptMap'!$H$10:$L$264,O21+1,P21)</f>
        <v>* group[=].element[=].display = ##34#Gender [C2]##34#</v>
      </c>
    </row>
    <row r="22" spans="1:17">
      <c r="B22" s="11"/>
      <c r="C22" s="11"/>
      <c r="D22" s="11"/>
      <c r="E22" s="12"/>
      <c r="F22" s="68"/>
      <c r="G22" s="62"/>
      <c r="J22" s="62"/>
      <c r="K22" s="62"/>
      <c r="L22" s="70"/>
      <c r="N22" s="11">
        <v>13</v>
      </c>
      <c r="O22" s="11">
        <f t="shared" si="5"/>
        <v>2</v>
      </c>
      <c r="P22" s="11">
        <f t="shared" si="6"/>
        <v>3</v>
      </c>
      <c r="Q22" s="12" t="str" cm="1">
        <f t="array" ref="Q22">INDEX('Osiris-ConceptMap'!$H$10:$L$264,O22+1,P22)</f>
        <v>* group[=].element[=].target.code = #Subject.sexOrGender</v>
      </c>
    </row>
    <row r="23" spans="1:17">
      <c r="B23" s="11"/>
      <c r="C23" s="11"/>
      <c r="D23" s="11"/>
      <c r="E23" s="12"/>
      <c r="F23" s="68"/>
      <c r="G23" s="62"/>
      <c r="J23" s="62"/>
      <c r="K23" s="62"/>
      <c r="L23" s="70"/>
      <c r="N23" s="11">
        <v>14</v>
      </c>
      <c r="O23" s="11">
        <f t="shared" si="5"/>
        <v>2</v>
      </c>
      <c r="P23" s="11">
        <f t="shared" si="6"/>
        <v>4</v>
      </c>
      <c r="Q23" s="12" t="str" cm="1">
        <f t="array" ref="Q23">INDEX('Osiris-ConceptMap'!$H$10:$L$264,O23+1,P23)</f>
        <v>* group[=].element[=].target.display = ##34#Gender/Sex##34#</v>
      </c>
    </row>
    <row r="24" spans="1:17">
      <c r="B24" s="11"/>
      <c r="C24" s="11"/>
      <c r="D24" s="11"/>
      <c r="E24" s="12"/>
      <c r="F24" s="68"/>
      <c r="G24" s="62"/>
      <c r="J24" s="62"/>
      <c r="K24" s="62"/>
      <c r="L24" s="70"/>
      <c r="N24" s="11">
        <v>15</v>
      </c>
      <c r="O24" s="11">
        <f t="shared" si="5"/>
        <v>2</v>
      </c>
      <c r="P24" s="11">
        <f t="shared" si="6"/>
        <v>5</v>
      </c>
      <c r="Q24" s="12" t="str" cm="1">
        <f t="array" ref="Q24">INDEX('Osiris-ConceptMap'!$H$10:$L$264,O24+1,P24)</f>
        <v>* group[=].element[=].target.equivalence = #wider</v>
      </c>
    </row>
    <row r="25" spans="1:17">
      <c r="B25" s="11"/>
      <c r="C25" s="11"/>
      <c r="D25" s="11"/>
      <c r="E25" s="12"/>
      <c r="F25" s="68"/>
      <c r="G25" s="62"/>
      <c r="J25" s="62"/>
      <c r="K25" s="62"/>
      <c r="L25" s="70"/>
      <c r="N25" s="11">
        <v>16</v>
      </c>
      <c r="O25" s="11">
        <f t="shared" si="5"/>
        <v>3</v>
      </c>
      <c r="P25" s="11">
        <f t="shared" si="6"/>
        <v>1</v>
      </c>
      <c r="Q25" s="12" t="str" cm="1">
        <f t="array" ref="Q25">INDEX('Osiris-ConceptMap'!$H$10:$L$264,O25+1,P25)</f>
        <v>* group[=].element[+].code = #Osiris.Patient.Ethnicity</v>
      </c>
    </row>
    <row r="26" spans="1:17">
      <c r="B26" s="11"/>
      <c r="C26" s="11"/>
      <c r="D26" s="11"/>
      <c r="E26" s="12"/>
      <c r="F26" s="68"/>
      <c r="G26" s="62"/>
      <c r="J26" s="62"/>
      <c r="K26" s="62"/>
      <c r="L26" s="70"/>
      <c r="N26" s="11">
        <v>17</v>
      </c>
      <c r="O26" s="11">
        <f t="shared" si="5"/>
        <v>3</v>
      </c>
      <c r="P26" s="11">
        <f t="shared" si="6"/>
        <v>2</v>
      </c>
      <c r="Q26" s="12" t="str" cm="1">
        <f t="array" ref="Q26">INDEX('Osiris-ConceptMap'!$H$10:$L$264,O26+1,P26)</f>
        <v>* group[=].element[=].display = ##34#Ethnicity [C3]##34#</v>
      </c>
    </row>
    <row r="27" spans="1:17">
      <c r="B27" s="11"/>
      <c r="C27" s="11"/>
      <c r="D27" s="11"/>
      <c r="E27" s="12"/>
      <c r="F27" s="68"/>
      <c r="G27" s="62"/>
      <c r="J27" s="62"/>
      <c r="K27" s="62"/>
      <c r="L27" s="70"/>
      <c r="N27" s="11">
        <v>18</v>
      </c>
      <c r="O27" s="11">
        <f t="shared" si="5"/>
        <v>3</v>
      </c>
      <c r="P27" s="11">
        <f t="shared" si="6"/>
        <v>3</v>
      </c>
      <c r="Q27" s="12" t="str" cm="1">
        <f t="array" ref="Q27">INDEX('Osiris-ConceptMap'!$H$10:$L$264,O27+1,P27)</f>
        <v>* group[=].element[=].target.code = #Subject.race</v>
      </c>
    </row>
    <row r="28" spans="1:17">
      <c r="B28" s="11"/>
      <c r="C28" s="11"/>
      <c r="D28" s="11"/>
      <c r="E28" s="12"/>
      <c r="F28" s="68"/>
      <c r="G28" s="62"/>
      <c r="J28" s="62"/>
      <c r="K28" s="62"/>
      <c r="L28" s="70"/>
      <c r="N28" s="11">
        <v>19</v>
      </c>
      <c r="O28" s="11">
        <f t="shared" si="5"/>
        <v>3</v>
      </c>
      <c r="P28" s="11">
        <f t="shared" si="6"/>
        <v>4</v>
      </c>
      <c r="Q28" s="12" t="str" cm="1">
        <f t="array" ref="Q28">INDEX('Osiris-ConceptMap'!$H$10:$L$264,O28+1,P28)</f>
        <v>* group[=].element[=].target.display = ##34#Race##34#</v>
      </c>
    </row>
    <row r="29" spans="1:17">
      <c r="B29" s="11"/>
      <c r="C29" s="11"/>
      <c r="D29" s="11"/>
      <c r="E29" s="12"/>
      <c r="F29" s="68"/>
      <c r="G29" s="62"/>
      <c r="J29" s="62"/>
      <c r="K29" s="62"/>
      <c r="L29" s="70"/>
      <c r="N29" s="11">
        <v>20</v>
      </c>
      <c r="O29" s="11">
        <f t="shared" si="5"/>
        <v>3</v>
      </c>
      <c r="P29" s="11">
        <f t="shared" si="6"/>
        <v>5</v>
      </c>
      <c r="Q29" s="12" t="str" cm="1">
        <f t="array" ref="Q29">INDEX('Osiris-ConceptMap'!$H$10:$L$264,O29+1,P29)</f>
        <v>* group[=].element[=].target.equivalence = #relatedto</v>
      </c>
    </row>
    <row r="30" spans="1:17">
      <c r="B30" s="11"/>
      <c r="C30" s="11"/>
      <c r="D30" s="11"/>
      <c r="E30" s="12"/>
      <c r="F30" s="68"/>
      <c r="G30" s="62"/>
      <c r="J30" s="62"/>
      <c r="K30" s="62"/>
      <c r="L30" s="70"/>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8"/>
      <c r="G31" s="62"/>
      <c r="I31"/>
      <c r="J31" s="62"/>
      <c r="K31" s="62"/>
      <c r="L31" s="70"/>
      <c r="N31" s="11">
        <v>22</v>
      </c>
      <c r="O31" s="11">
        <f t="shared" si="5"/>
        <v>4</v>
      </c>
      <c r="P31" s="11">
        <f t="shared" si="6"/>
        <v>2</v>
      </c>
      <c r="Q31" s="12" t="str" cm="1">
        <f t="array" ref="Q31">INDEX('Osiris-ConceptMap'!$H$10:$L$264,O31+1,P31)</f>
        <v>* group[=].element[=].display = ##34#Birth Date [C4]##34#</v>
      </c>
    </row>
    <row r="32" spans="1:17" s="2" customFormat="1">
      <c r="A32"/>
      <c r="B32" s="65"/>
      <c r="C32" s="65"/>
      <c r="D32" s="65"/>
      <c r="F32" s="62"/>
      <c r="G32" s="62"/>
      <c r="I32"/>
      <c r="J32" s="62"/>
      <c r="K32" s="62"/>
      <c r="L32" s="70"/>
      <c r="N32" s="11">
        <v>23</v>
      </c>
      <c r="O32" s="11">
        <f t="shared" si="5"/>
        <v>4</v>
      </c>
      <c r="P32" s="11">
        <f t="shared" si="6"/>
        <v>3</v>
      </c>
      <c r="Q32" s="12" t="str" cm="1">
        <f t="array" ref="Q32">INDEX('Osiris-ConceptMap'!$H$10:$L$264,O32+1,P32)</f>
        <v>* group[=].element[=].target.code = #Subject.dateOfBirth.date</v>
      </c>
    </row>
    <row r="33" spans="1:17" s="2" customFormat="1">
      <c r="A33"/>
      <c r="B33" s="11"/>
      <c r="C33" s="11"/>
      <c r="F33" s="62"/>
      <c r="G33" s="62"/>
      <c r="I33"/>
      <c r="J33" s="62"/>
      <c r="K33" s="62"/>
      <c r="L33" s="70"/>
      <c r="N33" s="11">
        <v>24</v>
      </c>
      <c r="O33" s="11">
        <f t="shared" si="5"/>
        <v>4</v>
      </c>
      <c r="P33" s="11">
        <f t="shared" si="6"/>
        <v>4</v>
      </c>
      <c r="Q33" s="12" t="str" cm="1">
        <f t="array" ref="Q33">INDEX('Osiris-ConceptMap'!$H$10:$L$264,O33+1,P33)</f>
        <v>* group[=].element[=].target.display = ##34#Date of birth##34#</v>
      </c>
    </row>
    <row r="34" spans="1:17" s="2" customFormat="1">
      <c r="A34"/>
      <c r="B34" s="11"/>
      <c r="C34"/>
      <c r="F34" s="62"/>
      <c r="G34" s="62"/>
      <c r="I34" s="62"/>
      <c r="J34" s="62"/>
      <c r="K34" s="62"/>
      <c r="L34" s="70"/>
      <c r="N34" s="11">
        <v>25</v>
      </c>
      <c r="O34" s="11">
        <f t="shared" si="5"/>
        <v>4</v>
      </c>
      <c r="P34" s="11">
        <f t="shared" si="6"/>
        <v>5</v>
      </c>
      <c r="Q34" s="12" t="str" cm="1">
        <f t="array" ref="Q34">INDEX('Osiris-ConceptMap'!$H$10:$L$264,O34+1,P34)</f>
        <v>* group[=].element[=].target.equivalence = #equivalent</v>
      </c>
    </row>
    <row r="35" spans="1:17" s="2" customFormat="1">
      <c r="A35"/>
      <c r="B35" s="11"/>
      <c r="C35"/>
      <c r="F35" s="62"/>
      <c r="G35" s="62"/>
      <c r="I35" s="62"/>
      <c r="J35" s="62"/>
      <c r="K35" s="62"/>
      <c r="L35" s="70"/>
      <c r="N35" s="11">
        <v>26</v>
      </c>
      <c r="O35" s="11">
        <f t="shared" si="5"/>
        <v>5</v>
      </c>
      <c r="P35" s="11">
        <f t="shared" si="6"/>
        <v>1</v>
      </c>
      <c r="Q35" s="12" t="str" cm="1">
        <f t="array" ref="Q35">INDEX('Osiris-ConceptMap'!$H$10:$L$264,O35+1,P35)</f>
        <v>* group[=].element[+].code = #Osiris.Patient.DeathDate</v>
      </c>
    </row>
    <row r="36" spans="1:17" s="2" customFormat="1">
      <c r="A36"/>
      <c r="B36" s="11"/>
      <c r="C36"/>
      <c r="F36" s="62"/>
      <c r="G36" s="62"/>
      <c r="I36" s="62"/>
      <c r="J36" s="62"/>
      <c r="K36" s="62"/>
      <c r="L36" s="70"/>
      <c r="N36" s="11">
        <v>27</v>
      </c>
      <c r="O36" s="11">
        <f t="shared" si="5"/>
        <v>5</v>
      </c>
      <c r="P36" s="11">
        <f t="shared" si="6"/>
        <v>2</v>
      </c>
      <c r="Q36" s="12" t="str" cm="1">
        <f t="array" ref="Q36">INDEX('Osiris-ConceptMap'!$H$10:$L$264,O36+1,P36)</f>
        <v>* group[=].element[=].display = ##34#Death Date [C5]##34#</v>
      </c>
    </row>
    <row r="37" spans="1:17" s="2" customFormat="1">
      <c r="A37"/>
      <c r="B37" s="11"/>
      <c r="C37"/>
      <c r="F37" s="62"/>
      <c r="G37" s="62"/>
      <c r="I37" s="62"/>
      <c r="J37" s="62"/>
      <c r="K37" s="62"/>
      <c r="L37" s="62"/>
      <c r="N37" s="11">
        <v>28</v>
      </c>
      <c r="O37" s="11">
        <f t="shared" si="5"/>
        <v>5</v>
      </c>
      <c r="P37" s="11">
        <f t="shared" si="6"/>
        <v>3</v>
      </c>
      <c r="Q37" s="12" t="str" cm="1">
        <f t="array" ref="Q37">INDEX('Osiris-ConceptMap'!$H$10:$L$264,O37+1,P37)</f>
        <v>//-- unmatched</v>
      </c>
    </row>
    <row r="38" spans="1:17" s="2" customFormat="1">
      <c r="A38"/>
      <c r="B38" s="11"/>
      <c r="C38"/>
      <c r="F38" s="62"/>
      <c r="G38" s="62"/>
      <c r="I38" s="62"/>
      <c r="J38" s="62"/>
      <c r="K38" s="62"/>
      <c r="L38" s="62"/>
      <c r="N38" s="11">
        <v>29</v>
      </c>
      <c r="O38" s="11">
        <f t="shared" si="5"/>
        <v>5</v>
      </c>
      <c r="P38" s="11">
        <f t="shared" si="6"/>
        <v>4</v>
      </c>
      <c r="Q38" s="12" t="str" cm="1">
        <f t="array" ref="Q38">INDEX('Osiris-ConceptMap'!$H$10:$L$264,O38+1,P38)</f>
        <v>//-- unmatched</v>
      </c>
    </row>
    <row r="39" spans="1:17" s="2" customFormat="1">
      <c r="A39"/>
      <c r="B39" s="11"/>
      <c r="C39"/>
      <c r="F39" s="62"/>
      <c r="G39" s="62"/>
      <c r="I39" s="62"/>
      <c r="J39" s="62"/>
      <c r="K39" s="62"/>
      <c r="L39" s="62"/>
      <c r="N39" s="11">
        <v>30</v>
      </c>
      <c r="O39" s="11">
        <f t="shared" si="5"/>
        <v>5</v>
      </c>
      <c r="P39" s="11">
        <f t="shared" si="6"/>
        <v>5</v>
      </c>
      <c r="Q39" s="12" t="str" cm="1">
        <f t="array" ref="Q39">INDEX('Osiris-ConceptMap'!$H$10:$L$264,O39+1,P39)</f>
        <v>* group[=].element[=].target.equivalence = #unmatched</v>
      </c>
    </row>
    <row r="40" spans="1:17" s="2" customFormat="1">
      <c r="A40"/>
      <c r="B40" s="11"/>
      <c r="C40"/>
      <c r="F40" s="62"/>
      <c r="G40" s="62"/>
      <c r="I40" s="62"/>
      <c r="J40" s="62"/>
      <c r="K40" s="62"/>
      <c r="L40" s="62"/>
      <c r="N40" s="11">
        <v>31</v>
      </c>
      <c r="O40" s="11">
        <f t="shared" si="5"/>
        <v>6</v>
      </c>
      <c r="P40" s="11">
        <f t="shared" si="6"/>
        <v>1</v>
      </c>
      <c r="Q40" s="12" t="str" cm="1">
        <f t="array" ref="Q40">INDEX('Osiris-ConceptMap'!$H$10:$L$264,O40+1,P40)</f>
        <v>* group[=].element[+].code = #Osiris.Patient.ProviderCenterId</v>
      </c>
    </row>
    <row r="41" spans="1:17" s="2" customFormat="1">
      <c r="A41"/>
      <c r="B41" s="11"/>
      <c r="C41"/>
      <c r="F41" s="62"/>
      <c r="G41" s="62"/>
      <c r="I41" s="62"/>
      <c r="J41" s="62"/>
      <c r="K41" s="62"/>
      <c r="L41" s="62"/>
      <c r="N41" s="11">
        <v>32</v>
      </c>
      <c r="O41" s="11">
        <f t="shared" si="5"/>
        <v>6</v>
      </c>
      <c r="P41" s="11">
        <f t="shared" si="6"/>
        <v>2</v>
      </c>
      <c r="Q41" s="12" t="str" cm="1">
        <f t="array" ref="Q41">INDEX('Osiris-ConceptMap'!$H$10:$L$264,O41+1,P41)</f>
        <v>* group[=].element[=].display = ##34#Provider  Center  Id [C6]##34#</v>
      </c>
    </row>
    <row r="42" spans="1:17" s="2" customFormat="1">
      <c r="A42"/>
      <c r="B42" s="11"/>
      <c r="C42"/>
      <c r="F42" s="62"/>
      <c r="G42" s="62"/>
      <c r="I42" s="62"/>
      <c r="J42" s="62"/>
      <c r="K42" s="62"/>
      <c r="L42" s="62"/>
      <c r="N42" s="11">
        <v>33</v>
      </c>
      <c r="O42" s="11">
        <f t="shared" si="5"/>
        <v>6</v>
      </c>
      <c r="P42" s="11">
        <f t="shared" si="6"/>
        <v>3</v>
      </c>
      <c r="Q42" s="12" t="str" cm="1">
        <f t="array" ref="Q42">INDEX('Osiris-ConceptMap'!$H$10:$L$264,O42+1,P42)</f>
        <v>//-- unmatched</v>
      </c>
    </row>
    <row r="43" spans="1:17">
      <c r="F43" s="62"/>
      <c r="G43" s="62"/>
      <c r="I43" s="62"/>
      <c r="J43" s="62"/>
      <c r="K43" s="62"/>
      <c r="L43" s="62"/>
      <c r="N43" s="11">
        <v>34</v>
      </c>
      <c r="O43" s="11">
        <f t="shared" si="5"/>
        <v>6</v>
      </c>
      <c r="P43" s="11">
        <f t="shared" si="6"/>
        <v>4</v>
      </c>
      <c r="Q43" s="12" t="str" cm="1">
        <f t="array" ref="Q43">INDEX('Osiris-ConceptMap'!$H$10:$L$264,O43+1,P43)</f>
        <v>//-- unmatched</v>
      </c>
    </row>
    <row r="44" spans="1:17">
      <c r="F44" s="62"/>
      <c r="G44" s="62"/>
      <c r="I44" s="62"/>
      <c r="J44" s="62"/>
      <c r="K44" s="62"/>
      <c r="L44" s="62"/>
      <c r="N44" s="11">
        <v>35</v>
      </c>
      <c r="O44" s="11">
        <f t="shared" si="5"/>
        <v>6</v>
      </c>
      <c r="P44" s="11">
        <f t="shared" si="6"/>
        <v>5</v>
      </c>
      <c r="Q44" s="12" t="str" cm="1">
        <f t="array" ref="Q44">INDEX('Osiris-ConceptMap'!$H$10:$L$264,O44+1,P44)</f>
        <v>* group[=].element[=].target.equivalence = #unmatched</v>
      </c>
    </row>
    <row r="45" spans="1:17">
      <c r="F45" s="62"/>
      <c r="G45" s="62"/>
      <c r="I45" s="62"/>
      <c r="J45" s="62"/>
      <c r="K45" s="62"/>
      <c r="L45" s="62"/>
      <c r="N45" s="11">
        <v>36</v>
      </c>
      <c r="O45" s="11">
        <f t="shared" si="5"/>
        <v>7</v>
      </c>
      <c r="P45" s="11">
        <f t="shared" si="6"/>
        <v>1</v>
      </c>
      <c r="Q45" s="12" t="str" cm="1">
        <f t="array" ref="Q45">INDEX('Osiris-ConceptMap'!$H$10:$L$264,O45+1,P45)</f>
        <v>* group[=].element[+].code = #Osiris.Patient.OriginCenterId</v>
      </c>
    </row>
    <row r="46" spans="1:17">
      <c r="F46" s="62"/>
      <c r="G46" s="62"/>
      <c r="I46" s="62"/>
      <c r="J46" s="62"/>
      <c r="K46" s="62"/>
      <c r="L46" s="62"/>
      <c r="N46" s="11">
        <v>37</v>
      </c>
      <c r="O46" s="11">
        <f t="shared" si="5"/>
        <v>7</v>
      </c>
      <c r="P46" s="11">
        <f t="shared" si="6"/>
        <v>2</v>
      </c>
      <c r="Q46" s="12" t="str" cm="1">
        <f t="array" ref="Q46">INDEX('Osiris-ConceptMap'!$H$10:$L$264,O46+1,P46)</f>
        <v>* group[=].element[=].display = ##34#Origin  Center  Id [C71]##34#</v>
      </c>
    </row>
    <row r="47" spans="1:17">
      <c r="B47" t="s">
        <v>1412</v>
      </c>
      <c r="C47" t="s">
        <v>1413</v>
      </c>
      <c r="D47" t="s">
        <v>1414</v>
      </c>
      <c r="E47" t="s">
        <v>1415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Foglio2!$D$6:$D$15</xm:f>
          </x14:formula1>
          <xm:sqref>F10:G46 I34:I46 J21:K46 L37:L46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1458</v>
      </c>
    </row>
    <row r="3" spans="2:7">
      <c r="B3" s="25" t="s">
        <v>21</v>
      </c>
    </row>
    <row r="4" spans="2:7">
      <c r="B4" s="69" t="s">
        <v>1456</v>
      </c>
    </row>
    <row r="5" spans="2:7">
      <c r="B5" s="69" t="s">
        <v>1457</v>
      </c>
    </row>
    <row r="6" spans="2:7">
      <c r="B6" s="69" t="s">
        <v>1448</v>
      </c>
    </row>
    <row r="7" spans="2:7">
      <c r="B7" s="69" t="s">
        <v>1460</v>
      </c>
    </row>
    <row r="8" spans="2:7">
      <c r="B8" s="69" t="s">
        <v>1461</v>
      </c>
    </row>
    <row r="9" spans="2:7">
      <c r="B9" s="69" t="s">
        <v>1462</v>
      </c>
    </row>
    <row r="10" spans="2:7">
      <c r="B10" s="69" t="s">
        <v>1449</v>
      </c>
    </row>
    <row r="11" spans="2:7">
      <c r="B11" s="69" t="s">
        <v>1450</v>
      </c>
    </row>
    <row r="12" spans="2:7">
      <c r="B12" s="69" t="s">
        <v>1463</v>
      </c>
    </row>
    <row r="13" spans="2:7">
      <c r="B13" s="69" t="s">
        <v>1464</v>
      </c>
    </row>
    <row r="14" spans="2:7">
      <c r="B14" s="73" t="s">
        <v>1465</v>
      </c>
    </row>
    <row r="15" spans="2:7">
      <c r="B15" s="73" t="s">
        <v>1466</v>
      </c>
    </row>
    <row r="16" spans="2:7">
      <c r="B16" s="69"/>
    </row>
    <row r="17" spans="2:2">
      <c r="B17" s="72" t="s">
        <v>1467</v>
      </c>
    </row>
    <row r="18" spans="2:2">
      <c r="B18" s="72" t="s">
        <v>1468</v>
      </c>
    </row>
    <row r="19" spans="2:2">
      <c r="B19" s="74"/>
    </row>
    <row r="20" spans="2:2">
      <c r="B20" s="12" t="str">
        <f>IF('Osiris-ConceptMap'!Q10=0,"//---END",'Osiris-ConceptMap'!Q10)</f>
        <v>* group[=].element[+].code = #Osiris.Patient</v>
      </c>
    </row>
    <row r="21" spans="2:2">
      <c r="B21" s="12" t="str">
        <f>IF('Osiris-ConceptMap'!Q11=0,"//---END",'Osiris-ConceptMap'!Q11)</f>
        <v>* group[=].element[=].display = ##34#Patient##34#</v>
      </c>
    </row>
    <row r="22" spans="2:2">
      <c r="B22" s="12" t="str">
        <f>IF('Osiris-ConceptMap'!Q12=0,"//---END",'Osiris-ConceptMap'!Q12)</f>
        <v>* group[=].element[=].target.code = #Subject</v>
      </c>
    </row>
    <row r="23" spans="2:2">
      <c r="B23" s="12" t="str">
        <f>IF('Osiris-ConceptMap'!Q13=0,"//---END",'Osiris-ConceptMap'!Q13)</f>
        <v>* group[=].element[=].target.display = ##34#Subject of care##34#</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str">
        <f>IF('Osiris-ConceptMap'!Q22=0,"//---END",'Osiris-ConceptMap'!Q22)</f>
        <v>* group[=].element[=].target.code = #Subject.sexOrGender</v>
      </c>
    </row>
    <row r="33" spans="2:2">
      <c r="B33" s="12" t="str">
        <f>IF('Osiris-ConceptMap'!Q23=0,"//---END",'Osiris-ConceptMap'!Q23)</f>
        <v>* group[=].element[=].target.display = ##34#Gender/Sex##34#</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str">
        <f>IF('Osiris-ConceptMap'!Q27=0,"//---END",'Osiris-ConceptMap'!Q27)</f>
        <v>* group[=].element[=].target.code = #Subject.race</v>
      </c>
    </row>
    <row r="38" spans="2:2">
      <c r="B38" s="12" t="str">
        <f>IF('Osiris-ConceptMap'!Q28=0,"//---END",'Osiris-ConceptMap'!Q28)</f>
        <v>* group[=].element[=].target.display = ##34#Race##34#</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str">
        <f>IF('Osiris-ConceptMap'!Q32=0,"//---END",'Osiris-ConceptMap'!Q32)</f>
        <v>* group[=].element[=].target.code = #Subject.dateOfBirth.date</v>
      </c>
    </row>
    <row r="43" spans="2:2">
      <c r="B43" s="12" t="str">
        <f>IF('Osiris-ConceptMap'!Q33=0,"//---END",'Osiris-ConceptMap'!Q33)</f>
        <v>* group[=].element[=].target.display = ##34#Date of birth##34#</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62"/>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dimension ref="C6:F15"/>
  <sheetViews>
    <sheetView workbookViewId="0">
      <selection activeCell="M25" sqref="M25"/>
    </sheetView>
  </sheetViews>
  <sheetFormatPr defaultRowHeight="14.75"/>
  <cols>
    <col min="4" max="4" width="18" customWidth="1"/>
  </cols>
  <sheetData>
    <row r="6" spans="3:6">
      <c r="C6">
        <v>1</v>
      </c>
      <c r="D6" t="s">
        <v>1417</v>
      </c>
      <c r="E6" t="s">
        <v>1418</v>
      </c>
      <c r="F6" t="s">
        <v>1419</v>
      </c>
    </row>
    <row r="7" spans="3:6">
      <c r="C7">
        <v>2</v>
      </c>
      <c r="D7" t="s">
        <v>1439</v>
      </c>
      <c r="E7" t="s">
        <v>1420</v>
      </c>
      <c r="F7" t="s">
        <v>1421</v>
      </c>
    </row>
    <row r="8" spans="3:6">
      <c r="C8">
        <v>3</v>
      </c>
      <c r="D8" t="s">
        <v>1440</v>
      </c>
      <c r="E8" t="s">
        <v>1422</v>
      </c>
      <c r="F8" t="s">
        <v>1423</v>
      </c>
    </row>
    <row r="9" spans="3:6">
      <c r="C9">
        <v>2</v>
      </c>
      <c r="D9" t="s">
        <v>1441</v>
      </c>
      <c r="E9" t="s">
        <v>1424</v>
      </c>
      <c r="F9" t="s">
        <v>1425</v>
      </c>
    </row>
    <row r="10" spans="3:6">
      <c r="C10">
        <v>2</v>
      </c>
      <c r="D10" t="s">
        <v>1442</v>
      </c>
      <c r="E10" t="s">
        <v>1426</v>
      </c>
      <c r="F10" t="s">
        <v>1427</v>
      </c>
    </row>
    <row r="11" spans="3:6">
      <c r="C11">
        <v>2</v>
      </c>
      <c r="D11" t="s">
        <v>1443</v>
      </c>
      <c r="E11" t="s">
        <v>1428</v>
      </c>
      <c r="F11" t="s">
        <v>1429</v>
      </c>
    </row>
    <row r="12" spans="3:6">
      <c r="C12">
        <v>2</v>
      </c>
      <c r="D12" t="s">
        <v>1444</v>
      </c>
      <c r="E12" t="s">
        <v>1430</v>
      </c>
      <c r="F12" t="s">
        <v>1431</v>
      </c>
    </row>
    <row r="13" spans="3:6">
      <c r="C13">
        <v>2</v>
      </c>
      <c r="D13" t="s">
        <v>1445</v>
      </c>
      <c r="E13" t="s">
        <v>1432</v>
      </c>
      <c r="F13" t="s">
        <v>1433</v>
      </c>
    </row>
    <row r="14" spans="3:6">
      <c r="C14">
        <v>1</v>
      </c>
      <c r="D14" t="s">
        <v>1434</v>
      </c>
      <c r="E14" t="s">
        <v>1435</v>
      </c>
      <c r="F14" t="s">
        <v>1436</v>
      </c>
    </row>
    <row r="15" spans="3:6">
      <c r="C15">
        <v>2</v>
      </c>
      <c r="D15" t="s">
        <v>1446</v>
      </c>
      <c r="E15" t="s">
        <v>1437</v>
      </c>
      <c r="F15" t="s">
        <v>1438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25</vt:i4>
      </vt:variant>
    </vt:vector>
  </HeadingPairs>
  <TitlesOfParts>
    <vt:vector size="25" baseType="lpstr">
      <vt:lpstr>CancerUnderStudy-test</vt:lpstr>
      <vt:lpstr>CancerUnderStudy-Map-1-test</vt:lpstr>
      <vt:lpstr>CancerUnderStudy-fsh-test</vt:lpstr>
      <vt:lpstr> 4. Cancer under study</vt:lpstr>
      <vt:lpstr>2.Demographic &amp; life style</vt:lpstr>
      <vt:lpstr>OsirisDataElementConcept</vt:lpstr>
      <vt:lpstr>Common</vt:lpstr>
      <vt:lpstr>CancerUnderStudy</vt:lpstr>
      <vt:lpstr>CancerUnderStudy-Map-1</vt:lpstr>
      <vt:lpstr>CancerUnderStudy-fsh</vt:lpstr>
      <vt:lpstr>CancerUnderStudy-ConceptMap</vt:lpstr>
      <vt:lpstr>CancerUnderStudy-CM-fsh</vt:lpstr>
      <vt:lpstr>Subject</vt:lpstr>
      <vt:lpstr>Subject-Map-1</vt:lpstr>
      <vt:lpstr>Subject-fsh</vt:lpstr>
      <vt:lpstr>Subject-ConceptMap</vt:lpstr>
      <vt:lpstr>Subject-CM-fsh</vt:lpstr>
      <vt:lpstr>ConvertOsiris</vt:lpstr>
      <vt:lpstr>Osiris</vt:lpstr>
      <vt:lpstr>Osiris-Map</vt:lpstr>
      <vt:lpstr>Osiris-fsh-noMap</vt:lpstr>
      <vt:lpstr>Osiris-fsh</vt:lpstr>
      <vt:lpstr>Osiris-ConceptMap</vt:lpstr>
      <vt:lpstr>Osiris-CM-fsh</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2023-03-09T16:26:19Z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