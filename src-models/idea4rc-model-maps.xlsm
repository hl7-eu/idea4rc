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5.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6.xml" ContentType="application/vnd.openxmlformats-officedocument.spreadsheetml.comments+xml"/>
  <Override PartName="/xl/threadedComments/threadedComment4.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3D8490F1-9FD5-4C2D-B534-FBA2F5174B09}" xr6:coauthVersionLast="47" xr6:coauthVersionMax="47" xr10:uidLastSave="{00000000-0000-0000-0000-000000000000}"/>
  <bookViews>
    <workbookView xWindow="-90" yWindow="-21710" windowWidth="38620" windowHeight="21100" tabRatio="819" firstSheet="13" activeTab="2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M-fsh" sheetId="200" r:id="rId38"/>
    <sheet name="PathologicalReportInfo" sheetId="247" r:id="rId39"/>
    <sheet name="PathologicalReportInfo-fsh" sheetId="248" r:id="rId40"/>
    <sheet name="PathologicalReportInfo-CM" sheetId="249" r:id="rId41"/>
    <sheet name="PathologicalReportInfo-CM-fsh" sheetId="250" r:id="rId42"/>
    <sheet name="Surgery" sheetId="209" r:id="rId43"/>
    <sheet name="Surgery-fsh" sheetId="210" r:id="rId44"/>
    <sheet name="Surgery-ConceptMap-1" sheetId="213" r:id="rId45"/>
    <sheet name="Surgery-CM-fsh" sheetId="214" r:id="rId46"/>
    <sheet name="SystemicTreatment" sheetId="164" r:id="rId47"/>
    <sheet name="SystemicTreatment-fsh" sheetId="166" r:id="rId48"/>
    <sheet name="SystemicTreatm-ConceptMap-1" sheetId="217" r:id="rId49"/>
    <sheet name="SystemicTreatment-CM-fsh" sheetId="218" r:id="rId50"/>
    <sheet name="Radiotherapy" sheetId="211" r:id="rId51"/>
    <sheet name="Radiotherapy-fsh" sheetId="212" r:id="rId52"/>
    <sheet name="Radiotherapy-ConceptMap-1" sheetId="215" r:id="rId53"/>
    <sheet name="Radiotherapy-CM-fsh" sheetId="216" r:id="rId54"/>
    <sheet name="OtherTreatment" sheetId="251" r:id="rId55"/>
    <sheet name="OtherTreatment-fsh" sheetId="252" r:id="rId56"/>
    <sheet name="OtherTreatment-ConceptMap-1" sheetId="253" r:id="rId57"/>
    <sheet name="OtherTreatment-CM-fsh" sheetId="254" r:id="rId58"/>
    <sheet name="TreatmentResponse" sheetId="233" r:id="rId59"/>
    <sheet name="TreatmentResponse-fsh" sheetId="234" r:id="rId60"/>
    <sheet name="TreatmentRespon-ConceptMap-1" sheetId="235" r:id="rId61"/>
    <sheet name="TreatmentResponse-CM-fsh" sheetId="236" r:id="rId62"/>
    <sheet name="AdverseEvent" sheetId="237" r:id="rId63"/>
    <sheet name="AdverseEvent-fsh" sheetId="238" r:id="rId64"/>
    <sheet name="AdverseEvent-ConceptMap-1" sheetId="239" r:id="rId65"/>
    <sheet name="AdverseEvent-CM-fsh" sheetId="240" r:id="rId66"/>
    <sheet name="ConvertOsiris" sheetId="138" r:id="rId67"/>
    <sheet name="Osiris" sheetId="141" r:id="rId68"/>
    <sheet name="Osiris-Map" sheetId="142" r:id="rId69"/>
    <sheet name="Osiris-fsh-noMap" sheetId="144" r:id="rId70"/>
    <sheet name="Osiris-fsh" sheetId="143" r:id="rId71"/>
    <sheet name="Osiris-ConceptMap" sheetId="145" r:id="rId72"/>
    <sheet name="Osiris-CM-fsh" sheetId="147" r:id="rId73"/>
    <sheet name="equivalence" sheetId="146" r:id="rId74"/>
    <sheet name="PathologicalStage" sheetId="189" r:id="rId75"/>
    <sheet name="PathologicalStage-fsh" sheetId="191" r:id="rId76"/>
    <sheet name="PathStage-ConceptMap-1" sheetId="204" r:id="rId77"/>
    <sheet name="PathStage-ConceptMap-2" sheetId="205" r:id="rId78"/>
    <sheet name="PathStage-ConceptMap-3" sheetId="206" r:id="rId79"/>
    <sheet name="PathStage-ConceptMap-4" sheetId="207" r:id="rId80"/>
    <sheet name="PathStage-CM-fsh" sheetId="208" r:id="rId81"/>
  </sheets>
  <externalReferences>
    <externalReference r:id="rId82"/>
  </externalReferences>
  <definedNames>
    <definedName name="_xlnm._FilterDatabase" localSheetId="62" hidden="1">AdverseEvent!$A$7:$O$32</definedName>
    <definedName name="_xlnm._FilterDatabase" localSheetId="18" hidden="1">CancerEpisode!$A$7:$O$67</definedName>
    <definedName name="_xlnm._FilterDatabase" localSheetId="66"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38" hidden="1">PathologicalReportInfo!$A$7:$O$35</definedName>
    <definedName name="_xlnm._FilterDatabase" localSheetId="13" hidden="1">PatientFollowUp!$A$7:$O$35</definedName>
    <definedName name="_xlnm._FilterDatabase" localSheetId="50" hidden="1">Radiotherapy!$A$7:$O$34</definedName>
    <definedName name="_xlnm._FilterDatabase" localSheetId="1" hidden="1">Subject!$A$7:$O$40</definedName>
    <definedName name="_xlnm._FilterDatabase" localSheetId="58"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63" i="179" l="1"/>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62" i="178" l="1"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P36" i="172" l="1"/>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<sst xmlns="http://schemas.openxmlformats.org/spreadsheetml/2006/main" count="6974" uniqueCount="2365">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</sst>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4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onnections" Target="connections.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5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7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9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F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F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1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3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3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5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7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7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9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B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D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3F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1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B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B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0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5.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6.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7.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2.vml"/><Relationship Id="rId1" Type="http://schemas.openxmlformats.org/officeDocument/2006/relationships/printerSettings" Target="../printerSettings/printerSettings25.bin"/><Relationship Id="rId4" Type="http://schemas.microsoft.com/office/2017/10/relationships/threadedComment" Target="../threadedComments/threadedComment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5.vml"/><Relationship Id="rId1" Type="http://schemas.openxmlformats.org/officeDocument/2006/relationships/printerSettings" Target="../printerSettings/printerSettings28.bin"/><Relationship Id="rId4" Type="http://schemas.microsoft.com/office/2017/10/relationships/threadedComment" Target="../threadedComments/threadedComment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6.xml"/><Relationship Id="rId4" Type="http://schemas.openxmlformats.org/officeDocument/2006/relationships/comments" Target="../comments8.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5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40.vml"/><Relationship Id="rId1" Type="http://schemas.openxmlformats.org/officeDocument/2006/relationships/printerSettings" Target="../printerSettings/printerSettings47.bin"/><Relationship Id="rId4" Type="http://schemas.microsoft.com/office/2017/10/relationships/threadedComment" Target="../threadedComments/threadedComment7.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39"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4" t="s">
        <v>2133</v>
      </c>
      <c r="J7" s="124" t="s">
        <v>2134</v>
      </c>
      <c r="L7" s="17" t="str">
        <f>CONCATENATE("Description: "," ##334#",B7,"##334#",)</f>
        <v>Description:  ##334#Subject of care 
Maturity Level: 0 Draft##334#</v>
      </c>
    </row>
    <row r="8" spans="1:18" ht="59" x14ac:dyDescent="0.75">
      <c r="A8" s="106">
        <v>0</v>
      </c>
      <c r="B8" s="107" t="s">
        <v>1528</v>
      </c>
      <c r="C8" s="2" t="s">
        <v>78</v>
      </c>
      <c r="D8" s="2" t="s">
        <v>23</v>
      </c>
      <c r="E8" s="3">
        <v>1</v>
      </c>
      <c r="F8" s="3">
        <v>1</v>
      </c>
      <c r="G8" s="108"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2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2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25" t="s">
        <v>2036</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2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2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2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25" t="s">
        <v>2037</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1986</v>
      </c>
      <c r="C16" s="11" t="s">
        <v>1987</v>
      </c>
      <c r="D16" s="11" t="s">
        <v>1988</v>
      </c>
      <c r="E16" s="11">
        <v>0</v>
      </c>
      <c r="F16" s="11">
        <v>1</v>
      </c>
      <c r="G16" s="67" t="s">
        <v>2042</v>
      </c>
      <c r="H16" s="12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1989</v>
      </c>
      <c r="C17" s="11" t="s">
        <v>1990</v>
      </c>
      <c r="D17" s="11" t="s">
        <v>1991</v>
      </c>
      <c r="E17" s="11">
        <v>0</v>
      </c>
      <c r="F17" s="11">
        <v>1</v>
      </c>
      <c r="G17" s="67" t="s">
        <v>1383</v>
      </c>
      <c r="H17" s="12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2140</v>
      </c>
      <c r="E18" s="6">
        <v>1</v>
      </c>
      <c r="F18" s="6">
        <v>1</v>
      </c>
      <c r="G18" s="4" t="s">
        <v>1</v>
      </c>
      <c r="H18" s="12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2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1994</v>
      </c>
      <c r="E20" s="11">
        <v>0</v>
      </c>
      <c r="F20" s="11">
        <v>1</v>
      </c>
      <c r="G20" s="67" t="s">
        <v>44</v>
      </c>
      <c r="H20" s="12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1995</v>
      </c>
      <c r="E21" s="11">
        <v>0</v>
      </c>
      <c r="F21" s="11">
        <v>1</v>
      </c>
      <c r="G21" s="67" t="s">
        <v>44</v>
      </c>
      <c r="H21" s="12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1996</v>
      </c>
      <c r="E22" s="11">
        <v>0</v>
      </c>
      <c r="F22" s="11">
        <v>1</v>
      </c>
      <c r="G22" s="67" t="s">
        <v>44</v>
      </c>
      <c r="H22" s="12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1997</v>
      </c>
      <c r="E23" s="11">
        <v>0</v>
      </c>
      <c r="F23" s="11">
        <v>1</v>
      </c>
      <c r="G23" s="67" t="s">
        <v>44</v>
      </c>
      <c r="H23" s="12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1998</v>
      </c>
      <c r="E24" s="11">
        <v>0</v>
      </c>
      <c r="F24" s="11">
        <v>1</v>
      </c>
      <c r="G24" s="67" t="s">
        <v>44</v>
      </c>
      <c r="H24" s="12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1999</v>
      </c>
      <c r="E25" s="11">
        <v>0</v>
      </c>
      <c r="F25" s="11">
        <v>1</v>
      </c>
      <c r="G25" s="67" t="s">
        <v>44</v>
      </c>
      <c r="H25" s="12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2000</v>
      </c>
      <c r="E26" s="11">
        <v>0</v>
      </c>
      <c r="F26" s="11">
        <v>1</v>
      </c>
      <c r="G26" s="67" t="s">
        <v>44</v>
      </c>
      <c r="H26" s="12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2001</v>
      </c>
      <c r="E27" s="11">
        <v>0</v>
      </c>
      <c r="F27" s="11">
        <v>1</v>
      </c>
      <c r="G27" s="67" t="s">
        <v>44</v>
      </c>
      <c r="H27" s="12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2002</v>
      </c>
      <c r="E28" s="11">
        <v>0</v>
      </c>
      <c r="F28" s="11">
        <v>1</v>
      </c>
      <c r="G28" s="67" t="s">
        <v>44</v>
      </c>
      <c r="H28" s="12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2003</v>
      </c>
      <c r="E29" s="11">
        <v>0</v>
      </c>
      <c r="F29" s="11">
        <v>1</v>
      </c>
      <c r="G29" s="67" t="s">
        <v>44</v>
      </c>
      <c r="H29" s="12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2004</v>
      </c>
      <c r="E30" s="11">
        <v>0</v>
      </c>
      <c r="F30" s="11">
        <v>1</v>
      </c>
      <c r="G30" s="67" t="s">
        <v>44</v>
      </c>
      <c r="H30" s="12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2005</v>
      </c>
      <c r="E31" s="11">
        <v>0</v>
      </c>
      <c r="F31" s="11">
        <v>1</v>
      </c>
      <c r="G31" s="67" t="s">
        <v>44</v>
      </c>
      <c r="H31" s="12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2006</v>
      </c>
      <c r="E32" s="11">
        <v>0</v>
      </c>
      <c r="F32" s="11">
        <v>1</v>
      </c>
      <c r="G32" s="67" t="s">
        <v>44</v>
      </c>
      <c r="H32" s="12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2007</v>
      </c>
      <c r="E33" s="11">
        <v>0</v>
      </c>
      <c r="F33" s="11">
        <v>1</v>
      </c>
      <c r="G33" s="67" t="s">
        <v>44</v>
      </c>
      <c r="H33" s="12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2008</v>
      </c>
      <c r="E34" s="11">
        <v>0</v>
      </c>
      <c r="F34" s="11">
        <v>1</v>
      </c>
      <c r="G34" s="67" t="s">
        <v>44</v>
      </c>
      <c r="H34" s="12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2009</v>
      </c>
      <c r="E35" s="11">
        <v>0</v>
      </c>
      <c r="F35" s="11">
        <v>1</v>
      </c>
      <c r="G35" s="67" t="s">
        <v>44</v>
      </c>
      <c r="H35" s="12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1992</v>
      </c>
      <c r="C36" s="12" t="s">
        <v>2010</v>
      </c>
      <c r="D36" s="67" t="s">
        <v>2011</v>
      </c>
      <c r="E36" s="11">
        <v>0</v>
      </c>
      <c r="F36" s="11">
        <v>1</v>
      </c>
      <c r="G36" s="67" t="s">
        <v>44</v>
      </c>
      <c r="H36" s="12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1993</v>
      </c>
      <c r="C37" s="12" t="s">
        <v>2012</v>
      </c>
      <c r="D37" s="67" t="s">
        <v>2013</v>
      </c>
      <c r="E37" s="11">
        <v>0</v>
      </c>
      <c r="F37" s="11">
        <v>1</v>
      </c>
      <c r="G37" s="67" t="s">
        <v>44</v>
      </c>
      <c r="H37" s="12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2014</v>
      </c>
      <c r="E38" s="11">
        <v>0</v>
      </c>
      <c r="F38" s="11">
        <v>1</v>
      </c>
      <c r="G38" s="67" t="s">
        <v>44</v>
      </c>
      <c r="H38" s="12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25" t="s">
        <v>2038</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25" t="s">
        <v>2039</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2015</v>
      </c>
      <c r="C41" s="11" t="s">
        <v>2016</v>
      </c>
      <c r="D41" s="12" t="s">
        <v>2139</v>
      </c>
      <c r="E41" s="11">
        <v>1</v>
      </c>
      <c r="F41" s="11">
        <v>1</v>
      </c>
      <c r="G41" s="11" t="s">
        <v>1</v>
      </c>
      <c r="H41" s="12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9" t="s">
        <v>2141</v>
      </c>
      <c r="C42" s="11" t="s">
        <v>2017</v>
      </c>
      <c r="D42" s="11" t="s">
        <v>2017</v>
      </c>
      <c r="E42" s="11">
        <v>1</v>
      </c>
      <c r="F42" s="11">
        <v>1</v>
      </c>
      <c r="G42" s="11" t="s">
        <v>44</v>
      </c>
      <c r="H42" s="12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9" t="s">
        <v>2142</v>
      </c>
      <c r="C43" s="11" t="s">
        <v>2018</v>
      </c>
      <c r="D43" s="11" t="s">
        <v>2018</v>
      </c>
      <c r="E43" s="11">
        <v>1</v>
      </c>
      <c r="F43" s="11">
        <v>1</v>
      </c>
      <c r="G43" s="11" t="s">
        <v>44</v>
      </c>
      <c r="H43" s="12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9" t="s">
        <v>2143</v>
      </c>
      <c r="C44" s="11" t="s">
        <v>2019</v>
      </c>
      <c r="D44" s="11" t="s">
        <v>2019</v>
      </c>
      <c r="E44" s="11">
        <v>1</v>
      </c>
      <c r="F44" s="11">
        <v>1</v>
      </c>
      <c r="G44" s="11" t="s">
        <v>44</v>
      </c>
      <c r="H44" s="12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9" t="s">
        <v>2144</v>
      </c>
      <c r="C45" s="11" t="s">
        <v>2020</v>
      </c>
      <c r="D45" s="11" t="s">
        <v>2020</v>
      </c>
      <c r="E45" s="11">
        <v>1</v>
      </c>
      <c r="F45" s="11">
        <v>1</v>
      </c>
      <c r="G45" s="11" t="s">
        <v>44</v>
      </c>
      <c r="H45" s="12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9" t="s">
        <v>2145</v>
      </c>
      <c r="C46" s="11" t="s">
        <v>2021</v>
      </c>
      <c r="D46" s="11" t="s">
        <v>2021</v>
      </c>
      <c r="E46" s="11">
        <v>1</v>
      </c>
      <c r="F46" s="11">
        <v>1</v>
      </c>
      <c r="G46" s="11" t="s">
        <v>44</v>
      </c>
      <c r="H46" s="12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9" t="s">
        <v>2146</v>
      </c>
      <c r="C47" s="11" t="s">
        <v>2022</v>
      </c>
      <c r="D47" s="11" t="s">
        <v>2035</v>
      </c>
      <c r="E47" s="11">
        <v>1</v>
      </c>
      <c r="F47" s="11">
        <v>1</v>
      </c>
      <c r="G47" s="11" t="s">
        <v>44</v>
      </c>
      <c r="H47" s="12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9" t="s">
        <v>2147</v>
      </c>
      <c r="C48" s="11" t="s">
        <v>2023</v>
      </c>
      <c r="D48" s="11" t="s">
        <v>2023</v>
      </c>
      <c r="E48" s="11">
        <v>1</v>
      </c>
      <c r="F48" s="11">
        <v>1</v>
      </c>
      <c r="G48" s="11" t="s">
        <v>44</v>
      </c>
      <c r="H48" s="12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9" t="s">
        <v>2148</v>
      </c>
      <c r="C49" s="11" t="s">
        <v>2024</v>
      </c>
      <c r="D49" s="11" t="s">
        <v>2024</v>
      </c>
      <c r="E49" s="11">
        <v>1</v>
      </c>
      <c r="F49" s="11">
        <v>1</v>
      </c>
      <c r="G49" s="11" t="s">
        <v>44</v>
      </c>
      <c r="H49" s="12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9" t="s">
        <v>2149</v>
      </c>
      <c r="C50" s="11" t="s">
        <v>2025</v>
      </c>
      <c r="D50" s="11" t="s">
        <v>2025</v>
      </c>
      <c r="E50" s="11">
        <v>1</v>
      </c>
      <c r="F50" s="11">
        <v>1</v>
      </c>
      <c r="G50" s="11" t="s">
        <v>44</v>
      </c>
      <c r="H50" s="12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9" t="s">
        <v>2150</v>
      </c>
      <c r="C51" s="11" t="s">
        <v>2026</v>
      </c>
      <c r="D51" s="11" t="s">
        <v>2026</v>
      </c>
      <c r="E51" s="11">
        <v>1</v>
      </c>
      <c r="F51" s="11">
        <v>1</v>
      </c>
      <c r="G51" s="11" t="s">
        <v>44</v>
      </c>
      <c r="H51" s="12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9" t="s">
        <v>2151</v>
      </c>
      <c r="C52" s="11" t="s">
        <v>2027</v>
      </c>
      <c r="D52" s="11" t="s">
        <v>2027</v>
      </c>
      <c r="E52" s="11">
        <v>1</v>
      </c>
      <c r="F52" s="11">
        <v>1</v>
      </c>
      <c r="G52" s="11" t="s">
        <v>44</v>
      </c>
      <c r="H52" s="12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2028</v>
      </c>
      <c r="C53" s="11" t="s">
        <v>2029</v>
      </c>
      <c r="D53" s="11" t="s">
        <v>2138</v>
      </c>
      <c r="E53" s="11">
        <v>1</v>
      </c>
      <c r="F53" s="11">
        <v>1</v>
      </c>
      <c r="G53" s="11" t="s">
        <v>44</v>
      </c>
      <c r="H53" s="12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2030</v>
      </c>
      <c r="C54" s="11" t="s">
        <v>2031</v>
      </c>
      <c r="D54" s="11" t="s">
        <v>2031</v>
      </c>
      <c r="E54" s="11">
        <v>1</v>
      </c>
      <c r="F54" s="11">
        <v>1</v>
      </c>
      <c r="G54" s="11" t="s">
        <v>1474</v>
      </c>
      <c r="H54" s="125" t="s">
        <v>2040</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2032</v>
      </c>
      <c r="C55" s="11" t="s">
        <v>2033</v>
      </c>
      <c r="D55" s="11" t="s">
        <v>2034</v>
      </c>
      <c r="E55" s="11">
        <v>1</v>
      </c>
      <c r="F55" s="11">
        <v>1</v>
      </c>
      <c r="G55" s="11" t="s">
        <v>2043</v>
      </c>
      <c r="H55" s="12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6" t="str">
        <f>Subject!P1</f>
        <v>// -------------------------------------------------------------------------------</v>
      </c>
    </row>
    <row r="116" spans="3:3" x14ac:dyDescent="0.75">
      <c r="C116" s="126" t="str">
        <f>Subject!P2</f>
        <v>// Obligations H&amp;N</v>
      </c>
    </row>
    <row r="117" spans="3:3" x14ac:dyDescent="0.75">
      <c r="C117" s="12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6" t="str">
        <f>Subject!R1</f>
        <v>// -------------------------------------------------------------------------------</v>
      </c>
    </row>
    <row r="175" spans="3:3" x14ac:dyDescent="0.75">
      <c r="C175" s="126" t="str">
        <f>Subject!R2</f>
        <v>// Obligations Sarcoma</v>
      </c>
    </row>
    <row r="176" spans="3:3" x14ac:dyDescent="0.75">
      <c r="C176" s="12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143" t="s">
        <v>1564</v>
      </c>
      <c r="F4" s="144"/>
      <c r="G4" s="144"/>
    </row>
    <row r="5" spans="1:19" x14ac:dyDescent="0.75">
      <c r="B5" s="47" t="s">
        <v>10</v>
      </c>
      <c r="C5" s="81" t="s">
        <v>1542</v>
      </c>
      <c r="D5" s="47"/>
      <c r="E5" s="7"/>
    </row>
    <row r="6" spans="1:19" x14ac:dyDescent="0.75">
      <c r="B6" s="47" t="s">
        <v>18</v>
      </c>
      <c r="C6" s="82"/>
      <c r="D6" s="47" t="s">
        <v>1481</v>
      </c>
      <c r="E6" s="143" t="str">
        <f>E3</f>
        <v>http://hl7.eu/fhir/ig/idea4rc/StructureDefinition/Subject</v>
      </c>
      <c r="F6" s="144"/>
      <c r="G6" s="144"/>
    </row>
    <row r="7" spans="1:19" x14ac:dyDescent="0.75">
      <c r="B7" s="47" t="s">
        <v>15</v>
      </c>
      <c r="C7" s="83"/>
      <c r="D7" s="47" t="s">
        <v>1482</v>
      </c>
      <c r="E7" s="143" t="s">
        <v>1564</v>
      </c>
      <c r="F7" s="144"/>
      <c r="G7" s="144"/>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78" t="s">
        <v>2137</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21"/>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3" t="str">
        <f>E3</f>
        <v>http://hl7.eu/fhir/ig/idea4rc/StructureDefinition/Subject</v>
      </c>
      <c r="F6" s="144"/>
      <c r="G6" s="144"/>
    </row>
    <row r="7" spans="1:19" x14ac:dyDescent="0.75">
      <c r="B7" s="47" t="s">
        <v>15</v>
      </c>
      <c r="C7" s="83"/>
      <c r="D7" s="47" t="s">
        <v>1482</v>
      </c>
      <c r="E7" s="143" t="s">
        <v>1547</v>
      </c>
      <c r="F7" s="144"/>
      <c r="G7" s="14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3" t="str">
        <f>E3</f>
        <v>http://hl7.eu/fhir/ig/idea4rc/StructureDefinition/Subject</v>
      </c>
      <c r="F6" s="144"/>
      <c r="G6" s="144"/>
    </row>
    <row r="7" spans="1:19" x14ac:dyDescent="0.75">
      <c r="B7" s="47" t="s">
        <v>15</v>
      </c>
      <c r="C7" s="83"/>
      <c r="D7" s="47" t="s">
        <v>1482</v>
      </c>
      <c r="E7" s="143" t="s">
        <v>1553</v>
      </c>
      <c r="F7" s="144"/>
      <c r="G7" s="14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3" t="str">
        <f>E3</f>
        <v>http://hl7.eu/fhir/ig/idea4rc/StructureDefinition/Subject</v>
      </c>
      <c r="F6" s="144"/>
      <c r="G6" s="144"/>
    </row>
    <row r="7" spans="1:19" x14ac:dyDescent="0.75">
      <c r="B7" s="47" t="s">
        <v>15</v>
      </c>
      <c r="C7" s="83"/>
      <c r="D7" s="47" t="s">
        <v>1482</v>
      </c>
      <c r="E7" s="143" t="s">
        <v>1555</v>
      </c>
      <c r="F7" s="144"/>
      <c r="G7" s="14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2041</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78" t="s">
        <v>2041</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ht="29.5" x14ac:dyDescent="0.75">
      <c r="P199" s="11">
        <v>185</v>
      </c>
      <c r="Q199" s="11">
        <f t="shared" si="35"/>
        <v>30</v>
      </c>
      <c r="R199" s="11">
        <f t="shared" si="36"/>
        <v>5</v>
      </c>
      <c r="S199" s="12" t="str" cm="1">
        <f t="array" ref="S199">INDEX('Subject-ConceptMap-4'!$I$15:$N$121,Q199+1,R199)</f>
        <v>* group[=].element[=].target.equivalence = #equivalent</v>
      </c>
    </row>
    <row r="200" spans="16:19" ht="29.5"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ht="29.5" x14ac:dyDescent="0.75">
      <c r="P202" s="11">
        <v>188</v>
      </c>
      <c r="Q202" s="11">
        <f t="shared" si="35"/>
        <v>31</v>
      </c>
      <c r="R202" s="11">
        <f t="shared" si="36"/>
        <v>2</v>
      </c>
      <c r="S202" s="12" t="str" cm="1">
        <f t="array" ref="S202">INDEX('Subject-ConceptMap-4'!$I$15:$N$121,Q202+1,R202)</f>
        <v>* group[=].element[=].display = ##34#Paget disease##34#</v>
      </c>
    </row>
    <row r="203" spans="16:19"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ht="29.5" x14ac:dyDescent="0.75">
      <c r="P206" s="11">
        <v>192</v>
      </c>
      <c r="Q206" s="11">
        <f t="shared" si="35"/>
        <v>31</v>
      </c>
      <c r="R206" s="11">
        <f t="shared" si="36"/>
        <v>6</v>
      </c>
      <c r="S206" s="12" t="str" cm="1">
        <f t="array" ref="S206">INDEX('Subject-ConceptMap-4'!$I$15:$N$121,Q206+1,R206)</f>
        <v/>
      </c>
    </row>
    <row r="207" spans="16:19" x14ac:dyDescent="0.75">
      <c r="P207" s="11">
        <v>193</v>
      </c>
      <c r="Q207" s="11">
        <f t="shared" si="35"/>
        <v>32</v>
      </c>
      <c r="R207" s="11">
        <f t="shared" si="36"/>
        <v>1</v>
      </c>
      <c r="S207" s="12" t="str" cm="1">
        <f t="array" ref="S207">INDEX('Subject-ConceptMap-4'!$I$15:$N$121,Q207+1,R207)</f>
        <v>* group[=].element[+].code = #Subject.noGeneticSyndromeWho2020.otherSyndromes</v>
      </c>
    </row>
    <row r="208" spans="16:19" ht="29.5" x14ac:dyDescent="0.75">
      <c r="P208" s="11">
        <v>194</v>
      </c>
      <c r="Q208" s="11">
        <f t="shared" si="35"/>
        <v>32</v>
      </c>
      <c r="R208" s="11">
        <f t="shared" si="36"/>
        <v>2</v>
      </c>
      <c r="S208" s="12" t="str" cm="1">
        <f t="array" ref="S208">INDEX('Subject-ConceptMap-4'!$I$15:$N$121,Q208+1,R208)</f>
        <v>* group[=].element[=].display = ##34#Other Genetic syndrome WHO 2020 ##34#</v>
      </c>
    </row>
    <row r="209" spans="16:19"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ht="29.5"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ht="29.5"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ht="29.5"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ht="29.5"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ht="29.5"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ht="29.5"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ht="29.5"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ht="29.5"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3" t="str">
        <f>E3</f>
        <v>http://hl7.eu/fhir/ig/idea4rc/StructureDefinition/Subject</v>
      </c>
      <c r="F6" s="144"/>
      <c r="G6" s="144"/>
    </row>
    <row r="7" spans="1:19" x14ac:dyDescent="0.75">
      <c r="B7" s="47" t="s">
        <v>15</v>
      </c>
      <c r="C7" s="83"/>
      <c r="D7" s="47" t="s">
        <v>1482</v>
      </c>
      <c r="E7" s="143" t="s">
        <v>1557</v>
      </c>
      <c r="F7" s="144"/>
      <c r="G7" s="14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1481</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1482</v>
      </c>
      <c r="E25" s="89" t="s">
        <v>1559</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1648</v>
      </c>
      <c r="E27" s="12"/>
      <c r="F27" s="49" t="s">
        <v>1317</v>
      </c>
      <c r="G27" s="141" t="s">
        <v>2340</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1481</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1482</v>
      </c>
      <c r="E46" s="89" t="s">
        <v>2044</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41" t="s">
        <v>2339</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1481</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1482</v>
      </c>
      <c r="E63" s="89" t="s">
        <v>2045</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1648</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1481</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1482</v>
      </c>
      <c r="E75" s="89" t="s">
        <v>2332</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1648</v>
      </c>
      <c r="E77" s="12"/>
      <c r="F77" s="49" t="s">
        <v>1317</v>
      </c>
      <c r="G77" s="141" t="s">
        <v>2333</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42"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1481</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1482</v>
      </c>
      <c r="E87" s="89" t="s">
        <v>2334</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1648</v>
      </c>
      <c r="E89" s="12"/>
      <c r="F89" s="49" t="s">
        <v>1317</v>
      </c>
      <c r="G89" s="141" t="s">
        <v>2335</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42"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1481</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1482</v>
      </c>
      <c r="E100" s="89" t="s">
        <v>2338</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2337</v>
      </c>
      <c r="E102" s="12"/>
      <c r="F102" s="49" t="s">
        <v>1317</v>
      </c>
      <c r="G102" s="141" t="s">
        <v>2336</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42"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09" t="str">
        <f>"Instance: "&amp;'Subject-ConceptMap-1'!C4</f>
        <v>Instance: subject2FHIR</v>
      </c>
    </row>
    <row r="5" spans="2:7" x14ac:dyDescent="0.75">
      <c r="B5" s="109" t="s">
        <v>1334</v>
      </c>
    </row>
    <row r="6" spans="2:7" x14ac:dyDescent="0.75">
      <c r="B6" s="109" t="s">
        <v>1325</v>
      </c>
    </row>
    <row r="7" spans="2:7" x14ac:dyDescent="0.75">
      <c r="B7" s="109" t="s">
        <v>1486</v>
      </c>
    </row>
    <row r="8" spans="2:7" x14ac:dyDescent="0.75">
      <c r="B8" s="109" t="str">
        <f>"* name = ##34#"&amp;'Subject-ConceptMap-1'!C3&amp;"##34#"</f>
        <v>* name = ##34#Subject2FHIR##34#</v>
      </c>
    </row>
    <row r="9" spans="2:7" x14ac:dyDescent="0.75">
      <c r="B9" s="109" t="str">
        <f>"* title = ##34#"&amp;'Subject-ConceptMap-1'!C5&amp;"##34#"</f>
        <v>* title = ##34#Subject Model to this guide Map##34#</v>
      </c>
    </row>
    <row r="10" spans="2:7" x14ac:dyDescent="0.75">
      <c r="B10" s="109" t="s">
        <v>1326</v>
      </c>
    </row>
    <row r="11" spans="2:7" x14ac:dyDescent="0.75">
      <c r="B11" s="109" t="s">
        <v>1327</v>
      </c>
    </row>
    <row r="12" spans="2:7" x14ac:dyDescent="0.75">
      <c r="B12" s="109" t="str">
        <f>"* description = ##34#"&amp;'Subject-ConceptMap-1'!C8&amp;"##34#"</f>
        <v>* description = ##34#Subject Model to this guide Map##34#</v>
      </c>
    </row>
    <row r="13" spans="2:7" x14ac:dyDescent="0.75">
      <c r="B13" s="109" t="str">
        <f>"* purpose = ##34#"&amp;'Subject-ConceptMap-1'!C9&amp;"##34#"</f>
        <v>* purpose = ##34#It shows how the Subject model is mapped into this guide##34#</v>
      </c>
    </row>
    <row r="14" spans="2:7" x14ac:dyDescent="0.75">
      <c r="B14" s="110" t="str">
        <f>"* sourceUri = ##34#"&amp;'Subject-ConceptMap-1'!E3&amp;"##34#"</f>
        <v>* sourceUri = ##34#http://hl7.eu/fhir/ig/idea4rc/StructureDefinition/Subject##34#</v>
      </c>
    </row>
    <row r="15" spans="2:7" x14ac:dyDescent="0.75">
      <c r="B15" s="110" t="str">
        <f>"* targetUri = ##34#"&amp;'Subject-ConceptMap-1'!E4&amp;"##34#"</f>
        <v>* targetUri = ##34#http://hl7.eu/fhir/ig/idea4rc/StructureDefinition/patient-eu-i4rc##34#</v>
      </c>
    </row>
    <row r="16" spans="2:7" x14ac:dyDescent="0.75">
      <c r="B16" s="111" t="str">
        <f>"* group[+].source = ##34#"&amp;'Subject-ConceptMap-1'!E6&amp;"##34#"</f>
        <v>* group[+].source = ##34#http://hl7.eu/fhir/ig/idea4rc/StructureDefinition/Subject##34#</v>
      </c>
    </row>
    <row r="17" spans="2:7" x14ac:dyDescent="0.75">
      <c r="B17" s="111" t="str">
        <f>"* group[=].target = ##34#"&amp;'Subject-ConceptMap-1'!E7&amp;"##34#"</f>
        <v>* group[=].target = ##34#http://hl7.eu/fhir/ig/idea4rc/StructureDefinition/patient-eu-i4rc##34#</v>
      </c>
    </row>
    <row r="18" spans="2:7" x14ac:dyDescent="0.75">
      <c r="B18" s="112"/>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3"/>
    </row>
    <row r="125" spans="2:2" x14ac:dyDescent="0.75">
      <c r="B125" s="111" t="str">
        <f>"* group[+].source = ##34#"&amp;'Subject-ConceptMap-2'!E6&amp;"##34#"</f>
        <v>* group[+].source = ##34#http://hl7.eu/fhir/ig/idea4rc/StructureDefinition/Subject##34#</v>
      </c>
    </row>
    <row r="126" spans="2:2" x14ac:dyDescent="0.75">
      <c r="B126" s="114" t="str">
        <f>"* group[=].target = ##34#"&amp;'Subject-ConceptMap-2'!E7&amp;"##34#"</f>
        <v>* group[=].target = ##34#http://hl7.eu/fhir/ig/idea4rc/StructureDefinition/observation-tobaccouse-eu-i4rc##34#</v>
      </c>
    </row>
    <row r="127" spans="2:2" x14ac:dyDescent="0.75">
      <c r="B127" s="115"/>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3"/>
    </row>
    <row r="157" spans="2:3" x14ac:dyDescent="0.75">
      <c r="B157" s="111" t="str">
        <f>"* group[+].source = ##34#"&amp;'Subject-ConceptMap-3'!E6&amp;"##34#"</f>
        <v>* group[+].source = ##34#http://hl7.eu/fhir/ig/idea4rc/StructureDefinition/Subject##34#</v>
      </c>
    </row>
    <row r="158" spans="2:3" x14ac:dyDescent="0.75">
      <c r="B158" s="114" t="str">
        <f>"* group[=].target = ##34#"&amp;'Subject-ConceptMap-3'!E7&amp;"##34#"</f>
        <v>* group[=].target = ##34#http://hl7.eu/fhir/ig/idea4rc/StructureDefinition/observation-alcoholuse-eu-i4rc##34#</v>
      </c>
    </row>
    <row r="159" spans="2:3" x14ac:dyDescent="0.75">
      <c r="B159" s="116"/>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3"/>
    </row>
    <row r="171" spans="2:3" x14ac:dyDescent="0.75">
      <c r="B171" s="114" t="str">
        <f>"* group[+].source = ##34#"&amp;'Subject-ConceptMap-4'!E6&amp;"##34#"</f>
        <v>* group[+].source = ##34#http://hl7.eu/fhir/ig/idea4rc/StructureDefinition/Subject##34#</v>
      </c>
    </row>
    <row r="172" spans="2:3" x14ac:dyDescent="0.75">
      <c r="B172" s="114" t="str">
        <f>"* group[=].target = ##34#"&amp;'Subject-ConceptMap-4'!E7&amp;"##34#"</f>
        <v>* group[=].target = ##34#http://hl7.eu/fhir/ig/idea4rc/StructureDefinition/observation-comorbidity-eu-i4rc##34#</v>
      </c>
    </row>
    <row r="173" spans="2:3" x14ac:dyDescent="0.75">
      <c r="B173" s="115"/>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5"/>
    </row>
    <row r="377" spans="2:2" s="7" customFormat="1" x14ac:dyDescent="0.75">
      <c r="B377" s="117" t="str">
        <f>"* group[+].source = ##34#"&amp;'Subject-ConceptMap-5-x'!E6&amp;"##34#"</f>
        <v>* group[+].source = ##34#http://hl7.eu/fhir/ig/idea4rc/StructureDefinition/Subject##34#</v>
      </c>
    </row>
    <row r="378" spans="2:2" s="7" customFormat="1" x14ac:dyDescent="0.75">
      <c r="B378" s="117" t="str">
        <f>"* group[=].target = ##34#"&amp;'Subject-ConceptMap-5-x'!E7&amp;"##34#"</f>
        <v>* group[=].target = ##34#http://hl7.eu/fhir/ig/idea4rc/StructureDefinition/observation-karnofsky-performance-statuseu-i4rc##34#</v>
      </c>
    </row>
    <row r="379" spans="2:2" s="7" customFormat="1" x14ac:dyDescent="0.75">
      <c r="B379" s="115"/>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3"/>
    </row>
    <row r="391" spans="2:2" x14ac:dyDescent="0.75">
      <c r="B391" s="114" t="str">
        <f>"* group[+].source = ##34#"&amp;'Subject-ConceptMap-5-x'!E24&amp;"##34#"</f>
        <v>* group[+].source = ##34#http://hl7.eu/fhir/ig/idea4rc/StructureDefinition/Subject##34#</v>
      </c>
    </row>
    <row r="392" spans="2:2" x14ac:dyDescent="0.75">
      <c r="B392" s="114" t="str">
        <f>"* group[=].target = ##34#"&amp;'Subject-ConceptMap-5-x'!E25&amp;"##34#"</f>
        <v>* group[=].target = ##34#http://hl7.eu/fhir/ig/idea4rc/StructureDefinition/observation-ecog-performance-status-eu-i4rc##34#</v>
      </c>
    </row>
    <row r="393" spans="2:2" x14ac:dyDescent="0.75">
      <c r="B393" s="115"/>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3"/>
    </row>
    <row r="404" spans="2:2" x14ac:dyDescent="0.75">
      <c r="B404" s="114" t="str">
        <f>"* group[+].source = ##34#"&amp;'Subject-ConceptMap-5-x'!E45&amp;"##34#"</f>
        <v>* group[+].source = ##34#http://hl7.eu/fhir/ig/idea4rc/StructureDefinition/Subject##34#</v>
      </c>
    </row>
    <row r="405" spans="2:2" x14ac:dyDescent="0.75">
      <c r="B405" s="114" t="str">
        <f>"* group[=].target = ##34#"&amp;'Subject-ConceptMap-5-x'!E46&amp;"##34#"</f>
        <v>* group[=].target = ##34#http://hl7.eu/fhir/ig/idea4rc/StructureDefinition/observation-cci-eu-i4rc##34#</v>
      </c>
    </row>
    <row r="406" spans="2:2" x14ac:dyDescent="0.75">
      <c r="B406" s="115"/>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4" t="str">
        <f>B404</f>
        <v>* group[+].source = ##34#http://hl7.eu/fhir/ig/idea4rc/StructureDefinition/Subject##34#</v>
      </c>
    </row>
    <row r="416" spans="2:2" x14ac:dyDescent="0.75">
      <c r="B416" s="114" t="str">
        <f>"* group[=].target = ##34#"&amp;'Subject-ConceptMap-5-x'!E63&amp;"##34#"</f>
        <v>* group[=].target = ##34#http://hl7.org/fhir/StructureDefinition/bmi##34#</v>
      </c>
    </row>
    <row r="417" spans="2:2" x14ac:dyDescent="0.75">
      <c r="B417" s="115"/>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4" t="str">
        <f>B415</f>
        <v>* group[+].source = ##34#http://hl7.eu/fhir/ig/idea4rc/StructureDefinition/Subject##34#</v>
      </c>
    </row>
    <row r="427" spans="2:2" x14ac:dyDescent="0.75">
      <c r="B427" s="114" t="str">
        <f>"* group[=].target = ##34#"&amp;'Subject-ConceptMap-5-x'!E75&amp;"##34#"</f>
        <v>* group[=].target = ##34#http://hl7.eu/fhir/ig/idea4rc/StructureDefinition/observation-yesNo-eu-i4rc##34#</v>
      </c>
    </row>
    <row r="428" spans="2:2" x14ac:dyDescent="0.75">
      <c r="B428" s="115"/>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4" t="str">
        <f>B426</f>
        <v>* group[+].source = ##34#http://hl7.eu/fhir/ig/idea4rc/StructureDefinition/Subject##34#</v>
      </c>
    </row>
    <row r="438" spans="2:2" x14ac:dyDescent="0.75">
      <c r="B438" s="114" t="str">
        <f>"* group[=].target = ##34#"&amp;'Subject-ConceptMap-5-x'!E87&amp;"##34#"</f>
        <v>* group[=].target = ##34#http://hl7.eu/fhir/ig/idea4rc/StructureDefinition/observation-treatment-eu-i4rc##34#</v>
      </c>
    </row>
    <row r="439" spans="2:2" x14ac:dyDescent="0.75">
      <c r="B439" s="115"/>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4" t="str">
        <f>B437</f>
        <v>* group[+].source = ##34#http://hl7.eu/fhir/ig/idea4rc/StructureDefinition/Subject##34#</v>
      </c>
    </row>
    <row r="449" spans="2:2" x14ac:dyDescent="0.75">
      <c r="B449" s="114" t="str">
        <f>"* group[=].target = ##34#"&amp;'Subject-ConceptMap-5-x'!E100&amp;"##34#"</f>
        <v>* group[=].target = ##34#http://hl7.eu/fhir/ig/idea4rc/StructureDefinition/observation-dateLastContact-eu-i4rc##34#</v>
      </c>
    </row>
    <row r="450" spans="2:2" x14ac:dyDescent="0.75">
      <c r="B450" s="115"/>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1962</v>
      </c>
      <c r="L4" s="16" t="str">
        <f>CONCATENATE("Logical: ",B4)</f>
        <v>Logical: HospitalPatientRecordsI4rc</v>
      </c>
    </row>
    <row r="5" spans="1:18" ht="15.5" thickBot="1" x14ac:dyDescent="0.9">
      <c r="A5" s="14" t="s">
        <v>16</v>
      </c>
      <c r="B5" s="30" t="s">
        <v>1887</v>
      </c>
      <c r="L5" s="16" t="str">
        <f>CONCATENATE("Id: ",B5)</f>
        <v>Id: HospitalPatientRecords</v>
      </c>
    </row>
    <row r="6" spans="1:18" ht="15.5" thickBot="1" x14ac:dyDescent="0.9">
      <c r="A6" s="14" t="s">
        <v>10</v>
      </c>
      <c r="B6" s="30" t="s">
        <v>1888</v>
      </c>
      <c r="L6" s="17" t="str">
        <f>CONCATENATE("Title: ##34#",B6,"##34#")</f>
        <v>Title: ##34#Hospital Patient Records##34#</v>
      </c>
    </row>
    <row r="7" spans="1:18" x14ac:dyDescent="0.75">
      <c r="A7" s="26" t="s">
        <v>2</v>
      </c>
      <c r="B7" s="100" t="s">
        <v>1888</v>
      </c>
      <c r="C7" s="9" t="s">
        <v>3</v>
      </c>
      <c r="D7" s="1" t="s">
        <v>4</v>
      </c>
      <c r="E7" s="3" t="s">
        <v>5</v>
      </c>
      <c r="F7" s="3" t="s">
        <v>6</v>
      </c>
      <c r="G7" s="3" t="s">
        <v>7</v>
      </c>
      <c r="H7" s="64" t="s">
        <v>1384</v>
      </c>
      <c r="I7" s="124" t="s">
        <v>2133</v>
      </c>
      <c r="J7" s="124" t="s">
        <v>2134</v>
      </c>
      <c r="L7" s="17" t="str">
        <f>CONCATENATE("Description: "," ##334#",B7,"##334#",)</f>
        <v>Description:  ##334#Hospital Patient Records##334#</v>
      </c>
    </row>
    <row r="8" spans="1:18" ht="44.25" x14ac:dyDescent="0.75">
      <c r="A8" s="59">
        <v>0</v>
      </c>
      <c r="B8" s="11" t="s">
        <v>1493</v>
      </c>
      <c r="C8" s="11" t="s">
        <v>14</v>
      </c>
      <c r="D8" s="11" t="s">
        <v>1471</v>
      </c>
      <c r="E8" s="11">
        <v>1</v>
      </c>
      <c r="F8" s="11">
        <v>1</v>
      </c>
      <c r="G8" s="73" t="s">
        <v>1472</v>
      </c>
      <c r="H8" s="11" t="s">
        <v>1877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1878</v>
      </c>
      <c r="C9" s="11" t="s">
        <v>1879</v>
      </c>
      <c r="D9" s="11" t="s">
        <v>1880</v>
      </c>
      <c r="E9" s="11">
        <v>1</v>
      </c>
      <c r="F9" s="11">
        <v>1</v>
      </c>
      <c r="G9" s="74" t="s">
        <v>1</v>
      </c>
      <c r="H9" s="11" t="s">
        <v>1881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1886</v>
      </c>
      <c r="C10" s="11" t="s">
        <v>1875</v>
      </c>
      <c r="D10" s="11" t="s">
        <v>1876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1882</v>
      </c>
      <c r="C11" s="11" t="s">
        <v>1883</v>
      </c>
      <c r="D11" s="11" t="s">
        <v>1884</v>
      </c>
      <c r="E11" s="11">
        <v>1</v>
      </c>
      <c r="F11" s="11">
        <v>1</v>
      </c>
      <c r="G11" s="11" t="s">
        <v>43</v>
      </c>
      <c r="H11" s="11" t="s">
        <v>1885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5" customWidth="1"/>
    <col min="7" max="7" width="29.54296875" customWidth="1"/>
    <col min="8" max="8" width="54.90625" customWidth="1"/>
  </cols>
  <sheetData>
    <row r="1" spans="3:7" ht="15.5" thickBot="1" x14ac:dyDescent="0.9">
      <c r="C1" s="103" t="str">
        <f>HospitalPatientRecords!L1</f>
        <v>//===================================================</v>
      </c>
    </row>
    <row r="2" spans="3:7" ht="16.75" thickBot="1" x14ac:dyDescent="0.9">
      <c r="C2" s="24" t="str">
        <f>HospitalPatientRecords!L2</f>
        <v>//  Logical Model</v>
      </c>
      <c r="G2" s="29" t="s">
        <v>1889</v>
      </c>
    </row>
    <row r="3" spans="3:7" x14ac:dyDescent="0.75">
      <c r="C3" s="24" t="str">
        <f>HospitalPatientRecords!L3</f>
        <v>//===================================================</v>
      </c>
    </row>
    <row r="4" spans="3:7" x14ac:dyDescent="0.75">
      <c r="C4" s="104" t="str">
        <f>HospitalPatientRecords!L4</f>
        <v>Logical: HospitalPatientRecordsI4rc</v>
      </c>
    </row>
    <row r="5" spans="3:7" x14ac:dyDescent="0.75">
      <c r="C5" s="104" t="str">
        <f>HospitalPatientRecords!L5</f>
        <v>Id: HospitalPatientRecords</v>
      </c>
    </row>
    <row r="6" spans="3:7" x14ac:dyDescent="0.75">
      <c r="C6" s="104" t="str">
        <f>HospitalPatientRecords!L6</f>
        <v>Title: ##34#Hospital Patient Records##34#</v>
      </c>
    </row>
    <row r="7" spans="3:7" x14ac:dyDescent="0.75">
      <c r="C7" s="104" t="str">
        <f>HospitalPatientRecords!L7</f>
        <v>Description:  ##334#Hospital Patient Records##334#</v>
      </c>
    </row>
    <row r="8" spans="3:7" ht="29.5" x14ac:dyDescent="0.75">
      <c r="C8" s="105"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5" t="str">
        <f>IF(HospitalPatientRecords!L9="*  ..  ##34###34# ##334###334#","//--- END",HospitalPatientRecords!L9)</f>
        <v>* hospital 1..1 BackboneElement ##34#Hospital##34# ##334#Hospital element containing the data regarding the patient followed by the hospital##334#</v>
      </c>
    </row>
    <row r="10" spans="3:7" x14ac:dyDescent="0.75">
      <c r="C10" s="105" t="str">
        <f>IF(HospitalPatientRecords!L10="*  ..  ##34###34# ##334###334#","//--- END",HospitalPatientRecords!L10)</f>
        <v>* hospital.name 1..1 string ##34#Hospital Name##34# ##334#Hospital where the patients is included in the registry##334#</v>
      </c>
    </row>
    <row r="11" spans="3:7" ht="59" x14ac:dyDescent="0.75">
      <c r="C11" s="105"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5" t="str">
        <f>IF(HospitalPatientRecords!L12="*  ..  ##34###34# ##334###334#","//--- END",HospitalPatientRecords!L12)</f>
        <v>//--- END</v>
      </c>
    </row>
    <row r="13" spans="3:7" x14ac:dyDescent="0.75">
      <c r="C13" s="105" t="str">
        <f>IF(HospitalPatientRecords!L13="*  ..  ##34###34# ##334###334#","//--- END",HospitalPatientRecords!L13)</f>
        <v>//--- END</v>
      </c>
    </row>
    <row r="14" spans="3:7" x14ac:dyDescent="0.75">
      <c r="C14" s="105" t="str">
        <f>IF(HospitalPatientRecords!L14="*  ..  ##34###34# ##334###334#","//--- END",HospitalPatientRecords!L14)</f>
        <v>//--- END</v>
      </c>
    </row>
    <row r="18" spans="3:3" x14ac:dyDescent="0.75">
      <c r="C18" s="103" t="s">
        <v>1387</v>
      </c>
    </row>
    <row r="19" spans="3:3" x14ac:dyDescent="0.75">
      <c r="C19" s="24" t="s">
        <v>1421</v>
      </c>
    </row>
    <row r="20" spans="3:3" x14ac:dyDescent="0.75">
      <c r="C20" s="24" t="s">
        <v>1387</v>
      </c>
    </row>
    <row r="21" spans="3:3" ht="29.5" x14ac:dyDescent="0.75">
      <c r="C21" s="105" t="str">
        <f>IF(HospitalPatientRecords!N8="*  ..  ##34###34# ##334###334#","//--- END",HospitalPatientRecords!N8)</f>
        <v>* patient ^comment = ##334#A patient element data
-##334#</v>
      </c>
    </row>
    <row r="22" spans="3:3" ht="29.5" x14ac:dyDescent="0.75">
      <c r="C22" s="105" t="str">
        <f>IF(HospitalPatientRecords!N9="*  ..  ##34###34# ##334###334#","//--- END",HospitalPatientRecords!N9)</f>
        <v>* hospital ^comment = ##334#A hospital element data
-##334#</v>
      </c>
    </row>
    <row r="23" spans="3:3" x14ac:dyDescent="0.75">
      <c r="C23" s="105" t="str">
        <f>IF(HospitalPatientRecords!N10="*  ..  ##34###34# ##334###334#","//--- END",HospitalPatientRecords!N10)</f>
        <v/>
      </c>
    </row>
    <row r="24" spans="3:3" ht="29.5" x14ac:dyDescent="0.75">
      <c r="C24" s="105" t="str">
        <f>IF(HospitalPatientRecords!N11="*  ..  ##34###34# ##334###334#","//--- END",HospitalPatientRecords!N11)</f>
        <v>* firstContactDate ^comment = ##334#Date
-##334#</v>
      </c>
    </row>
    <row r="25" spans="3:3" x14ac:dyDescent="0.75">
      <c r="C25" s="105" t="str">
        <f>IF(HospitalPatientRecords!N12="*  ..  ##34###34# ##334###334#","//--- END",HospitalPatientRecords!N12)</f>
        <v>//--- END</v>
      </c>
    </row>
    <row r="26" spans="3:3" x14ac:dyDescent="0.75">
      <c r="C26" s="105" t="str">
        <f>IF(HospitalPatientRecords!N13="*  ..  ##34###34# ##334###334#","//--- END",HospitalPatientRecords!N13)</f>
        <v>//--- END</v>
      </c>
    </row>
    <row r="27" spans="3:3" x14ac:dyDescent="0.75">
      <c r="C27" s="105" t="str">
        <f>IF(HospitalPatientRecords!N14="*  ..  ##34###34# ##334###334#","//--- END",HospitalPatientRecords!N14)</f>
        <v>//--- END</v>
      </c>
    </row>
    <row r="30" spans="3:3" x14ac:dyDescent="0.75">
      <c r="C30" s="103" t="str">
        <f>HospitalPatientRecords!P1</f>
        <v>// -------------------------------------------------------------------------------</v>
      </c>
    </row>
    <row r="31" spans="3:3" x14ac:dyDescent="0.75">
      <c r="C31" s="24" t="str">
        <f>HospitalPatientRecords!P2</f>
        <v>// Obligations H&amp;N</v>
      </c>
    </row>
    <row r="32" spans="3:3" x14ac:dyDescent="0.75">
      <c r="C32" s="24" t="str">
        <f>HospitalPatientRecords!P3</f>
        <v>// -------------------------------------------------------------------------------</v>
      </c>
    </row>
    <row r="33" spans="3:3" x14ac:dyDescent="0.75">
      <c r="C33" s="105" t="str">
        <f>IF(HospitalPatientRecords!P8="*  ..  ##34###34# ##334###334#","//--- END",HospitalPatientRecords!P8)</f>
        <v>* patient insert ObligationActorAndCode($actor-headneck, #handle)</v>
      </c>
    </row>
    <row r="34" spans="3:3" x14ac:dyDescent="0.75">
      <c r="C34" s="105" t="str">
        <f>IF(HospitalPatientRecords!P9="*  ..  ##34###34# ##334###334#","//--- END",HospitalPatientRecords!P9)</f>
        <v>* hospital insert ObligationActorAndCode($actor-headneck, #handle)</v>
      </c>
    </row>
    <row r="35" spans="3:3" x14ac:dyDescent="0.75">
      <c r="C35" s="105" t="str">
        <f>IF(HospitalPatientRecords!P10="*  ..  ##34###34# ##334###334#","//--- END",HospitalPatientRecords!P10)</f>
        <v>* hospital.name insert ObligationActorAndCode($actor-headneck, #handle)</v>
      </c>
    </row>
    <row r="36" spans="3:3" x14ac:dyDescent="0.75">
      <c r="C36" s="105" t="str">
        <f>IF(HospitalPatientRecords!P11="*  ..  ##34###34# ##334###334#","//--- END",HospitalPatientRecords!P11)</f>
        <v>* firstContactDate insert ObligationActorAndCode($actor-headneck, #handle)</v>
      </c>
    </row>
    <row r="37" spans="3:3" x14ac:dyDescent="0.75">
      <c r="C37" s="105" t="str">
        <f>IF(HospitalPatientRecords!P12="*  ..  ##34###34# ##334###334#","//--- END",HospitalPatientRecords!P12)</f>
        <v>//--- END</v>
      </c>
    </row>
    <row r="38" spans="3:3" x14ac:dyDescent="0.75">
      <c r="C38" s="105" t="str">
        <f>IF(HospitalPatientRecords!P13="*  ..  ##34###34# ##334###334#","//--- END",HospitalPatientRecords!P13)</f>
        <v>//--- END</v>
      </c>
    </row>
    <row r="39" spans="3:3" x14ac:dyDescent="0.75">
      <c r="C39" s="105" t="str">
        <f>IF(HospitalPatientRecords!P14="*  ..  ##34###34# ##334###334#","//--- END",HospitalPatientRecords!P14)</f>
        <v>//--- END</v>
      </c>
    </row>
    <row r="42" spans="3:3" x14ac:dyDescent="0.75">
      <c r="C42" s="103"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5" t="str">
        <f>IF(HospitalPatientRecords!R8="*  ..  ##34###34# ##334###334#","//--- END",HospitalPatientRecords!R8)</f>
        <v/>
      </c>
    </row>
    <row r="46" spans="3:3" x14ac:dyDescent="0.75">
      <c r="C46" s="105" t="str">
        <f>IF(HospitalPatientRecords!R9="*  ..  ##34###34# ##334###334#","//--- END",HospitalPatientRecords!R9)</f>
        <v/>
      </c>
    </row>
    <row r="47" spans="3:3" x14ac:dyDescent="0.75">
      <c r="C47" s="105" t="str">
        <f>IF(HospitalPatientRecords!R10="*  ..  ##34###34# ##334###334#","//--- END",HospitalPatientRecords!R10)</f>
        <v/>
      </c>
    </row>
    <row r="48" spans="3:3" x14ac:dyDescent="0.75">
      <c r="C48" s="105" t="str">
        <f>IF(HospitalPatientRecords!R11="*  ..  ##34###34# ##334###334#","//--- END",HospitalPatientRecords!R11)</f>
        <v/>
      </c>
    </row>
    <row r="49" spans="3:3" x14ac:dyDescent="0.75">
      <c r="C49" s="105" t="str">
        <f>IF(HospitalPatientRecords!R12="*  ..  ##34###34# ##334###334#","//--- END",HospitalPatientRecords!R12)</f>
        <v>//--- END</v>
      </c>
    </row>
    <row r="50" spans="3:3" x14ac:dyDescent="0.75">
      <c r="C50" s="105" t="str">
        <f>IF(HospitalPatientRecords!R13="*  ..  ##34###34# ##334###334#","//--- END",HospitalPatientRecords!R13)</f>
        <v>//--- END</v>
      </c>
    </row>
    <row r="51" spans="3:3" x14ac:dyDescent="0.75">
      <c r="C51" s="105"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1972</v>
      </c>
      <c r="D3" s="47" t="s">
        <v>1479</v>
      </c>
      <c r="E3" s="72" t="str">
        <f>$C$1&amp;B14</f>
        <v>http://hl7.eu/fhir/ig/idea4rc/StructureDefinition/HospitalPatientRecords</v>
      </c>
    </row>
    <row r="4" spans="1:19" x14ac:dyDescent="0.75">
      <c r="B4" s="47" t="s">
        <v>16</v>
      </c>
      <c r="C4" s="28" t="s">
        <v>1972</v>
      </c>
      <c r="D4" s="47" t="s">
        <v>1480</v>
      </c>
      <c r="E4" s="143" t="s">
        <v>1975</v>
      </c>
      <c r="F4" s="144"/>
      <c r="G4" s="144"/>
    </row>
    <row r="5" spans="1:19" x14ac:dyDescent="0.75">
      <c r="B5" s="47" t="s">
        <v>10</v>
      </c>
      <c r="C5" s="7" t="s">
        <v>1973</v>
      </c>
      <c r="D5" s="47"/>
      <c r="E5" s="7"/>
    </row>
    <row r="6" spans="1:19" x14ac:dyDescent="0.75">
      <c r="B6" s="47" t="s">
        <v>18</v>
      </c>
      <c r="C6" s="41"/>
      <c r="D6" s="47" t="s">
        <v>1481</v>
      </c>
      <c r="E6" s="143" t="str">
        <f>E3</f>
        <v>http://hl7.eu/fhir/ig/idea4rc/StructureDefinition/HospitalPatientRecords</v>
      </c>
      <c r="F6" s="144"/>
      <c r="G6" s="144"/>
    </row>
    <row r="7" spans="1:19" x14ac:dyDescent="0.75">
      <c r="B7" s="47" t="s">
        <v>15</v>
      </c>
      <c r="C7" s="73"/>
      <c r="D7" s="47" t="s">
        <v>1482</v>
      </c>
      <c r="E7" s="143" t="str">
        <f>E4</f>
        <v>http://hl7.eu/fhir/ig/idea4rc/StructureDefinition/episodeOfCare-eu-i4rc</v>
      </c>
      <c r="F7" s="144"/>
      <c r="G7" s="144"/>
    </row>
    <row r="8" spans="1:19" ht="45" thickBot="1" x14ac:dyDescent="0.9">
      <c r="B8" s="47" t="s">
        <v>1483</v>
      </c>
      <c r="C8" t="s">
        <v>1973</v>
      </c>
      <c r="D8" s="47"/>
      <c r="E8" s="7"/>
      <c r="I8" s="12" t="s">
        <v>1289</v>
      </c>
      <c r="J8" s="12" t="s">
        <v>1290</v>
      </c>
      <c r="K8" s="12" t="s">
        <v>1291</v>
      </c>
      <c r="L8" s="12" t="s">
        <v>1292</v>
      </c>
      <c r="M8" s="11" t="s">
        <v>1293</v>
      </c>
      <c r="P8" s="34" t="s">
        <v>1328</v>
      </c>
      <c r="Q8" s="34">
        <v>6</v>
      </c>
    </row>
    <row r="9" spans="1:19" ht="30.25" thickBot="1" x14ac:dyDescent="0.9">
      <c r="B9" s="47" t="s">
        <v>1484</v>
      </c>
      <c r="C9" s="12" t="s">
        <v>1974</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1976</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1977</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1978</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1979</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1966</v>
      </c>
      <c r="L4" s="16" t="str">
        <f>CONCATENATE("Logical: ",B4)</f>
        <v>Logical: PatientFollowUpI4rc</v>
      </c>
    </row>
    <row r="5" spans="1:18" ht="15.5" thickBot="1" x14ac:dyDescent="0.9">
      <c r="A5" s="14" t="s">
        <v>16</v>
      </c>
      <c r="B5" s="30" t="s">
        <v>1906</v>
      </c>
      <c r="L5" s="16" t="str">
        <f>CONCATENATE("Id: ",B5)</f>
        <v>Id: PatientFollowUp</v>
      </c>
    </row>
    <row r="6" spans="1:18" ht="15.5" thickBot="1" x14ac:dyDescent="0.9">
      <c r="A6" s="14" t="s">
        <v>10</v>
      </c>
      <c r="B6" s="30" t="s">
        <v>1907</v>
      </c>
      <c r="L6" s="17" t="str">
        <f>CONCATENATE("Title: ##34#",B6,"##34#")</f>
        <v>Title: ##34#Patient Follow Up##34#</v>
      </c>
    </row>
    <row r="7" spans="1:18" x14ac:dyDescent="0.75">
      <c r="A7" s="26" t="s">
        <v>2</v>
      </c>
      <c r="B7" s="30" t="s">
        <v>1907</v>
      </c>
      <c r="C7" s="9" t="s">
        <v>3</v>
      </c>
      <c r="D7" s="1" t="s">
        <v>4</v>
      </c>
      <c r="E7" s="3" t="s">
        <v>5</v>
      </c>
      <c r="F7" s="3" t="s">
        <v>6</v>
      </c>
      <c r="G7" s="3" t="s">
        <v>7</v>
      </c>
      <c r="H7" s="64" t="s">
        <v>1384</v>
      </c>
      <c r="I7" s="124" t="s">
        <v>2133</v>
      </c>
      <c r="J7" s="124" t="s">
        <v>2134</v>
      </c>
      <c r="L7" s="17" t="str">
        <f>CONCATENATE("Description: "," ##334#",B7,"##334#",)</f>
        <v>Description:  ##334#Patient Follow Up##334#</v>
      </c>
    </row>
    <row r="8" spans="1:18" ht="29.5" x14ac:dyDescent="0.75">
      <c r="A8" s="59">
        <v>0</v>
      </c>
      <c r="B8" s="11" t="s">
        <v>1493</v>
      </c>
      <c r="C8" s="11" t="s">
        <v>14</v>
      </c>
      <c r="D8" s="11" t="s">
        <v>1890</v>
      </c>
      <c r="E8" s="11">
        <v>1</v>
      </c>
      <c r="F8" s="11">
        <v>1</v>
      </c>
      <c r="G8" s="73"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1891</v>
      </c>
      <c r="C9" s="11" t="s">
        <v>1892</v>
      </c>
      <c r="D9" s="11" t="s">
        <v>1893</v>
      </c>
      <c r="E9" s="11">
        <v>1</v>
      </c>
      <c r="F9" s="11">
        <v>1</v>
      </c>
      <c r="G9" s="74"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1894</v>
      </c>
      <c r="C10" s="11" t="s">
        <v>1895</v>
      </c>
      <c r="D10" s="11" t="s">
        <v>1896</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1897</v>
      </c>
      <c r="C11" s="11" t="s">
        <v>1898</v>
      </c>
      <c r="D11" s="11" t="s">
        <v>1899</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1900</v>
      </c>
      <c r="C12" s="11" t="s">
        <v>1901</v>
      </c>
      <c r="D12" s="11" t="s">
        <v>1902</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1903</v>
      </c>
      <c r="C13" s="11" t="s">
        <v>1904</v>
      </c>
      <c r="D13" s="11" t="s">
        <v>1905</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1908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1981</v>
      </c>
      <c r="D3" s="47" t="s">
        <v>1479</v>
      </c>
      <c r="E3" s="72" t="str">
        <f>$C$1&amp;B14</f>
        <v>http://hl7.eu/fhir/ig/idea4rc/StructureDefinition/PatientFollowUpI4rc</v>
      </c>
    </row>
    <row r="4" spans="1:19" x14ac:dyDescent="0.75">
      <c r="B4" s="47" t="s">
        <v>16</v>
      </c>
      <c r="C4" s="28" t="s">
        <v>1981</v>
      </c>
      <c r="D4" s="47" t="s">
        <v>1480</v>
      </c>
      <c r="E4" s="143" t="s">
        <v>1980</v>
      </c>
      <c r="F4" s="144"/>
      <c r="G4" s="144"/>
    </row>
    <row r="5" spans="1:19" x14ac:dyDescent="0.75">
      <c r="B5" s="47" t="s">
        <v>10</v>
      </c>
      <c r="C5" s="7" t="s">
        <v>1982</v>
      </c>
      <c r="D5" s="47"/>
      <c r="E5" s="7"/>
    </row>
    <row r="6" spans="1:19" x14ac:dyDescent="0.75">
      <c r="B6" s="47" t="s">
        <v>18</v>
      </c>
      <c r="C6" s="41"/>
      <c r="D6" s="47" t="s">
        <v>1481</v>
      </c>
      <c r="E6" s="143" t="str">
        <f>E3</f>
        <v>http://hl7.eu/fhir/ig/idea4rc/StructureDefinition/PatientFollowUpI4rc</v>
      </c>
      <c r="F6" s="144"/>
      <c r="G6" s="144"/>
    </row>
    <row r="7" spans="1:19" x14ac:dyDescent="0.75">
      <c r="B7" s="47" t="s">
        <v>15</v>
      </c>
      <c r="C7" s="73"/>
      <c r="D7" s="47" t="s">
        <v>1482</v>
      </c>
      <c r="E7" s="143" t="str">
        <f>C1&amp;"encounter-followup-eu-i4rc"</f>
        <v>http://hl7.eu/fhir/ig/idea4rc/StructureDefinition/encounter-followup-eu-i4rc</v>
      </c>
      <c r="F7" s="144"/>
      <c r="G7" s="144"/>
    </row>
    <row r="8" spans="1:19" ht="45" thickBot="1" x14ac:dyDescent="0.9">
      <c r="B8" s="47" t="s">
        <v>1483</v>
      </c>
      <c r="C8" s="7"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5"/>
      <c r="E9" s="145"/>
      <c r="F9" s="146"/>
      <c r="G9" s="147"/>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1984</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2341</v>
      </c>
      <c r="E16" s="12"/>
      <c r="F16" s="49" t="s">
        <v>1294</v>
      </c>
      <c r="G16" s="78" t="s">
        <v>2342</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1985</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2341</v>
      </c>
      <c r="E18" s="12"/>
      <c r="F18" s="49" t="s">
        <v>1294</v>
      </c>
      <c r="G18" s="78" t="s">
        <v>2345</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2341</v>
      </c>
      <c r="E19" s="12"/>
      <c r="F19" s="49" t="s">
        <v>1294</v>
      </c>
      <c r="G19" s="78" t="s">
        <v>2345</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2341</v>
      </c>
      <c r="E20" s="12"/>
      <c r="F20" s="49" t="s">
        <v>1294</v>
      </c>
      <c r="G20" s="78" t="s">
        <v>2345</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1981</v>
      </c>
      <c r="D3" s="47" t="s">
        <v>1479</v>
      </c>
      <c r="E3" s="72" t="str">
        <f>$C$1&amp;B14</f>
        <v>http://hl7.eu/fhir/ig/idea4rc/StructureDefinition/PatientFollowUpI4rc</v>
      </c>
    </row>
    <row r="4" spans="1:19" x14ac:dyDescent="0.75">
      <c r="B4" s="47" t="s">
        <v>16</v>
      </c>
      <c r="C4" s="28" t="s">
        <v>1981</v>
      </c>
      <c r="D4" s="47" t="s">
        <v>1480</v>
      </c>
      <c r="E4" s="143" t="s">
        <v>1980</v>
      </c>
      <c r="F4" s="144"/>
      <c r="G4" s="144"/>
    </row>
    <row r="5" spans="1:19" x14ac:dyDescent="0.75">
      <c r="B5" s="47" t="s">
        <v>10</v>
      </c>
      <c r="C5" s="7" t="s">
        <v>1982</v>
      </c>
      <c r="D5" s="47"/>
      <c r="E5" s="7"/>
    </row>
    <row r="6" spans="1:19" x14ac:dyDescent="0.75">
      <c r="B6" s="47" t="s">
        <v>18</v>
      </c>
      <c r="C6" s="41"/>
      <c r="D6" s="47" t="s">
        <v>1481</v>
      </c>
      <c r="E6" s="143" t="str">
        <f>E3</f>
        <v>http://hl7.eu/fhir/ig/idea4rc/StructureDefinition/PatientFollowUpI4rc</v>
      </c>
      <c r="F6" s="144"/>
      <c r="G6" s="144"/>
    </row>
    <row r="7" spans="1:19" x14ac:dyDescent="0.75">
      <c r="B7" s="47" t="s">
        <v>15</v>
      </c>
      <c r="C7" s="73"/>
      <c r="D7" s="47" t="s">
        <v>1482</v>
      </c>
      <c r="E7" s="143" t="str">
        <f>C1&amp;"Condition-primaryCancer-eu-i4rc"</f>
        <v>http://hl7.eu/fhir/ig/idea4rc/StructureDefinition/Condition-primaryCancer-eu-i4rc</v>
      </c>
      <c r="F7" s="144"/>
      <c r="G7" s="144"/>
    </row>
    <row r="8" spans="1:19" ht="45" thickBot="1" x14ac:dyDescent="0.9">
      <c r="B8" s="47" t="s">
        <v>1483</v>
      </c>
      <c r="C8" s="7"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5"/>
      <c r="E9" s="145"/>
      <c r="F9" s="146"/>
      <c r="G9" s="147"/>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1984</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44.25" x14ac:dyDescent="0.75">
      <c r="A16" s="44"/>
      <c r="B16" s="11" t="str">
        <f>PatientFollowUp!B9</f>
        <v>statusAtLastFollowUp</v>
      </c>
      <c r="C16" s="11" t="str">
        <f>PatientFollowUp!C9</f>
        <v>Status at last follow-up</v>
      </c>
      <c r="D16" s="12" t="s">
        <v>1623</v>
      </c>
      <c r="E16" s="12"/>
      <c r="F16" s="49" t="s">
        <v>1316</v>
      </c>
      <c r="G16" s="78" t="s">
        <v>2343</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2344</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88.5" x14ac:dyDescent="0.75">
      <c r="A19" s="44"/>
      <c r="B19" s="11" t="str">
        <f>PatientFollowUp!B12</f>
        <v>dateOfNewCancerDiagnosis</v>
      </c>
      <c r="C19" s="11" t="str">
        <f>PatientFollowUp!C12</f>
        <v>Date of new cancer diagnosis</v>
      </c>
      <c r="D19" s="62" t="s">
        <v>2361</v>
      </c>
      <c r="E19" s="12"/>
      <c r="F19" s="49" t="s">
        <v>1316</v>
      </c>
      <c r="G19" s="78" t="s">
        <v>2362</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1629</v>
      </c>
      <c r="E20" s="12"/>
      <c r="F20" s="49" t="s">
        <v>1316</v>
      </c>
      <c r="G20" s="78" t="s">
        <v>2344</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4" zoomScaleNormal="100" workbookViewId="0">
      <selection activeCell="B36" sqref="B36:D3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24" t="s">
        <v>2133</v>
      </c>
      <c r="J7" s="124" t="s">
        <v>2134</v>
      </c>
      <c r="L7" s="17" t="str">
        <f>CONCATENATE("Description: "," ##334#",B7,"##334#",)</f>
        <v>Description:  ##334#Cancer Episode
Maturity Level: 0 Draft##334#</v>
      </c>
    </row>
    <row r="8" spans="1:18" ht="44.25" x14ac:dyDescent="0.75">
      <c r="A8" s="11">
        <v>0</v>
      </c>
      <c r="B8" s="11"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1494</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2046</v>
      </c>
      <c r="C10" t="s">
        <v>2047</v>
      </c>
      <c r="D10" s="2" t="s">
        <v>2048</v>
      </c>
      <c r="E10" s="11">
        <v>1</v>
      </c>
      <c r="F10" s="11">
        <v>1</v>
      </c>
      <c r="G10" s="12" t="s">
        <v>1474</v>
      </c>
      <c r="H10" s="2" t="s">
        <v>2127</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1495</v>
      </c>
      <c r="C11" s="12" t="s">
        <v>1351</v>
      </c>
      <c r="D11" s="12" t="s">
        <v>1470</v>
      </c>
      <c r="E11" s="11">
        <v>1</v>
      </c>
      <c r="F11" s="11">
        <v>1</v>
      </c>
      <c r="G11" s="12"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1496</v>
      </c>
      <c r="C12" s="12" t="s">
        <v>1352</v>
      </c>
      <c r="D12" s="12" t="s">
        <v>1353</v>
      </c>
      <c r="E12" s="11">
        <v>1</v>
      </c>
      <c r="F12" s="11">
        <v>1</v>
      </c>
      <c r="G12" s="12"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2049</v>
      </c>
      <c r="C13" t="s">
        <v>2050</v>
      </c>
      <c r="D13" s="2" t="s">
        <v>2051</v>
      </c>
      <c r="E13" s="11">
        <v>1</v>
      </c>
      <c r="F13" s="11">
        <v>1</v>
      </c>
      <c r="G13" s="12" t="s">
        <v>44</v>
      </c>
      <c r="H13" s="2" t="s">
        <v>2128</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1497</v>
      </c>
      <c r="C14" s="12" t="s">
        <v>1469</v>
      </c>
      <c r="D14" s="12" t="s">
        <v>1468</v>
      </c>
      <c r="E14" s="11">
        <v>0</v>
      </c>
      <c r="F14" s="11">
        <v>1</v>
      </c>
      <c r="G14" s="12" t="s">
        <v>1474</v>
      </c>
      <c r="H14" s="2" t="s">
        <v>2129</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2153</v>
      </c>
      <c r="C15" s="4" t="s">
        <v>2154</v>
      </c>
      <c r="D15" s="4" t="s">
        <v>2154</v>
      </c>
      <c r="E15" s="6">
        <v>1</v>
      </c>
      <c r="F15" s="6">
        <v>1</v>
      </c>
      <c r="G15" s="4" t="s">
        <v>1</v>
      </c>
      <c r="H15" s="4" t="s">
        <v>2130</v>
      </c>
      <c r="I15" s="12" t="b">
        <v>1</v>
      </c>
      <c r="J15" s="12" t="b">
        <v>1</v>
      </c>
      <c r="K15" s="12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2155</v>
      </c>
      <c r="C16" s="12" t="s">
        <v>1354</v>
      </c>
      <c r="D16" s="12" t="s">
        <v>1355</v>
      </c>
      <c r="E16" s="11">
        <v>1</v>
      </c>
      <c r="F16" s="11">
        <v>1</v>
      </c>
      <c r="G16" s="12" t="s">
        <v>1474</v>
      </c>
      <c r="H16" s="2" t="s">
        <v>2108</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2156</v>
      </c>
      <c r="C17" s="12" t="s">
        <v>1356</v>
      </c>
      <c r="D17" s="12" t="s">
        <v>1357</v>
      </c>
      <c r="E17" s="11">
        <v>1</v>
      </c>
      <c r="F17" s="11">
        <v>1</v>
      </c>
      <c r="G17" s="12" t="s">
        <v>1474</v>
      </c>
      <c r="H17" s="2" t="s">
        <v>2109</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2157</v>
      </c>
      <c r="C18" s="12" t="s">
        <v>1358</v>
      </c>
      <c r="D18" s="12" t="s">
        <v>1359</v>
      </c>
      <c r="E18" s="11">
        <v>1</v>
      </c>
      <c r="F18" s="11">
        <v>1</v>
      </c>
      <c r="G18" s="12" t="s">
        <v>1474</v>
      </c>
      <c r="H18" s="2" t="s">
        <v>2110</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2158</v>
      </c>
      <c r="C19" s="12" t="s">
        <v>1360</v>
      </c>
      <c r="D19" s="12" t="s">
        <v>1361</v>
      </c>
      <c r="E19" s="11">
        <v>1</v>
      </c>
      <c r="F19" s="11">
        <v>1</v>
      </c>
      <c r="G19" s="12" t="s">
        <v>1474</v>
      </c>
      <c r="H19" s="2" t="s">
        <v>2111</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2159</v>
      </c>
      <c r="C20" s="122" t="s">
        <v>1362</v>
      </c>
      <c r="D20" s="122" t="s">
        <v>1363</v>
      </c>
      <c r="E20" s="3">
        <v>1</v>
      </c>
      <c r="F20" s="3">
        <v>1</v>
      </c>
      <c r="G20" s="122" t="s">
        <v>1474</v>
      </c>
      <c r="H20" s="2" t="s">
        <v>2112</v>
      </c>
      <c r="I20" s="12" t="b">
        <v>1</v>
      </c>
      <c r="J20" s="12" t="b">
        <v>1</v>
      </c>
      <c r="K20" s="25"/>
      <c r="L20" s="122" t="str">
        <f t="shared" si="1"/>
        <v>* hnClassification.histologySNUC 1..1 CodeableConcept ##34#Histology Sinonasal undifferentiated carcinoma##34# ##334#Specifies the histological subgroup for sinonasl undifferentiated carcinomas##334#</v>
      </c>
      <c r="M20"/>
      <c r="N20" s="122"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2160</v>
      </c>
      <c r="C21" s="11" t="s">
        <v>2052</v>
      </c>
      <c r="D21" s="12" t="s">
        <v>2053</v>
      </c>
      <c r="E21" s="11">
        <v>1</v>
      </c>
      <c r="F21" s="11">
        <v>1</v>
      </c>
      <c r="G21" s="12" t="s">
        <v>1474</v>
      </c>
      <c r="H21" s="12" t="s">
        <v>2113</v>
      </c>
      <c r="I21" s="12" t="b">
        <v>0</v>
      </c>
      <c r="J21" s="12" t="b">
        <v>1</v>
      </c>
      <c r="K21" s="119"/>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2161</v>
      </c>
      <c r="C22" s="11" t="s">
        <v>2054</v>
      </c>
      <c r="D22" s="74" t="s">
        <v>2054</v>
      </c>
      <c r="E22" s="11">
        <v>1</v>
      </c>
      <c r="F22" s="11">
        <v>1</v>
      </c>
      <c r="G22" s="12" t="s">
        <v>1474</v>
      </c>
      <c r="H22" s="12" t="s">
        <v>2114</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2162</v>
      </c>
      <c r="C23" s="11" t="s">
        <v>2055</v>
      </c>
      <c r="D23" s="11" t="s">
        <v>2055</v>
      </c>
      <c r="E23" s="11">
        <v>1</v>
      </c>
      <c r="F23" s="11">
        <v>1</v>
      </c>
      <c r="G23" s="12" t="s">
        <v>1474</v>
      </c>
      <c r="H23" s="12" t="s">
        <v>2115</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3" t="s">
        <v>2347</v>
      </c>
      <c r="B24" s="6" t="s">
        <v>2152</v>
      </c>
      <c r="C24" s="6" t="s">
        <v>2163</v>
      </c>
      <c r="D24" s="6" t="s">
        <v>2163</v>
      </c>
      <c r="E24" s="6">
        <v>1</v>
      </c>
      <c r="F24" s="6">
        <v>1</v>
      </c>
      <c r="G24" s="12" t="s">
        <v>1</v>
      </c>
      <c r="H24" s="61"/>
      <c r="I24" s="12" t="b">
        <v>0</v>
      </c>
      <c r="J24" s="12" t="b">
        <v>1</v>
      </c>
      <c r="K24" s="128"/>
      <c r="L24" s="121" t="str">
        <f t="shared" si="1"/>
        <v>* sarcomaClassification 1..1 BackboneElement ##34#Sarcoma classification##34# ##334#Sarcoma classification##334#</v>
      </c>
      <c r="M24"/>
      <c r="N24" s="121" t="str">
        <f t="shared" si="2"/>
        <v/>
      </c>
      <c r="P24" s="12" t="str">
        <f t="shared" si="3"/>
        <v/>
      </c>
      <c r="Q24"/>
      <c r="R24" s="12" t="str">
        <f t="shared" si="4"/>
        <v>* sarcomaClassification insert ObligationActorAndCode($actor-sarcoma-i4rc, #handle)</v>
      </c>
    </row>
    <row r="25" spans="1:18" s="2" customFormat="1" ht="324.5" x14ac:dyDescent="0.75">
      <c r="A25" s="11">
        <v>16</v>
      </c>
      <c r="B25" s="11" t="s">
        <v>2164</v>
      </c>
      <c r="C25" s="11" t="s">
        <v>2056</v>
      </c>
      <c r="D25" s="11" t="s">
        <v>2056</v>
      </c>
      <c r="E25" s="11">
        <v>1</v>
      </c>
      <c r="F25" s="11">
        <v>1</v>
      </c>
      <c r="G25" s="12" t="s">
        <v>1474</v>
      </c>
      <c r="H25" s="2" t="s">
        <v>2116</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2165</v>
      </c>
      <c r="C26" s="11" t="s">
        <v>2057</v>
      </c>
      <c r="D26" s="11" t="s">
        <v>2057</v>
      </c>
      <c r="E26" s="11">
        <v>1</v>
      </c>
      <c r="F26" s="11">
        <v>1</v>
      </c>
      <c r="G26" s="12" t="s">
        <v>1474</v>
      </c>
      <c r="H26" s="2" t="s">
        <v>2117</v>
      </c>
      <c r="I26" s="12" t="b">
        <v>0</v>
      </c>
      <c r="J26" s="12" t="b">
        <v>1</v>
      </c>
      <c r="K26" s="120"/>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2166</v>
      </c>
      <c r="C27" s="11" t="s">
        <v>2058</v>
      </c>
      <c r="D27" s="11" t="s">
        <v>2058</v>
      </c>
      <c r="E27" s="11">
        <v>1</v>
      </c>
      <c r="F27" s="11">
        <v>1</v>
      </c>
      <c r="G27" s="12" t="s">
        <v>1474</v>
      </c>
      <c r="H27" s="2" t="s">
        <v>2118</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2167</v>
      </c>
      <c r="C28" s="11" t="s">
        <v>2059</v>
      </c>
      <c r="D28" s="11" t="s">
        <v>2059</v>
      </c>
      <c r="E28" s="11">
        <v>1</v>
      </c>
      <c r="F28" s="11">
        <v>1</v>
      </c>
      <c r="G28" s="12" t="s">
        <v>1474</v>
      </c>
      <c r="H28" s="12" t="s">
        <v>2119</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2168</v>
      </c>
      <c r="C29" s="11" t="s">
        <v>2060</v>
      </c>
      <c r="D29" s="11" t="s">
        <v>2060</v>
      </c>
      <c r="E29" s="11">
        <v>1</v>
      </c>
      <c r="F29" s="11">
        <v>1</v>
      </c>
      <c r="G29" s="12" t="s">
        <v>1474</v>
      </c>
      <c r="H29" s="12" t="s">
        <v>2120</v>
      </c>
      <c r="I29" s="12" t="b">
        <v>0</v>
      </c>
      <c r="J29" s="12" t="b">
        <v>1</v>
      </c>
      <c r="K29" s="119"/>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2169</v>
      </c>
      <c r="C30" s="11" t="s">
        <v>2061</v>
      </c>
      <c r="D30" s="11" t="s">
        <v>2061</v>
      </c>
      <c r="E30" s="11">
        <v>1</v>
      </c>
      <c r="F30" s="11">
        <v>1</v>
      </c>
      <c r="G30" s="12" t="s">
        <v>1474</v>
      </c>
      <c r="H30" s="12" t="s">
        <v>2121</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2170</v>
      </c>
      <c r="C31" s="11" t="s">
        <v>2062</v>
      </c>
      <c r="D31" s="11" t="s">
        <v>2062</v>
      </c>
      <c r="E31" s="11">
        <v>1</v>
      </c>
      <c r="F31" s="11">
        <v>1</v>
      </c>
      <c r="G31" s="12" t="s">
        <v>1474</v>
      </c>
      <c r="H31" s="12" t="s">
        <v>2122</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2171</v>
      </c>
      <c r="C32" s="11" t="s">
        <v>2063</v>
      </c>
      <c r="D32" s="11" t="s">
        <v>2063</v>
      </c>
      <c r="E32" s="11">
        <v>1</v>
      </c>
      <c r="F32" s="11">
        <v>1</v>
      </c>
      <c r="G32" s="12" t="s">
        <v>1474</v>
      </c>
      <c r="H32" s="12" t="s">
        <v>2123</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2172</v>
      </c>
      <c r="C33" s="11" t="s">
        <v>2064</v>
      </c>
      <c r="D33" s="11" t="s">
        <v>2064</v>
      </c>
      <c r="E33" s="11">
        <v>1</v>
      </c>
      <c r="F33" s="11">
        <v>1</v>
      </c>
      <c r="G33" s="12" t="s">
        <v>1474</v>
      </c>
      <c r="H33" s="12" t="s">
        <v>2124</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2173</v>
      </c>
      <c r="C34" s="11" t="s">
        <v>2065</v>
      </c>
      <c r="D34" s="11" t="s">
        <v>2065</v>
      </c>
      <c r="E34" s="11">
        <v>1</v>
      </c>
      <c r="F34" s="11">
        <v>1</v>
      </c>
      <c r="G34" s="12" t="s">
        <v>1474</v>
      </c>
      <c r="H34" s="12" t="s">
        <v>2125</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2174</v>
      </c>
      <c r="C35" s="11" t="s">
        <v>2066</v>
      </c>
      <c r="D35" s="11" t="s">
        <v>2066</v>
      </c>
      <c r="E35" s="11">
        <v>1</v>
      </c>
      <c r="F35" s="11">
        <v>1</v>
      </c>
      <c r="G35" s="12" t="s">
        <v>1474</v>
      </c>
      <c r="H35" s="12" t="s">
        <v>2126</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2085</v>
      </c>
      <c r="C36" s="11" t="s">
        <v>2085</v>
      </c>
      <c r="D36" s="11" t="s">
        <v>2085</v>
      </c>
      <c r="E36" s="11">
        <v>1</v>
      </c>
      <c r="F36" s="118">
        <v>1</v>
      </c>
      <c r="G36" s="12" t="s">
        <v>1</v>
      </c>
      <c r="H36" s="12"/>
      <c r="I36" s="12" t="b">
        <v>1</v>
      </c>
      <c r="J36" s="12" t="b">
        <v>0</v>
      </c>
      <c r="K36" s="128"/>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2176</v>
      </c>
      <c r="C37" s="12" t="s">
        <v>1364</v>
      </c>
      <c r="D37" s="12" t="s">
        <v>1365</v>
      </c>
      <c r="E37" s="11">
        <v>1</v>
      </c>
      <c r="F37" s="11">
        <v>1</v>
      </c>
      <c r="G37" s="12" t="s">
        <v>1474</v>
      </c>
      <c r="H37" s="12" t="s">
        <v>2091</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2177</v>
      </c>
      <c r="C38" s="12" t="s">
        <v>1366</v>
      </c>
      <c r="D38" s="12" t="s">
        <v>1367</v>
      </c>
      <c r="E38" s="11">
        <v>1</v>
      </c>
      <c r="F38" s="11">
        <v>1</v>
      </c>
      <c r="G38" s="12" t="s">
        <v>1474</v>
      </c>
      <c r="H38" s="12" t="s">
        <v>2092</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2178</v>
      </c>
      <c r="C39" s="121" t="s">
        <v>1368</v>
      </c>
      <c r="D39" s="121" t="s">
        <v>1369</v>
      </c>
      <c r="E39" s="46">
        <v>1</v>
      </c>
      <c r="F39" s="46">
        <v>1</v>
      </c>
      <c r="G39" s="121" t="s">
        <v>1474</v>
      </c>
      <c r="H39" s="121" t="s">
        <v>2093</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2179</v>
      </c>
      <c r="C40" s="12" t="s">
        <v>1370</v>
      </c>
      <c r="D40" s="12" t="s">
        <v>1371</v>
      </c>
      <c r="E40" s="11">
        <v>1</v>
      </c>
      <c r="F40" s="11">
        <v>1</v>
      </c>
      <c r="G40" s="12" t="s">
        <v>1474</v>
      </c>
      <c r="H40" s="12" t="s">
        <v>2094</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2180</v>
      </c>
      <c r="C41" s="12" t="s">
        <v>1372</v>
      </c>
      <c r="D41" s="12" t="s">
        <v>1373</v>
      </c>
      <c r="E41" s="11">
        <v>1</v>
      </c>
      <c r="F41" s="11">
        <v>1</v>
      </c>
      <c r="G41" s="12" t="s">
        <v>1474</v>
      </c>
      <c r="H41" s="12" t="s">
        <v>2095</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2181</v>
      </c>
      <c r="C42" s="12" t="s">
        <v>1374</v>
      </c>
      <c r="D42" s="12" t="s">
        <v>1375</v>
      </c>
      <c r="E42" s="11">
        <v>1</v>
      </c>
      <c r="F42" s="11">
        <v>1</v>
      </c>
      <c r="G42" s="12" t="s">
        <v>1474</v>
      </c>
      <c r="H42" s="12" t="s">
        <v>2096</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2182</v>
      </c>
      <c r="C43" s="12" t="s">
        <v>1376</v>
      </c>
      <c r="D43" s="12" t="s">
        <v>1377</v>
      </c>
      <c r="E43" s="11">
        <v>1</v>
      </c>
      <c r="F43" s="11">
        <v>1</v>
      </c>
      <c r="G43" s="12" t="s">
        <v>1474</v>
      </c>
      <c r="H43" s="12" t="s">
        <v>2097</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2183</v>
      </c>
      <c r="C44" s="11" t="s">
        <v>2067</v>
      </c>
      <c r="D44" s="12" t="s">
        <v>2068</v>
      </c>
      <c r="E44" s="11">
        <v>1</v>
      </c>
      <c r="F44" s="11">
        <v>1</v>
      </c>
      <c r="G44" s="12" t="s">
        <v>1474</v>
      </c>
      <c r="H44" s="12" t="s">
        <v>2098</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2086</v>
      </c>
      <c r="C45" s="11" t="s">
        <v>2069</v>
      </c>
      <c r="D45" s="12" t="s">
        <v>2068</v>
      </c>
      <c r="E45" s="11">
        <v>1</v>
      </c>
      <c r="F45" s="11">
        <v>1</v>
      </c>
      <c r="G45" s="12" t="s">
        <v>1474</v>
      </c>
      <c r="H45" s="12" t="s">
        <v>2099</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2087</v>
      </c>
      <c r="C46" s="11" t="s">
        <v>2070</v>
      </c>
      <c r="D46" s="12" t="s">
        <v>2068</v>
      </c>
      <c r="E46" s="11">
        <v>1</v>
      </c>
      <c r="F46" s="11">
        <v>1</v>
      </c>
      <c r="G46" s="12" t="s">
        <v>1474</v>
      </c>
      <c r="H46" s="12" t="s">
        <v>2100</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2088</v>
      </c>
      <c r="C47" s="11" t="s">
        <v>2071</v>
      </c>
      <c r="D47" s="12" t="s">
        <v>2068</v>
      </c>
      <c r="E47" s="11">
        <v>1</v>
      </c>
      <c r="F47" s="11">
        <v>1</v>
      </c>
      <c r="G47" s="12" t="s">
        <v>1474</v>
      </c>
      <c r="H47" s="12" t="s">
        <v>2101</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2089</v>
      </c>
      <c r="C48" s="11" t="s">
        <v>2072</v>
      </c>
      <c r="D48" s="12" t="s">
        <v>2068</v>
      </c>
      <c r="E48" s="11">
        <v>1</v>
      </c>
      <c r="F48" s="11">
        <v>1</v>
      </c>
      <c r="G48" s="12" t="s">
        <v>1474</v>
      </c>
      <c r="H48" s="12" t="s">
        <v>2102</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2090</v>
      </c>
      <c r="C49" s="11" t="s">
        <v>2073</v>
      </c>
      <c r="D49" s="12" t="s">
        <v>2068</v>
      </c>
      <c r="E49" s="11">
        <v>1</v>
      </c>
      <c r="F49" s="11">
        <v>1</v>
      </c>
      <c r="G49" s="12" t="s">
        <v>1474</v>
      </c>
      <c r="H49" s="12" t="s">
        <v>2103</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2348</v>
      </c>
      <c r="C50" s="11" t="s">
        <v>2074</v>
      </c>
      <c r="D50" s="12" t="s">
        <v>2068</v>
      </c>
      <c r="E50" s="11">
        <v>1</v>
      </c>
      <c r="F50" s="11">
        <v>1</v>
      </c>
      <c r="G50" s="12" t="s">
        <v>1474</v>
      </c>
      <c r="H50" s="12" t="s">
        <v>2104</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2175</v>
      </c>
      <c r="C51" s="11" t="s">
        <v>2075</v>
      </c>
      <c r="D51" s="12" t="s">
        <v>2068</v>
      </c>
      <c r="E51" s="11">
        <v>1</v>
      </c>
      <c r="F51" s="11">
        <v>1</v>
      </c>
      <c r="G51" s="12" t="s">
        <v>1474</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2076</v>
      </c>
      <c r="C52" s="11" t="s">
        <v>2077</v>
      </c>
      <c r="D52" s="12" t="s">
        <v>2078</v>
      </c>
      <c r="E52" s="11">
        <v>1</v>
      </c>
      <c r="F52" s="11">
        <v>1</v>
      </c>
      <c r="G52" s="12" t="s">
        <v>2042</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2079</v>
      </c>
      <c r="C53" s="11" t="s">
        <v>2080</v>
      </c>
      <c r="D53" s="12" t="s">
        <v>2081</v>
      </c>
      <c r="E53" s="11">
        <v>1</v>
      </c>
      <c r="F53" s="11">
        <v>1</v>
      </c>
      <c r="G53" s="12" t="s">
        <v>1474</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2082</v>
      </c>
      <c r="C54" s="11" t="s">
        <v>2083</v>
      </c>
      <c r="D54" s="12" t="s">
        <v>2084</v>
      </c>
      <c r="E54" s="11">
        <v>1</v>
      </c>
      <c r="F54" s="11">
        <v>1</v>
      </c>
      <c r="G54" s="12" t="s">
        <v>2042</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1498</v>
      </c>
      <c r="C55" s="12" t="s">
        <v>1378</v>
      </c>
      <c r="D55" s="12" t="s">
        <v>1379</v>
      </c>
      <c r="E55" s="11">
        <v>0</v>
      </c>
      <c r="F55" s="11">
        <v>1</v>
      </c>
      <c r="G55" s="12" t="s">
        <v>1474</v>
      </c>
      <c r="H55" s="12" t="s">
        <v>2105</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1499</v>
      </c>
      <c r="C56" s="12" t="s">
        <v>1380</v>
      </c>
      <c r="D56" s="12" t="s">
        <v>1381</v>
      </c>
      <c r="E56" s="11">
        <v>0</v>
      </c>
      <c r="F56" s="11">
        <v>1</v>
      </c>
      <c r="G56" s="12" t="s">
        <v>1474</v>
      </c>
      <c r="H56" s="12" t="s">
        <v>2106</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1500</v>
      </c>
      <c r="C57" s="12" t="s">
        <v>1845</v>
      </c>
      <c r="D57" s="12" t="s">
        <v>1382</v>
      </c>
      <c r="E57" s="11">
        <v>0</v>
      </c>
      <c r="F57" s="11">
        <v>1</v>
      </c>
      <c r="G57" s="12" t="s">
        <v>1474</v>
      </c>
      <c r="H57" s="12" t="s">
        <v>2107</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6" t="str">
        <f>CancerEpisode!P1</f>
        <v>// -------------------------------------------------------------------------------</v>
      </c>
    </row>
    <row r="125" spans="3:3" x14ac:dyDescent="0.75">
      <c r="C125" s="126" t="str">
        <f>CancerEpisode!P2</f>
        <v>// Obligations H&amp;N</v>
      </c>
    </row>
    <row r="126" spans="3:3" x14ac:dyDescent="0.75">
      <c r="C126" s="12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6" t="str">
        <f>CancerEpisode!R1</f>
        <v>// -------------------------------------------------------------------------------</v>
      </c>
    </row>
    <row r="184" spans="3:3" x14ac:dyDescent="0.75">
      <c r="C184" s="126" t="str">
        <f>CancerEpisode!R2</f>
        <v>// Obligations Sarcoma</v>
      </c>
    </row>
    <row r="185" spans="3:3" x14ac:dyDescent="0.75">
      <c r="C185" s="12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143" t="s">
        <v>1492</v>
      </c>
      <c r="F4" s="144"/>
      <c r="G4" s="144"/>
    </row>
    <row r="5" spans="1:19" x14ac:dyDescent="0.75">
      <c r="B5" s="47" t="s">
        <v>10</v>
      </c>
      <c r="C5" s="7" t="s">
        <v>1489</v>
      </c>
      <c r="D5" s="47"/>
      <c r="E5" s="7"/>
    </row>
    <row r="6" spans="1:19" x14ac:dyDescent="0.75">
      <c r="B6" s="47" t="s">
        <v>18</v>
      </c>
      <c r="C6" s="41"/>
      <c r="D6" s="47" t="s">
        <v>1481</v>
      </c>
      <c r="E6" s="143" t="str">
        <f>E3</f>
        <v>http://hl7.eu/fhir/ig/idea4rc/StructureDefinition/CancerEpisode</v>
      </c>
      <c r="F6" s="144"/>
      <c r="G6" s="144"/>
    </row>
    <row r="7" spans="1:19" x14ac:dyDescent="0.75">
      <c r="B7" s="47" t="s">
        <v>15</v>
      </c>
      <c r="C7" s="73"/>
      <c r="D7" s="47" t="s">
        <v>1482</v>
      </c>
      <c r="E7" s="143" t="s">
        <v>1492</v>
      </c>
      <c r="F7" s="144"/>
      <c r="G7" s="144"/>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5"/>
      <c r="B14" s="4" t="str">
        <f>CancerEpisode!B5</f>
        <v>CancerEpisode</v>
      </c>
      <c r="C14" s="11"/>
      <c r="D14" s="4" t="s">
        <v>1501</v>
      </c>
      <c r="E14" s="6"/>
      <c r="F14" s="49"/>
      <c r="G14" s="49"/>
      <c r="I14" s="12"/>
      <c r="J14" s="11"/>
      <c r="K14" s="11"/>
      <c r="L14" s="11"/>
      <c r="M14" s="48"/>
      <c r="N14" s="51"/>
    </row>
    <row r="15" spans="1:19" ht="44.25" x14ac:dyDescent="0.75">
      <c r="A15" s="12"/>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1505</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2360</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2359</v>
      </c>
      <c r="E18" s="11"/>
      <c r="F18" s="49" t="s">
        <v>1294</v>
      </c>
      <c r="G18" s="75" t="s">
        <v>2358</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2359</v>
      </c>
      <c r="E19" s="11"/>
      <c r="F19" s="49" t="s">
        <v>1294</v>
      </c>
      <c r="G19" s="75" t="s">
        <v>2358</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1506</v>
      </c>
      <c r="E20" s="11"/>
      <c r="F20" s="49" t="s">
        <v>1294</v>
      </c>
      <c r="G20" s="77" t="s">
        <v>1566</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1504</v>
      </c>
      <c r="E21" s="11"/>
      <c r="F21" s="49" t="s">
        <v>1317</v>
      </c>
      <c r="G21" s="78" t="s">
        <v>1507</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2357</v>
      </c>
      <c r="E22" s="11"/>
      <c r="F22" s="49" t="s">
        <v>1316</v>
      </c>
      <c r="G22" s="78" t="s">
        <v>2364</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1508</v>
      </c>
      <c r="E23" s="11"/>
      <c r="F23" s="49" t="s">
        <v>1294</v>
      </c>
      <c r="G23" s="49" t="s">
        <v>1485</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1538</v>
      </c>
      <c r="E24" s="11"/>
      <c r="F24" s="49" t="s">
        <v>1294</v>
      </c>
      <c r="G24" s="77" t="s">
        <v>2346</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8"/>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8"/>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8"/>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8"/>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8"/>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8"/>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8"/>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8"/>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2346</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8"/>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8"/>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8"/>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8"/>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8"/>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8"/>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8"/>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8"/>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8"/>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8"/>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8"/>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1629</v>
      </c>
      <c r="E45" s="12"/>
      <c r="F45" s="49" t="s">
        <v>1316</v>
      </c>
      <c r="G45" s="98"/>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1629</v>
      </c>
      <c r="E46" s="12"/>
      <c r="F46" s="49" t="s">
        <v>1316</v>
      </c>
      <c r="G46" s="98"/>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1629</v>
      </c>
      <c r="E47" s="12"/>
      <c r="F47" s="49" t="s">
        <v>1316</v>
      </c>
      <c r="G47" s="98"/>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1629</v>
      </c>
      <c r="E48" s="12"/>
      <c r="F48" s="49" t="s">
        <v>1316</v>
      </c>
      <c r="G48" s="98"/>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1629</v>
      </c>
      <c r="E49" s="12"/>
      <c r="F49" s="49" t="s">
        <v>1316</v>
      </c>
      <c r="G49" s="98"/>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1629</v>
      </c>
      <c r="E50" s="12"/>
      <c r="F50" s="49" t="s">
        <v>1316</v>
      </c>
      <c r="G50" s="98"/>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1629</v>
      </c>
      <c r="E51" s="12"/>
      <c r="F51" s="49" t="s">
        <v>1316</v>
      </c>
      <c r="G51" s="98"/>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1629</v>
      </c>
      <c r="E52" s="12"/>
      <c r="F52" s="49" t="s">
        <v>1316</v>
      </c>
      <c r="G52" s="98"/>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1629</v>
      </c>
      <c r="E53" s="12"/>
      <c r="F53" s="49" t="s">
        <v>1316</v>
      </c>
      <c r="G53" s="98"/>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1629</v>
      </c>
      <c r="E54" s="12"/>
      <c r="F54" s="49" t="s">
        <v>1316</v>
      </c>
      <c r="G54" s="98"/>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1629</v>
      </c>
      <c r="E55" s="12"/>
      <c r="F55" s="49" t="s">
        <v>1316</v>
      </c>
      <c r="G55" s="98"/>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1629</v>
      </c>
      <c r="E56" s="12"/>
      <c r="F56" s="49" t="s">
        <v>1316</v>
      </c>
      <c r="G56" s="98"/>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1629</v>
      </c>
      <c r="E57" s="12"/>
      <c r="F57" s="49" t="s">
        <v>1316</v>
      </c>
      <c r="G57" s="98"/>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1629</v>
      </c>
      <c r="E58" s="12"/>
      <c r="F58" s="49" t="s">
        <v>1316</v>
      </c>
      <c r="G58" s="98"/>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1629</v>
      </c>
      <c r="E59" s="12"/>
      <c r="F59" s="49" t="s">
        <v>1316</v>
      </c>
      <c r="G59" s="98"/>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1629</v>
      </c>
      <c r="E60" s="12"/>
      <c r="F60" s="49" t="s">
        <v>1316</v>
      </c>
      <c r="G60" s="98"/>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2355</v>
      </c>
      <c r="E61" s="12"/>
      <c r="F61" s="49" t="s">
        <v>1316</v>
      </c>
      <c r="G61" s="78" t="s">
        <v>2356</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2354</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2355</v>
      </c>
      <c r="E63" s="12"/>
      <c r="F63" s="49" t="s">
        <v>1294</v>
      </c>
      <c r="G63" s="92" t="s">
        <v>2351</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2349</v>
      </c>
      <c r="E64" s="12"/>
      <c r="F64" s="49" t="s">
        <v>1294</v>
      </c>
      <c r="G64" s="92" t="s">
        <v>2350</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2349</v>
      </c>
      <c r="E65" s="12"/>
      <c r="F65" s="49" t="s">
        <v>1294</v>
      </c>
      <c r="G65" s="92" t="s">
        <v>2352</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2349</v>
      </c>
      <c r="E66" s="12"/>
      <c r="F66" s="49" t="s">
        <v>1294</v>
      </c>
      <c r="G66" s="92" t="s">
        <v>2353</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72" t="s">
        <v>1503</v>
      </c>
    </row>
    <row r="5" spans="1:19" x14ac:dyDescent="0.75">
      <c r="B5" s="47" t="s">
        <v>10</v>
      </c>
      <c r="C5" s="7" t="s">
        <v>1489</v>
      </c>
      <c r="D5" s="47"/>
      <c r="E5" s="7"/>
    </row>
    <row r="6" spans="1:19" x14ac:dyDescent="0.75">
      <c r="B6" s="47" t="s">
        <v>18</v>
      </c>
      <c r="C6" s="41"/>
      <c r="D6" s="47" t="s">
        <v>1481</v>
      </c>
      <c r="E6" s="143" t="str">
        <f>E3</f>
        <v>http://hl7.eu/fhir/ig/idea4rc/StructureDefinition/CancerEpisode</v>
      </c>
      <c r="F6" s="144"/>
      <c r="G6" s="144"/>
    </row>
    <row r="7" spans="1:19" x14ac:dyDescent="0.75">
      <c r="B7" s="47" t="s">
        <v>15</v>
      </c>
      <c r="C7" s="73"/>
      <c r="D7" s="47" t="s">
        <v>1482</v>
      </c>
      <c r="E7" s="143" t="s">
        <v>1561</v>
      </c>
      <c r="F7" s="144"/>
      <c r="G7" s="144"/>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2363</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1562</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tabSelected="1"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2135</v>
      </c>
      <c r="R2" s="24" t="s">
        <v>2136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1967</v>
      </c>
      <c r="L4" s="16" t="str">
        <f>CONCATENATE("Logical: ",B4)</f>
        <v>Logical: EpisodeEventI4rc</v>
      </c>
    </row>
    <row r="5" spans="1:18" ht="19.899999999999999" customHeight="1" x14ac:dyDescent="0.75">
      <c r="A5" s="14" t="s">
        <v>16</v>
      </c>
      <c r="B5" s="31" t="s">
        <v>1614</v>
      </c>
      <c r="L5" s="16" t="str">
        <f>CONCATENATE("Id: ",B5)</f>
        <v>Id: EpisodeEvent</v>
      </c>
    </row>
    <row r="6" spans="1:18" ht="19.899999999999999" customHeight="1" x14ac:dyDescent="0.75">
      <c r="A6" s="14" t="s">
        <v>10</v>
      </c>
      <c r="B6" s="32" t="s">
        <v>1574</v>
      </c>
      <c r="L6" s="17" t="str">
        <f>CONCATENATE("Title: ##34#",B6,"##34#")</f>
        <v>Title: ##34#Episode Event##34#</v>
      </c>
    </row>
    <row r="7" spans="1:18" ht="19.899999999999999" customHeight="1" x14ac:dyDescent="0.75">
      <c r="A7" s="26" t="s">
        <v>2</v>
      </c>
      <c r="B7" s="32" t="s">
        <v>1574</v>
      </c>
      <c r="C7" s="9" t="s">
        <v>3</v>
      </c>
      <c r="D7" s="1" t="s">
        <v>4</v>
      </c>
      <c r="E7" s="3" t="s">
        <v>5</v>
      </c>
      <c r="F7" s="3" t="s">
        <v>6</v>
      </c>
      <c r="G7" s="3" t="s">
        <v>7</v>
      </c>
      <c r="H7" s="64" t="s">
        <v>1384</v>
      </c>
      <c r="I7" s="124" t="s">
        <v>2133</v>
      </c>
      <c r="J7" s="124" t="s">
        <v>2134</v>
      </c>
      <c r="L7" s="17" t="str">
        <f>CONCATENATE("Description: "," ##334#",B7,"##334#",)</f>
        <v>Description:  ##334#Episode Event##334#</v>
      </c>
    </row>
    <row r="8" spans="1:18" ht="20.25" customHeight="1" x14ac:dyDescent="0.75">
      <c r="A8" s="59">
        <v>0</v>
      </c>
      <c r="B8" s="42" t="s">
        <v>1615</v>
      </c>
      <c r="C8" s="11" t="s">
        <v>1606</v>
      </c>
      <c r="D8" s="11" t="s">
        <v>1607</v>
      </c>
      <c r="E8" s="11">
        <v>1</v>
      </c>
      <c r="F8" s="11">
        <v>1</v>
      </c>
      <c r="G8" t="s">
        <v>1619</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1616</v>
      </c>
      <c r="C9" s="11" t="s">
        <v>1608</v>
      </c>
      <c r="D9" s="11" t="s">
        <v>1609</v>
      </c>
      <c r="E9" s="11">
        <v>1</v>
      </c>
      <c r="F9" s="11">
        <v>1</v>
      </c>
      <c r="G9" s="42" t="s">
        <v>1474</v>
      </c>
      <c r="H9" s="12" t="s">
        <v>2131</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1617</v>
      </c>
      <c r="C10" s="11" t="s">
        <v>1610</v>
      </c>
      <c r="D10" s="12" t="s">
        <v>1611</v>
      </c>
      <c r="E10" s="11">
        <v>0</v>
      </c>
      <c r="F10" s="11">
        <v>1</v>
      </c>
      <c r="G10" s="42" t="s">
        <v>1474</v>
      </c>
      <c r="H10" s="12" t="s">
        <v>2132</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1618</v>
      </c>
      <c r="C11" s="11" t="s">
        <v>1612</v>
      </c>
      <c r="D11" s="11" t="s">
        <v>1613</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1620</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$C$1&amp;EpisodeEvent!B4</f>
        <v>http://hl7.eu/fhir/ig/idea4rc/StructureDefinition/EpisodeEventI4rc</v>
      </c>
    </row>
    <row r="4" spans="1:19" x14ac:dyDescent="0.75">
      <c r="B4" s="47" t="s">
        <v>16</v>
      </c>
      <c r="C4" s="28" t="s">
        <v>1636</v>
      </c>
      <c r="D4" s="47" t="s">
        <v>1480</v>
      </c>
      <c r="E4" s="143" t="s">
        <v>1492</v>
      </c>
      <c r="F4" s="144"/>
      <c r="G4" s="144"/>
    </row>
    <row r="5" spans="1:19" x14ac:dyDescent="0.75">
      <c r="B5" s="47" t="s">
        <v>10</v>
      </c>
      <c r="C5" s="7" t="s">
        <v>1632</v>
      </c>
      <c r="D5" s="47"/>
      <c r="E5" s="7"/>
    </row>
    <row r="6" spans="1:19" x14ac:dyDescent="0.75">
      <c r="B6" s="47" t="s">
        <v>18</v>
      </c>
      <c r="C6" s="41"/>
      <c r="D6" s="47" t="s">
        <v>1481</v>
      </c>
      <c r="E6" s="143" t="str">
        <f>E3</f>
        <v>http://hl7.eu/fhir/ig/idea4rc/StructureDefinition/EpisodeEventI4rc</v>
      </c>
      <c r="F6" s="144"/>
      <c r="G6" s="144"/>
    </row>
    <row r="7" spans="1:19" x14ac:dyDescent="0.75">
      <c r="B7" s="47" t="s">
        <v>15</v>
      </c>
      <c r="C7" s="73"/>
      <c r="D7" s="47" t="s">
        <v>1482</v>
      </c>
      <c r="E7" s="143" t="s">
        <v>1492</v>
      </c>
      <c r="F7" s="144"/>
      <c r="G7" s="144"/>
    </row>
    <row r="8" spans="1:19" ht="45" thickBot="1" x14ac:dyDescent="0.9">
      <c r="B8" s="47" t="s">
        <v>1483</v>
      </c>
      <c r="C8" s="74" t="s">
        <v>1632</v>
      </c>
      <c r="D8" s="47"/>
      <c r="E8" s="7"/>
      <c r="I8" s="12" t="s">
        <v>1289</v>
      </c>
      <c r="J8" s="12" t="s">
        <v>1290</v>
      </c>
      <c r="K8" s="12" t="s">
        <v>1291</v>
      </c>
      <c r="L8" s="12" t="s">
        <v>1292</v>
      </c>
      <c r="M8" s="11" t="s">
        <v>1293</v>
      </c>
      <c r="P8" s="34" t="s">
        <v>1328</v>
      </c>
      <c r="Q8" s="34">
        <v>6</v>
      </c>
    </row>
    <row r="9" spans="1:19" ht="30.25" thickBot="1" x14ac:dyDescent="0.9">
      <c r="B9" s="47" t="s">
        <v>1484</v>
      </c>
      <c r="C9" s="12" t="s">
        <v>1633</v>
      </c>
      <c r="D9" s="95"/>
      <c r="E9" s="145" t="s">
        <v>1642</v>
      </c>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1622</v>
      </c>
      <c r="E15" s="12"/>
      <c r="F15" s="49" t="s">
        <v>1316</v>
      </c>
      <c r="G15" s="78" t="s">
        <v>1640</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1641</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1623</v>
      </c>
      <c r="E17" s="12"/>
      <c r="F17" s="49" t="s">
        <v>1294</v>
      </c>
      <c r="G17" s="78" t="s">
        <v>1624</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5" t="s">
        <v>1294</v>
      </c>
      <c r="G18" s="75" t="s">
        <v>1625</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1626</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1627</v>
      </c>
      <c r="E20" s="12"/>
      <c r="F20" s="49" t="s">
        <v>1294</v>
      </c>
      <c r="G20" s="94" t="s">
        <v>1628</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1627</v>
      </c>
      <c r="E21" s="12"/>
      <c r="F21" s="49" t="s">
        <v>1294</v>
      </c>
      <c r="G21" s="94" t="s">
        <v>1628</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1627</v>
      </c>
      <c r="E22" s="12"/>
      <c r="F22" s="49" t="s">
        <v>1294</v>
      </c>
      <c r="G22" s="94" t="s">
        <v>1628</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1629</v>
      </c>
      <c r="E23" s="11"/>
      <c r="F23" s="49" t="s">
        <v>1294</v>
      </c>
      <c r="G23" s="78" t="s">
        <v>1630</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1629</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1629</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1629</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1629</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1629</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1629</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1629</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1629</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1629</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1629</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1634</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1964</v>
      </c>
      <c r="L4" s="16" t="str">
        <f>CONCATENATE("Logical: ",B4)</f>
        <v>Logical: GeneticTestExpressionI4rc</v>
      </c>
    </row>
    <row r="5" spans="1:18" ht="15.5" thickBot="1" x14ac:dyDescent="0.9">
      <c r="A5" s="14" t="s">
        <v>16</v>
      </c>
      <c r="B5" s="30" t="s">
        <v>1934</v>
      </c>
      <c r="L5" s="16" t="str">
        <f>CONCATENATE("Id: ",B5)</f>
        <v>Id: GeneticTestExpression</v>
      </c>
    </row>
    <row r="6" spans="1:18" ht="15.5" thickBot="1" x14ac:dyDescent="0.9">
      <c r="A6" s="14" t="s">
        <v>10</v>
      </c>
      <c r="B6" s="30" t="s">
        <v>1935</v>
      </c>
      <c r="L6" s="17" t="str">
        <f>CONCATENATE("Title: ##34#",B6,"##34#")</f>
        <v>Title: ##34#Genetic Test Expression##34#</v>
      </c>
    </row>
    <row r="7" spans="1:18" x14ac:dyDescent="0.75">
      <c r="A7" s="26" t="s">
        <v>2</v>
      </c>
      <c r="B7" s="100" t="s">
        <v>1935</v>
      </c>
      <c r="C7" s="9" t="s">
        <v>3</v>
      </c>
      <c r="D7" s="1" t="s">
        <v>4</v>
      </c>
      <c r="E7" s="3" t="s">
        <v>5</v>
      </c>
      <c r="F7" s="3" t="s">
        <v>6</v>
      </c>
      <c r="G7" s="3" t="s">
        <v>7</v>
      </c>
      <c r="H7" s="64" t="s">
        <v>1384</v>
      </c>
      <c r="I7" s="124" t="s">
        <v>2133</v>
      </c>
      <c r="J7" s="124" t="s">
        <v>2134</v>
      </c>
      <c r="L7" s="17" t="str">
        <f>CONCATENATE("Description: "," ##334#",B7,"##334#",)</f>
        <v>Description:  ##334#Genetic Test Expression##334#</v>
      </c>
    </row>
    <row r="8" spans="1:18" ht="59" x14ac:dyDescent="0.75">
      <c r="A8" s="59">
        <v>0</v>
      </c>
      <c r="B8" s="11" t="s">
        <v>1600</v>
      </c>
      <c r="C8" s="102" t="s">
        <v>1606</v>
      </c>
      <c r="D8" t="s">
        <v>1568</v>
      </c>
      <c r="E8" s="11">
        <v>1</v>
      </c>
      <c r="F8" s="11">
        <v>1</v>
      </c>
      <c r="G8" s="11" t="s">
        <v>1621</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1936</v>
      </c>
      <c r="C9" s="102" t="s">
        <v>1606</v>
      </c>
      <c r="D9" t="s">
        <v>1937</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1938</v>
      </c>
      <c r="C10" s="102" t="s">
        <v>1606</v>
      </c>
      <c r="D10" t="s">
        <v>1939</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1940</v>
      </c>
      <c r="C11" s="102" t="s">
        <v>1606</v>
      </c>
      <c r="D11" t="s">
        <v>1941</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1942</v>
      </c>
      <c r="C12" s="102" t="s">
        <v>1606</v>
      </c>
      <c r="D12" t="s">
        <v>1943</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1944</v>
      </c>
      <c r="C13" s="102" t="s">
        <v>1606</v>
      </c>
      <c r="D13" t="s">
        <v>1945</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1946</v>
      </c>
      <c r="C14" s="102" t="s">
        <v>1606</v>
      </c>
      <c r="D14" t="s">
        <v>1947</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2184</v>
      </c>
      <c r="C15" s="102" t="s">
        <v>1606</v>
      </c>
      <c r="D15" t="s">
        <v>1948</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1949</v>
      </c>
      <c r="C16" s="102" t="s">
        <v>1606</v>
      </c>
      <c r="D16" t="s">
        <v>1950</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2185</v>
      </c>
      <c r="C17" s="102" t="s">
        <v>1606</v>
      </c>
      <c r="D17" t="s">
        <v>1951</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1952</v>
      </c>
      <c r="C18" s="102" t="s">
        <v>1606</v>
      </c>
      <c r="D18" t="s">
        <v>1953</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1954</v>
      </c>
      <c r="C19" s="102" t="s">
        <v>1606</v>
      </c>
      <c r="D19" t="s">
        <v>1955</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1956</v>
      </c>
      <c r="C20" s="102" t="s">
        <v>1606</v>
      </c>
      <c r="D20" t="s">
        <v>1957</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2186</v>
      </c>
      <c r="C21" s="102" t="s">
        <v>1606</v>
      </c>
      <c r="D21" t="s">
        <v>1958</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1959</v>
      </c>
      <c r="C22" s="102" t="s">
        <v>1606</v>
      </c>
      <c r="D22" t="s">
        <v>1960</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5" customWidth="1"/>
    <col min="7" max="7" width="29.54296875" customWidth="1"/>
    <col min="8" max="8" width="54.90625" customWidth="1"/>
  </cols>
  <sheetData>
    <row r="1" spans="3:7" ht="15.5" thickBot="1" x14ac:dyDescent="0.9">
      <c r="C1" s="103" t="str">
        <f>GeneticTestExpression!L1</f>
        <v>//===================================================</v>
      </c>
    </row>
    <row r="2" spans="3:7" ht="16.75" thickBot="1" x14ac:dyDescent="0.9">
      <c r="C2" s="24" t="str">
        <f>GeneticTestExpression!L2</f>
        <v>//  Logical Model</v>
      </c>
      <c r="G2" s="29" t="s">
        <v>1961</v>
      </c>
    </row>
    <row r="3" spans="3:7" x14ac:dyDescent="0.75">
      <c r="C3" s="24" t="str">
        <f>GeneticTestExpression!L3</f>
        <v>//===================================================</v>
      </c>
    </row>
    <row r="4" spans="3:7" x14ac:dyDescent="0.75">
      <c r="C4" s="104" t="str">
        <f>GeneticTestExpression!L4</f>
        <v>Logical: GeneticTestExpressionI4rc</v>
      </c>
    </row>
    <row r="5" spans="3:7" x14ac:dyDescent="0.75">
      <c r="C5" s="104" t="str">
        <f>GeneticTestExpression!L5</f>
        <v>Id: GeneticTestExpression</v>
      </c>
    </row>
    <row r="6" spans="3:7" x14ac:dyDescent="0.75">
      <c r="C6" s="104" t="str">
        <f>GeneticTestExpression!L6</f>
        <v>Title: ##34#Genetic Test Expression##34#</v>
      </c>
    </row>
    <row r="7" spans="3:7" x14ac:dyDescent="0.75">
      <c r="C7" s="104" t="str">
        <f>GeneticTestExpression!L7</f>
        <v>Description:  ##334#Genetic Test Expression##334#</v>
      </c>
    </row>
    <row r="8" spans="3:7" ht="29.5" x14ac:dyDescent="0.75">
      <c r="C8" s="105"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5" t="str">
        <f>IF(GeneticTestExpression!L9="*  ..  ##34###34# ##334###334#","//--- END",GeneticTestExpression!L9)</f>
        <v>* geneExpressionAnalysisPerformed 0..1 boolean ##34#Cancer Episode Reference##34# ##334#Clarifies whether a gene expression analysis is performed##334#</v>
      </c>
    </row>
    <row r="10" spans="3:7" x14ac:dyDescent="0.75">
      <c r="C10" s="105" t="str">
        <f>IF(GeneticTestExpression!L10="*  ..  ##34###34# ##334###334#","//--- END",GeneticTestExpression!L10)</f>
        <v>* dateOfGeneExpression 0..1 date ##34#Cancer Episode Reference##34# ##334#Date of the gene expression analysis##334#</v>
      </c>
    </row>
    <row r="11" spans="3:7" ht="29.5" x14ac:dyDescent="0.75">
      <c r="C11" s="105" t="str">
        <f>IF(GeneticTestExpression!L11="*  ..  ##34###34# ##334###334#","//--- END",GeneticTestExpression!L11)</f>
        <v>* geneMutationAnalysisPerformed 0..1 boolean ##34#Cancer Episode Reference##34# ##334#Clarifies whether a gene mutation analysis is performed##334#</v>
      </c>
    </row>
    <row r="12" spans="3:7" x14ac:dyDescent="0.75">
      <c r="C12" s="105" t="str">
        <f>IF(GeneticTestExpression!L12="*  ..  ##34###34# ##334###334#","//--- END",GeneticTestExpression!L12)</f>
        <v>* dateOfGeneMutation 0..1 date ##34#Cancer Episode Reference##34# ##334#Date of the gene mutation analysis##334#</v>
      </c>
    </row>
    <row r="13" spans="3:7" ht="29.5" x14ac:dyDescent="0.75">
      <c r="C13" s="105"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5" t="str">
        <f>IF(GeneticTestExpression!L14="*  ..  ##34###34# ##334###334#","//--- END",GeneticTestExpression!L14)</f>
        <v>* dateOfTraslocation 0..1 date ##34#Cancer Episode Reference##34# ##334#Date of the Chromosome translocation test##334#</v>
      </c>
    </row>
    <row r="15" spans="3:7" ht="29.5" x14ac:dyDescent="0.75">
      <c r="C15" s="105" t="str">
        <f>IF(GeneticTestExpression!L15="*  ..  ##34###34# ##334###334#","//--- END",GeneticTestExpression!L15)</f>
        <v>* ngsPerformed 0..1 boolean ##34#Cancer Episode Reference##34# ##334#Clarifies whether a NGS analysis is performed##334#</v>
      </c>
    </row>
    <row r="16" spans="3:7" x14ac:dyDescent="0.75">
      <c r="C16" s="105" t="str">
        <f>IF(GeneticTestExpression!L16="*  ..  ##34###34# ##334###334#","//--- END",GeneticTestExpression!L16)</f>
        <v>* dateOfNgs 0..1 date ##34#Cancer Episode Reference##34# ##334#Date of the NGS analysis##334#</v>
      </c>
    </row>
    <row r="17" spans="3:3" ht="29.5" x14ac:dyDescent="0.75">
      <c r="C17" s="105" t="str">
        <f>IF(GeneticTestExpression!L17="*  ..  ##34###34# ##334###334#","//--- END",GeneticTestExpression!L17)</f>
        <v>* pcrTestPerformed 0..1 boolean ##34#Cancer Episode Reference##34# ##334#Clarifies whether a PCR analysis is performed##334#</v>
      </c>
    </row>
    <row r="18" spans="3:3" x14ac:dyDescent="0.75">
      <c r="C18" s="105" t="str">
        <f>IF(GeneticTestExpression!L18="*  ..  ##34###34# ##334###334#","//--- END",GeneticTestExpression!L18)</f>
        <v>* dateOfPcr 0..1 date ##34#Cancer Episode Reference##34# ##334#Date of the PCR analysis##334#</v>
      </c>
    </row>
    <row r="19" spans="3:3" ht="29.5" x14ac:dyDescent="0.75">
      <c r="C19" s="105" t="str">
        <f>IF(GeneticTestExpression!L19="*  ..  ##34###34# ##334###334#","//--- END",GeneticTestExpression!L19)</f>
        <v>* immunohistochemistryPerformed 0..1 boolean ##34#Cancer Episode Reference##34# ##334#Clarifies whether a immunohiostochemestry analysis is performed##334#</v>
      </c>
    </row>
    <row r="20" spans="3:3" ht="29.5" x14ac:dyDescent="0.75">
      <c r="C20" s="105" t="str">
        <f>IF(GeneticTestExpression!L20="*  ..  ##34###34# ##334###334#","//--- END",GeneticTestExpression!L20)</f>
        <v>* dateOfImmunohistochemistry 0..1 date ##34#Cancer Episode Reference##34# ##334#Date of the immunohiostochemestry analysis##334#</v>
      </c>
    </row>
    <row r="21" spans="3:3" ht="29.5" x14ac:dyDescent="0.75">
      <c r="C21" s="105" t="str">
        <f>IF(GeneticTestExpression!L21="*  ..  ##34###34# ##334###334#","//--- END",GeneticTestExpression!L21)</f>
        <v>* ctDnaPerformed 0..1 boolean ##34#Cancer Episode Reference##34# ##334#Clarifies whether a ctDNA analysis is performed##334#</v>
      </c>
    </row>
    <row r="22" spans="3:3" x14ac:dyDescent="0.75">
      <c r="C22" s="105" t="str">
        <f>IF(GeneticTestExpression!L22="*  ..  ##34###34# ##334###334#","//--- END",GeneticTestExpression!L22)</f>
        <v>* dateOfCtdna 0..1 date ##34#Cancer Episode Reference##34# ##334#Date of the ctDNA analysis##334#</v>
      </c>
    </row>
    <row r="23" spans="3:3" x14ac:dyDescent="0.75">
      <c r="C23" s="105" t="str">
        <f>IF(GeneticTestExpression!L23="*  ..  ##34###34# ##334###334#","//--- END",GeneticTestExpression!L23)</f>
        <v>//--- END</v>
      </c>
    </row>
    <row r="24" spans="3:3" x14ac:dyDescent="0.75">
      <c r="C24" s="105" t="str">
        <f>IF(GeneticTestExpression!L24="*  ..  ##34###34# ##334###334#","//--- END",GeneticTestExpression!L24)</f>
        <v>//--- END</v>
      </c>
    </row>
    <row r="25" spans="3:3" x14ac:dyDescent="0.75">
      <c r="C25" s="105" t="str">
        <f>IF(GeneticTestExpression!L25="*  ..  ##34###34# ##334###334#","//--- END",GeneticTestExpression!L25)</f>
        <v>//--- END</v>
      </c>
    </row>
    <row r="26" spans="3:3" x14ac:dyDescent="0.75">
      <c r="C26" s="105" t="str">
        <f>IF(GeneticTestExpression!L26="*  ..  ##34###34# ##334###334#","//--- END",GeneticTestExpression!L26)</f>
        <v>//--- END</v>
      </c>
    </row>
    <row r="27" spans="3:3" x14ac:dyDescent="0.75">
      <c r="C27" s="105" t="str">
        <f>IF(GeneticTestExpression!L27="*  ..  ##34###34# ##334###334#","//--- END",GeneticTestExpression!L27)</f>
        <v>//--- END</v>
      </c>
    </row>
    <row r="31" spans="3:3" x14ac:dyDescent="0.75">
      <c r="C31" s="103" t="s">
        <v>1387</v>
      </c>
    </row>
    <row r="32" spans="3:3" x14ac:dyDescent="0.75">
      <c r="C32" s="24" t="s">
        <v>1421</v>
      </c>
    </row>
    <row r="33" spans="3:3" x14ac:dyDescent="0.75">
      <c r="C33" s="24" t="s">
        <v>1387</v>
      </c>
    </row>
    <row r="34" spans="3:3" x14ac:dyDescent="0.75">
      <c r="C34" s="105" t="str">
        <f>IF(GeneticTestExpression!N8="*  ..  ##34###34# ##334###334#","//--- END",GeneticTestExpression!N8)</f>
        <v/>
      </c>
    </row>
    <row r="35" spans="3:3" x14ac:dyDescent="0.75">
      <c r="C35" s="105" t="str">
        <f>IF(GeneticTestExpression!N9="*  ..  ##34###34# ##334###334#","//--- END",GeneticTestExpression!N9)</f>
        <v/>
      </c>
    </row>
    <row r="36" spans="3:3" x14ac:dyDescent="0.75">
      <c r="C36" s="105" t="str">
        <f>IF(GeneticTestExpression!N10="*  ..  ##34###34# ##334###334#","//--- END",GeneticTestExpression!N10)</f>
        <v/>
      </c>
    </row>
    <row r="37" spans="3:3" x14ac:dyDescent="0.75">
      <c r="C37" s="105" t="str">
        <f>IF(GeneticTestExpression!N11="*  ..  ##34###34# ##334###334#","//--- END",GeneticTestExpression!N11)</f>
        <v/>
      </c>
    </row>
    <row r="38" spans="3:3" x14ac:dyDescent="0.75">
      <c r="C38" s="105" t="str">
        <f>IF(GeneticTestExpression!N12="*  ..  ##34###34# ##334###334#","//--- END",GeneticTestExpression!N12)</f>
        <v/>
      </c>
    </row>
    <row r="39" spans="3:3" x14ac:dyDescent="0.75">
      <c r="C39" s="105" t="str">
        <f>IF(GeneticTestExpression!N13="*  ..  ##34###34# ##334###334#","//--- END",GeneticTestExpression!N13)</f>
        <v/>
      </c>
    </row>
    <row r="40" spans="3:3" x14ac:dyDescent="0.75">
      <c r="C40" s="105" t="str">
        <f>IF(GeneticTestExpression!N14="*  ..  ##34###34# ##334###334#","//--- END",GeneticTestExpression!N14)</f>
        <v/>
      </c>
    </row>
    <row r="41" spans="3:3" x14ac:dyDescent="0.75">
      <c r="C41" s="105" t="str">
        <f>IF(GeneticTestExpression!N15="*  ..  ##34###34# ##334###334#","//--- END",GeneticTestExpression!N15)</f>
        <v/>
      </c>
    </row>
    <row r="42" spans="3:3" x14ac:dyDescent="0.75">
      <c r="C42" s="105" t="str">
        <f>IF(GeneticTestExpression!N16="*  ..  ##34###34# ##334###334#","//--- END",GeneticTestExpression!N16)</f>
        <v/>
      </c>
    </row>
    <row r="43" spans="3:3" x14ac:dyDescent="0.75">
      <c r="C43" s="105" t="str">
        <f>IF(GeneticTestExpression!N17="*  ..  ##34###34# ##334###334#","//--- END",GeneticTestExpression!N17)</f>
        <v/>
      </c>
    </row>
    <row r="44" spans="3:3" x14ac:dyDescent="0.75">
      <c r="C44" s="105" t="str">
        <f>IF(GeneticTestExpression!N18="*  ..  ##34###34# ##334###334#","//--- END",GeneticTestExpression!N18)</f>
        <v/>
      </c>
    </row>
    <row r="45" spans="3:3" x14ac:dyDescent="0.75">
      <c r="C45" s="105" t="str">
        <f>IF(GeneticTestExpression!N19="*  ..  ##34###34# ##334###334#","//--- END",GeneticTestExpression!N19)</f>
        <v/>
      </c>
    </row>
    <row r="46" spans="3:3" x14ac:dyDescent="0.75">
      <c r="C46" s="105" t="str">
        <f>IF(GeneticTestExpression!N20="*  ..  ##34###34# ##334###334#","//--- END",GeneticTestExpression!N20)</f>
        <v/>
      </c>
    </row>
    <row r="47" spans="3:3" x14ac:dyDescent="0.75">
      <c r="C47" s="105" t="str">
        <f>IF(GeneticTestExpression!N21="*  ..  ##34###34# ##334###334#","//--- END",GeneticTestExpression!N21)</f>
        <v/>
      </c>
    </row>
    <row r="48" spans="3:3" x14ac:dyDescent="0.75">
      <c r="C48" s="105" t="str">
        <f>IF(GeneticTestExpression!N22="*  ..  ##34###34# ##334###334#","//--- END",GeneticTestExpression!N22)</f>
        <v/>
      </c>
    </row>
    <row r="49" spans="3:3" x14ac:dyDescent="0.75">
      <c r="C49" s="105" t="str">
        <f>IF(GeneticTestExpression!N23="*  ..  ##34###34# ##334###334#","//--- END",GeneticTestExpression!N23)</f>
        <v>//--- END</v>
      </c>
    </row>
    <row r="50" spans="3:3" x14ac:dyDescent="0.75">
      <c r="C50" s="105" t="str">
        <f>IF(GeneticTestExpression!N24="*  ..  ##34###34# ##334###334#","//--- END",GeneticTestExpression!N24)</f>
        <v>//--- END</v>
      </c>
    </row>
    <row r="51" spans="3:3" x14ac:dyDescent="0.75">
      <c r="C51" s="105" t="str">
        <f>IF(GeneticTestExpression!N25="*  ..  ##34###34# ##334###334#","//--- END",GeneticTestExpression!N25)</f>
        <v>//--- END</v>
      </c>
    </row>
    <row r="52" spans="3:3" x14ac:dyDescent="0.75">
      <c r="C52" s="105" t="str">
        <f>IF(GeneticTestExpression!N26="*  ..  ##34###34# ##334###334#","//--- END",GeneticTestExpression!N26)</f>
        <v>//--- END</v>
      </c>
    </row>
    <row r="53" spans="3:3" x14ac:dyDescent="0.75">
      <c r="C53" s="105" t="str">
        <f>IF(GeneticTestExpression!N27="*  ..  ##34###34# ##334###334#","//--- END",GeneticTestExpression!N27)</f>
        <v>//--- END</v>
      </c>
    </row>
    <row r="54" spans="3:3" x14ac:dyDescent="0.75">
      <c r="C54" s="105"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1919</v>
      </c>
      <c r="D3" s="47" t="s">
        <v>1479</v>
      </c>
      <c r="E3" s="72" t="str">
        <f>$C$1&amp;B14</f>
        <v>http://hl7.eu/fhir/ig/idea4rc/StructureDefinition/GeneticTestExpressionI4rc</v>
      </c>
    </row>
    <row r="4" spans="1:19" x14ac:dyDescent="0.75">
      <c r="B4" s="47" t="s">
        <v>16</v>
      </c>
      <c r="C4" s="28" t="s">
        <v>1919</v>
      </c>
      <c r="D4" s="47" t="s">
        <v>1480</v>
      </c>
      <c r="E4" s="143" t="s">
        <v>1874</v>
      </c>
      <c r="F4" s="144"/>
      <c r="G4" s="144"/>
    </row>
    <row r="5" spans="1:19" x14ac:dyDescent="0.75">
      <c r="B5" s="47" t="s">
        <v>10</v>
      </c>
      <c r="C5" s="7" t="s">
        <v>1841</v>
      </c>
      <c r="D5" s="47"/>
      <c r="E5" s="7"/>
    </row>
    <row r="6" spans="1:19" x14ac:dyDescent="0.75">
      <c r="B6" s="47" t="s">
        <v>18</v>
      </c>
      <c r="C6" s="41"/>
      <c r="D6" s="47" t="s">
        <v>1481</v>
      </c>
      <c r="E6" s="143" t="str">
        <f>E3</f>
        <v>http://hl7.eu/fhir/ig/idea4rc/StructureDefinition/GeneticTestExpressionI4rc</v>
      </c>
      <c r="F6" s="144"/>
      <c r="G6" s="144"/>
    </row>
    <row r="7" spans="1:19" x14ac:dyDescent="0.75">
      <c r="B7" s="47" t="s">
        <v>15</v>
      </c>
      <c r="C7" s="73"/>
      <c r="D7" s="47" t="s">
        <v>1482</v>
      </c>
      <c r="E7" s="143" t="str">
        <f>E4</f>
        <v>http://hl7.eu/fhir/ig/idea4rc/StructureDefinition/Procedure-radiotheraphy-eu-i4rc</v>
      </c>
      <c r="F7" s="144"/>
      <c r="G7" s="144"/>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1824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1933</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34" t="s">
        <v>2229</v>
      </c>
      <c r="L2" s="24" t="s">
        <v>19</v>
      </c>
      <c r="N2" s="24" t="s">
        <v>1385</v>
      </c>
      <c r="P2" s="24" t="s">
        <v>2135</v>
      </c>
      <c r="R2" s="24" t="s">
        <v>2136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2230</v>
      </c>
      <c r="L4" s="16" t="str">
        <f>CONCATENATE("Logical: ",B4)</f>
        <v>Logical: StageI4rc</v>
      </c>
    </row>
    <row r="5" spans="1:18" ht="19.899999999999999" customHeight="1" x14ac:dyDescent="0.75">
      <c r="A5" s="14" t="s">
        <v>16</v>
      </c>
      <c r="B5" s="31" t="s">
        <v>2231</v>
      </c>
      <c r="L5" s="16" t="str">
        <f>CONCATENATE("Id: ",B5)</f>
        <v>Id: Stage</v>
      </c>
    </row>
    <row r="6" spans="1:18" ht="19.899999999999999" customHeight="1" x14ac:dyDescent="0.75">
      <c r="A6" s="14" t="s">
        <v>10</v>
      </c>
      <c r="B6" s="32" t="s">
        <v>2231</v>
      </c>
      <c r="L6" s="17" t="str">
        <f>CONCATENATE("Title: ##34#",B6,"##34#")</f>
        <v>Title: ##34#Stage##34#</v>
      </c>
    </row>
    <row r="7" spans="1:18" ht="19.899999999999999" customHeight="1" x14ac:dyDescent="0.75">
      <c r="A7" s="26" t="s">
        <v>2</v>
      </c>
      <c r="B7" s="63" t="s">
        <v>2231</v>
      </c>
      <c r="C7" s="9" t="s">
        <v>3</v>
      </c>
      <c r="D7" s="1" t="s">
        <v>4</v>
      </c>
      <c r="E7" s="3" t="s">
        <v>5</v>
      </c>
      <c r="F7" s="3" t="s">
        <v>6</v>
      </c>
      <c r="G7" s="3" t="s">
        <v>7</v>
      </c>
      <c r="H7" s="64" t="s">
        <v>1384</v>
      </c>
      <c r="I7" s="124" t="s">
        <v>2133</v>
      </c>
      <c r="J7" s="124" t="s">
        <v>2134</v>
      </c>
      <c r="L7" s="17" t="str">
        <f>CONCATENATE("Description: "," ##334#",B7,"##334#",)</f>
        <v>Description:  ##334#Stage##334#</v>
      </c>
    </row>
    <row r="8" spans="1:18" ht="20.25" customHeight="1" x14ac:dyDescent="0.75">
      <c r="A8" s="130">
        <v>0</v>
      </c>
      <c r="B8" s="42" t="s">
        <v>1573</v>
      </c>
      <c r="C8" s="11" t="s">
        <v>1567</v>
      </c>
      <c r="D8" s="11" t="s">
        <v>1568</v>
      </c>
      <c r="E8" s="11">
        <v>1</v>
      </c>
      <c r="F8" s="11">
        <v>1</v>
      </c>
      <c r="G8" t="s">
        <v>1621</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30">
        <v>1</v>
      </c>
      <c r="B9" s="11" t="s">
        <v>1929</v>
      </c>
      <c r="C9" s="11" t="s">
        <v>2196</v>
      </c>
      <c r="D9" s="11" t="s">
        <v>2196</v>
      </c>
      <c r="E9" s="11">
        <v>1</v>
      </c>
      <c r="F9" s="11">
        <v>1</v>
      </c>
      <c r="G9" t="s">
        <v>1474</v>
      </c>
      <c r="H9" s="12" t="s">
        <v>2206</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30">
        <v>2</v>
      </c>
      <c r="B10" s="11" t="s">
        <v>2187</v>
      </c>
      <c r="C10" s="11" t="s">
        <v>292</v>
      </c>
      <c r="D10" s="11" t="s">
        <v>1388</v>
      </c>
      <c r="E10" s="11">
        <v>1</v>
      </c>
      <c r="F10" s="11">
        <v>1</v>
      </c>
      <c r="G10" t="s">
        <v>1474</v>
      </c>
      <c r="H10" s="12" t="s">
        <v>2207</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31">
        <v>3</v>
      </c>
      <c r="B11" s="11" t="s">
        <v>2188</v>
      </c>
      <c r="C11" s="11" t="s">
        <v>299</v>
      </c>
      <c r="D11" s="11" t="s">
        <v>1389</v>
      </c>
      <c r="E11" s="11">
        <v>1</v>
      </c>
      <c r="F11" s="11">
        <v>1</v>
      </c>
      <c r="G11" t="s">
        <v>1474</v>
      </c>
      <c r="H11" s="12" t="s">
        <v>2208</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30">
        <v>4</v>
      </c>
      <c r="B12" s="11" t="s">
        <v>2189</v>
      </c>
      <c r="C12" s="11" t="s">
        <v>306</v>
      </c>
      <c r="D12" s="11" t="s">
        <v>1390</v>
      </c>
      <c r="E12" s="11">
        <v>1</v>
      </c>
      <c r="F12" s="11">
        <v>1</v>
      </c>
      <c r="G12" t="s">
        <v>1474</v>
      </c>
      <c r="H12" s="12" t="s">
        <v>2209</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30">
        <v>5</v>
      </c>
      <c r="B13" s="11" t="s">
        <v>2190</v>
      </c>
      <c r="C13" s="11" t="s">
        <v>1569</v>
      </c>
      <c r="D13" s="11" t="s">
        <v>1570</v>
      </c>
      <c r="E13" s="11">
        <v>1</v>
      </c>
      <c r="F13" s="11">
        <v>1</v>
      </c>
      <c r="G13" t="s">
        <v>1474</v>
      </c>
      <c r="H13" s="12" t="s">
        <v>2210</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30">
        <v>6</v>
      </c>
      <c r="B14" s="11" t="s">
        <v>2191</v>
      </c>
      <c r="C14" s="11" t="s">
        <v>2197</v>
      </c>
      <c r="D14" s="11" t="s">
        <v>2198</v>
      </c>
      <c r="E14" s="11">
        <v>1</v>
      </c>
      <c r="F14" s="11">
        <v>1</v>
      </c>
      <c r="G14" t="s">
        <v>1474</v>
      </c>
      <c r="H14" s="12" t="s">
        <v>2213</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2">
        <v>7</v>
      </c>
      <c r="B15" s="11" t="s">
        <v>2192</v>
      </c>
      <c r="C15" s="11" t="s">
        <v>2199</v>
      </c>
      <c r="D15" s="11" t="s">
        <v>2200</v>
      </c>
      <c r="E15" s="11">
        <v>1</v>
      </c>
      <c r="F15" s="11">
        <v>1</v>
      </c>
      <c r="G15" t="s">
        <v>1474</v>
      </c>
      <c r="H15" s="12" t="s">
        <v>2214</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2">
        <v>8</v>
      </c>
      <c r="B16" s="11" t="s">
        <v>2193</v>
      </c>
      <c r="C16" s="11" t="s">
        <v>2201</v>
      </c>
      <c r="D16" s="11" t="s">
        <v>2202</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2">
        <v>9</v>
      </c>
      <c r="B17" s="11" t="s">
        <v>1417</v>
      </c>
      <c r="C17" s="11" t="s">
        <v>1392</v>
      </c>
      <c r="D17" s="11" t="s">
        <v>1393</v>
      </c>
      <c r="E17" s="11">
        <v>1</v>
      </c>
      <c r="F17" s="11">
        <v>1</v>
      </c>
      <c r="G17" t="s">
        <v>1474</v>
      </c>
      <c r="H17" s="12" t="s">
        <v>2211</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2">
        <v>10</v>
      </c>
      <c r="B18" s="11" t="s">
        <v>2194</v>
      </c>
      <c r="C18" s="11" t="s">
        <v>2203</v>
      </c>
      <c r="D18" s="11" t="s">
        <v>2204</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2"/>
      <c r="B19" s="6" t="s">
        <v>2215</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2">
        <v>11</v>
      </c>
      <c r="B20" s="11" t="s">
        <v>2216</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2">
        <v>12</v>
      </c>
      <c r="B21" s="11" t="s">
        <v>2217</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2">
        <v>13</v>
      </c>
      <c r="B22" s="11" t="s">
        <v>2218</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2">
        <v>14</v>
      </c>
      <c r="B23" s="11" t="s">
        <v>2219</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2">
        <v>15</v>
      </c>
      <c r="B24" s="11" t="s">
        <v>2220</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2">
        <v>16</v>
      </c>
      <c r="B25" s="11" t="s">
        <v>2221</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3">
        <v>17</v>
      </c>
      <c r="B26" s="11" t="s">
        <v>2222</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30">
        <v>18</v>
      </c>
      <c r="B27" s="11" t="s">
        <v>2223</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3">
        <v>19</v>
      </c>
      <c r="B28" s="11" t="s">
        <v>2224</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30">
        <v>20</v>
      </c>
      <c r="B29" s="11" t="s">
        <v>2225</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3">
        <v>21</v>
      </c>
      <c r="B30" s="11" t="s">
        <v>2195</v>
      </c>
      <c r="C30" s="11" t="s">
        <v>2205</v>
      </c>
      <c r="D30" s="11" t="s">
        <v>1391</v>
      </c>
      <c r="E30" s="11">
        <v>1</v>
      </c>
      <c r="F30" s="11">
        <v>1</v>
      </c>
      <c r="G30" t="s">
        <v>1474</v>
      </c>
      <c r="H30" s="12" t="s">
        <v>2212</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1575</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1643</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1643</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78" t="s">
        <v>1644</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1645</v>
      </c>
      <c r="E16" s="12"/>
      <c r="F16" s="49" t="s">
        <v>1294</v>
      </c>
      <c r="G16" s="78" t="s">
        <v>1659</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1646</v>
      </c>
      <c r="E17" s="12"/>
      <c r="F17" s="97" t="s">
        <v>1294</v>
      </c>
      <c r="G17" s="78" t="s">
        <v>1659</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5" t="s">
        <v>1294</v>
      </c>
      <c r="G18" s="77" t="s">
        <v>1654</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1647</v>
      </c>
      <c r="E19" s="12"/>
      <c r="F19" s="49" t="s">
        <v>1317</v>
      </c>
      <c r="G19" s="78" t="s">
        <v>1659</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1648</v>
      </c>
      <c r="E20" s="12"/>
      <c r="F20" s="49" t="s">
        <v>1316</v>
      </c>
      <c r="G20" s="78" t="s">
        <v>1659</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1649</v>
      </c>
      <c r="E21" s="12"/>
      <c r="F21" s="49" t="s">
        <v>1294</v>
      </c>
      <c r="G21" s="78" t="s">
        <v>1660</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98" t="s">
        <v>1653</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77" t="s">
        <v>1653</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77" t="s">
        <v>1653</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77" t="s">
        <v>1653</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77" t="s">
        <v>1653</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77" t="s">
        <v>1653</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77" t="s">
        <v>1653</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77" t="s">
        <v>1653</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77" t="s">
        <v>1653</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77" t="s">
        <v>1653</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78"/>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78"/>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78"/>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78"/>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78"/>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78"/>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78"/>
      <c r="P45" s="11">
        <v>31</v>
      </c>
      <c r="Q45" s="11">
        <f t="shared" si="5"/>
        <v>5</v>
      </c>
      <c r="R45" s="11">
        <f t="shared" si="6"/>
        <v>1</v>
      </c>
      <c r="S45" s="12" t="str" cm="1">
        <f t="array" ref="S45">INDEX('Stage-ConceptMap-1'!$I$15:$N$124,Q45+1,R45)</f>
        <v>* group[=].element[+].code = #Stage.rENE</v>
      </c>
    </row>
    <row r="46" spans="1:19" x14ac:dyDescent="0.75">
      <c r="B46" s="11"/>
      <c r="C46" s="11"/>
      <c r="G46" s="78"/>
      <c r="P46" s="11">
        <v>32</v>
      </c>
      <c r="Q46" s="11">
        <f t="shared" si="5"/>
        <v>5</v>
      </c>
      <c r="R46" s="11">
        <f t="shared" si="6"/>
        <v>2</v>
      </c>
      <c r="S46" s="12" t="str" cm="1">
        <f t="array" ref="S46">INDEX('Stage-ConceptMap-1'!$I$15:$N$124,Q46+1,R46)</f>
        <v>* group[=].element[=].display = ##34#Radiological Extra-nodal extension (rENE)##34#</v>
      </c>
    </row>
    <row r="47" spans="1:19" x14ac:dyDescent="0.75">
      <c r="G47" s="78"/>
      <c r="P47" s="11">
        <v>33</v>
      </c>
      <c r="Q47" s="11">
        <f t="shared" si="5"/>
        <v>5</v>
      </c>
      <c r="R47" s="11">
        <f t="shared" si="6"/>
        <v>3</v>
      </c>
      <c r="S47" s="12" t="str" cm="1">
        <f t="array" ref="S47">INDEX('Stage-ConceptMap-1'!$I$15:$N$124,Q47+1,R47)</f>
        <v>* group[=].element[=].target.code = #Observation.valueCodeableConcept</v>
      </c>
    </row>
    <row r="48" spans="1:19" x14ac:dyDescent="0.75">
      <c r="G48" s="78"/>
      <c r="P48" s="11">
        <v>34</v>
      </c>
      <c r="Q48" s="11">
        <f t="shared" si="5"/>
        <v>5</v>
      </c>
      <c r="R48" s="11">
        <f t="shared" si="6"/>
        <v>4</v>
      </c>
      <c r="S48" s="12" t="str" cm="1">
        <f t="array" ref="S48">INDEX('Stage-ConceptMap-1'!$I$15:$N$124,Q48+1,R48)</f>
        <v>* group[=].element[=].target.display = ##34###34#</v>
      </c>
    </row>
    <row r="49" spans="7:19" x14ac:dyDescent="0.75">
      <c r="G49" s="78"/>
      <c r="P49" s="11">
        <v>35</v>
      </c>
      <c r="Q49" s="11">
        <f t="shared" si="5"/>
        <v>5</v>
      </c>
      <c r="R49" s="11">
        <f t="shared" si="6"/>
        <v>5</v>
      </c>
      <c r="S49" s="12" t="str" cm="1">
        <f t="array" ref="S49">INDEX('Stage-ConceptMap-1'!$I$15:$N$124,Q49+1,R49)</f>
        <v>* group[=].element[=].target.equivalence = #equivalent</v>
      </c>
    </row>
    <row r="50" spans="7:19" ht="29.5" x14ac:dyDescent="0.75">
      <c r="G50" s="78"/>
      <c r="P50" s="11">
        <v>36</v>
      </c>
      <c r="Q50" s="11">
        <f t="shared" si="5"/>
        <v>5</v>
      </c>
      <c r="R50" s="11">
        <f t="shared" si="6"/>
        <v>6</v>
      </c>
      <c r="S50" s="12" t="str" cm="1">
        <f t="array" ref="S50">INDEX('Stage-ConceptMap-1'!$I$15:$N$124,Q50+1,R50)</f>
        <v>* group[=].element[=].target.comment = ##34#where code = 21908-9 'Stage group.clinical'##34#</v>
      </c>
    </row>
    <row r="51" spans="7:19" x14ac:dyDescent="0.75">
      <c r="G51" s="78"/>
      <c r="P51" s="11">
        <v>37</v>
      </c>
      <c r="Q51" s="11">
        <f t="shared" si="5"/>
        <v>6</v>
      </c>
      <c r="R51" s="11">
        <f t="shared" si="6"/>
        <v>1</v>
      </c>
      <c r="S51" s="12" t="str" cm="1">
        <f t="array" ref="S51">INDEX('Stage-ConceptMap-1'!$I$15:$N$124,Q51+1,R51)</f>
        <v>* group[=].element[+].code = #Stage.localised</v>
      </c>
    </row>
    <row r="52" spans="7:19" x14ac:dyDescent="0.75">
      <c r="G52" s="78"/>
      <c r="P52" s="11">
        <v>38</v>
      </c>
      <c r="Q52" s="11">
        <f t="shared" si="5"/>
        <v>6</v>
      </c>
      <c r="R52" s="11">
        <f t="shared" si="6"/>
        <v>2</v>
      </c>
      <c r="S52" s="12" t="str" cm="1">
        <f t="array" ref="S52">INDEX('Stage-ConceptMap-1'!$I$15:$N$124,Q52+1,R52)</f>
        <v>* group[=].element[=].display = ##34#Localised##34#</v>
      </c>
    </row>
    <row r="53" spans="7:19" ht="29.5" x14ac:dyDescent="0.75">
      <c r="G53" s="78"/>
      <c r="P53" s="11">
        <v>39</v>
      </c>
      <c r="Q53" s="11">
        <f t="shared" si="5"/>
        <v>6</v>
      </c>
      <c r="R53" s="11">
        <f t="shared" si="6"/>
        <v>3</v>
      </c>
      <c r="S53" s="12" t="str" cm="1">
        <f t="array" ref="S53">INDEX('Stage-ConceptMap-1'!$I$15:$N$124,Q53+1,R53)</f>
        <v>* group[=].element[=].target.code = #Observation.valueCodeableConcept.coding.system</v>
      </c>
    </row>
    <row r="54" spans="7:19" x14ac:dyDescent="0.75">
      <c r="G54" s="78"/>
      <c r="P54" s="11">
        <v>40</v>
      </c>
      <c r="Q54" s="11">
        <f t="shared" si="5"/>
        <v>6</v>
      </c>
      <c r="R54" s="11">
        <f t="shared" si="6"/>
        <v>4</v>
      </c>
      <c r="S54" s="12" t="str" cm="1">
        <f t="array" ref="S54">INDEX('Stage-ConceptMap-1'!$I$15:$N$124,Q54+1,R54)</f>
        <v>* group[=].element[=].target.display = ##34###34#</v>
      </c>
    </row>
    <row r="55" spans="7:19" x14ac:dyDescent="0.75">
      <c r="G55" s="78"/>
      <c r="P55" s="11">
        <v>41</v>
      </c>
      <c r="Q55" s="11">
        <f t="shared" si="5"/>
        <v>6</v>
      </c>
      <c r="R55" s="11">
        <f t="shared" si="6"/>
        <v>5</v>
      </c>
      <c r="S55" s="12" t="str" cm="1">
        <f t="array" ref="S55">INDEX('Stage-ConceptMap-1'!$I$15:$N$124,Q55+1,R55)</f>
        <v>* group[=].element[=].target.equivalence = #relatedto</v>
      </c>
    </row>
    <row r="56" spans="7:19" ht="44.25" x14ac:dyDescent="0.75">
      <c r="G56" s="78"/>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78"/>
      <c r="P57" s="11">
        <v>43</v>
      </c>
      <c r="Q57" s="11">
        <f t="shared" si="5"/>
        <v>7</v>
      </c>
      <c r="R57" s="11">
        <f t="shared" si="6"/>
        <v>1</v>
      </c>
      <c r="S57" s="12" t="str" cm="1">
        <f t="array" ref="S57">INDEX('Stage-ConceptMap-1'!$I$15:$N$124,Q57+1,R57)</f>
        <v>* group[=].element[+].code = #Stage.locoRegional</v>
      </c>
    </row>
    <row r="58" spans="7:19" x14ac:dyDescent="0.75">
      <c r="G58" s="78"/>
      <c r="P58" s="11">
        <v>44</v>
      </c>
      <c r="Q58" s="11">
        <f t="shared" si="5"/>
        <v>7</v>
      </c>
      <c r="R58" s="11">
        <f t="shared" si="6"/>
        <v>2</v>
      </c>
      <c r="S58" s="12" t="str" cm="1">
        <f t="array" ref="S58">INDEX('Stage-ConceptMap-1'!$I$15:$N$124,Q58+1,R58)</f>
        <v>* group[=].element[=].display = ##34#Loco-regional##34#</v>
      </c>
    </row>
    <row r="59" spans="7:19" x14ac:dyDescent="0.75">
      <c r="G59" s="78"/>
      <c r="P59" s="11">
        <v>45</v>
      </c>
      <c r="Q59" s="11">
        <f t="shared" si="5"/>
        <v>7</v>
      </c>
      <c r="R59" s="11">
        <f t="shared" si="6"/>
        <v>3</v>
      </c>
      <c r="S59" s="12" t="str" cm="1">
        <f t="array" ref="S59">INDEX('Stage-ConceptMap-1'!$I$15:$N$124,Q59+1,R59)</f>
        <v>* group[=].element[=].target.code = #Observation.</v>
      </c>
    </row>
    <row r="60" spans="7:19" x14ac:dyDescent="0.75">
      <c r="G60" s="78"/>
      <c r="P60" s="11">
        <v>46</v>
      </c>
      <c r="Q60" s="11">
        <f t="shared" si="5"/>
        <v>7</v>
      </c>
      <c r="R60" s="11">
        <f t="shared" si="6"/>
        <v>4</v>
      </c>
      <c r="S60" s="12" t="str" cm="1">
        <f t="array" ref="S60">INDEX('Stage-ConceptMap-1'!$I$15:$N$124,Q60+1,R60)</f>
        <v>* group[=].element[=].target.display = ##34###34#</v>
      </c>
    </row>
    <row r="61" spans="7:19" x14ac:dyDescent="0.75">
      <c r="G61" s="78"/>
      <c r="P61" s="11">
        <v>47</v>
      </c>
      <c r="Q61" s="11">
        <f t="shared" si="5"/>
        <v>7</v>
      </c>
      <c r="R61" s="11">
        <f t="shared" si="6"/>
        <v>5</v>
      </c>
      <c r="S61" s="12" t="str" cm="1">
        <f t="array" ref="S61">INDEX('Stage-ConceptMap-1'!$I$15:$N$124,Q61+1,R61)</f>
        <v>* group[=].element[=].target.equivalence = #relatedto</v>
      </c>
    </row>
    <row r="62" spans="7:19" ht="29.5" x14ac:dyDescent="0.75">
      <c r="G62" s="78"/>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78"/>
      <c r="P63" s="11">
        <v>49</v>
      </c>
      <c r="Q63" s="11">
        <f t="shared" si="5"/>
        <v>8</v>
      </c>
      <c r="R63" s="11">
        <f t="shared" si="6"/>
        <v>1</v>
      </c>
      <c r="S63" s="12" t="str" cm="1">
        <f t="array" ref="S63">INDEX('Stage-ConceptMap-1'!$I$15:$N$124,Q63+1,R63)</f>
        <v>* group[=].element[+].code = #Stage.isMetastatic</v>
      </c>
    </row>
    <row r="64" spans="7:19" x14ac:dyDescent="0.75">
      <c r="G64" s="78"/>
      <c r="P64" s="11">
        <v>50</v>
      </c>
      <c r="Q64" s="11">
        <f t="shared" si="5"/>
        <v>8</v>
      </c>
      <c r="R64" s="11">
        <f t="shared" si="6"/>
        <v>2</v>
      </c>
      <c r="S64" s="12" t="str" cm="1">
        <f t="array" ref="S64">INDEX('Stage-ConceptMap-1'!$I$15:$N$124,Q64+1,R64)</f>
        <v>* group[=].element[=].display = ##34#Is metastatic##34#</v>
      </c>
    </row>
    <row r="65" spans="7:19" x14ac:dyDescent="0.75">
      <c r="G65" s="78"/>
      <c r="P65" s="11">
        <v>51</v>
      </c>
      <c r="Q65" s="11">
        <f t="shared" si="5"/>
        <v>8</v>
      </c>
      <c r="R65" s="11">
        <f t="shared" si="6"/>
        <v>3</v>
      </c>
      <c r="S65" s="12" t="str" cm="1">
        <f t="array" ref="S65">INDEX('Stage-ConceptMap-1'!$I$15:$N$124,Q65+1,R65)</f>
        <v>* group[=].element[=].target.code = #Observation.</v>
      </c>
    </row>
    <row r="66" spans="7:19" x14ac:dyDescent="0.75">
      <c r="G66" s="78"/>
      <c r="P66" s="11">
        <v>52</v>
      </c>
      <c r="Q66" s="11">
        <f t="shared" si="5"/>
        <v>8</v>
      </c>
      <c r="R66" s="11">
        <f t="shared" si="6"/>
        <v>4</v>
      </c>
      <c r="S66" s="12" t="str" cm="1">
        <f t="array" ref="S66">INDEX('Stage-ConceptMap-1'!$I$15:$N$124,Q66+1,R66)</f>
        <v>* group[=].element[=].target.display = ##34###34#</v>
      </c>
    </row>
    <row r="67" spans="7:19" x14ac:dyDescent="0.75">
      <c r="G67" s="78"/>
      <c r="P67" s="11">
        <v>53</v>
      </c>
      <c r="Q67" s="11">
        <f t="shared" si="5"/>
        <v>8</v>
      </c>
      <c r="R67" s="11">
        <f t="shared" si="6"/>
        <v>5</v>
      </c>
      <c r="S67" s="12" t="str" cm="1">
        <f t="array" ref="S67">INDEX('Stage-ConceptMap-1'!$I$15:$N$124,Q67+1,R67)</f>
        <v>* group[=].element[=].target.equivalence = #relatedto</v>
      </c>
    </row>
    <row r="68" spans="7:19" ht="29.5" x14ac:dyDescent="0.75">
      <c r="G68" s="78"/>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78"/>
      <c r="P69" s="11">
        <v>55</v>
      </c>
      <c r="Q69" s="11">
        <f t="shared" si="5"/>
        <v>9</v>
      </c>
      <c r="R69" s="11">
        <f t="shared" si="6"/>
        <v>1</v>
      </c>
      <c r="S69" s="12" t="str" cm="1">
        <f t="array" ref="S69">INDEX('Stage-ConceptMap-1'!$I$15:$N$124,Q69+1,R69)</f>
        <v>* group[=].element[+].code = #Stage.ajccEdition</v>
      </c>
    </row>
    <row r="70" spans="7:19" x14ac:dyDescent="0.75">
      <c r="G70" s="78"/>
      <c r="P70" s="11">
        <v>56</v>
      </c>
      <c r="Q70" s="11">
        <f t="shared" si="5"/>
        <v>9</v>
      </c>
      <c r="R70" s="11">
        <f t="shared" si="6"/>
        <v>2</v>
      </c>
      <c r="S70" s="12" t="str" cm="1">
        <f t="array" ref="S70">INDEX('Stage-ConceptMap-1'!$I$15:$N$124,Q70+1,R70)</f>
        <v>* group[=].element[=].display = ##34#Ajcc edition##34#</v>
      </c>
    </row>
    <row r="71" spans="7:19" x14ac:dyDescent="0.75">
      <c r="G71" s="78"/>
      <c r="P71" s="11">
        <v>57</v>
      </c>
      <c r="Q71" s="11">
        <f t="shared" si="5"/>
        <v>9</v>
      </c>
      <c r="R71" s="11">
        <f t="shared" si="6"/>
        <v>3</v>
      </c>
      <c r="S71" s="12" t="str" cm="1">
        <f t="array" ref="S71">INDEX('Stage-ConceptMap-1'!$I$15:$N$124,Q71+1,R71)</f>
        <v>* group[=].element[=].target.code = #Observation.</v>
      </c>
    </row>
    <row r="72" spans="7:19" x14ac:dyDescent="0.75">
      <c r="G72" s="78"/>
      <c r="P72" s="11">
        <v>58</v>
      </c>
      <c r="Q72" s="11">
        <f t="shared" si="5"/>
        <v>9</v>
      </c>
      <c r="R72" s="11">
        <f t="shared" si="6"/>
        <v>4</v>
      </c>
      <c r="S72" s="12" t="str" cm="1">
        <f t="array" ref="S72">INDEX('Stage-ConceptMap-1'!$I$15:$N$124,Q72+1,R72)</f>
        <v>* group[=].element[=].target.display = ##34###34#</v>
      </c>
    </row>
    <row r="73" spans="7:19" x14ac:dyDescent="0.75">
      <c r="G73" s="78"/>
      <c r="P73" s="11">
        <v>59</v>
      </c>
      <c r="Q73" s="11">
        <f t="shared" si="5"/>
        <v>9</v>
      </c>
      <c r="R73" s="11">
        <f t="shared" si="6"/>
        <v>5</v>
      </c>
      <c r="S73" s="12" t="str" cm="1">
        <f t="array" ref="S73">INDEX('Stage-ConceptMap-1'!$I$15:$N$124,Q73+1,R73)</f>
        <v>* group[=].element[=].target.equivalence = #relatedto</v>
      </c>
    </row>
    <row r="74" spans="7:19" ht="29.5" x14ac:dyDescent="0.75">
      <c r="G74" s="78"/>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78"/>
      <c r="P75" s="11">
        <v>61</v>
      </c>
      <c r="Q75" s="11">
        <f t="shared" si="5"/>
        <v>10</v>
      </c>
      <c r="R75" s="11">
        <f t="shared" si="6"/>
        <v>1</v>
      </c>
      <c r="S75" s="12" t="str" cm="1">
        <f t="array" ref="S75">INDEX('Stage-ConceptMap-1'!$I$15:$N$124,Q75+1,R75)</f>
        <v>* group[=].element[+].code = #Stage.regionalNodalMetastases</v>
      </c>
    </row>
    <row r="76" spans="7:19" x14ac:dyDescent="0.75">
      <c r="G76" s="78"/>
      <c r="P76" s="11">
        <v>62</v>
      </c>
      <c r="Q76" s="11">
        <f t="shared" si="5"/>
        <v>10</v>
      </c>
      <c r="R76" s="11">
        <f t="shared" si="6"/>
        <v>2</v>
      </c>
      <c r="S76" s="12" t="str" cm="1">
        <f t="array" ref="S76">INDEX('Stage-ConceptMap-1'!$I$15:$N$124,Q76+1,R76)</f>
        <v>* group[=].element[=].display = ##34#Regional nodal metastases##34#</v>
      </c>
    </row>
    <row r="77" spans="7:19" x14ac:dyDescent="0.75">
      <c r="G77" s="78"/>
      <c r="P77" s="11">
        <v>63</v>
      </c>
      <c r="Q77" s="11">
        <f t="shared" si="5"/>
        <v>10</v>
      </c>
      <c r="R77" s="11">
        <f t="shared" si="6"/>
        <v>3</v>
      </c>
      <c r="S77" s="12" t="str" cm="1">
        <f t="array" ref="S77">INDEX('Stage-ConceptMap-1'!$I$15:$N$124,Q77+1,R77)</f>
        <v>* group[=].element[=].target.code = #Observation.</v>
      </c>
    </row>
    <row r="78" spans="7:19" x14ac:dyDescent="0.75">
      <c r="G78" s="78"/>
      <c r="P78" s="11">
        <v>64</v>
      </c>
      <c r="Q78" s="11">
        <f t="shared" si="5"/>
        <v>10</v>
      </c>
      <c r="R78" s="11">
        <f t="shared" si="6"/>
        <v>4</v>
      </c>
      <c r="S78" s="12" t="str" cm="1">
        <f t="array" ref="S78">INDEX('Stage-ConceptMap-1'!$I$15:$N$124,Q78+1,R78)</f>
        <v>* group[=].element[=].target.display = ##34###34#</v>
      </c>
    </row>
    <row r="79" spans="7:19" x14ac:dyDescent="0.75">
      <c r="G79" s="78"/>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78"/>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78"/>
      <c r="P81" s="11">
        <v>67</v>
      </c>
      <c r="Q81" s="11">
        <f t="shared" si="8"/>
        <v>11</v>
      </c>
      <c r="R81" s="11">
        <f t="shared" si="9"/>
        <v>1</v>
      </c>
      <c r="S81" s="12" t="str" cm="1">
        <f t="array" ref="S81">INDEX('Stage-ConceptMap-1'!$I$15:$N$124,Q81+1,R81)</f>
        <v>* group[=].element[+].code = #Stage.sites.softTissue</v>
      </c>
    </row>
    <row r="82" spans="7:19" x14ac:dyDescent="0.75">
      <c r="G82" s="78"/>
      <c r="P82" s="11">
        <v>68</v>
      </c>
      <c r="Q82" s="11">
        <f t="shared" si="8"/>
        <v>11</v>
      </c>
      <c r="R82" s="11">
        <f t="shared" si="9"/>
        <v>2</v>
      </c>
      <c r="S82" s="12" t="str" cm="1">
        <f t="array" ref="S82">INDEX('Stage-ConceptMap-1'!$I$15:$N$124,Q82+1,R82)</f>
        <v>* group[=].element[=].display = ##34#Soft tissue##34#</v>
      </c>
    </row>
    <row r="83" spans="7:19" x14ac:dyDescent="0.75">
      <c r="G83" s="78"/>
      <c r="P83" s="11">
        <v>69</v>
      </c>
      <c r="Q83" s="11">
        <f t="shared" si="8"/>
        <v>11</v>
      </c>
      <c r="R83" s="11">
        <f t="shared" si="9"/>
        <v>3</v>
      </c>
      <c r="S83" s="12" t="str" cm="1">
        <f t="array" ref="S83">INDEX('Stage-ConceptMap-1'!$I$15:$N$124,Q83+1,R83)</f>
        <v>* group[=].element[=].target.code = #Observation.</v>
      </c>
    </row>
    <row r="84" spans="7:19" x14ac:dyDescent="0.75">
      <c r="G84" s="78"/>
      <c r="P84" s="11">
        <v>70</v>
      </c>
      <c r="Q84" s="11">
        <f t="shared" si="8"/>
        <v>11</v>
      </c>
      <c r="R84" s="11">
        <f t="shared" si="9"/>
        <v>4</v>
      </c>
      <c r="S84" s="12" t="str" cm="1">
        <f t="array" ref="S84">INDEX('Stage-ConceptMap-1'!$I$15:$N$124,Q84+1,R84)</f>
        <v>* group[=].element[=].target.display = ##34###34#</v>
      </c>
    </row>
    <row r="85" spans="7:19" x14ac:dyDescent="0.75">
      <c r="G85" s="78"/>
      <c r="P85" s="11">
        <v>71</v>
      </c>
      <c r="Q85" s="11">
        <f t="shared" si="8"/>
        <v>11</v>
      </c>
      <c r="R85" s="11">
        <f t="shared" si="9"/>
        <v>5</v>
      </c>
      <c r="S85" s="12" t="str" cm="1">
        <f t="array" ref="S85">INDEX('Stage-ConceptMap-1'!$I$15:$N$124,Q85+1,R85)</f>
        <v>* group[=].element[=].target.equivalence = #relatedto</v>
      </c>
    </row>
    <row r="86" spans="7:19" ht="29.5" x14ac:dyDescent="0.75">
      <c r="G86" s="78"/>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78"/>
      <c r="P87" s="11">
        <v>73</v>
      </c>
      <c r="Q87" s="11">
        <f t="shared" si="8"/>
        <v>12</v>
      </c>
      <c r="R87" s="11">
        <f t="shared" si="9"/>
        <v>1</v>
      </c>
      <c r="S87" s="12" t="str" cm="1">
        <f t="array" ref="S87">INDEX('Stage-ConceptMap-1'!$I$15:$N$124,Q87+1,R87)</f>
        <v>* group[=].element[+].code = #Stage.sites.distantLymphNode</v>
      </c>
    </row>
    <row r="88" spans="7:19" x14ac:dyDescent="0.75">
      <c r="G88" s="78"/>
      <c r="P88" s="11">
        <v>74</v>
      </c>
      <c r="Q88" s="11">
        <f t="shared" si="8"/>
        <v>12</v>
      </c>
      <c r="R88" s="11">
        <f t="shared" si="9"/>
        <v>2</v>
      </c>
      <c r="S88" s="12" t="str" cm="1">
        <f t="array" ref="S88">INDEX('Stage-ConceptMap-1'!$I$15:$N$124,Q88+1,R88)</f>
        <v>* group[=].element[=].display = ##34#distant lymph node##34#</v>
      </c>
    </row>
    <row r="89" spans="7:19" x14ac:dyDescent="0.75">
      <c r="G89" s="78"/>
      <c r="P89" s="11">
        <v>75</v>
      </c>
      <c r="Q89" s="11">
        <f t="shared" si="8"/>
        <v>12</v>
      </c>
      <c r="R89" s="11">
        <f t="shared" si="9"/>
        <v>3</v>
      </c>
      <c r="S89" s="12" t="str" cm="1">
        <f t="array" ref="S89">INDEX('Stage-ConceptMap-1'!$I$15:$N$124,Q89+1,R89)</f>
        <v>* group[=].element[=].target.code = #Observation.</v>
      </c>
    </row>
    <row r="90" spans="7:19" x14ac:dyDescent="0.75">
      <c r="G90" s="78"/>
      <c r="P90" s="11">
        <v>76</v>
      </c>
      <c r="Q90" s="11">
        <f t="shared" si="8"/>
        <v>12</v>
      </c>
      <c r="R90" s="11">
        <f t="shared" si="9"/>
        <v>4</v>
      </c>
      <c r="S90" s="12" t="str" cm="1">
        <f t="array" ref="S90">INDEX('Stage-ConceptMap-1'!$I$15:$N$124,Q90+1,R90)</f>
        <v>* group[=].element[=].target.display = ##34###34#</v>
      </c>
    </row>
    <row r="91" spans="7:19" x14ac:dyDescent="0.75">
      <c r="G91" s="78"/>
      <c r="P91" s="11">
        <v>77</v>
      </c>
      <c r="Q91" s="11">
        <f t="shared" si="8"/>
        <v>12</v>
      </c>
      <c r="R91" s="11">
        <f t="shared" si="9"/>
        <v>5</v>
      </c>
      <c r="S91" s="12" t="str" cm="1">
        <f t="array" ref="S91">INDEX('Stage-ConceptMap-1'!$I$15:$N$124,Q91+1,R91)</f>
        <v>* group[=].element[=].target.equivalence = #relatedto</v>
      </c>
    </row>
    <row r="92" spans="7:19" ht="29.5" x14ac:dyDescent="0.75">
      <c r="G92" s="78"/>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78"/>
      <c r="P93" s="11">
        <v>79</v>
      </c>
      <c r="Q93" s="11">
        <f t="shared" si="8"/>
        <v>13</v>
      </c>
      <c r="R93" s="11">
        <f t="shared" si="9"/>
        <v>1</v>
      </c>
      <c r="S93" s="12" t="str" cm="1">
        <f t="array" ref="S93">INDEX('Stage-ConceptMap-1'!$I$15:$N$124,Q93+1,R93)</f>
        <v>* group[=].element[+].code = #Stage.sites.lung</v>
      </c>
    </row>
    <row r="94" spans="7:19" x14ac:dyDescent="0.75">
      <c r="G94" s="78"/>
      <c r="P94" s="11">
        <v>80</v>
      </c>
      <c r="Q94" s="11">
        <f t="shared" si="8"/>
        <v>13</v>
      </c>
      <c r="R94" s="11">
        <f t="shared" si="9"/>
        <v>2</v>
      </c>
      <c r="S94" s="12" t="str" cm="1">
        <f t="array" ref="S94">INDEX('Stage-ConceptMap-1'!$I$15:$N$124,Q94+1,R94)</f>
        <v>* group[=].element[=].display = ##34#lung##34#</v>
      </c>
    </row>
    <row r="95" spans="7:19" x14ac:dyDescent="0.75">
      <c r="G95" s="78"/>
      <c r="P95" s="11">
        <v>81</v>
      </c>
      <c r="Q95" s="11">
        <f t="shared" si="8"/>
        <v>13</v>
      </c>
      <c r="R95" s="11">
        <f t="shared" si="9"/>
        <v>3</v>
      </c>
      <c r="S95" s="12" t="str" cm="1">
        <f t="array" ref="S95">INDEX('Stage-ConceptMap-1'!$I$15:$N$124,Q95+1,R95)</f>
        <v>* group[=].element[=].target.code = #Observation.</v>
      </c>
    </row>
    <row r="96" spans="7:19" x14ac:dyDescent="0.75">
      <c r="G96" s="78"/>
      <c r="P96" s="11">
        <v>82</v>
      </c>
      <c r="Q96" s="11">
        <f t="shared" si="8"/>
        <v>13</v>
      </c>
      <c r="R96" s="11">
        <f t="shared" si="9"/>
        <v>4</v>
      </c>
      <c r="S96" s="12" t="str" cm="1">
        <f t="array" ref="S96">INDEX('Stage-ConceptMap-1'!$I$15:$N$124,Q96+1,R96)</f>
        <v>* group[=].element[=].target.display = ##34###34#</v>
      </c>
    </row>
    <row r="97" spans="7:19" x14ac:dyDescent="0.75">
      <c r="G97" s="78"/>
      <c r="P97" s="11">
        <v>83</v>
      </c>
      <c r="Q97" s="11">
        <f t="shared" si="8"/>
        <v>13</v>
      </c>
      <c r="R97" s="11">
        <f t="shared" si="9"/>
        <v>5</v>
      </c>
      <c r="S97" s="12" t="str" cm="1">
        <f t="array" ref="S97">INDEX('Stage-ConceptMap-1'!$I$15:$N$124,Q97+1,R97)</f>
        <v>* group[=].element[=].target.equivalence = #relatedto</v>
      </c>
    </row>
    <row r="98" spans="7:19" ht="29.5" x14ac:dyDescent="0.75">
      <c r="G98" s="78"/>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78"/>
      <c r="P99" s="11">
        <v>85</v>
      </c>
      <c r="Q99" s="11">
        <f t="shared" si="8"/>
        <v>14</v>
      </c>
      <c r="R99" s="11">
        <f t="shared" si="9"/>
        <v>1</v>
      </c>
      <c r="S99" s="12" t="str" cm="1">
        <f t="array" ref="S99">INDEX('Stage-ConceptMap-1'!$I$15:$N$124,Q99+1,R99)</f>
        <v>* group[=].element[+].code = #Stage.sites.bone</v>
      </c>
    </row>
    <row r="100" spans="7:19" x14ac:dyDescent="0.75">
      <c r="G100" s="78"/>
      <c r="P100" s="11">
        <v>86</v>
      </c>
      <c r="Q100" s="11">
        <f t="shared" si="8"/>
        <v>14</v>
      </c>
      <c r="R100" s="11">
        <f t="shared" si="9"/>
        <v>2</v>
      </c>
      <c r="S100" s="12" t="str" cm="1">
        <f t="array" ref="S100">INDEX('Stage-ConceptMap-1'!$I$15:$N$124,Q100+1,R100)</f>
        <v>* group[=].element[=].display = ##34#bone##34#</v>
      </c>
    </row>
    <row r="101" spans="7:19" x14ac:dyDescent="0.75">
      <c r="G101" s="78"/>
      <c r="P101" s="11">
        <v>87</v>
      </c>
      <c r="Q101" s="11">
        <f t="shared" si="8"/>
        <v>14</v>
      </c>
      <c r="R101" s="11">
        <f t="shared" si="9"/>
        <v>3</v>
      </c>
      <c r="S101" s="12" t="str" cm="1">
        <f t="array" ref="S101">INDEX('Stage-ConceptMap-1'!$I$15:$N$124,Q101+1,R101)</f>
        <v>* group[=].element[=].target.code = #Observation.</v>
      </c>
    </row>
    <row r="102" spans="7:19" x14ac:dyDescent="0.75">
      <c r="G102" s="78"/>
      <c r="P102" s="11">
        <v>88</v>
      </c>
      <c r="Q102" s="11">
        <f t="shared" si="8"/>
        <v>14</v>
      </c>
      <c r="R102" s="11">
        <f t="shared" si="9"/>
        <v>4</v>
      </c>
      <c r="S102" s="12" t="str" cm="1">
        <f t="array" ref="S102">INDEX('Stage-ConceptMap-1'!$I$15:$N$124,Q102+1,R102)</f>
        <v>* group[=].element[=].target.display = ##34###34#</v>
      </c>
    </row>
    <row r="103" spans="7:19" x14ac:dyDescent="0.75">
      <c r="G103" s="78"/>
      <c r="P103" s="11">
        <v>89</v>
      </c>
      <c r="Q103" s="11">
        <f t="shared" si="8"/>
        <v>14</v>
      </c>
      <c r="R103" s="11">
        <f t="shared" si="9"/>
        <v>5</v>
      </c>
      <c r="S103" s="12" t="str" cm="1">
        <f t="array" ref="S103">INDEX('Stage-ConceptMap-1'!$I$15:$N$124,Q103+1,R103)</f>
        <v>* group[=].element[=].target.equivalence = #relatedto</v>
      </c>
    </row>
    <row r="104" spans="7:19" ht="29.5" x14ac:dyDescent="0.75">
      <c r="G104" s="78"/>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78"/>
      <c r="P105" s="11">
        <v>91</v>
      </c>
      <c r="Q105" s="11">
        <f t="shared" si="8"/>
        <v>15</v>
      </c>
      <c r="R105" s="11">
        <f t="shared" si="9"/>
        <v>1</v>
      </c>
      <c r="S105" s="12" t="str" cm="1">
        <f t="array" ref="S105">INDEX('Stage-ConceptMap-1'!$I$15:$N$124,Q105+1,R105)</f>
        <v>* group[=].element[+].code = #Stage.sites.liver</v>
      </c>
    </row>
    <row r="106" spans="7:19" x14ac:dyDescent="0.75">
      <c r="G106" s="78"/>
      <c r="P106" s="11">
        <v>92</v>
      </c>
      <c r="Q106" s="11">
        <f t="shared" si="8"/>
        <v>15</v>
      </c>
      <c r="R106" s="11">
        <f t="shared" si="9"/>
        <v>2</v>
      </c>
      <c r="S106" s="12" t="str" cm="1">
        <f t="array" ref="S106">INDEX('Stage-ConceptMap-1'!$I$15:$N$124,Q106+1,R106)</f>
        <v>* group[=].element[=].display = ##34#liver##34#</v>
      </c>
    </row>
    <row r="107" spans="7:19" x14ac:dyDescent="0.75">
      <c r="G107" s="78"/>
      <c r="P107" s="11">
        <v>93</v>
      </c>
      <c r="Q107" s="11">
        <f t="shared" si="8"/>
        <v>15</v>
      </c>
      <c r="R107" s="11">
        <f t="shared" si="9"/>
        <v>3</v>
      </c>
      <c r="S107" s="12" t="str" cm="1">
        <f t="array" ref="S107">INDEX('Stage-ConceptMap-1'!$I$15:$N$124,Q107+1,R107)</f>
        <v>* group[=].element[=].target.code = #Observation.</v>
      </c>
    </row>
    <row r="108" spans="7:19" x14ac:dyDescent="0.75">
      <c r="G108" s="78"/>
      <c r="P108" s="11">
        <v>94</v>
      </c>
      <c r="Q108" s="11">
        <f t="shared" si="8"/>
        <v>15</v>
      </c>
      <c r="R108" s="11">
        <f t="shared" si="9"/>
        <v>4</v>
      </c>
      <c r="S108" s="12" t="str" cm="1">
        <f t="array" ref="S108">INDEX('Stage-ConceptMap-1'!$I$15:$N$124,Q108+1,R108)</f>
        <v>* group[=].element[=].target.display = ##34###34#</v>
      </c>
    </row>
    <row r="109" spans="7:19" x14ac:dyDescent="0.75">
      <c r="G109" s="78"/>
      <c r="P109" s="11">
        <v>95</v>
      </c>
      <c r="Q109" s="11">
        <f t="shared" si="8"/>
        <v>15</v>
      </c>
      <c r="R109" s="11">
        <f t="shared" si="9"/>
        <v>5</v>
      </c>
      <c r="S109" s="12" t="str" cm="1">
        <f t="array" ref="S109">INDEX('Stage-ConceptMap-1'!$I$15:$N$124,Q109+1,R109)</f>
        <v>* group[=].element[=].target.equivalence = #relatedto</v>
      </c>
    </row>
    <row r="110" spans="7:19" ht="29.5" x14ac:dyDescent="0.75">
      <c r="G110" s="78"/>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78"/>
      <c r="P111" s="11">
        <v>97</v>
      </c>
      <c r="Q111" s="11">
        <f t="shared" si="8"/>
        <v>16</v>
      </c>
      <c r="R111" s="11">
        <f t="shared" si="9"/>
        <v>1</v>
      </c>
      <c r="S111" s="12" t="str" cm="1">
        <f t="array" ref="S111">INDEX('Stage-ConceptMap-1'!$I$15:$N$124,Q111+1,R111)</f>
        <v>* group[=].element[+].code = #Stage.sites.pleura</v>
      </c>
    </row>
    <row r="112" spans="7:19" x14ac:dyDescent="0.75">
      <c r="G112" s="78"/>
      <c r="P112" s="11">
        <v>98</v>
      </c>
      <c r="Q112" s="11">
        <f t="shared" si="8"/>
        <v>16</v>
      </c>
      <c r="R112" s="11">
        <f t="shared" si="9"/>
        <v>2</v>
      </c>
      <c r="S112" s="12" t="str" cm="1">
        <f t="array" ref="S112">INDEX('Stage-ConceptMap-1'!$I$15:$N$124,Q112+1,R112)</f>
        <v>* group[=].element[=].display = ##34#pleura##34#</v>
      </c>
    </row>
    <row r="113" spans="7:19" x14ac:dyDescent="0.75">
      <c r="G113" s="78"/>
      <c r="P113" s="11">
        <v>99</v>
      </c>
      <c r="Q113" s="11">
        <f t="shared" si="8"/>
        <v>16</v>
      </c>
      <c r="R113" s="11">
        <f t="shared" si="9"/>
        <v>3</v>
      </c>
      <c r="S113" s="12" t="str" cm="1">
        <f t="array" ref="S113">INDEX('Stage-ConceptMap-1'!$I$15:$N$124,Q113+1,R113)</f>
        <v>* group[=].element[=].target.code = #Observation.</v>
      </c>
    </row>
    <row r="114" spans="7:19" x14ac:dyDescent="0.75">
      <c r="G114" s="78"/>
      <c r="P114" s="11">
        <v>100</v>
      </c>
      <c r="Q114" s="11">
        <f t="shared" si="8"/>
        <v>16</v>
      </c>
      <c r="R114" s="11">
        <f t="shared" si="9"/>
        <v>4</v>
      </c>
      <c r="S114" s="12" t="str" cm="1">
        <f t="array" ref="S114">INDEX('Stage-ConceptMap-1'!$I$15:$N$124,Q114+1,R114)</f>
        <v>* group[=].element[=].target.display = ##34###34#</v>
      </c>
    </row>
    <row r="115" spans="7:19" x14ac:dyDescent="0.75">
      <c r="G115" s="78"/>
      <c r="P115" s="11">
        <v>101</v>
      </c>
      <c r="Q115" s="11">
        <f t="shared" si="8"/>
        <v>16</v>
      </c>
      <c r="R115" s="11">
        <f t="shared" si="9"/>
        <v>5</v>
      </c>
      <c r="S115" s="12" t="str" cm="1">
        <f t="array" ref="S115">INDEX('Stage-ConceptMap-1'!$I$15:$N$124,Q115+1,R115)</f>
        <v>* group[=].element[=].target.equivalence = #relatedto</v>
      </c>
    </row>
    <row r="116" spans="7:19" ht="29.5" x14ac:dyDescent="0.75">
      <c r="G116" s="78"/>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78"/>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1655</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1655</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1648</v>
      </c>
      <c r="E15" s="12"/>
      <c r="F15" s="49" t="s">
        <v>1294</v>
      </c>
      <c r="G15" s="78"/>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97"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97"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97" t="s">
        <v>1311</v>
      </c>
      <c r="G18" s="78"/>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1656</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1656</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1648</v>
      </c>
      <c r="E15" s="12"/>
      <c r="F15" s="49" t="s">
        <v>1294</v>
      </c>
      <c r="G15" s="78"/>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7"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97"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97" t="s">
        <v>1311</v>
      </c>
      <c r="G18" s="78"/>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78"/>
      <c r="P44" s="11">
        <v>30</v>
      </c>
      <c r="Q44" s="11">
        <f t="shared" si="6"/>
        <v>4</v>
      </c>
      <c r="R44" s="11">
        <f t="shared" si="7"/>
        <v>6</v>
      </c>
      <c r="S44" s="12" cm="1">
        <f t="array" ref="S44">INDEX('Stage-ConceptMap-3'!$I$15:$N$123,Q44+1,R44)</f>
        <v>0</v>
      </c>
    </row>
    <row r="45" spans="1:19" x14ac:dyDescent="0.75">
      <c r="B45" s="11"/>
      <c r="C45" s="11"/>
      <c r="G45" s="78"/>
      <c r="P45" s="11">
        <v>31</v>
      </c>
      <c r="Q45" s="11">
        <f t="shared" si="6"/>
        <v>5</v>
      </c>
      <c r="R45" s="11">
        <f t="shared" si="7"/>
        <v>1</v>
      </c>
      <c r="S45" s="12" cm="1">
        <f t="array" ref="S45">INDEX('Stage-ConceptMap-3'!$I$15:$N$123,Q45+1,R45)</f>
        <v>0</v>
      </c>
    </row>
    <row r="46" spans="1:19" x14ac:dyDescent="0.75">
      <c r="G46" s="78"/>
      <c r="P46" s="11">
        <v>32</v>
      </c>
      <c r="Q46" s="11">
        <f t="shared" si="6"/>
        <v>5</v>
      </c>
      <c r="R46" s="11">
        <f t="shared" si="7"/>
        <v>2</v>
      </c>
      <c r="S46" s="12" cm="1">
        <f t="array" ref="S46">INDEX('Stage-ConceptMap-3'!$I$15:$N$123,Q46+1,R46)</f>
        <v>0</v>
      </c>
    </row>
    <row r="47" spans="1:19" x14ac:dyDescent="0.75">
      <c r="G47" s="78"/>
      <c r="P47" s="11">
        <v>33</v>
      </c>
      <c r="Q47" s="11">
        <f t="shared" si="6"/>
        <v>5</v>
      </c>
      <c r="R47" s="11">
        <f t="shared" si="7"/>
        <v>3</v>
      </c>
      <c r="S47" s="12" cm="1">
        <f t="array" ref="S47">INDEX('Stage-ConceptMap-3'!$I$15:$N$123,Q47+1,R47)</f>
        <v>0</v>
      </c>
    </row>
    <row r="48" spans="1:19" x14ac:dyDescent="0.75">
      <c r="G48" s="78"/>
      <c r="P48" s="11">
        <v>34</v>
      </c>
      <c r="Q48" s="11">
        <f t="shared" si="6"/>
        <v>5</v>
      </c>
      <c r="R48" s="11">
        <f t="shared" si="7"/>
        <v>4</v>
      </c>
      <c r="S48" s="12" cm="1">
        <f t="array" ref="S48">INDEX('Stage-ConceptMap-3'!$I$15:$N$123,Q48+1,R48)</f>
        <v>0</v>
      </c>
    </row>
    <row r="49" spans="7:19" x14ac:dyDescent="0.75">
      <c r="G49" s="78"/>
      <c r="P49" s="11">
        <v>35</v>
      </c>
      <c r="Q49" s="11">
        <f t="shared" si="6"/>
        <v>5</v>
      </c>
      <c r="R49" s="11">
        <f t="shared" si="7"/>
        <v>5</v>
      </c>
      <c r="S49" s="12" cm="1">
        <f t="array" ref="S49">INDEX('Stage-ConceptMap-3'!$I$15:$N$123,Q49+1,R49)</f>
        <v>0</v>
      </c>
    </row>
    <row r="50" spans="7:19" x14ac:dyDescent="0.75">
      <c r="G50" s="78"/>
      <c r="P50" s="11">
        <v>36</v>
      </c>
      <c r="Q50" s="11">
        <f t="shared" si="6"/>
        <v>5</v>
      </c>
      <c r="R50" s="11">
        <f t="shared" si="7"/>
        <v>6</v>
      </c>
      <c r="S50" s="12" cm="1">
        <f t="array" ref="S50">INDEX('Stage-ConceptMap-3'!$I$15:$N$123,Q50+1,R50)</f>
        <v>0</v>
      </c>
    </row>
    <row r="51" spans="7:19" x14ac:dyDescent="0.75">
      <c r="G51" s="78"/>
      <c r="P51" s="11">
        <v>37</v>
      </c>
      <c r="Q51" s="11">
        <f t="shared" si="6"/>
        <v>6</v>
      </c>
      <c r="R51" s="11">
        <f t="shared" si="7"/>
        <v>1</v>
      </c>
      <c r="S51" s="12" cm="1">
        <f t="array" ref="S51">INDEX('Stage-ConceptMap-3'!$I$15:$N$123,Q51+1,R51)</f>
        <v>0</v>
      </c>
    </row>
    <row r="52" spans="7:19" x14ac:dyDescent="0.75">
      <c r="G52" s="78"/>
      <c r="P52" s="11">
        <v>38</v>
      </c>
      <c r="Q52" s="11">
        <f t="shared" si="6"/>
        <v>6</v>
      </c>
      <c r="R52" s="11">
        <f t="shared" si="7"/>
        <v>2</v>
      </c>
      <c r="S52" s="12" cm="1">
        <f t="array" ref="S52">INDEX('Stage-ConceptMap-3'!$I$15:$N$123,Q52+1,R52)</f>
        <v>0</v>
      </c>
    </row>
    <row r="53" spans="7:19" x14ac:dyDescent="0.75">
      <c r="G53" s="78"/>
      <c r="P53" s="11">
        <v>39</v>
      </c>
      <c r="Q53" s="11">
        <f t="shared" si="6"/>
        <v>6</v>
      </c>
      <c r="R53" s="11">
        <f t="shared" si="7"/>
        <v>3</v>
      </c>
      <c r="S53" s="12" cm="1">
        <f t="array" ref="S53">INDEX('Stage-ConceptMap-3'!$I$15:$N$123,Q53+1,R53)</f>
        <v>0</v>
      </c>
    </row>
    <row r="54" spans="7:19" x14ac:dyDescent="0.75">
      <c r="G54" s="78"/>
      <c r="P54" s="11">
        <v>40</v>
      </c>
      <c r="Q54" s="11">
        <f t="shared" si="6"/>
        <v>6</v>
      </c>
      <c r="R54" s="11">
        <f t="shared" si="7"/>
        <v>4</v>
      </c>
      <c r="S54" s="12" cm="1">
        <f t="array" ref="S54">INDEX('Stage-ConceptMap-3'!$I$15:$N$123,Q54+1,R54)</f>
        <v>0</v>
      </c>
    </row>
    <row r="55" spans="7:19" x14ac:dyDescent="0.75">
      <c r="G55" s="78"/>
      <c r="P55" s="11">
        <v>41</v>
      </c>
      <c r="Q55" s="11">
        <f t="shared" si="6"/>
        <v>6</v>
      </c>
      <c r="R55" s="11">
        <f t="shared" si="7"/>
        <v>5</v>
      </c>
      <c r="S55" s="12" cm="1">
        <f t="array" ref="S55">INDEX('Stage-ConceptMap-3'!$I$15:$N$123,Q55+1,R55)</f>
        <v>0</v>
      </c>
    </row>
    <row r="56" spans="7:19" x14ac:dyDescent="0.75">
      <c r="G56" s="78"/>
      <c r="P56" s="11">
        <v>42</v>
      </c>
      <c r="Q56" s="11">
        <f t="shared" si="6"/>
        <v>6</v>
      </c>
      <c r="R56" s="11">
        <f t="shared" si="7"/>
        <v>6</v>
      </c>
      <c r="S56" s="12" cm="1">
        <f t="array" ref="S56">INDEX('Stage-ConceptMap-3'!$I$15:$N$123,Q56+1,R56)</f>
        <v>0</v>
      </c>
    </row>
    <row r="57" spans="7:19" x14ac:dyDescent="0.75">
      <c r="G57" s="78"/>
      <c r="P57" s="11">
        <v>43</v>
      </c>
      <c r="Q57" s="11">
        <f t="shared" si="6"/>
        <v>7</v>
      </c>
      <c r="R57" s="11">
        <f t="shared" si="7"/>
        <v>1</v>
      </c>
      <c r="S57" s="12" cm="1">
        <f t="array" ref="S57">INDEX('Stage-ConceptMap-3'!$I$15:$N$123,Q57+1,R57)</f>
        <v>0</v>
      </c>
    </row>
    <row r="58" spans="7:19" x14ac:dyDescent="0.75">
      <c r="G58" s="78"/>
      <c r="P58" s="11">
        <v>44</v>
      </c>
      <c r="Q58" s="11">
        <f t="shared" si="6"/>
        <v>7</v>
      </c>
      <c r="R58" s="11">
        <f t="shared" si="7"/>
        <v>2</v>
      </c>
      <c r="S58" s="12" cm="1">
        <f t="array" ref="S58">INDEX('Stage-ConceptMap-3'!$I$15:$N$123,Q58+1,R58)</f>
        <v>0</v>
      </c>
    </row>
    <row r="59" spans="7:19" x14ac:dyDescent="0.75">
      <c r="G59" s="78"/>
      <c r="P59" s="11">
        <v>45</v>
      </c>
      <c r="Q59" s="11">
        <f t="shared" si="6"/>
        <v>7</v>
      </c>
      <c r="R59" s="11">
        <f t="shared" si="7"/>
        <v>3</v>
      </c>
      <c r="S59" s="12" cm="1">
        <f t="array" ref="S59">INDEX('Stage-ConceptMap-3'!$I$15:$N$123,Q59+1,R59)</f>
        <v>0</v>
      </c>
    </row>
    <row r="60" spans="7:19" x14ac:dyDescent="0.75">
      <c r="G60" s="78"/>
      <c r="P60" s="11">
        <v>46</v>
      </c>
      <c r="Q60" s="11">
        <f t="shared" si="6"/>
        <v>7</v>
      </c>
      <c r="R60" s="11">
        <f t="shared" si="7"/>
        <v>4</v>
      </c>
      <c r="S60" s="12" cm="1">
        <f t="array" ref="S60">INDEX('Stage-ConceptMap-3'!$I$15:$N$123,Q60+1,R60)</f>
        <v>0</v>
      </c>
    </row>
    <row r="61" spans="7:19" x14ac:dyDescent="0.75">
      <c r="G61" s="78"/>
      <c r="P61" s="11">
        <v>47</v>
      </c>
      <c r="Q61" s="11">
        <f t="shared" si="6"/>
        <v>7</v>
      </c>
      <c r="R61" s="11">
        <f t="shared" si="7"/>
        <v>5</v>
      </c>
      <c r="S61" s="12" cm="1">
        <f t="array" ref="S61">INDEX('Stage-ConceptMap-3'!$I$15:$N$123,Q61+1,R61)</f>
        <v>0</v>
      </c>
    </row>
    <row r="62" spans="7:19" x14ac:dyDescent="0.75">
      <c r="G62" s="78"/>
      <c r="P62" s="11">
        <v>48</v>
      </c>
      <c r="Q62" s="11">
        <f t="shared" si="6"/>
        <v>7</v>
      </c>
      <c r="R62" s="11">
        <f t="shared" si="7"/>
        <v>6</v>
      </c>
      <c r="S62" s="12" cm="1">
        <f t="array" ref="S62">INDEX('Stage-ConceptMap-3'!$I$15:$N$123,Q62+1,R62)</f>
        <v>0</v>
      </c>
    </row>
    <row r="63" spans="7:19" x14ac:dyDescent="0.75">
      <c r="G63" s="78"/>
      <c r="P63" s="11">
        <v>49</v>
      </c>
      <c r="Q63" s="11">
        <f t="shared" si="6"/>
        <v>8</v>
      </c>
      <c r="R63" s="11">
        <f t="shared" si="7"/>
        <v>1</v>
      </c>
      <c r="S63" s="12" cm="1">
        <f t="array" ref="S63">INDEX('Stage-ConceptMap-3'!$I$15:$N$123,Q63+1,R63)</f>
        <v>0</v>
      </c>
    </row>
    <row r="64" spans="7:19" x14ac:dyDescent="0.75">
      <c r="G64" s="78"/>
      <c r="P64" s="11">
        <v>50</v>
      </c>
      <c r="Q64" s="11">
        <f t="shared" si="6"/>
        <v>8</v>
      </c>
      <c r="R64" s="11">
        <f t="shared" si="7"/>
        <v>2</v>
      </c>
      <c r="S64" s="12" cm="1">
        <f t="array" ref="S64">INDEX('Stage-ConceptMap-3'!$I$15:$N$123,Q64+1,R64)</f>
        <v>0</v>
      </c>
    </row>
    <row r="65" spans="7:19" x14ac:dyDescent="0.75">
      <c r="G65" s="78"/>
      <c r="P65" s="11">
        <v>51</v>
      </c>
      <c r="Q65" s="11">
        <f t="shared" si="6"/>
        <v>8</v>
      </c>
      <c r="R65" s="11">
        <f t="shared" si="7"/>
        <v>3</v>
      </c>
      <c r="S65" s="12" cm="1">
        <f t="array" ref="S65">INDEX('Stage-ConceptMap-3'!$I$15:$N$123,Q65+1,R65)</f>
        <v>0</v>
      </c>
    </row>
    <row r="66" spans="7:19" x14ac:dyDescent="0.75">
      <c r="G66" s="78"/>
      <c r="P66" s="11">
        <v>52</v>
      </c>
      <c r="Q66" s="11">
        <f t="shared" si="6"/>
        <v>8</v>
      </c>
      <c r="R66" s="11">
        <f t="shared" si="7"/>
        <v>4</v>
      </c>
      <c r="S66" s="12" cm="1">
        <f t="array" ref="S66">INDEX('Stage-ConceptMap-3'!$I$15:$N$123,Q66+1,R66)</f>
        <v>0</v>
      </c>
    </row>
    <row r="67" spans="7:19" x14ac:dyDescent="0.75">
      <c r="G67" s="78"/>
      <c r="P67" s="11">
        <v>53</v>
      </c>
      <c r="Q67" s="11">
        <f t="shared" si="6"/>
        <v>8</v>
      </c>
      <c r="R67" s="11">
        <f t="shared" si="7"/>
        <v>5</v>
      </c>
      <c r="S67" s="12" cm="1">
        <f t="array" ref="S67">INDEX('Stage-ConceptMap-3'!$I$15:$N$123,Q67+1,R67)</f>
        <v>0</v>
      </c>
    </row>
    <row r="68" spans="7:19" x14ac:dyDescent="0.75">
      <c r="G68" s="78"/>
      <c r="P68" s="11">
        <v>54</v>
      </c>
      <c r="Q68" s="11">
        <f t="shared" si="6"/>
        <v>8</v>
      </c>
      <c r="R68" s="11">
        <f t="shared" si="7"/>
        <v>6</v>
      </c>
      <c r="S68" s="12" cm="1">
        <f t="array" ref="S68">INDEX('Stage-ConceptMap-3'!$I$15:$N$123,Q68+1,R68)</f>
        <v>0</v>
      </c>
    </row>
    <row r="69" spans="7:19" x14ac:dyDescent="0.75">
      <c r="G69" s="78"/>
      <c r="P69" s="11">
        <v>55</v>
      </c>
      <c r="Q69" s="11">
        <f t="shared" si="6"/>
        <v>9</v>
      </c>
      <c r="R69" s="11">
        <f t="shared" si="7"/>
        <v>1</v>
      </c>
      <c r="S69" s="12" cm="1">
        <f t="array" ref="S69">INDEX('Stage-ConceptMap-3'!$I$15:$N$123,Q69+1,R69)</f>
        <v>0</v>
      </c>
    </row>
    <row r="70" spans="7:19" x14ac:dyDescent="0.75">
      <c r="G70" s="78"/>
      <c r="P70" s="11">
        <v>56</v>
      </c>
      <c r="Q70" s="11">
        <f t="shared" si="6"/>
        <v>9</v>
      </c>
      <c r="R70" s="11">
        <f t="shared" si="7"/>
        <v>2</v>
      </c>
      <c r="S70" s="12" cm="1">
        <f t="array" ref="S70">INDEX('Stage-ConceptMap-3'!$I$15:$N$123,Q70+1,R70)</f>
        <v>0</v>
      </c>
    </row>
    <row r="71" spans="7:19" x14ac:dyDescent="0.75">
      <c r="G71" s="78"/>
      <c r="P71" s="11">
        <v>57</v>
      </c>
      <c r="Q71" s="11">
        <f t="shared" si="6"/>
        <v>9</v>
      </c>
      <c r="R71" s="11">
        <f t="shared" si="7"/>
        <v>3</v>
      </c>
      <c r="S71" s="12" cm="1">
        <f t="array" ref="S71">INDEX('Stage-ConceptMap-3'!$I$15:$N$123,Q71+1,R71)</f>
        <v>0</v>
      </c>
    </row>
    <row r="72" spans="7:19" x14ac:dyDescent="0.75">
      <c r="G72" s="78"/>
      <c r="P72" s="11">
        <v>58</v>
      </c>
      <c r="Q72" s="11">
        <f t="shared" si="6"/>
        <v>9</v>
      </c>
      <c r="R72" s="11">
        <f t="shared" si="7"/>
        <v>4</v>
      </c>
      <c r="S72" s="12" cm="1">
        <f t="array" ref="S72">INDEX('Stage-ConceptMap-3'!$I$15:$N$123,Q72+1,R72)</f>
        <v>0</v>
      </c>
    </row>
    <row r="73" spans="7:19" x14ac:dyDescent="0.75">
      <c r="G73" s="78"/>
      <c r="P73" s="11">
        <v>59</v>
      </c>
      <c r="Q73" s="11">
        <f t="shared" si="6"/>
        <v>9</v>
      </c>
      <c r="R73" s="11">
        <f t="shared" si="7"/>
        <v>5</v>
      </c>
      <c r="S73" s="12" cm="1">
        <f t="array" ref="S73">INDEX('Stage-ConceptMap-3'!$I$15:$N$123,Q73+1,R73)</f>
        <v>0</v>
      </c>
    </row>
    <row r="74" spans="7:19" x14ac:dyDescent="0.75">
      <c r="G74" s="78"/>
      <c r="P74" s="11">
        <v>60</v>
      </c>
      <c r="Q74" s="11">
        <f t="shared" si="6"/>
        <v>9</v>
      </c>
      <c r="R74" s="11">
        <f t="shared" si="7"/>
        <v>6</v>
      </c>
      <c r="S74" s="12" cm="1">
        <f t="array" ref="S74">INDEX('Stage-ConceptMap-3'!$I$15:$N$123,Q74+1,R74)</f>
        <v>0</v>
      </c>
    </row>
    <row r="75" spans="7:19" x14ac:dyDescent="0.75">
      <c r="G75" s="78"/>
      <c r="P75" s="11">
        <v>61</v>
      </c>
      <c r="Q75" s="11">
        <f t="shared" si="6"/>
        <v>10</v>
      </c>
      <c r="R75" s="11">
        <f t="shared" si="7"/>
        <v>1</v>
      </c>
      <c r="S75" s="12" cm="1">
        <f t="array" ref="S75">INDEX('Stage-ConceptMap-3'!$I$15:$N$123,Q75+1,R75)</f>
        <v>0</v>
      </c>
    </row>
    <row r="76" spans="7:19" x14ac:dyDescent="0.75">
      <c r="G76" s="78"/>
      <c r="P76" s="11">
        <v>62</v>
      </c>
      <c r="Q76" s="11">
        <f t="shared" si="6"/>
        <v>10</v>
      </c>
      <c r="R76" s="11">
        <f t="shared" si="7"/>
        <v>2</v>
      </c>
      <c r="S76" s="12" cm="1">
        <f t="array" ref="S76">INDEX('Stage-ConceptMap-3'!$I$15:$N$123,Q76+1,R76)</f>
        <v>0</v>
      </c>
    </row>
    <row r="77" spans="7:19" x14ac:dyDescent="0.75">
      <c r="G77" s="78"/>
      <c r="P77" s="11">
        <v>63</v>
      </c>
      <c r="Q77" s="11">
        <f t="shared" si="6"/>
        <v>10</v>
      </c>
      <c r="R77" s="11">
        <f t="shared" si="7"/>
        <v>3</v>
      </c>
      <c r="S77" s="12" cm="1">
        <f t="array" ref="S77">INDEX('Stage-ConceptMap-3'!$I$15:$N$123,Q77+1,R77)</f>
        <v>0</v>
      </c>
    </row>
    <row r="78" spans="7:19" x14ac:dyDescent="0.75">
      <c r="G78" s="78"/>
      <c r="P78" s="11">
        <v>64</v>
      </c>
      <c r="Q78" s="11">
        <f t="shared" si="6"/>
        <v>10</v>
      </c>
      <c r="R78" s="11">
        <f t="shared" si="7"/>
        <v>4</v>
      </c>
      <c r="S78" s="12" cm="1">
        <f t="array" ref="S78">INDEX('Stage-ConceptMap-3'!$I$15:$N$123,Q78+1,R78)</f>
        <v>0</v>
      </c>
    </row>
    <row r="79" spans="7:19" x14ac:dyDescent="0.75">
      <c r="G79" s="78"/>
      <c r="P79" s="11">
        <v>65</v>
      </c>
      <c r="Q79" s="11">
        <f t="shared" ref="Q79:Q142" si="8">IF(MOD(P79,$Q$8)=0,P79/$Q$8-1,INT(P79/$Q$8))</f>
        <v>10</v>
      </c>
      <c r="R79" s="11">
        <f t="shared" ref="R79:R142" si="9">IF(MOD(P79,$Q$8)=0,$Q$8,MOD(P79,$Q$8))</f>
        <v>5</v>
      </c>
      <c r="S79" s="12" cm="1">
        <f t="array" ref="S79">INDEX('Stage-ConceptMap-3'!$I$15:$N$123,Q79+1,R79)</f>
        <v>0</v>
      </c>
    </row>
    <row r="80" spans="7:19" x14ac:dyDescent="0.75">
      <c r="G80" s="78"/>
      <c r="P80" s="11">
        <v>66</v>
      </c>
      <c r="Q80" s="11">
        <f t="shared" si="8"/>
        <v>10</v>
      </c>
      <c r="R80" s="11">
        <f t="shared" si="9"/>
        <v>6</v>
      </c>
      <c r="S80" s="12" cm="1">
        <f t="array" ref="S80">INDEX('Stage-ConceptMap-3'!$I$15:$N$123,Q80+1,R80)</f>
        <v>0</v>
      </c>
    </row>
    <row r="81" spans="7:19" x14ac:dyDescent="0.75">
      <c r="G81" s="78"/>
      <c r="P81" s="11">
        <v>67</v>
      </c>
      <c r="Q81" s="11">
        <f t="shared" si="8"/>
        <v>11</v>
      </c>
      <c r="R81" s="11">
        <f t="shared" si="9"/>
        <v>1</v>
      </c>
      <c r="S81" s="12" cm="1">
        <f t="array" ref="S81">INDEX('Stage-ConceptMap-3'!$I$15:$N$123,Q81+1,R81)</f>
        <v>0</v>
      </c>
    </row>
    <row r="82" spans="7:19" x14ac:dyDescent="0.75">
      <c r="G82" s="78"/>
      <c r="P82" s="11">
        <v>68</v>
      </c>
      <c r="Q82" s="11">
        <f t="shared" si="8"/>
        <v>11</v>
      </c>
      <c r="R82" s="11">
        <f t="shared" si="9"/>
        <v>2</v>
      </c>
      <c r="S82" s="12" cm="1">
        <f t="array" ref="S82">INDEX('Stage-ConceptMap-3'!$I$15:$N$123,Q82+1,R82)</f>
        <v>0</v>
      </c>
    </row>
    <row r="83" spans="7:19" x14ac:dyDescent="0.75">
      <c r="G83" s="78"/>
      <c r="P83" s="11">
        <v>69</v>
      </c>
      <c r="Q83" s="11">
        <f t="shared" si="8"/>
        <v>11</v>
      </c>
      <c r="R83" s="11">
        <f t="shared" si="9"/>
        <v>3</v>
      </c>
      <c r="S83" s="12" cm="1">
        <f t="array" ref="S83">INDEX('Stage-ConceptMap-3'!$I$15:$N$123,Q83+1,R83)</f>
        <v>0</v>
      </c>
    </row>
    <row r="84" spans="7:19" x14ac:dyDescent="0.75">
      <c r="G84" s="78"/>
      <c r="P84" s="11">
        <v>70</v>
      </c>
      <c r="Q84" s="11">
        <f t="shared" si="8"/>
        <v>11</v>
      </c>
      <c r="R84" s="11">
        <f t="shared" si="9"/>
        <v>4</v>
      </c>
      <c r="S84" s="12" cm="1">
        <f t="array" ref="S84">INDEX('Stage-ConceptMap-3'!$I$15:$N$123,Q84+1,R84)</f>
        <v>0</v>
      </c>
    </row>
    <row r="85" spans="7:19" x14ac:dyDescent="0.75">
      <c r="G85" s="78"/>
      <c r="P85" s="11">
        <v>71</v>
      </c>
      <c r="Q85" s="11">
        <f t="shared" si="8"/>
        <v>11</v>
      </c>
      <c r="R85" s="11">
        <f t="shared" si="9"/>
        <v>5</v>
      </c>
      <c r="S85" s="12" cm="1">
        <f t="array" ref="S85">INDEX('Stage-ConceptMap-3'!$I$15:$N$123,Q85+1,R85)</f>
        <v>0</v>
      </c>
    </row>
    <row r="86" spans="7:19" x14ac:dyDescent="0.75">
      <c r="G86" s="78"/>
      <c r="P86" s="11">
        <v>72</v>
      </c>
      <c r="Q86" s="11">
        <f t="shared" si="8"/>
        <v>11</v>
      </c>
      <c r="R86" s="11">
        <f t="shared" si="9"/>
        <v>6</v>
      </c>
      <c r="S86" s="12" cm="1">
        <f t="array" ref="S86">INDEX('Stage-ConceptMap-3'!$I$15:$N$123,Q86+1,R86)</f>
        <v>0</v>
      </c>
    </row>
    <row r="87" spans="7:19" x14ac:dyDescent="0.75">
      <c r="G87" s="78"/>
      <c r="P87" s="11">
        <v>73</v>
      </c>
      <c r="Q87" s="11">
        <f t="shared" si="8"/>
        <v>12</v>
      </c>
      <c r="R87" s="11">
        <f t="shared" si="9"/>
        <v>1</v>
      </c>
      <c r="S87" s="12" cm="1">
        <f t="array" ref="S87">INDEX('Stage-ConceptMap-3'!$I$15:$N$123,Q87+1,R87)</f>
        <v>0</v>
      </c>
    </row>
    <row r="88" spans="7:19" x14ac:dyDescent="0.75">
      <c r="G88" s="78"/>
      <c r="P88" s="11">
        <v>74</v>
      </c>
      <c r="Q88" s="11">
        <f t="shared" si="8"/>
        <v>12</v>
      </c>
      <c r="R88" s="11">
        <f t="shared" si="9"/>
        <v>2</v>
      </c>
      <c r="S88" s="12" cm="1">
        <f t="array" ref="S88">INDEX('Stage-ConceptMap-3'!$I$15:$N$123,Q88+1,R88)</f>
        <v>0</v>
      </c>
    </row>
    <row r="89" spans="7:19" x14ac:dyDescent="0.75">
      <c r="G89" s="78"/>
      <c r="P89" s="11">
        <v>75</v>
      </c>
      <c r="Q89" s="11">
        <f t="shared" si="8"/>
        <v>12</v>
      </c>
      <c r="R89" s="11">
        <f t="shared" si="9"/>
        <v>3</v>
      </c>
      <c r="S89" s="12" cm="1">
        <f t="array" ref="S89">INDEX('Stage-ConceptMap-3'!$I$15:$N$123,Q89+1,R89)</f>
        <v>0</v>
      </c>
    </row>
    <row r="90" spans="7:19" x14ac:dyDescent="0.75">
      <c r="G90" s="78"/>
      <c r="P90" s="11">
        <v>76</v>
      </c>
      <c r="Q90" s="11">
        <f t="shared" si="8"/>
        <v>12</v>
      </c>
      <c r="R90" s="11">
        <f t="shared" si="9"/>
        <v>4</v>
      </c>
      <c r="S90" s="12" cm="1">
        <f t="array" ref="S90">INDEX('Stage-ConceptMap-3'!$I$15:$N$123,Q90+1,R90)</f>
        <v>0</v>
      </c>
    </row>
    <row r="91" spans="7:19" x14ac:dyDescent="0.75">
      <c r="G91" s="78"/>
      <c r="P91" s="11">
        <v>77</v>
      </c>
      <c r="Q91" s="11">
        <f t="shared" si="8"/>
        <v>12</v>
      </c>
      <c r="R91" s="11">
        <f t="shared" si="9"/>
        <v>5</v>
      </c>
      <c r="S91" s="12" cm="1">
        <f t="array" ref="S91">INDEX('Stage-ConceptMap-3'!$I$15:$N$123,Q91+1,R91)</f>
        <v>0</v>
      </c>
    </row>
    <row r="92" spans="7:19" x14ac:dyDescent="0.75">
      <c r="G92" s="78"/>
      <c r="P92" s="11">
        <v>78</v>
      </c>
      <c r="Q92" s="11">
        <f t="shared" si="8"/>
        <v>12</v>
      </c>
      <c r="R92" s="11">
        <f t="shared" si="9"/>
        <v>6</v>
      </c>
      <c r="S92" s="12" cm="1">
        <f t="array" ref="S92">INDEX('Stage-ConceptMap-3'!$I$15:$N$123,Q92+1,R92)</f>
        <v>0</v>
      </c>
    </row>
    <row r="93" spans="7:19" x14ac:dyDescent="0.75">
      <c r="G93" s="78"/>
      <c r="P93" s="11">
        <v>79</v>
      </c>
      <c r="Q93" s="11">
        <f t="shared" si="8"/>
        <v>13</v>
      </c>
      <c r="R93" s="11">
        <f t="shared" si="9"/>
        <v>1</v>
      </c>
      <c r="S93" s="12" cm="1">
        <f t="array" ref="S93">INDEX('Stage-ConceptMap-3'!$I$15:$N$123,Q93+1,R93)</f>
        <v>0</v>
      </c>
    </row>
    <row r="94" spans="7:19" x14ac:dyDescent="0.75">
      <c r="G94" s="78"/>
      <c r="P94" s="11">
        <v>80</v>
      </c>
      <c r="Q94" s="11">
        <f t="shared" si="8"/>
        <v>13</v>
      </c>
      <c r="R94" s="11">
        <f t="shared" si="9"/>
        <v>2</v>
      </c>
      <c r="S94" s="12" cm="1">
        <f t="array" ref="S94">INDEX('Stage-ConceptMap-3'!$I$15:$N$123,Q94+1,R94)</f>
        <v>0</v>
      </c>
    </row>
    <row r="95" spans="7:19" x14ac:dyDescent="0.75">
      <c r="G95" s="78"/>
      <c r="P95" s="11">
        <v>81</v>
      </c>
      <c r="Q95" s="11">
        <f t="shared" si="8"/>
        <v>13</v>
      </c>
      <c r="R95" s="11">
        <f t="shared" si="9"/>
        <v>3</v>
      </c>
      <c r="S95" s="12" cm="1">
        <f t="array" ref="S95">INDEX('Stage-ConceptMap-3'!$I$15:$N$123,Q95+1,R95)</f>
        <v>0</v>
      </c>
    </row>
    <row r="96" spans="7:19" x14ac:dyDescent="0.75">
      <c r="G96" s="78"/>
      <c r="P96" s="11">
        <v>82</v>
      </c>
      <c r="Q96" s="11">
        <f t="shared" si="8"/>
        <v>13</v>
      </c>
      <c r="R96" s="11">
        <f t="shared" si="9"/>
        <v>4</v>
      </c>
      <c r="S96" s="12" cm="1">
        <f t="array" ref="S96">INDEX('Stage-ConceptMap-3'!$I$15:$N$123,Q96+1,R96)</f>
        <v>0</v>
      </c>
    </row>
    <row r="97" spans="7:19" x14ac:dyDescent="0.75">
      <c r="G97" s="78"/>
      <c r="P97" s="11">
        <v>83</v>
      </c>
      <c r="Q97" s="11">
        <f t="shared" si="8"/>
        <v>13</v>
      </c>
      <c r="R97" s="11">
        <f t="shared" si="9"/>
        <v>5</v>
      </c>
      <c r="S97" s="12" cm="1">
        <f t="array" ref="S97">INDEX('Stage-ConceptMap-3'!$I$15:$N$123,Q97+1,R97)</f>
        <v>0</v>
      </c>
    </row>
    <row r="98" spans="7:19" x14ac:dyDescent="0.75">
      <c r="G98" s="78"/>
      <c r="P98" s="11">
        <v>84</v>
      </c>
      <c r="Q98" s="11">
        <f t="shared" si="8"/>
        <v>13</v>
      </c>
      <c r="R98" s="11">
        <f t="shared" si="9"/>
        <v>6</v>
      </c>
      <c r="S98" s="12" cm="1">
        <f t="array" ref="S98">INDEX('Stage-ConceptMap-3'!$I$15:$N$123,Q98+1,R98)</f>
        <v>0</v>
      </c>
    </row>
    <row r="99" spans="7:19" x14ac:dyDescent="0.75">
      <c r="G99" s="78"/>
      <c r="P99" s="11">
        <v>85</v>
      </c>
      <c r="Q99" s="11">
        <f t="shared" si="8"/>
        <v>14</v>
      </c>
      <c r="R99" s="11">
        <f t="shared" si="9"/>
        <v>1</v>
      </c>
      <c r="S99" s="12" cm="1">
        <f t="array" ref="S99">INDEX('Stage-ConceptMap-3'!$I$15:$N$123,Q99+1,R99)</f>
        <v>0</v>
      </c>
    </row>
    <row r="100" spans="7:19" x14ac:dyDescent="0.75">
      <c r="G100" s="78"/>
      <c r="P100" s="11">
        <v>86</v>
      </c>
      <c r="Q100" s="11">
        <f t="shared" si="8"/>
        <v>14</v>
      </c>
      <c r="R100" s="11">
        <f t="shared" si="9"/>
        <v>2</v>
      </c>
      <c r="S100" s="12" cm="1">
        <f t="array" ref="S100">INDEX('Stage-ConceptMap-3'!$I$15:$N$123,Q100+1,R100)</f>
        <v>0</v>
      </c>
    </row>
    <row r="101" spans="7:19" x14ac:dyDescent="0.75">
      <c r="G101" s="78"/>
      <c r="P101" s="11">
        <v>87</v>
      </c>
      <c r="Q101" s="11">
        <f t="shared" si="8"/>
        <v>14</v>
      </c>
      <c r="R101" s="11">
        <f t="shared" si="9"/>
        <v>3</v>
      </c>
      <c r="S101" s="12" cm="1">
        <f t="array" ref="S101">INDEX('Stage-ConceptMap-3'!$I$15:$N$123,Q101+1,R101)</f>
        <v>0</v>
      </c>
    </row>
    <row r="102" spans="7:19" x14ac:dyDescent="0.75">
      <c r="G102" s="78"/>
      <c r="P102" s="11">
        <v>88</v>
      </c>
      <c r="Q102" s="11">
        <f t="shared" si="8"/>
        <v>14</v>
      </c>
      <c r="R102" s="11">
        <f t="shared" si="9"/>
        <v>4</v>
      </c>
      <c r="S102" s="12" cm="1">
        <f t="array" ref="S102">INDEX('Stage-ConceptMap-3'!$I$15:$N$123,Q102+1,R102)</f>
        <v>0</v>
      </c>
    </row>
    <row r="103" spans="7:19" x14ac:dyDescent="0.75">
      <c r="G103" s="78"/>
      <c r="P103" s="11">
        <v>89</v>
      </c>
      <c r="Q103" s="11">
        <f t="shared" si="8"/>
        <v>14</v>
      </c>
      <c r="R103" s="11">
        <f t="shared" si="9"/>
        <v>5</v>
      </c>
      <c r="S103" s="12" cm="1">
        <f t="array" ref="S103">INDEX('Stage-ConceptMap-3'!$I$15:$N$123,Q103+1,R103)</f>
        <v>0</v>
      </c>
    </row>
    <row r="104" spans="7:19" x14ac:dyDescent="0.75">
      <c r="G104" s="78"/>
      <c r="P104" s="11">
        <v>90</v>
      </c>
      <c r="Q104" s="11">
        <f t="shared" si="8"/>
        <v>14</v>
      </c>
      <c r="R104" s="11">
        <f t="shared" si="9"/>
        <v>6</v>
      </c>
      <c r="S104" s="12" cm="1">
        <f t="array" ref="S104">INDEX('Stage-ConceptMap-3'!$I$15:$N$123,Q104+1,R104)</f>
        <v>0</v>
      </c>
    </row>
    <row r="105" spans="7:19" x14ac:dyDescent="0.75">
      <c r="G105" s="78"/>
      <c r="P105" s="11">
        <v>91</v>
      </c>
      <c r="Q105" s="11">
        <f t="shared" si="8"/>
        <v>15</v>
      </c>
      <c r="R105" s="11">
        <f t="shared" si="9"/>
        <v>1</v>
      </c>
      <c r="S105" s="12" cm="1">
        <f t="array" ref="S105">INDEX('Stage-ConceptMap-3'!$I$15:$N$123,Q105+1,R105)</f>
        <v>0</v>
      </c>
    </row>
    <row r="106" spans="7:19" x14ac:dyDescent="0.75">
      <c r="G106" s="78"/>
      <c r="P106" s="11">
        <v>92</v>
      </c>
      <c r="Q106" s="11">
        <f t="shared" si="8"/>
        <v>15</v>
      </c>
      <c r="R106" s="11">
        <f t="shared" si="9"/>
        <v>2</v>
      </c>
      <c r="S106" s="12" cm="1">
        <f t="array" ref="S106">INDEX('Stage-ConceptMap-3'!$I$15:$N$123,Q106+1,R106)</f>
        <v>0</v>
      </c>
    </row>
    <row r="107" spans="7:19" x14ac:dyDescent="0.75">
      <c r="G107" s="78"/>
      <c r="P107" s="11">
        <v>93</v>
      </c>
      <c r="Q107" s="11">
        <f t="shared" si="8"/>
        <v>15</v>
      </c>
      <c r="R107" s="11">
        <f t="shared" si="9"/>
        <v>3</v>
      </c>
      <c r="S107" s="12" cm="1">
        <f t="array" ref="S107">INDEX('Stage-ConceptMap-3'!$I$15:$N$123,Q107+1,R107)</f>
        <v>0</v>
      </c>
    </row>
    <row r="108" spans="7:19" x14ac:dyDescent="0.75">
      <c r="G108" s="78"/>
      <c r="P108" s="11">
        <v>94</v>
      </c>
      <c r="Q108" s="11">
        <f t="shared" si="8"/>
        <v>15</v>
      </c>
      <c r="R108" s="11">
        <f t="shared" si="9"/>
        <v>4</v>
      </c>
      <c r="S108" s="12" cm="1">
        <f t="array" ref="S108">INDEX('Stage-ConceptMap-3'!$I$15:$N$123,Q108+1,R108)</f>
        <v>0</v>
      </c>
    </row>
    <row r="109" spans="7:19" x14ac:dyDescent="0.75">
      <c r="G109" s="78"/>
      <c r="P109" s="11">
        <v>95</v>
      </c>
      <c r="Q109" s="11">
        <f t="shared" si="8"/>
        <v>15</v>
      </c>
      <c r="R109" s="11">
        <f t="shared" si="9"/>
        <v>5</v>
      </c>
      <c r="S109" s="12" cm="1">
        <f t="array" ref="S109">INDEX('Stage-ConceptMap-3'!$I$15:$N$123,Q109+1,R109)</f>
        <v>0</v>
      </c>
    </row>
    <row r="110" spans="7:19" x14ac:dyDescent="0.75">
      <c r="G110" s="78"/>
      <c r="P110" s="11">
        <v>96</v>
      </c>
      <c r="Q110" s="11">
        <f t="shared" si="8"/>
        <v>15</v>
      </c>
      <c r="R110" s="11">
        <f t="shared" si="9"/>
        <v>6</v>
      </c>
      <c r="S110" s="12" cm="1">
        <f t="array" ref="S110">INDEX('Stage-ConceptMap-3'!$I$15:$N$123,Q110+1,R110)</f>
        <v>0</v>
      </c>
    </row>
    <row r="111" spans="7:19" x14ac:dyDescent="0.75">
      <c r="G111" s="78"/>
      <c r="P111" s="11">
        <v>97</v>
      </c>
      <c r="Q111" s="11">
        <f t="shared" si="8"/>
        <v>16</v>
      </c>
      <c r="R111" s="11">
        <f t="shared" si="9"/>
        <v>1</v>
      </c>
      <c r="S111" s="12" cm="1">
        <f t="array" ref="S111">INDEX('Stage-ConceptMap-3'!$I$15:$N$123,Q111+1,R111)</f>
        <v>0</v>
      </c>
    </row>
    <row r="112" spans="7:19" x14ac:dyDescent="0.75">
      <c r="G112" s="78"/>
      <c r="P112" s="11">
        <v>98</v>
      </c>
      <c r="Q112" s="11">
        <f t="shared" si="8"/>
        <v>16</v>
      </c>
      <c r="R112" s="11">
        <f t="shared" si="9"/>
        <v>2</v>
      </c>
      <c r="S112" s="12" cm="1">
        <f t="array" ref="S112">INDEX('Stage-ConceptMap-3'!$I$15:$N$123,Q112+1,R112)</f>
        <v>0</v>
      </c>
    </row>
    <row r="113" spans="7:19" x14ac:dyDescent="0.75">
      <c r="G113" s="78"/>
      <c r="P113" s="11">
        <v>99</v>
      </c>
      <c r="Q113" s="11">
        <f t="shared" si="8"/>
        <v>16</v>
      </c>
      <c r="R113" s="11">
        <f t="shared" si="9"/>
        <v>3</v>
      </c>
      <c r="S113" s="12" cm="1">
        <f t="array" ref="S113">INDEX('Stage-ConceptMap-3'!$I$15:$N$123,Q113+1,R113)</f>
        <v>0</v>
      </c>
    </row>
    <row r="114" spans="7:19" x14ac:dyDescent="0.75">
      <c r="G114" s="78"/>
      <c r="P114" s="11">
        <v>100</v>
      </c>
      <c r="Q114" s="11">
        <f t="shared" si="8"/>
        <v>16</v>
      </c>
      <c r="R114" s="11">
        <f t="shared" si="9"/>
        <v>4</v>
      </c>
      <c r="S114" s="12" cm="1">
        <f t="array" ref="S114">INDEX('Stage-ConceptMap-3'!$I$15:$N$123,Q114+1,R114)</f>
        <v>0</v>
      </c>
    </row>
    <row r="115" spans="7:19" x14ac:dyDescent="0.75">
      <c r="G115" s="78"/>
      <c r="P115" s="11">
        <v>101</v>
      </c>
      <c r="Q115" s="11">
        <f t="shared" si="8"/>
        <v>16</v>
      </c>
      <c r="R115" s="11">
        <f t="shared" si="9"/>
        <v>5</v>
      </c>
      <c r="S115" s="12" cm="1">
        <f t="array" ref="S115">INDEX('Stage-ConceptMap-3'!$I$15:$N$123,Q115+1,R115)</f>
        <v>0</v>
      </c>
    </row>
    <row r="116" spans="7:19" x14ac:dyDescent="0.75">
      <c r="G116" s="78"/>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1657</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1657</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1648</v>
      </c>
      <c r="E15" s="12"/>
      <c r="F15" s="49" t="s">
        <v>1294</v>
      </c>
      <c r="G15" s="78"/>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7"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97"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97" t="s">
        <v>1311</v>
      </c>
      <c r="G18" s="78"/>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78"/>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78"/>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1658</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4"/>
    </row>
    <row r="165" spans="2:2" x14ac:dyDescent="0.75">
      <c r="B165" s="53" t="str">
        <f>"* group[+].source = ##34#"&amp;'Stage-ConceptMap-2'!E6&amp;"##34#"</f>
        <v>* group[+].source = ##34#http://hl7.eu/fhir/ig/idea4rc/StructureDefinition/StageI4rc##34#</v>
      </c>
    </row>
    <row r="166" spans="2:2" x14ac:dyDescent="0.75">
      <c r="B166" s="85" t="str">
        <f>"* group[=].target = ##34#"&amp;'Stage-ConceptMap-2'!E7&amp;"##34#"</f>
        <v>* group[=].target = ##34#http://hl7.eu/fhir/ig/idea4rc/StructureDefinition/mcode-tnm-primary-tumor-category##34#</v>
      </c>
    </row>
    <row r="167" spans="2:2" x14ac:dyDescent="0.75">
      <c r="B167" s="86"/>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4"/>
      <c r="C190" s="7"/>
      <c r="D190" s="7"/>
      <c r="E190" s="7"/>
      <c r="F190" s="7"/>
      <c r="G190" s="7"/>
    </row>
    <row r="191" spans="2:7" x14ac:dyDescent="0.75">
      <c r="B191" s="84"/>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5" t="str">
        <f>"* group[=].target = ##34#"&amp;'Stage-ConceptMap-3'!E7&amp;"##34#"</f>
        <v>* group[=].target = ##34#http://hl7.eu/fhir/ig/idea4rc/StructureDefinition/mcode-tnm-regional-nodes-category##34#</v>
      </c>
      <c r="C193" s="7"/>
      <c r="D193" s="7"/>
      <c r="E193" s="7"/>
      <c r="F193" s="7"/>
      <c r="G193" s="7"/>
    </row>
    <row r="194" spans="2:7" x14ac:dyDescent="0.75">
      <c r="B194" s="86"/>
      <c r="C194" s="7"/>
      <c r="D194" s="7"/>
      <c r="E194" s="7"/>
      <c r="F194" s="7"/>
      <c r="G194" s="7"/>
    </row>
    <row r="195" spans="2:7" x14ac:dyDescent="0.75">
      <c r="B195" s="74" t="str">
        <f>IF('Stage-ConceptMap-3'!S15=0,"//---END",'Stage-ConceptMap-3'!S15)</f>
        <v>* group[=].element[+].code = #Stage.type</v>
      </c>
      <c r="C195" s="7"/>
      <c r="D195" s="7"/>
      <c r="E195" s="7"/>
      <c r="F195" s="7"/>
      <c r="G195" s="7"/>
    </row>
    <row r="196" spans="2:7" x14ac:dyDescent="0.75">
      <c r="B196" s="74" t="str">
        <f>IF('Stage-ConceptMap-3'!S16=0,"//---END",'Stage-ConceptMap-3'!S16)</f>
        <v>* group[=].element[=].display = ##34#Type of stage##34#</v>
      </c>
      <c r="C196" s="7"/>
      <c r="D196" s="7"/>
      <c r="E196" s="7"/>
      <c r="F196" s="7"/>
      <c r="G196" s="7"/>
    </row>
    <row r="197" spans="2:7" x14ac:dyDescent="0.75">
      <c r="B197" s="74" t="str">
        <f>IF('Stage-ConceptMap-3'!S17=0,"//---END",'Stage-ConceptMap-3'!S17)</f>
        <v>* group[=].element[=].target.code = #Observation.valueCodeableConcept</v>
      </c>
      <c r="C197" s="7"/>
      <c r="D197" s="7"/>
      <c r="E197" s="7"/>
      <c r="F197" s="7"/>
      <c r="G197" s="7"/>
    </row>
    <row r="198" spans="2:7" x14ac:dyDescent="0.75">
      <c r="B198" s="74" t="str">
        <f>IF('Stage-ConceptMap-3'!S18=0,"//---END",'Stage-ConceptMap-3'!S18)</f>
        <v>* group[=].element[=].target.display = ##34###34#</v>
      </c>
      <c r="C198" s="7"/>
      <c r="D198" s="7"/>
      <c r="E198" s="7"/>
      <c r="F198" s="7"/>
      <c r="G198" s="7"/>
    </row>
    <row r="199" spans="2:7" x14ac:dyDescent="0.75">
      <c r="B199" s="74" t="str">
        <f>IF('Stage-ConceptMap-3'!S19=0,"//---END",'Stage-ConceptMap-3'!S19)</f>
        <v>* group[=].element[=].target.equivalence = #relatedto</v>
      </c>
      <c r="C199" s="7"/>
      <c r="D199" s="7"/>
      <c r="E199" s="7"/>
      <c r="F199" s="7"/>
      <c r="G199" s="7"/>
    </row>
    <row r="200" spans="2:7" x14ac:dyDescent="0.75">
      <c r="B200" s="74" t="str">
        <f>IF('Stage-ConceptMap-3'!S20=0,"//---END",'Stage-ConceptMap-3'!S20)</f>
        <v/>
      </c>
      <c r="C200" s="7"/>
      <c r="D200" s="7"/>
      <c r="E200" s="7"/>
      <c r="F200" s="7"/>
      <c r="G200" s="7"/>
    </row>
    <row r="201" spans="2:7" x14ac:dyDescent="0.75">
      <c r="B201" s="74" t="str">
        <f>IF('Stage-ConceptMap-3'!S21=0,"//---END",'Stage-ConceptMap-3'!S21)</f>
        <v>* group[=].element[+].code = #Stage.t</v>
      </c>
      <c r="C201" s="7"/>
      <c r="D201" s="7"/>
      <c r="E201" s="7"/>
      <c r="F201" s="7"/>
      <c r="G201" s="7"/>
    </row>
    <row r="202" spans="2:7" x14ac:dyDescent="0.75">
      <c r="B202" s="74" t="str">
        <f>IF('Stage-ConceptMap-3'!S22=0,"//---END",'Stage-ConceptMap-3'!S22)</f>
        <v>* group[=].element[=].display = ##34#T##34#</v>
      </c>
      <c r="C202" s="7"/>
      <c r="D202" s="7"/>
      <c r="E202" s="7"/>
      <c r="F202" s="7"/>
      <c r="G202" s="7"/>
    </row>
    <row r="203" spans="2:7" x14ac:dyDescent="0.75">
      <c r="B203" s="74" t="str">
        <f>IF('Stage-ConceptMap-3'!S23=0,"//---END",'Stage-ConceptMap-3'!S23)</f>
        <v>//-- unmatched</v>
      </c>
      <c r="C203" s="7"/>
      <c r="D203" s="7"/>
      <c r="E203" s="7"/>
      <c r="F203" s="7"/>
      <c r="G203" s="7"/>
    </row>
    <row r="204" spans="2:7" x14ac:dyDescent="0.75">
      <c r="B204" s="74" t="str">
        <f>IF('Stage-ConceptMap-3'!S24=0,"//---END",'Stage-ConceptMap-3'!S24)</f>
        <v>//-- unmatched</v>
      </c>
      <c r="C204" s="7"/>
      <c r="D204" s="7"/>
      <c r="E204" s="7"/>
      <c r="F204" s="7"/>
      <c r="G204" s="7"/>
    </row>
    <row r="205" spans="2:7" x14ac:dyDescent="0.75">
      <c r="B205" s="74" t="str">
        <f>IF('Stage-ConceptMap-3'!S25=0,"//---END",'Stage-ConceptMap-3'!S25)</f>
        <v>* group[=].element[=].target.equivalence = #unmatched</v>
      </c>
      <c r="C205" s="7"/>
      <c r="D205" s="7"/>
      <c r="E205" s="7"/>
      <c r="F205" s="7"/>
      <c r="G205" s="7"/>
    </row>
    <row r="206" spans="2:7" x14ac:dyDescent="0.75">
      <c r="B206" s="74" t="str">
        <f>IF('Stage-ConceptMap-3'!S26=0,"//---END",'Stage-ConceptMap-3'!S26)</f>
        <v/>
      </c>
      <c r="C206" s="7"/>
      <c r="D206" s="7"/>
      <c r="E206" s="7"/>
      <c r="F206" s="7"/>
      <c r="G206" s="7"/>
    </row>
    <row r="207" spans="2:7" x14ac:dyDescent="0.75">
      <c r="B207" s="74" t="str">
        <f>IF('Stage-ConceptMap-3'!S27=0,"//---END",'Stage-ConceptMap-3'!S27)</f>
        <v>* group[=].element[+].code = #Stage.n</v>
      </c>
      <c r="C207" s="7"/>
      <c r="D207" s="7"/>
      <c r="E207" s="7"/>
      <c r="F207" s="7"/>
      <c r="G207" s="7"/>
    </row>
    <row r="208" spans="2:7" x14ac:dyDescent="0.75">
      <c r="B208" s="74" t="str">
        <f>IF('Stage-ConceptMap-3'!S28=0,"//---END",'Stage-ConceptMap-3'!S28)</f>
        <v>* group[=].element[=].display = ##34#N##34#</v>
      </c>
      <c r="C208" s="7"/>
      <c r="D208" s="7"/>
      <c r="E208" s="7"/>
      <c r="F208" s="7"/>
      <c r="G208" s="7"/>
    </row>
    <row r="209" spans="2:7" x14ac:dyDescent="0.75">
      <c r="B209" s="74" t="str">
        <f>IF('Stage-ConceptMap-3'!S29=0,"//---END",'Stage-ConceptMap-3'!S29)</f>
        <v>//-- unmatched</v>
      </c>
      <c r="C209" s="7"/>
      <c r="D209" s="7"/>
      <c r="E209" s="7"/>
      <c r="F209" s="7"/>
      <c r="G209" s="7"/>
    </row>
    <row r="210" spans="2:7" x14ac:dyDescent="0.75">
      <c r="B210" s="74" t="str">
        <f>IF('Stage-ConceptMap-3'!S30=0,"//---END",'Stage-ConceptMap-3'!S30)</f>
        <v>//-- unmatched</v>
      </c>
      <c r="C210" s="7"/>
      <c r="D210" s="7"/>
      <c r="E210" s="7"/>
      <c r="F210" s="7"/>
      <c r="G210" s="7"/>
    </row>
    <row r="211" spans="2:7" x14ac:dyDescent="0.75">
      <c r="B211" s="74" t="str">
        <f>IF('Stage-ConceptMap-3'!S31=0,"//---END",'Stage-ConceptMap-3'!S31)</f>
        <v>* group[=].element[=].target.equivalence = #unmatched</v>
      </c>
      <c r="C211" s="7"/>
      <c r="D211" s="7"/>
      <c r="E211" s="7"/>
      <c r="F211" s="7"/>
      <c r="G211" s="7"/>
    </row>
    <row r="212" spans="2:7" x14ac:dyDescent="0.75">
      <c r="B212" s="74" t="str">
        <f>IF('Stage-ConceptMap-3'!S32=0,"//---END",'Stage-ConceptMap-3'!S32)</f>
        <v/>
      </c>
      <c r="C212" s="7"/>
      <c r="D212" s="7"/>
      <c r="E212" s="7"/>
      <c r="F212" s="7"/>
      <c r="G212" s="7"/>
    </row>
    <row r="213" spans="2:7" x14ac:dyDescent="0.75">
      <c r="B213" s="74" t="str">
        <f>IF('Stage-ConceptMap-3'!S33=0,"//---END",'Stage-ConceptMap-3'!S33)</f>
        <v>* group[=].element[+].code = #Stage.m</v>
      </c>
      <c r="C213" s="7"/>
      <c r="D213" s="7"/>
      <c r="E213" s="7"/>
      <c r="F213" s="7"/>
      <c r="G213" s="7"/>
    </row>
    <row r="214" spans="2:7" x14ac:dyDescent="0.75">
      <c r="B214" s="74" t="str">
        <f>IF('Stage-ConceptMap-3'!S34=0,"//---END",'Stage-ConceptMap-3'!S34)</f>
        <v>* group[=].element[=].display = ##34#M##34#</v>
      </c>
      <c r="C214" s="7"/>
      <c r="D214" s="7"/>
      <c r="E214" s="7"/>
      <c r="F214" s="7"/>
      <c r="G214" s="7"/>
    </row>
    <row r="215" spans="2:7" x14ac:dyDescent="0.75">
      <c r="B215" s="74" t="str">
        <f>IF('Stage-ConceptMap-3'!S35=0,"//---END",'Stage-ConceptMap-3'!S35)</f>
        <v>//-- unmatched</v>
      </c>
      <c r="C215" s="7"/>
      <c r="D215" s="7"/>
      <c r="E215" s="7"/>
      <c r="F215" s="7"/>
      <c r="G215" s="7"/>
    </row>
    <row r="216" spans="2:7" x14ac:dyDescent="0.75">
      <c r="B216" s="74" t="str">
        <f>IF('Stage-ConceptMap-3'!S36=0,"//---END",'Stage-ConceptMap-3'!S36)</f>
        <v>//-- unmatched</v>
      </c>
      <c r="C216" s="7"/>
      <c r="D216" s="7"/>
      <c r="E216" s="7"/>
      <c r="F216" s="7"/>
      <c r="G216" s="7"/>
    </row>
    <row r="217" spans="2:7" x14ac:dyDescent="0.75">
      <c r="B217" s="74" t="str">
        <f>IF('Stage-ConceptMap-3'!S37=0,"//---END",'Stage-ConceptMap-3'!S37)</f>
        <v>* group[=].element[=].target.equivalence = #unmatched</v>
      </c>
      <c r="C217" s="7"/>
      <c r="D217" s="7"/>
      <c r="E217" s="7"/>
      <c r="F217" s="7"/>
      <c r="G217" s="7"/>
    </row>
    <row r="218" spans="2:7" x14ac:dyDescent="0.75">
      <c r="B218" s="74" t="str">
        <f>IF('Stage-ConceptMap-3'!S38=0,"//---END",'Stage-ConceptMap-3'!S38)</f>
        <v/>
      </c>
      <c r="C218" s="7"/>
      <c r="D218" s="7"/>
      <c r="E218" s="7"/>
      <c r="F218" s="7"/>
      <c r="G218" s="7"/>
    </row>
    <row r="219" spans="2:7" x14ac:dyDescent="0.75">
      <c r="B219" s="74" t="str">
        <f>IF('Stage-ConceptMap-3'!S39=0,"//---END",'Stage-ConceptMap-3'!S39)</f>
        <v>//---END</v>
      </c>
      <c r="C219" s="7"/>
      <c r="D219" s="7"/>
      <c r="E219" s="7"/>
      <c r="F219" s="7"/>
      <c r="G219" s="7"/>
    </row>
    <row r="220" spans="2:7" x14ac:dyDescent="0.75">
      <c r="B220" s="74" t="str">
        <f>IF('Stage-ConceptMap-3'!S40=0,"//---END",'Stage-ConceptMap-3'!S40)</f>
        <v>//---END</v>
      </c>
      <c r="C220" s="7"/>
      <c r="D220" s="7"/>
      <c r="E220" s="7"/>
      <c r="F220" s="7"/>
      <c r="G220" s="7"/>
    </row>
    <row r="221" spans="2:7" x14ac:dyDescent="0.75">
      <c r="B221" s="74" t="str">
        <f>IF('Stage-ConceptMap-3'!S41=0,"//---END",'Stage-ConceptMap-3'!S41)</f>
        <v>//---END</v>
      </c>
      <c r="C221" s="7"/>
      <c r="D221" s="7"/>
      <c r="E221" s="7"/>
      <c r="F221" s="7"/>
      <c r="G221" s="7"/>
    </row>
    <row r="222" spans="2:7" x14ac:dyDescent="0.75">
      <c r="B222" s="74" t="str">
        <f>IF('Stage-ConceptMap-3'!S42=0,"//---END",'Stage-ConceptMap-3'!S42)</f>
        <v>//---END</v>
      </c>
      <c r="C222" s="7"/>
      <c r="D222" s="7"/>
      <c r="E222" s="7"/>
      <c r="F222" s="7"/>
      <c r="G222" s="7"/>
    </row>
    <row r="223" spans="2:7" x14ac:dyDescent="0.75">
      <c r="B223" s="7"/>
      <c r="C223" s="7"/>
      <c r="D223" s="7"/>
      <c r="E223" s="7"/>
      <c r="F223" s="7"/>
      <c r="G223" s="7"/>
    </row>
    <row r="224" spans="2:7" x14ac:dyDescent="0.75">
      <c r="B224" s="84"/>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5" t="str">
        <f>"* group[=].target = ##34#"&amp;'Stage-ConceptMap-4'!E7&amp;"##34#"</f>
        <v>* group[=].target = ##34#http://hl7.eu/fhir/ig/idea4rc/StructureDefinition/mcode-tnm-distant-metastases-category##34#</v>
      </c>
      <c r="C226" s="7"/>
      <c r="D226" s="7"/>
      <c r="E226" s="7"/>
      <c r="F226" s="7"/>
      <c r="G226" s="7"/>
    </row>
    <row r="227" spans="2:7" x14ac:dyDescent="0.75">
      <c r="B227" s="86"/>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2226</v>
      </c>
      <c r="L4" s="16" t="str">
        <f>CONCATENATE("Logical: ",B4)</f>
        <v>Logical: PathologicalReportInfoI4rc</v>
      </c>
    </row>
    <row r="5" spans="1:18" ht="15.5" thickBot="1" x14ac:dyDescent="0.9">
      <c r="A5" s="14" t="s">
        <v>16</v>
      </c>
      <c r="B5" s="30" t="s">
        <v>2227</v>
      </c>
      <c r="L5" s="16" t="str">
        <f>CONCATENATE("Id: ",B5)</f>
        <v>Id: PathologicalReportInfo</v>
      </c>
    </row>
    <row r="6" spans="1:18" ht="15.5" thickBot="1" x14ac:dyDescent="0.9">
      <c r="A6" s="14" t="s">
        <v>10</v>
      </c>
      <c r="B6" s="30" t="s">
        <v>2228</v>
      </c>
      <c r="L6" s="17" t="str">
        <f>CONCATENATE("Title: ##34#",B6,"##34#")</f>
        <v>Title: ##34#Pathological Report Info##34#</v>
      </c>
    </row>
    <row r="7" spans="1:18" x14ac:dyDescent="0.75">
      <c r="A7" s="26" t="s">
        <v>2</v>
      </c>
      <c r="B7" s="100" t="s">
        <v>2228</v>
      </c>
      <c r="C7" s="9" t="s">
        <v>3</v>
      </c>
      <c r="D7" s="1" t="s">
        <v>4</v>
      </c>
      <c r="E7" s="3" t="s">
        <v>5</v>
      </c>
      <c r="F7" s="3" t="s">
        <v>6</v>
      </c>
      <c r="G7" s="122" t="s">
        <v>7</v>
      </c>
      <c r="H7" s="64" t="s">
        <v>1384</v>
      </c>
      <c r="I7" s="124" t="s">
        <v>2133</v>
      </c>
      <c r="J7" s="124" t="s">
        <v>2134</v>
      </c>
      <c r="L7" s="17" t="str">
        <f>CONCATENATE("Description: "," ##334#",B7,"##334#",)</f>
        <v>Description:  ##334#Pathological Report Info##334#</v>
      </c>
    </row>
    <row r="8" spans="1:18" ht="59" x14ac:dyDescent="0.75">
      <c r="A8" s="59">
        <v>0</v>
      </c>
      <c r="B8" s="11" t="s">
        <v>1573</v>
      </c>
      <c r="C8" s="11" t="s">
        <v>1567</v>
      </c>
      <c r="D8" s="11" t="s">
        <v>1568</v>
      </c>
      <c r="E8" s="11">
        <v>1</v>
      </c>
      <c r="F8" s="11">
        <v>1</v>
      </c>
      <c r="G8" s="79" t="s">
        <v>1621</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2300</v>
      </c>
      <c r="C9" s="11" t="s">
        <v>2308</v>
      </c>
      <c r="D9" s="11" t="s">
        <v>2309</v>
      </c>
      <c r="E9" s="11">
        <v>0</v>
      </c>
      <c r="F9" s="11">
        <v>1</v>
      </c>
      <c r="G9" s="12" t="s">
        <v>1474</v>
      </c>
      <c r="H9" s="12" t="s">
        <v>2310</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2301</v>
      </c>
      <c r="C10" s="11" t="s">
        <v>2311</v>
      </c>
      <c r="D10" s="11" t="s">
        <v>2311</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2302</v>
      </c>
      <c r="C11" s="11" t="s">
        <v>2312</v>
      </c>
      <c r="D11" s="11" t="s">
        <v>2312</v>
      </c>
      <c r="E11" s="11">
        <v>0</v>
      </c>
      <c r="F11" s="11">
        <v>1</v>
      </c>
      <c r="G11" s="12" t="s">
        <v>2042</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2303</v>
      </c>
      <c r="C12" s="11" t="s">
        <v>2313</v>
      </c>
      <c r="D12" s="11" t="s">
        <v>2313</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2304</v>
      </c>
      <c r="C13" s="11" t="s">
        <v>2314</v>
      </c>
      <c r="D13" s="11" t="s">
        <v>2314</v>
      </c>
      <c r="E13" s="11">
        <v>0</v>
      </c>
      <c r="F13" s="11">
        <v>1</v>
      </c>
      <c r="G13" s="12" t="s">
        <v>1474</v>
      </c>
      <c r="H13" s="12" t="s">
        <v>2315</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2305</v>
      </c>
      <c r="C14" s="11" t="s">
        <v>2316</v>
      </c>
      <c r="D14" s="11" t="s">
        <v>2316</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2306</v>
      </c>
      <c r="C15" s="11" t="s">
        <v>2317</v>
      </c>
      <c r="D15" s="11" t="s">
        <v>2317</v>
      </c>
      <c r="E15" s="11">
        <v>0</v>
      </c>
      <c r="F15" s="11">
        <v>1</v>
      </c>
      <c r="G15" s="12" t="s">
        <v>44</v>
      </c>
      <c r="H15" s="12" t="s">
        <v>2318</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2307</v>
      </c>
      <c r="C16" s="11" t="s">
        <v>2319</v>
      </c>
      <c r="D16" s="11" t="s">
        <v>2319</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5" customWidth="1"/>
    <col min="7" max="7" width="29.54296875" customWidth="1"/>
    <col min="8" max="8" width="54.90625" customWidth="1"/>
  </cols>
  <sheetData>
    <row r="1" spans="3:7" ht="15.5" thickBot="1" x14ac:dyDescent="0.9">
      <c r="C1" s="103" t="str">
        <f>PathologicalReportInfo!L1</f>
        <v>//===================================================</v>
      </c>
    </row>
    <row r="2" spans="3:7" ht="16.75" thickBot="1" x14ac:dyDescent="0.9">
      <c r="C2" s="24" t="str">
        <f>PathologicalReportInfo!L2</f>
        <v>//  Logical Model</v>
      </c>
      <c r="G2" s="29" t="s">
        <v>2320</v>
      </c>
    </row>
    <row r="3" spans="3:7" x14ac:dyDescent="0.75">
      <c r="C3" s="24" t="str">
        <f>PathologicalReportInfo!L3</f>
        <v>//===================================================</v>
      </c>
    </row>
    <row r="4" spans="3:7" x14ac:dyDescent="0.75">
      <c r="C4" s="104" t="str">
        <f>PathologicalReportInfo!L4</f>
        <v>Logical: PathologicalReportInfoI4rc</v>
      </c>
    </row>
    <row r="5" spans="3:7" x14ac:dyDescent="0.75">
      <c r="C5" s="104" t="str">
        <f>PathologicalReportInfo!L5</f>
        <v>Id: PathologicalReportInfo</v>
      </c>
    </row>
    <row r="6" spans="3:7" x14ac:dyDescent="0.75">
      <c r="C6" s="104" t="str">
        <f>PathologicalReportInfo!L6</f>
        <v>Title: ##34#Pathological Report Info##34#</v>
      </c>
    </row>
    <row r="7" spans="3:7" x14ac:dyDescent="0.75">
      <c r="C7" s="104" t="str">
        <f>PathologicalReportInfo!L7</f>
        <v>Description:  ##334#Pathological Report Info##334#</v>
      </c>
    </row>
    <row r="8" spans="3:7" ht="29.5" x14ac:dyDescent="0.75">
      <c r="C8" s="105"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5" t="str">
        <f>IF(PathologicalReportInfo!L9="*  ..  ##34###34# ##334###334#","//--- END",PathologicalReportInfo!L9)</f>
        <v>* degreeOfCytologicAtypia 0..1 CodeableConcept ##34#Degree of cytologic Atypia##34# ##334#Defines the degree of cytologic atypia##334#</v>
      </c>
    </row>
    <row r="10" spans="3:7" ht="29.5" x14ac:dyDescent="0.75">
      <c r="C10" s="105" t="str">
        <f>IF(PathologicalReportInfo!L10="*  ..  ##34###34# ##334###334#","//--- END",PathologicalReportInfo!L10)</f>
        <v>* patternOfGrowth 0..1 BackboneElement ##34#Pattern of Growth##34# ##334#Pattern of Growth##334#</v>
      </c>
    </row>
    <row r="11" spans="3:7" ht="29.5" x14ac:dyDescent="0.75">
      <c r="C11" s="105" t="str">
        <f>IF(PathologicalReportInfo!L11="*  ..  ##34###34# ##334###334#","//--- END",PathologicalReportInfo!L11)</f>
        <v>* mitoticActivity 0..1 Quantity ##34#Mitotic Activity##34# ##334#Mitotic Activity##334#</v>
      </c>
    </row>
    <row r="12" spans="3:7" x14ac:dyDescent="0.75">
      <c r="C12" s="105" t="str">
        <f>IF(PathologicalReportInfo!L12="*  ..  ##34###34# ##334###334#","//--- END",PathologicalReportInfo!L12)</f>
        <v>* infiltrationOfSurroundingMyometrium 0..1 BackboneElement ##34#Infiltration of surrounding myometrium##34# ##334#Infiltration of surrounding myometrium##334#</v>
      </c>
    </row>
    <row r="13" spans="3:7" x14ac:dyDescent="0.75">
      <c r="C13" s="105" t="str">
        <f>IF(PathologicalReportInfo!L13="*  ..  ##34###34# ##334###334#","//--- END",PathologicalReportInfo!L13)</f>
        <v>* typeOfNecrosis 0..1 CodeableConcept ##34#Type of necrosis##34# ##334#Type of necrosis##334#</v>
      </c>
    </row>
    <row r="14" spans="3:7" x14ac:dyDescent="0.75">
      <c r="C14" s="105" t="str">
        <f>IF(PathologicalReportInfo!L14="*  ..  ##34###34# ##334###334#","//--- END",PathologicalReportInfo!L14)</f>
        <v>* expressionOfErPr 0..1 BackboneElement ##34#Expression of ER/PR##34# ##334#Expression of ER/PR##334#</v>
      </c>
    </row>
    <row r="15" spans="3:7" x14ac:dyDescent="0.75">
      <c r="C15" s="105" t="str">
        <f>IF(PathologicalReportInfo!L15="*  ..  ##34###34# ##334###334#","//--- END",PathologicalReportInfo!L15)</f>
        <v>* vascularIntrusionOrInvasion 0..1 boolean ##34#vascular intrusion or invasion##34# ##334#vascular intrusion or invasion##334#</v>
      </c>
    </row>
    <row r="16" spans="3:7" x14ac:dyDescent="0.75">
      <c r="C16" s="105" t="str">
        <f>IF(PathologicalReportInfo!L16="*  ..  ##34###34# ##334###334#","//--- END",PathologicalReportInfo!L16)</f>
        <v>* p16AndP53Expression 0..1 BackboneElement ##34#p16 and p53 expression##34# ##334#p16 and p53 expression##334#</v>
      </c>
    </row>
    <row r="17" spans="3:3" x14ac:dyDescent="0.75">
      <c r="C17" s="105" t="str">
        <f>IF(PathologicalReportInfo!L17="*  ..  ##34###34# ##334###334#","//--- END",PathologicalReportInfo!L17)</f>
        <v>//--- END</v>
      </c>
    </row>
    <row r="18" spans="3:3" x14ac:dyDescent="0.75">
      <c r="C18" s="105" t="str">
        <f>IF(PathologicalReportInfo!L18="*  ..  ##34###34# ##334###334#","//--- END",PathologicalReportInfo!L18)</f>
        <v>//--- END</v>
      </c>
    </row>
    <row r="19" spans="3:3" x14ac:dyDescent="0.75">
      <c r="C19" s="105" t="str">
        <f>IF(PathologicalReportInfo!L19="*  ..  ##34###34# ##334###334#","//--- END",PathologicalReportInfo!L19)</f>
        <v>//--- END</v>
      </c>
    </row>
    <row r="23" spans="3:3" x14ac:dyDescent="0.75">
      <c r="C23" s="103" t="s">
        <v>1387</v>
      </c>
    </row>
    <row r="24" spans="3:3" x14ac:dyDescent="0.75">
      <c r="C24" s="24" t="s">
        <v>1421</v>
      </c>
    </row>
    <row r="25" spans="3:3" x14ac:dyDescent="0.75">
      <c r="C25" s="24" t="s">
        <v>1387</v>
      </c>
    </row>
    <row r="26" spans="3:3" ht="29.5" x14ac:dyDescent="0.75">
      <c r="C26" s="105" t="str">
        <f>IF(PathologicalReportInfo!N8="*  ..  ##34###34# ##334###334#","//--- END",PathologicalReportInfo!N8)</f>
        <v/>
      </c>
    </row>
    <row r="27" spans="3:3" x14ac:dyDescent="0.75">
      <c r="C27" s="105"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5" t="str">
        <f>IF(PathologicalReportInfo!N10="*  ..  ##34###34# ##334###334#","//--- END",PathologicalReportInfo!N10)</f>
        <v/>
      </c>
    </row>
    <row r="29" spans="3:3" x14ac:dyDescent="0.75">
      <c r="C29" s="105" t="str">
        <f>IF(PathologicalReportInfo!N11="*  ..  ##34###34# ##334###334#","//--- END",PathologicalReportInfo!N11)</f>
        <v/>
      </c>
    </row>
    <row r="30" spans="3:3" x14ac:dyDescent="0.75">
      <c r="C30" s="105" t="str">
        <f>IF(PathologicalReportInfo!N12="*  ..  ##34###34# ##334###334#","//--- END",PathologicalReportInfo!N12)</f>
        <v/>
      </c>
    </row>
    <row r="31" spans="3:3" x14ac:dyDescent="0.75">
      <c r="C31" s="105"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5" t="str">
        <f>IF(PathologicalReportInfo!N14="*  ..  ##34###34# ##334###334#","//--- END",PathologicalReportInfo!N14)</f>
        <v/>
      </c>
    </row>
    <row r="33" spans="3:3" x14ac:dyDescent="0.75">
      <c r="C33" s="105" t="str">
        <f>IF(PathologicalReportInfo!N15="*  ..  ##34###34# ##334###334#","//--- END",PathologicalReportInfo!N15)</f>
        <v>* vascularIntrusionOrInvasion ^comment = ##334#True;False
Vascular invasion by tumor present - 4163142##334#</v>
      </c>
    </row>
    <row r="34" spans="3:3" x14ac:dyDescent="0.75">
      <c r="C34" s="105" t="str">
        <f>IF(PathologicalReportInfo!N16="*  ..  ##34###34# ##334###334#","//--- END",PathologicalReportInfo!N16)</f>
        <v/>
      </c>
    </row>
    <row r="35" spans="3:3" x14ac:dyDescent="0.75">
      <c r="C35" s="105" t="str">
        <f>IF(PathologicalReportInfo!N17="*  ..  ##34###34# ##334###334#","//--- END",PathologicalReportInfo!N17)</f>
        <v>//--- END</v>
      </c>
    </row>
    <row r="36" spans="3:3" x14ac:dyDescent="0.75">
      <c r="C36" s="105" t="str">
        <f>IF(PathologicalReportInfo!N18="*  ..  ##34###34# ##334###334#","//--- END",PathologicalReportInfo!N18)</f>
        <v>//--- END</v>
      </c>
    </row>
    <row r="37" spans="3:3" x14ac:dyDescent="0.75">
      <c r="C37" s="105" t="str">
        <f>IF(PathologicalReportInfo!N19="*  ..  ##34###34# ##334###334#","//--- END",PathologicalReportInfo!N19)</f>
        <v>//--- END</v>
      </c>
    </row>
    <row r="40" spans="3:3" x14ac:dyDescent="0.75">
      <c r="C40" s="103" t="str">
        <f>PathologicalReportInfo!P1</f>
        <v>// -------------------------------------------------------------------------------</v>
      </c>
    </row>
    <row r="41" spans="3:3" x14ac:dyDescent="0.75">
      <c r="C41" s="24" t="str">
        <f>PathologicalReportInfo!P2</f>
        <v>// Obligations H&amp;N</v>
      </c>
    </row>
    <row r="42" spans="3:3" x14ac:dyDescent="0.75">
      <c r="C42" s="24" t="str">
        <f>PathologicalReportInfo!P3</f>
        <v>// -------------------------------------------------------------------------------</v>
      </c>
    </row>
    <row r="43" spans="3:3" x14ac:dyDescent="0.75">
      <c r="C43" s="105" t="str">
        <f>IF(PathologicalReportInfo!P8="*  ..  ##34###34# ##334###334#","//--- END",PathologicalReportInfo!P8)</f>
        <v/>
      </c>
    </row>
    <row r="44" spans="3:3" x14ac:dyDescent="0.75">
      <c r="C44" s="105" t="str">
        <f>IF(PathologicalReportInfo!P9="*  ..  ##34###34# ##334###334#","//--- END",PathologicalReportInfo!P9)</f>
        <v/>
      </c>
    </row>
    <row r="45" spans="3:3" x14ac:dyDescent="0.75">
      <c r="C45" s="105" t="str">
        <f>IF(PathologicalReportInfo!P10="*  ..  ##34###34# ##334###334#","//--- END",PathologicalReportInfo!P10)</f>
        <v/>
      </c>
    </row>
    <row r="46" spans="3:3" x14ac:dyDescent="0.75">
      <c r="C46" s="105" t="str">
        <f>IF(PathologicalReportInfo!P11="*  ..  ##34###34# ##334###334#","//--- END",PathologicalReportInfo!P11)</f>
        <v/>
      </c>
    </row>
    <row r="47" spans="3:3" x14ac:dyDescent="0.75">
      <c r="C47" s="105" t="str">
        <f>IF(PathologicalReportInfo!P12="*  ..  ##34###34# ##334###334#","//--- END",PathologicalReportInfo!P12)</f>
        <v/>
      </c>
    </row>
    <row r="48" spans="3:3" x14ac:dyDescent="0.75">
      <c r="C48" s="105" t="str">
        <f>IF(PathologicalReportInfo!P13="*  ..  ##34###34# ##334###334#","//--- END",PathologicalReportInfo!P13)</f>
        <v/>
      </c>
    </row>
    <row r="49" spans="3:3" x14ac:dyDescent="0.75">
      <c r="C49" s="105" t="str">
        <f>IF(PathologicalReportInfo!P14="*  ..  ##34###34# ##334###334#","//--- END",PathologicalReportInfo!P14)</f>
        <v/>
      </c>
    </row>
    <row r="50" spans="3:3" x14ac:dyDescent="0.75">
      <c r="C50" s="105" t="str">
        <f>IF(PathologicalReportInfo!P15="*  ..  ##34###34# ##334###334#","//--- END",PathologicalReportInfo!P15)</f>
        <v/>
      </c>
    </row>
    <row r="51" spans="3:3" x14ac:dyDescent="0.75">
      <c r="C51" s="105" t="str">
        <f>IF(PathologicalReportInfo!P16="*  ..  ##34###34# ##334###334#","//--- END",PathologicalReportInfo!P16)</f>
        <v/>
      </c>
    </row>
    <row r="52" spans="3:3" x14ac:dyDescent="0.75">
      <c r="C52" s="105" t="str">
        <f>IF(PathologicalReportInfo!P17="*  ..  ##34###34# ##334###334#","//--- END",PathologicalReportInfo!P17)</f>
        <v>//--- END</v>
      </c>
    </row>
    <row r="53" spans="3:3" x14ac:dyDescent="0.75">
      <c r="C53" s="105" t="str">
        <f>IF(PathologicalReportInfo!P18="*  ..  ##34###34# ##334###334#","//--- END",PathologicalReportInfo!P18)</f>
        <v>//--- END</v>
      </c>
    </row>
    <row r="54" spans="3:3" x14ac:dyDescent="0.75">
      <c r="C54" s="105" t="str">
        <f>IF(PathologicalReportInfo!P19="*  ..  ##34###34# ##334###334#","//--- END",PathologicalReportInfo!P19)</f>
        <v>//--- END</v>
      </c>
    </row>
    <row r="58" spans="3:3" x14ac:dyDescent="0.75">
      <c r="C58" s="103"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5" t="str">
        <f>IF(PathologicalReportInfo!R8="*  ..  ##34###34# ##334###334#","//--- END",PathologicalReportInfo!R8)</f>
        <v>* episodeEvent insert ObligationActorAndCode($actor-sarcoma-i4rc, #handle)</v>
      </c>
    </row>
    <row r="62" spans="3:3" x14ac:dyDescent="0.75">
      <c r="C62" s="105" t="str">
        <f>IF(PathologicalReportInfo!R9="*  ..  ##34###34# ##334###334#","//--- END",PathologicalReportInfo!R9)</f>
        <v>* degreeOfCytologicAtypia insert ObligationActorAndCode($actor-sarcoma-i4rc, #handle)</v>
      </c>
    </row>
    <row r="63" spans="3:3" x14ac:dyDescent="0.75">
      <c r="C63" s="105" t="str">
        <f>IF(PathologicalReportInfo!R10="*  ..  ##34###34# ##334###334#","//--- END",PathologicalReportInfo!R10)</f>
        <v>* patternOfGrowth insert ObligationActorAndCode($actor-sarcoma-i4rc, #handle)</v>
      </c>
    </row>
    <row r="64" spans="3:3" x14ac:dyDescent="0.75">
      <c r="C64" s="105" t="str">
        <f>IF(PathologicalReportInfo!R11="*  ..  ##34###34# ##334###334#","//--- END",PathologicalReportInfo!R11)</f>
        <v>* mitoticActivity insert ObligationActorAndCode($actor-sarcoma-i4rc, #handle)</v>
      </c>
    </row>
    <row r="65" spans="3:3" x14ac:dyDescent="0.75">
      <c r="C65" s="105" t="str">
        <f>IF(PathologicalReportInfo!R12="*  ..  ##34###34# ##334###334#","//--- END",PathologicalReportInfo!R12)</f>
        <v>* infiltrationOfSurroundingMyometrium insert ObligationActorAndCode($actor-sarcoma-i4rc, #handle)</v>
      </c>
    </row>
    <row r="66" spans="3:3" x14ac:dyDescent="0.75">
      <c r="C66" s="105" t="str">
        <f>IF(PathologicalReportInfo!R13="*  ..  ##34###34# ##334###334#","//--- END",PathologicalReportInfo!R13)</f>
        <v>* typeOfNecrosis insert ObligationActorAndCode($actor-sarcoma-i4rc, #handle)</v>
      </c>
    </row>
    <row r="67" spans="3:3" x14ac:dyDescent="0.75">
      <c r="C67" s="105" t="str">
        <f>IF(PathologicalReportInfo!R14="*  ..  ##34###34# ##334###334#","//--- END",PathologicalReportInfo!R14)</f>
        <v>* expressionOfErPr insert ObligationActorAndCode($actor-sarcoma-i4rc, #handle)</v>
      </c>
    </row>
    <row r="68" spans="3:3" x14ac:dyDescent="0.75">
      <c r="C68" s="105" t="str">
        <f>IF(PathologicalReportInfo!R15="*  ..  ##34###34# ##334###334#","//--- END",PathologicalReportInfo!R15)</f>
        <v>* vascularIntrusionOrInvasion insert ObligationActorAndCode($actor-sarcoma-i4rc, #handle)</v>
      </c>
    </row>
    <row r="69" spans="3:3" x14ac:dyDescent="0.75">
      <c r="C69" s="105" t="str">
        <f>IF(PathologicalReportInfo!R16="*  ..  ##34###34# ##334###334#","//--- END",PathologicalReportInfo!R16)</f>
        <v>* p16AndP53Expression insert ObligationActorAndCode($actor-sarcoma-i4rc, #handle)</v>
      </c>
    </row>
    <row r="70" spans="3:3" x14ac:dyDescent="0.75">
      <c r="C70" s="105" t="str">
        <f>IF(PathologicalReportInfo!R17="*  ..  ##34###34# ##334###334#","//--- END",PathologicalReportInfo!R17)</f>
        <v>//--- END</v>
      </c>
    </row>
    <row r="71" spans="3:3" x14ac:dyDescent="0.75">
      <c r="C71" s="105" t="str">
        <f>IF(PathologicalReportInfo!R18="*  ..  ##34###34# ##334###334#","//--- END",PathologicalReportInfo!R18)</f>
        <v>//--- END</v>
      </c>
    </row>
    <row r="72" spans="3:3" x14ac:dyDescent="0.75">
      <c r="C72" s="105"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1972</v>
      </c>
      <c r="D3" s="47" t="s">
        <v>1479</v>
      </c>
      <c r="E3" s="72" t="str">
        <f>$C$1&amp;B14</f>
        <v>http://hl7.eu/fhir/ig/idea4rc/StructureDefinition/PathologicalReportInfo</v>
      </c>
    </row>
    <row r="4" spans="1:19" x14ac:dyDescent="0.75">
      <c r="B4" s="47" t="s">
        <v>16</v>
      </c>
      <c r="C4" s="28" t="s">
        <v>1972</v>
      </c>
      <c r="D4" s="47" t="s">
        <v>1480</v>
      </c>
      <c r="E4" s="143" t="s">
        <v>1975</v>
      </c>
      <c r="F4" s="144"/>
      <c r="G4" s="144"/>
    </row>
    <row r="5" spans="1:19" x14ac:dyDescent="0.75">
      <c r="B5" s="47" t="s">
        <v>10</v>
      </c>
      <c r="C5" s="7" t="s">
        <v>1973</v>
      </c>
      <c r="D5" s="47"/>
      <c r="E5" s="7"/>
    </row>
    <row r="6" spans="1:19" x14ac:dyDescent="0.75">
      <c r="B6" s="47" t="s">
        <v>18</v>
      </c>
      <c r="C6" s="41"/>
      <c r="D6" s="47" t="s">
        <v>1481</v>
      </c>
      <c r="E6" s="143" t="str">
        <f>E3</f>
        <v>http://hl7.eu/fhir/ig/idea4rc/StructureDefinition/PathologicalReportInfo</v>
      </c>
      <c r="F6" s="144"/>
      <c r="G6" s="144"/>
    </row>
    <row r="7" spans="1:19" x14ac:dyDescent="0.75">
      <c r="B7" s="47" t="s">
        <v>15</v>
      </c>
      <c r="C7" s="73"/>
      <c r="D7" s="47" t="s">
        <v>1482</v>
      </c>
      <c r="E7" s="143" t="str">
        <f>E4</f>
        <v>http://hl7.eu/fhir/ig/idea4rc/StructureDefinition/episodeOfCare-eu-i4rc</v>
      </c>
      <c r="F7" s="144"/>
      <c r="G7" s="144"/>
    </row>
    <row r="8" spans="1:19" ht="45" thickBot="1" x14ac:dyDescent="0.9">
      <c r="B8" s="47" t="s">
        <v>1483</v>
      </c>
      <c r="C8" t="s">
        <v>1973</v>
      </c>
      <c r="D8" s="47"/>
      <c r="E8" s="7"/>
      <c r="I8" s="12" t="s">
        <v>1289</v>
      </c>
      <c r="J8" s="12" t="s">
        <v>1290</v>
      </c>
      <c r="K8" s="12" t="s">
        <v>1291</v>
      </c>
      <c r="L8" s="12" t="s">
        <v>1292</v>
      </c>
      <c r="M8" s="11" t="s">
        <v>1293</v>
      </c>
      <c r="P8" s="34" t="s">
        <v>1328</v>
      </c>
      <c r="Q8" s="34">
        <v>6</v>
      </c>
    </row>
    <row r="9" spans="1:19" ht="30.25" thickBot="1" x14ac:dyDescent="0.9">
      <c r="B9" s="47" t="s">
        <v>1484</v>
      </c>
      <c r="C9" s="12" t="s">
        <v>1974</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1976</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1977</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1978</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1979</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1970</v>
      </c>
      <c r="L4" s="16" t="str">
        <f>CONCATENATE("Logical: ",B4)</f>
        <v>Logical: SurgeryI4rc</v>
      </c>
    </row>
    <row r="5" spans="1:18" ht="15.5" thickBot="1" x14ac:dyDescent="0.9">
      <c r="A5" s="14" t="s">
        <v>16</v>
      </c>
      <c r="B5" s="30" t="s">
        <v>1689</v>
      </c>
      <c r="L5" s="16" t="str">
        <f>CONCATENATE("Id: ",B5)</f>
        <v>Id: Surgery</v>
      </c>
    </row>
    <row r="6" spans="1:18" ht="15.5" thickBot="1" x14ac:dyDescent="0.9">
      <c r="A6" s="14" t="s">
        <v>10</v>
      </c>
      <c r="B6" s="30" t="s">
        <v>1689</v>
      </c>
      <c r="L6" s="17" t="str">
        <f>CONCATENATE("Title: ##34#",B6,"##34#")</f>
        <v>Title: ##34#Surgery##34#</v>
      </c>
    </row>
    <row r="7" spans="1:18" x14ac:dyDescent="0.75">
      <c r="A7" s="26" t="s">
        <v>2</v>
      </c>
      <c r="B7" s="100" t="s">
        <v>1689</v>
      </c>
      <c r="C7" s="9" t="s">
        <v>3</v>
      </c>
      <c r="D7" s="1" t="s">
        <v>4</v>
      </c>
      <c r="E7" s="3" t="s">
        <v>5</v>
      </c>
      <c r="F7" s="3" t="s">
        <v>6</v>
      </c>
      <c r="G7" s="3" t="s">
        <v>7</v>
      </c>
      <c r="H7" s="64" t="s">
        <v>1384</v>
      </c>
      <c r="I7" s="124" t="s">
        <v>2133</v>
      </c>
      <c r="J7" s="124" t="s">
        <v>2134</v>
      </c>
      <c r="L7" s="17" t="str">
        <f>CONCATENATE("Description: "," ##334#",B7,"##334#",)</f>
        <v>Description:  ##334#Surgery##334#</v>
      </c>
    </row>
    <row r="8" spans="1:18" ht="59" x14ac:dyDescent="0.75">
      <c r="A8" s="135">
        <v>0</v>
      </c>
      <c r="B8" s="11" t="s">
        <v>1573</v>
      </c>
      <c r="C8" s="11" t="s">
        <v>1668</v>
      </c>
      <c r="D8" s="11" t="s">
        <v>1568</v>
      </c>
      <c r="E8" s="11">
        <v>1</v>
      </c>
      <c r="F8" s="11">
        <v>1</v>
      </c>
      <c r="G8" s="42" t="s">
        <v>1621</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5">
        <v>1</v>
      </c>
      <c r="B9" s="11" t="s">
        <v>1929</v>
      </c>
      <c r="C9" s="11" t="s">
        <v>2236</v>
      </c>
      <c r="D9" s="11" t="s">
        <v>2237</v>
      </c>
      <c r="E9" s="11">
        <v>1</v>
      </c>
      <c r="F9" s="11">
        <v>1</v>
      </c>
      <c r="G9" s="11" t="s">
        <v>1474</v>
      </c>
      <c r="H9" s="12" t="s">
        <v>2244</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5">
        <v>2</v>
      </c>
      <c r="B10" s="6" t="s">
        <v>2232</v>
      </c>
      <c r="C10" s="11" t="s">
        <v>2238</v>
      </c>
      <c r="D10" s="11" t="s">
        <v>1690</v>
      </c>
      <c r="E10" s="11">
        <v>1</v>
      </c>
      <c r="F10" s="11">
        <v>1</v>
      </c>
      <c r="G10" s="11" t="s">
        <v>1474</v>
      </c>
      <c r="H10" s="12" t="s">
        <v>1691</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35">
        <v>3</v>
      </c>
      <c r="B11" s="11" t="s">
        <v>43</v>
      </c>
      <c r="C11" s="11" t="s">
        <v>1692</v>
      </c>
      <c r="D11" s="11" t="s">
        <v>1693</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35">
        <v>4</v>
      </c>
      <c r="B12" s="11" t="s">
        <v>2251</v>
      </c>
      <c r="C12" s="11" t="s">
        <v>1694</v>
      </c>
      <c r="D12" s="11" t="s">
        <v>1695</v>
      </c>
      <c r="E12" s="11">
        <v>1</v>
      </c>
      <c r="F12" s="11">
        <v>1</v>
      </c>
      <c r="G12" s="11" t="s">
        <v>1474</v>
      </c>
      <c r="H12" s="12" t="s">
        <v>2245</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5">
        <v>5</v>
      </c>
      <c r="B13" s="11" t="s">
        <v>2252</v>
      </c>
      <c r="C13" s="11" t="s">
        <v>1696</v>
      </c>
      <c r="D13" s="11" t="s">
        <v>1697</v>
      </c>
      <c r="E13" s="11">
        <v>1</v>
      </c>
      <c r="F13" s="11">
        <v>1</v>
      </c>
      <c r="G13" s="11" t="s">
        <v>1474</v>
      </c>
      <c r="H13" s="12" t="s">
        <v>1698</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5">
        <v>6</v>
      </c>
      <c r="B14" s="11" t="s">
        <v>1699</v>
      </c>
      <c r="C14" s="11" t="s">
        <v>1700</v>
      </c>
      <c r="D14" s="11" t="s">
        <v>1701</v>
      </c>
      <c r="E14" s="11">
        <v>0</v>
      </c>
      <c r="F14" s="11">
        <v>1</v>
      </c>
      <c r="G14" s="11" t="s">
        <v>1474</v>
      </c>
      <c r="H14" s="12" t="s">
        <v>2246</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35">
        <v>7</v>
      </c>
      <c r="B15" s="11" t="s">
        <v>2233</v>
      </c>
      <c r="C15" s="11" t="s">
        <v>2239</v>
      </c>
      <c r="D15" s="11" t="s">
        <v>2240</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35">
        <v>8</v>
      </c>
      <c r="B16" s="11" t="s">
        <v>2253</v>
      </c>
      <c r="C16" s="11" t="s">
        <v>2241</v>
      </c>
      <c r="D16" s="11" t="s">
        <v>2241</v>
      </c>
      <c r="E16" s="11">
        <v>1</v>
      </c>
      <c r="F16" s="11">
        <v>1</v>
      </c>
      <c r="G16" s="11" t="s">
        <v>2042</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35">
        <v>9</v>
      </c>
      <c r="B17" s="11" t="s">
        <v>2254</v>
      </c>
      <c r="C17" s="11" t="s">
        <v>2242</v>
      </c>
      <c r="D17" s="11"/>
      <c r="E17" s="11">
        <v>1</v>
      </c>
      <c r="F17" s="11">
        <v>1</v>
      </c>
      <c r="G17" s="11" t="s">
        <v>1474</v>
      </c>
      <c r="H17" s="12" t="s">
        <v>2247</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5">
        <v>10</v>
      </c>
      <c r="B18" s="11" t="s">
        <v>2234</v>
      </c>
      <c r="C18" s="11" t="s">
        <v>2243</v>
      </c>
      <c r="D18" s="11"/>
      <c r="E18" s="11">
        <v>1</v>
      </c>
      <c r="F18" s="11">
        <v>1</v>
      </c>
      <c r="G18" s="11" t="s">
        <v>1474</v>
      </c>
      <c r="H18" s="12" t="s">
        <v>2248</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5">
        <v>11</v>
      </c>
      <c r="B19" s="11" t="s">
        <v>1702</v>
      </c>
      <c r="C19" s="11" t="s">
        <v>1703</v>
      </c>
      <c r="D19" s="11" t="s">
        <v>1704</v>
      </c>
      <c r="E19" s="11">
        <v>1</v>
      </c>
      <c r="F19" s="11">
        <v>1</v>
      </c>
      <c r="G19" s="11" t="s">
        <v>1474</v>
      </c>
      <c r="H19" s="12" t="s">
        <v>1705</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5">
        <v>12</v>
      </c>
      <c r="B20" s="11" t="s">
        <v>1706</v>
      </c>
      <c r="C20" s="11" t="s">
        <v>1707</v>
      </c>
      <c r="D20" s="11" t="s">
        <v>1708</v>
      </c>
      <c r="E20" s="6">
        <v>1</v>
      </c>
      <c r="F20" s="6">
        <v>1</v>
      </c>
      <c r="G20" s="11" t="s">
        <v>1474</v>
      </c>
      <c r="H20" s="12" t="s">
        <v>1709</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5">
        <v>13</v>
      </c>
      <c r="B21" s="6" t="s">
        <v>1710</v>
      </c>
      <c r="C21" s="11" t="s">
        <v>1711</v>
      </c>
      <c r="D21" s="11" t="s">
        <v>1712</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5">
        <v>14</v>
      </c>
      <c r="B22" s="11" t="s">
        <v>1713</v>
      </c>
      <c r="C22" s="11" t="s">
        <v>1714</v>
      </c>
      <c r="D22" s="11" t="s">
        <v>1715</v>
      </c>
      <c r="E22" s="11">
        <v>0</v>
      </c>
      <c r="F22" s="11">
        <v>1</v>
      </c>
      <c r="G22" s="11" t="s">
        <v>1474</v>
      </c>
      <c r="H22" s="12" t="s">
        <v>2249</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5">
        <v>15</v>
      </c>
      <c r="B23" s="11" t="s">
        <v>1716</v>
      </c>
      <c r="C23" s="11" t="s">
        <v>1717</v>
      </c>
      <c r="D23" s="11" t="s">
        <v>1718</v>
      </c>
      <c r="E23" s="11">
        <v>0</v>
      </c>
      <c r="F23" s="11">
        <v>1</v>
      </c>
      <c r="G23" s="11" t="s">
        <v>1474</v>
      </c>
      <c r="H23" s="12" t="s">
        <v>1709</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5">
        <v>16</v>
      </c>
      <c r="B24" s="6" t="s">
        <v>1719</v>
      </c>
      <c r="C24" s="11" t="s">
        <v>1720</v>
      </c>
      <c r="D24" s="11" t="s">
        <v>1721</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5">
        <v>17</v>
      </c>
      <c r="B25" s="11" t="s">
        <v>2255</v>
      </c>
      <c r="C25" s="11" t="s">
        <v>1817</v>
      </c>
      <c r="D25" s="11" t="s">
        <v>1723</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5">
        <v>17</v>
      </c>
      <c r="B26" s="11" t="s">
        <v>2256</v>
      </c>
      <c r="C26" s="11" t="s">
        <v>1722</v>
      </c>
      <c r="D26" s="11" t="s">
        <v>1723</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5">
        <v>18</v>
      </c>
      <c r="B27" s="11" t="s">
        <v>2257</v>
      </c>
      <c r="C27" s="11" t="s">
        <v>1724</v>
      </c>
      <c r="D27" s="11" t="s">
        <v>1725</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5">
        <v>19</v>
      </c>
      <c r="B28" s="11" t="s">
        <v>2258</v>
      </c>
      <c r="C28" s="11" t="s">
        <v>1726</v>
      </c>
      <c r="D28" s="11" t="s">
        <v>1727</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5">
        <v>20</v>
      </c>
      <c r="B29" s="11" t="s">
        <v>2259</v>
      </c>
      <c r="C29" s="11" t="s">
        <v>1728</v>
      </c>
      <c r="D29" s="11" t="s">
        <v>1729</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5">
        <v>21</v>
      </c>
      <c r="B30" s="11" t="s">
        <v>2260</v>
      </c>
      <c r="C30" s="11" t="s">
        <v>1730</v>
      </c>
      <c r="D30" s="11" t="s">
        <v>1731</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5">
        <v>22</v>
      </c>
      <c r="B31" s="11" t="s">
        <v>2261</v>
      </c>
      <c r="C31" s="11" t="s">
        <v>1732</v>
      </c>
      <c r="D31" s="11" t="s">
        <v>1733</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5">
        <v>23</v>
      </c>
      <c r="B32" s="11" t="s">
        <v>2262</v>
      </c>
      <c r="C32" s="11" t="s">
        <v>1734</v>
      </c>
      <c r="D32" s="11" t="s">
        <v>1735</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5">
        <v>24</v>
      </c>
      <c r="B33" s="11" t="s">
        <v>2263</v>
      </c>
      <c r="C33" s="11" t="s">
        <v>1736</v>
      </c>
      <c r="D33" s="11" t="s">
        <v>1737</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5">
        <v>25</v>
      </c>
      <c r="B34" s="11" t="s">
        <v>2264</v>
      </c>
      <c r="C34" s="11" t="s">
        <v>1738</v>
      </c>
      <c r="D34" s="11" t="s">
        <v>1739</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5">
        <v>26</v>
      </c>
      <c r="B35" s="11" t="s">
        <v>2265</v>
      </c>
      <c r="C35" s="11" t="s">
        <v>1740</v>
      </c>
      <c r="D35" s="11" t="s">
        <v>1741</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5">
        <v>27</v>
      </c>
      <c r="B36" s="11" t="s">
        <v>2235</v>
      </c>
      <c r="C36" s="11" t="s">
        <v>1742</v>
      </c>
      <c r="D36" s="11" t="s">
        <v>1743</v>
      </c>
      <c r="E36">
        <v>1</v>
      </c>
      <c r="F36">
        <v>1</v>
      </c>
      <c r="G36" s="11" t="s">
        <v>1474</v>
      </c>
      <c r="H36" s="12" t="s">
        <v>2250</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1688</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1820</v>
      </c>
      <c r="D3" s="47" t="s">
        <v>1479</v>
      </c>
      <c r="E3" s="72" t="str">
        <f>$C$1&amp;B14</f>
        <v>http://hl7.eu/fhir/ig/idea4rc/StructureDefinition/SurgeryI4rc</v>
      </c>
    </row>
    <row r="4" spans="1:19" x14ac:dyDescent="0.75">
      <c r="B4" s="47" t="s">
        <v>16</v>
      </c>
      <c r="C4" s="28" t="s">
        <v>1820</v>
      </c>
      <c r="D4" s="47" t="s">
        <v>1480</v>
      </c>
      <c r="E4" s="143" t="s">
        <v>1823</v>
      </c>
      <c r="F4" s="144"/>
      <c r="G4" s="144"/>
    </row>
    <row r="5" spans="1:19" x14ac:dyDescent="0.75">
      <c r="B5" s="47" t="s">
        <v>10</v>
      </c>
      <c r="C5" s="7" t="s">
        <v>1821</v>
      </c>
      <c r="D5" s="47"/>
      <c r="E5" s="7"/>
    </row>
    <row r="6" spans="1:19" x14ac:dyDescent="0.75">
      <c r="B6" s="47" t="s">
        <v>18</v>
      </c>
      <c r="C6" s="41"/>
      <c r="D6" s="47" t="s">
        <v>1481</v>
      </c>
      <c r="E6" s="143" t="str">
        <f>E3</f>
        <v>http://hl7.eu/fhir/ig/idea4rc/StructureDefinition/SurgeryI4rc</v>
      </c>
      <c r="F6" s="144"/>
      <c r="G6" s="144"/>
    </row>
    <row r="7" spans="1:19" x14ac:dyDescent="0.75">
      <c r="B7" s="47" t="s">
        <v>15</v>
      </c>
      <c r="C7" s="73"/>
      <c r="D7" s="47" t="s">
        <v>1482</v>
      </c>
      <c r="E7" s="143" t="str">
        <f>E4</f>
        <v>http://hl7.eu/fhir/ig/idea4rc/StructureDefinition/Procedure-surgery-eu-i4rc</v>
      </c>
      <c r="F7" s="144"/>
      <c r="G7" s="144"/>
    </row>
    <row r="8" spans="1:19" ht="45" thickBot="1" x14ac:dyDescent="0.9">
      <c r="B8" s="47" t="s">
        <v>1483</v>
      </c>
      <c r="C8" s="7" t="s">
        <v>1821</v>
      </c>
      <c r="D8" s="47"/>
      <c r="E8" s="7"/>
      <c r="I8" s="12" t="s">
        <v>1289</v>
      </c>
      <c r="J8" s="12" t="s">
        <v>1290</v>
      </c>
      <c r="K8" s="12" t="s">
        <v>1291</v>
      </c>
      <c r="L8" s="12" t="s">
        <v>1292</v>
      </c>
      <c r="M8" s="11" t="s">
        <v>1293</v>
      </c>
      <c r="P8" s="34" t="s">
        <v>1328</v>
      </c>
      <c r="Q8" s="34">
        <v>6</v>
      </c>
    </row>
    <row r="9" spans="1:19" ht="15.5" thickBot="1" x14ac:dyDescent="0.9">
      <c r="B9" s="47" t="s">
        <v>1484</v>
      </c>
      <c r="C9" s="12" t="s">
        <v>1822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1824</v>
      </c>
      <c r="E14" s="6"/>
      <c r="F14" s="49"/>
      <c r="G14" s="49"/>
      <c r="I14" s="12"/>
      <c r="J14" s="11"/>
      <c r="K14" s="11"/>
      <c r="L14" s="11"/>
      <c r="M14" s="48"/>
      <c r="N14" s="51"/>
    </row>
    <row r="15" spans="1:19" ht="44.25" x14ac:dyDescent="0.75">
      <c r="A15" s="44"/>
      <c r="B15" s="11" t="str">
        <f>Surgery!B8</f>
        <v>episodeEvent</v>
      </c>
      <c r="C15" s="11" t="str">
        <f>Surgery!C8</f>
        <v>Episode Event reference</v>
      </c>
      <c r="D15" s="12" t="s">
        <v>1825</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1839</v>
      </c>
      <c r="E16" s="12"/>
      <c r="F16" s="49" t="s">
        <v>1294</v>
      </c>
      <c r="G16" s="77" t="s">
        <v>1827</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1826</v>
      </c>
      <c r="E17" s="12"/>
      <c r="F17" s="49" t="s">
        <v>1317</v>
      </c>
      <c r="G17" s="78"/>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77" t="s">
        <v>1828</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1829</v>
      </c>
      <c r="E19" s="12"/>
      <c r="F19" s="49" t="s">
        <v>1294</v>
      </c>
      <c r="G19" s="77" t="s">
        <v>1830</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1831</v>
      </c>
      <c r="E20" s="12"/>
      <c r="F20" s="49" t="s">
        <v>1294</v>
      </c>
      <c r="G20" s="78"/>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77" t="s">
        <v>1832</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78" t="s">
        <v>1833</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1826</v>
      </c>
      <c r="E23" s="11"/>
      <c r="F23" s="49" t="s">
        <v>1317</v>
      </c>
      <c r="G23" s="77" t="s">
        <v>1834</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1835</v>
      </c>
      <c r="E24" s="11"/>
      <c r="F24" s="49" t="s">
        <v>1294</v>
      </c>
      <c r="G24" s="78"/>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78" t="s">
        <v>1836</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77" t="s">
        <v>1834</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1629</v>
      </c>
      <c r="E27" s="12"/>
      <c r="F27" s="49" t="s">
        <v>1316</v>
      </c>
      <c r="G27" s="78"/>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1629</v>
      </c>
      <c r="E28" s="12"/>
      <c r="F28" s="49" t="s">
        <v>1316</v>
      </c>
      <c r="G28" s="78"/>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1629</v>
      </c>
      <c r="E29" s="12"/>
      <c r="F29" s="49" t="s">
        <v>1316</v>
      </c>
      <c r="G29" s="78"/>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1629</v>
      </c>
      <c r="E30" s="12"/>
      <c r="F30" s="49" t="s">
        <v>1316</v>
      </c>
      <c r="G30" s="78"/>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1629</v>
      </c>
      <c r="E31" s="12"/>
      <c r="F31" s="49" t="s">
        <v>1316</v>
      </c>
      <c r="G31" s="78"/>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1629</v>
      </c>
      <c r="E32" s="12"/>
      <c r="F32" s="49" t="s">
        <v>1316</v>
      </c>
      <c r="G32" s="78"/>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1629</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1629</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1629</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1629</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1629</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1837</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1838</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5.5" thickBot="1" x14ac:dyDescent="0.9">
      <c r="L3" s="24" t="str">
        <f>L1</f>
        <v>//===================================================</v>
      </c>
      <c r="N3" s="24" t="str">
        <f>N1</f>
        <v>// -------------------------------------------------------------------------------</v>
      </c>
      <c r="P3" s="24" t="str">
        <f>P1</f>
        <v>// -------------------------------------------------------------------------------</v>
      </c>
      <c r="R3" s="24" t="str">
        <f>R1</f>
        <v>// -------------------------------------------------------------------------------</v>
      </c>
    </row>
    <row r="4" spans="1:18" ht="15.5" thickBot="1" x14ac:dyDescent="0.9">
      <c r="A4" s="5" t="s">
        <v>11</v>
      </c>
      <c r="B4" s="30" t="s">
        <v>1969</v>
      </c>
      <c r="L4" s="16" t="str">
        <f>CONCATENATE("Logical: ",B4)</f>
        <v>Logical: SystemicTreatmentI4rc</v>
      </c>
    </row>
    <row r="5" spans="1:18" ht="15.5" thickBot="1" x14ac:dyDescent="0.9">
      <c r="A5" s="14" t="s">
        <v>16</v>
      </c>
      <c r="B5" s="30" t="s">
        <v>1666</v>
      </c>
      <c r="L5" s="16" t="str">
        <f>CONCATENATE("Id: ",B5)</f>
        <v>Id: SystemicTreatment</v>
      </c>
    </row>
    <row r="6" spans="1:18" ht="15.5" thickBot="1" x14ac:dyDescent="0.9">
      <c r="A6" s="14" t="s">
        <v>10</v>
      </c>
      <c r="B6" s="30" t="s">
        <v>1667</v>
      </c>
      <c r="L6" s="17" t="str">
        <f>CONCATENATE("Title: ##34#",B6,"##34#")</f>
        <v>Title: ##34#Systemic Treatment##34#</v>
      </c>
    </row>
    <row r="7" spans="1:18" x14ac:dyDescent="0.75">
      <c r="A7" s="26" t="s">
        <v>2</v>
      </c>
      <c r="B7" s="30" t="s">
        <v>1667</v>
      </c>
      <c r="C7" s="9" t="s">
        <v>3</v>
      </c>
      <c r="D7" s="1" t="s">
        <v>4</v>
      </c>
      <c r="E7" s="3" t="s">
        <v>5</v>
      </c>
      <c r="F7" s="3" t="s">
        <v>6</v>
      </c>
      <c r="G7" s="3" t="s">
        <v>7</v>
      </c>
      <c r="H7" s="64" t="s">
        <v>1384</v>
      </c>
      <c r="I7" s="124" t="s">
        <v>2133</v>
      </c>
      <c r="J7" s="124" t="s">
        <v>2134</v>
      </c>
      <c r="L7" s="17" t="str">
        <f>CONCATENATE("Description: "," ##334#",B7,"##334#",)</f>
        <v>Description:  ##334#Systemic Treatment##334#</v>
      </c>
    </row>
    <row r="8" spans="1:18" ht="59" x14ac:dyDescent="0.75">
      <c r="A8" s="59">
        <v>0</v>
      </c>
      <c r="B8" s="12" t="s">
        <v>1600</v>
      </c>
      <c r="C8" s="12" t="s">
        <v>1668</v>
      </c>
      <c r="D8" s="12" t="s">
        <v>1568</v>
      </c>
      <c r="E8" s="11">
        <v>1</v>
      </c>
      <c r="F8" s="11">
        <v>1</v>
      </c>
      <c r="G8" s="136" t="s">
        <v>1621</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1669</v>
      </c>
      <c r="C9" s="12" t="s">
        <v>1670</v>
      </c>
      <c r="D9" s="12" t="s">
        <v>1671</v>
      </c>
      <c r="E9" s="11">
        <v>1</v>
      </c>
      <c r="F9" s="11">
        <v>1</v>
      </c>
      <c r="G9" s="87" t="s">
        <v>1474</v>
      </c>
      <c r="H9" s="12" t="s">
        <v>1672</v>
      </c>
      <c r="I9" s="12" t="b">
        <v>1</v>
      </c>
      <c r="J9" s="12" t="b">
        <v>1</v>
      </c>
      <c r="K9" s="25" t="s">
        <v>1669</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1673</v>
      </c>
      <c r="E10" s="11">
        <v>1</v>
      </c>
      <c r="F10" s="11">
        <v>1</v>
      </c>
      <c r="G10" s="105" t="s">
        <v>1474</v>
      </c>
      <c r="H10" s="12" t="s">
        <v>1674</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1675</v>
      </c>
      <c r="D11" s="12" t="s">
        <v>1676</v>
      </c>
      <c r="E11" s="11">
        <v>1</v>
      </c>
      <c r="F11" s="11">
        <v>1</v>
      </c>
      <c r="G11" s="105" t="s">
        <v>1474</v>
      </c>
      <c r="H11" s="12" t="s">
        <v>1677</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2266</v>
      </c>
      <c r="C12" s="11" t="s">
        <v>2272</v>
      </c>
      <c r="D12" s="11" t="s">
        <v>2273</v>
      </c>
      <c r="E12" s="11">
        <v>0</v>
      </c>
      <c r="F12" s="11">
        <v>1</v>
      </c>
      <c r="G12" t="s">
        <v>1474</v>
      </c>
      <c r="H12" s="2" t="s">
        <v>2274</v>
      </c>
      <c r="I12" s="12" t="b">
        <v>0</v>
      </c>
      <c r="J12" s="12" t="b">
        <v>1</v>
      </c>
      <c r="K12" s="25" t="s">
        <v>2266</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87"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87"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1678</v>
      </c>
      <c r="D15" s="12" t="s">
        <v>1679</v>
      </c>
      <c r="E15" s="11">
        <v>0</v>
      </c>
      <c r="F15" s="11">
        <v>1</v>
      </c>
      <c r="G15" s="137" t="s">
        <v>1818</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3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1812</v>
      </c>
      <c r="C17" s="12" t="s">
        <v>1428</v>
      </c>
      <c r="D17" s="13" t="s">
        <v>1428</v>
      </c>
      <c r="E17" s="11">
        <v>1</v>
      </c>
      <c r="F17" s="11">
        <v>1</v>
      </c>
      <c r="G17" s="87" t="s">
        <v>1474</v>
      </c>
      <c r="H17" s="12" t="s">
        <v>1680</v>
      </c>
      <c r="I17" s="12" t="b">
        <v>1</v>
      </c>
      <c r="J17" s="12" t="b">
        <v>1</v>
      </c>
      <c r="K17" s="25" t="s">
        <v>2267</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1813</v>
      </c>
      <c r="C18" s="12" t="s">
        <v>1429</v>
      </c>
      <c r="D18" s="13" t="s">
        <v>1429</v>
      </c>
      <c r="E18" s="11">
        <v>1</v>
      </c>
      <c r="F18" s="11">
        <v>1</v>
      </c>
      <c r="G18" s="87" t="s">
        <v>1474</v>
      </c>
      <c r="H18" s="12" t="s">
        <v>1680</v>
      </c>
      <c r="I18" s="12" t="b">
        <v>1</v>
      </c>
      <c r="J18" s="12" t="b">
        <v>1</v>
      </c>
      <c r="K18" s="25" t="s">
        <v>2268</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1814</v>
      </c>
      <c r="C19" s="12" t="s">
        <v>1430</v>
      </c>
      <c r="D19" s="13" t="s">
        <v>1430</v>
      </c>
      <c r="E19" s="11">
        <v>1</v>
      </c>
      <c r="F19" s="11">
        <v>1</v>
      </c>
      <c r="G19" s="87" t="s">
        <v>1474</v>
      </c>
      <c r="H19" s="12" t="s">
        <v>1680</v>
      </c>
      <c r="I19" s="12" t="b">
        <v>1</v>
      </c>
      <c r="J19" s="12" t="b">
        <v>1</v>
      </c>
      <c r="K19" t="s">
        <v>2269</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1815</v>
      </c>
      <c r="C20" s="12" t="s">
        <v>1433</v>
      </c>
      <c r="D20" s="12" t="s">
        <v>1681</v>
      </c>
      <c r="E20" s="11">
        <v>1</v>
      </c>
      <c r="F20" s="11">
        <v>1</v>
      </c>
      <c r="G20" s="87" t="s">
        <v>43</v>
      </c>
      <c r="H20" s="12"/>
      <c r="I20" s="12" t="b">
        <v>1</v>
      </c>
      <c r="J20" s="12" t="b">
        <v>0</v>
      </c>
      <c r="K20" t="s">
        <v>2270</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1816</v>
      </c>
      <c r="C21" s="12" t="s">
        <v>1434</v>
      </c>
      <c r="D21" s="12" t="s">
        <v>1682</v>
      </c>
      <c r="E21" s="11">
        <v>1</v>
      </c>
      <c r="F21" s="11">
        <v>1</v>
      </c>
      <c r="G21" s="87" t="s">
        <v>43</v>
      </c>
      <c r="H21" s="12"/>
      <c r="I21" s="12" t="b">
        <v>1</v>
      </c>
      <c r="J21" s="12" t="b">
        <v>0</v>
      </c>
      <c r="K21" t="s">
        <v>2271</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87" t="s">
        <v>1474</v>
      </c>
      <c r="H22" s="12" t="s">
        <v>1683</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1912</v>
      </c>
      <c r="C23" s="11" t="s">
        <v>1684</v>
      </c>
      <c r="D23" s="11" t="s">
        <v>1685</v>
      </c>
      <c r="E23" s="11">
        <v>1</v>
      </c>
      <c r="F23" s="11">
        <v>1</v>
      </c>
      <c r="G23" t="s">
        <v>1474</v>
      </c>
      <c r="H23" s="12" t="s">
        <v>1686</v>
      </c>
      <c r="I23" s="12" t="b">
        <v>1</v>
      </c>
      <c r="J23" s="12" t="b">
        <v>1</v>
      </c>
      <c r="K23" t="s">
        <v>1912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1687</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1860</v>
      </c>
      <c r="D3" s="47" t="s">
        <v>1479</v>
      </c>
      <c r="E3" s="72" t="str">
        <f>$C$1&amp;B14</f>
        <v>http://hl7.eu/fhir/ig/idea4rc/StructureDefinition/SystemicTreatment</v>
      </c>
    </row>
    <row r="4" spans="1:19" x14ac:dyDescent="0.75">
      <c r="B4" s="47" t="s">
        <v>16</v>
      </c>
      <c r="C4" s="28" t="s">
        <v>1860</v>
      </c>
      <c r="D4" s="47" t="s">
        <v>1480</v>
      </c>
      <c r="E4" s="143" t="s">
        <v>1872</v>
      </c>
      <c r="F4" s="148"/>
      <c r="G4" s="148"/>
    </row>
    <row r="5" spans="1:19" x14ac:dyDescent="0.75">
      <c r="B5" s="47" t="s">
        <v>10</v>
      </c>
      <c r="C5" s="7" t="s">
        <v>1861</v>
      </c>
      <c r="D5" s="47"/>
      <c r="E5" s="7"/>
    </row>
    <row r="6" spans="1:19" x14ac:dyDescent="0.75">
      <c r="B6" s="47" t="s">
        <v>18</v>
      </c>
      <c r="C6" s="41"/>
      <c r="D6" s="47" t="s">
        <v>1481</v>
      </c>
      <c r="E6" s="143" t="str">
        <f>E3</f>
        <v>http://hl7.eu/fhir/ig/idea4rc/StructureDefinition/SystemicTreatment</v>
      </c>
      <c r="F6" s="144"/>
      <c r="G6" s="144"/>
    </row>
    <row r="7" spans="1:19" x14ac:dyDescent="0.75">
      <c r="B7" s="47" t="s">
        <v>15</v>
      </c>
      <c r="C7" s="73"/>
      <c r="D7" s="47" t="s">
        <v>1482</v>
      </c>
      <c r="E7" s="143" t="str">
        <f>E4</f>
        <v>http://hl7.eu/fhir/ig/idea4rc/StructureDefinition/MedicationAdministration-eu-i4rc</v>
      </c>
      <c r="F7" s="144"/>
      <c r="G7" s="144"/>
    </row>
    <row r="8" spans="1:19" ht="45" thickBot="1" x14ac:dyDescent="0.9">
      <c r="B8" s="47" t="s">
        <v>1483</v>
      </c>
      <c r="C8" s="7" t="s">
        <v>1861</v>
      </c>
      <c r="D8" s="47"/>
      <c r="E8" s="7"/>
      <c r="I8" s="12" t="s">
        <v>1289</v>
      </c>
      <c r="J8" s="12" t="s">
        <v>1290</v>
      </c>
      <c r="K8" s="12" t="s">
        <v>1291</v>
      </c>
      <c r="L8" s="12" t="s">
        <v>1292</v>
      </c>
      <c r="M8" s="11" t="s">
        <v>1293</v>
      </c>
      <c r="P8" s="34" t="s">
        <v>1328</v>
      </c>
      <c r="Q8" s="34">
        <v>6</v>
      </c>
    </row>
    <row r="9" spans="1:19" ht="30.25" thickBot="1" x14ac:dyDescent="0.9">
      <c r="B9" s="47" t="s">
        <v>1484</v>
      </c>
      <c r="C9" s="12" t="s">
        <v>1862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1824</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1825</v>
      </c>
      <c r="E15" s="12"/>
      <c r="F15" s="49" t="s">
        <v>1294</v>
      </c>
      <c r="G15" s="78"/>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1863</v>
      </c>
      <c r="E16" s="12"/>
      <c r="F16" s="49" t="s">
        <v>1316</v>
      </c>
      <c r="G16" s="78" t="s">
        <v>1871</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1864</v>
      </c>
      <c r="E17" s="12"/>
      <c r="F17" s="49" t="s">
        <v>1294</v>
      </c>
      <c r="G17" s="77"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1865</v>
      </c>
      <c r="E18" s="12"/>
      <c r="F18" s="49" t="s">
        <v>1294</v>
      </c>
      <c r="G18" s="77"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1626</v>
      </c>
      <c r="E19" s="12"/>
      <c r="F19" s="49" t="s">
        <v>1294</v>
      </c>
      <c r="G19" s="78"/>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1866</v>
      </c>
      <c r="E20" s="12"/>
      <c r="F20" s="49" t="s">
        <v>1294</v>
      </c>
      <c r="G20" s="78"/>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8"/>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1867</v>
      </c>
      <c r="E23" s="11"/>
      <c r="F23" s="49" t="s">
        <v>1294</v>
      </c>
      <c r="G23" s="77"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1867</v>
      </c>
      <c r="E24" s="11"/>
      <c r="F24" s="49" t="s">
        <v>1294</v>
      </c>
      <c r="G24" s="77"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1867</v>
      </c>
      <c r="E25" s="11"/>
      <c r="F25" s="49" t="s">
        <v>1294</v>
      </c>
      <c r="G25" s="77"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77"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77"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1868</v>
      </c>
      <c r="E28" s="12"/>
      <c r="F28" s="49" t="s">
        <v>1294</v>
      </c>
      <c r="G28" s="78"/>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1869</v>
      </c>
      <c r="E29" s="12"/>
      <c r="F29" s="49" t="s">
        <v>1294</v>
      </c>
      <c r="G29" s="77" t="s">
        <v>1870</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1873</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RadiotherapyI4rc</v>
      </c>
    </row>
    <row r="5" spans="1:18" ht="15.5" thickBot="1" x14ac:dyDescent="0.9">
      <c r="A5" s="14" t="s">
        <v>16</v>
      </c>
      <c r="B5" s="30" t="s">
        <v>1745</v>
      </c>
      <c r="L5" s="16" t="str">
        <f>CONCATENATE("Id: ",B5)</f>
        <v>Id: Radiotherapy</v>
      </c>
    </row>
    <row r="6" spans="1:18" ht="15.5" thickBot="1" x14ac:dyDescent="0.9">
      <c r="A6" s="14" t="s">
        <v>10</v>
      </c>
      <c r="B6" s="30" t="s">
        <v>1745</v>
      </c>
      <c r="L6" s="17" t="str">
        <f>CONCATENATE("Title: ##34#",B6,"##34#")</f>
        <v>Title: ##34#Radiotherapy##34#</v>
      </c>
    </row>
    <row r="7" spans="1:18" x14ac:dyDescent="0.75">
      <c r="A7" s="26" t="s">
        <v>2</v>
      </c>
      <c r="B7" s="30" t="s">
        <v>1745</v>
      </c>
      <c r="C7" s="9" t="s">
        <v>3</v>
      </c>
      <c r="D7" s="1" t="s">
        <v>4</v>
      </c>
      <c r="E7" s="3" t="s">
        <v>5</v>
      </c>
      <c r="F7" s="3" t="s">
        <v>6</v>
      </c>
      <c r="G7" s="3" t="s">
        <v>7</v>
      </c>
      <c r="H7" s="64" t="s">
        <v>1384</v>
      </c>
      <c r="I7" s="124" t="s">
        <v>2133</v>
      </c>
      <c r="J7" s="124" t="s">
        <v>2134</v>
      </c>
      <c r="L7" s="17" t="str">
        <f>CONCATENATE("Description: "," ##334#",B7,"##334#",)</f>
        <v>Description:  ##334#Radiotherapy##334#</v>
      </c>
    </row>
    <row r="8" spans="1:18" ht="59" x14ac:dyDescent="0.75">
      <c r="A8" s="59">
        <v>0</v>
      </c>
      <c r="B8" s="11" t="s">
        <v>1600</v>
      </c>
      <c r="C8" s="11" t="s">
        <v>1668</v>
      </c>
      <c r="D8" s="11" t="s">
        <v>1568</v>
      </c>
      <c r="E8" s="11">
        <v>1</v>
      </c>
      <c r="F8" s="11">
        <v>1</v>
      </c>
      <c r="G8" s="139" t="s">
        <v>1621</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1744</v>
      </c>
      <c r="C9" s="11" t="s">
        <v>1745</v>
      </c>
      <c r="D9" s="11" t="s">
        <v>1746</v>
      </c>
      <c r="E9" s="11">
        <v>1</v>
      </c>
      <c r="F9" s="11">
        <v>1</v>
      </c>
      <c r="G9" s="11" t="s">
        <v>1474</v>
      </c>
      <c r="H9" s="12" t="s">
        <v>1691</v>
      </c>
      <c r="I9" s="12" t="b">
        <v>1</v>
      </c>
      <c r="J9" s="12" t="b">
        <v>1</v>
      </c>
      <c r="K9" s="25" t="s">
        <v>1744</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1747</v>
      </c>
      <c r="E10" s="11">
        <v>1</v>
      </c>
      <c r="F10" s="11">
        <v>1</v>
      </c>
      <c r="G10" s="11" t="s">
        <v>1474</v>
      </c>
      <c r="H10" s="12" t="s">
        <v>1674</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1675</v>
      </c>
      <c r="D11" s="11" t="s">
        <v>1748</v>
      </c>
      <c r="E11" s="11">
        <v>0</v>
      </c>
      <c r="F11" s="11">
        <v>1</v>
      </c>
      <c r="G11" s="11" t="s">
        <v>1474</v>
      </c>
      <c r="H11" s="12" t="s">
        <v>1749</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1750</v>
      </c>
      <c r="C12" s="11" t="s">
        <v>1751</v>
      </c>
      <c r="D12" s="11" t="s">
        <v>1752</v>
      </c>
      <c r="E12" s="11">
        <v>1</v>
      </c>
      <c r="F12" s="11">
        <v>1</v>
      </c>
      <c r="G12" s="11" t="s">
        <v>1474</v>
      </c>
      <c r="H12" s="12" t="s">
        <v>1753</v>
      </c>
      <c r="I12" s="12" t="b">
        <v>1</v>
      </c>
      <c r="J12" s="12" t="b">
        <v>1</v>
      </c>
      <c r="K12" s="25" t="s">
        <v>1750</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1">
        <v>5</v>
      </c>
      <c r="B13" s="11" t="s">
        <v>1754</v>
      </c>
      <c r="C13" s="11" t="s">
        <v>1755</v>
      </c>
      <c r="D13" s="6" t="s">
        <v>1755</v>
      </c>
      <c r="E13" s="11">
        <v>0</v>
      </c>
      <c r="F13" s="11">
        <v>1</v>
      </c>
      <c r="G13" s="11" t="s">
        <v>0</v>
      </c>
      <c r="H13" s="12"/>
      <c r="I13" s="12" t="b">
        <v>1</v>
      </c>
      <c r="J13" s="12" t="b">
        <v>0</v>
      </c>
      <c r="K13" s="25" t="s">
        <v>1754</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1756</v>
      </c>
      <c r="C14" s="11" t="s">
        <v>1757</v>
      </c>
      <c r="D14" s="11" t="s">
        <v>1758</v>
      </c>
      <c r="E14" s="11">
        <v>1</v>
      </c>
      <c r="F14" s="11">
        <v>1</v>
      </c>
      <c r="G14" s="11" t="s">
        <v>1474</v>
      </c>
      <c r="H14" s="12" t="s">
        <v>1759</v>
      </c>
      <c r="I14" s="12" t="b">
        <v>1</v>
      </c>
      <c r="J14" s="12" t="b">
        <v>1</v>
      </c>
      <c r="K14" s="25" t="s">
        <v>1756</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1760</v>
      </c>
      <c r="C15" s="11" t="s">
        <v>1761</v>
      </c>
      <c r="D15" s="11" t="s">
        <v>1762</v>
      </c>
      <c r="E15" s="11">
        <v>1</v>
      </c>
      <c r="F15" s="11">
        <v>1</v>
      </c>
      <c r="G15" s="42" t="s">
        <v>1818</v>
      </c>
      <c r="H15" s="12"/>
      <c r="I15" s="12" t="b">
        <v>1</v>
      </c>
      <c r="J15" s="12" t="b">
        <v>1</v>
      </c>
      <c r="K15" s="25" t="s">
        <v>2275</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1763</v>
      </c>
      <c r="C16" s="11" t="s">
        <v>1764</v>
      </c>
      <c r="D16" s="11" t="s">
        <v>1765</v>
      </c>
      <c r="E16" s="11">
        <v>1</v>
      </c>
      <c r="F16" s="11">
        <v>1</v>
      </c>
      <c r="G16" s="42" t="s">
        <v>1818</v>
      </c>
      <c r="H16" s="12"/>
      <c r="I16" s="12" t="b">
        <v>1</v>
      </c>
      <c r="J16" s="12" t="b">
        <v>0</v>
      </c>
      <c r="K16" s="25" t="s">
        <v>2276</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1766</v>
      </c>
      <c r="C17" s="11" t="s">
        <v>1767</v>
      </c>
      <c r="D17" s="11" t="s">
        <v>1768</v>
      </c>
      <c r="E17" s="11">
        <v>1</v>
      </c>
      <c r="F17" s="11">
        <v>1</v>
      </c>
      <c r="G17" s="42" t="s">
        <v>1818</v>
      </c>
      <c r="H17" s="12"/>
      <c r="I17" s="12" t="b">
        <v>1</v>
      </c>
      <c r="J17" s="12" t="b">
        <v>1</v>
      </c>
      <c r="K17" s="25" t="s">
        <v>1766</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1769</v>
      </c>
      <c r="C18" s="11" t="s">
        <v>1770</v>
      </c>
      <c r="D18" s="11" t="s">
        <v>1771</v>
      </c>
      <c r="E18" s="11">
        <v>0</v>
      </c>
      <c r="F18" s="11">
        <v>1</v>
      </c>
      <c r="G18" s="11" t="s">
        <v>1474</v>
      </c>
      <c r="H18" s="12" t="s">
        <v>1709</v>
      </c>
      <c r="I18" s="12" t="b">
        <v>1</v>
      </c>
      <c r="J18" s="12" t="b">
        <v>0</v>
      </c>
      <c r="K18" t="s">
        <v>1769</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1772</v>
      </c>
      <c r="C19" s="11" t="s">
        <v>1773</v>
      </c>
      <c r="D19" s="11" t="s">
        <v>1774</v>
      </c>
      <c r="E19" s="11">
        <v>0</v>
      </c>
      <c r="F19" s="11">
        <v>1</v>
      </c>
      <c r="G19" s="11" t="s">
        <v>1474</v>
      </c>
      <c r="H19" s="12" t="s">
        <v>1709</v>
      </c>
      <c r="I19" s="12" t="b">
        <v>1</v>
      </c>
      <c r="J19" s="12" t="b">
        <v>0</v>
      </c>
      <c r="K19" t="s">
        <v>2277</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1775</v>
      </c>
      <c r="C20" s="11" t="s">
        <v>1776</v>
      </c>
      <c r="D20" s="11" t="s">
        <v>1777</v>
      </c>
      <c r="E20" s="11">
        <v>1</v>
      </c>
      <c r="F20" s="11">
        <v>1</v>
      </c>
      <c r="G20" s="11" t="s">
        <v>43</v>
      </c>
      <c r="H20" s="12"/>
      <c r="I20" s="12" t="b">
        <v>1</v>
      </c>
      <c r="J20" s="12" t="b">
        <v>1</v>
      </c>
      <c r="K20" t="s">
        <v>1775</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1778</v>
      </c>
      <c r="C21" s="11" t="s">
        <v>1779</v>
      </c>
      <c r="D21" s="11" t="s">
        <v>1780</v>
      </c>
      <c r="E21" s="11">
        <v>1</v>
      </c>
      <c r="F21" s="11">
        <v>1</v>
      </c>
      <c r="G21" s="11" t="s">
        <v>43</v>
      </c>
      <c r="H21" s="12"/>
      <c r="I21" s="12" t="b">
        <v>1</v>
      </c>
      <c r="J21" s="12" t="b">
        <v>1</v>
      </c>
      <c r="K21" t="s">
        <v>1778</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1781</v>
      </c>
      <c r="C22" s="11" t="s">
        <v>1782</v>
      </c>
      <c r="D22" s="11" t="s">
        <v>1783</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1802</v>
      </c>
      <c r="C23" s="11" t="s">
        <v>1784</v>
      </c>
      <c r="D23" s="99" t="s">
        <v>1784</v>
      </c>
      <c r="E23" s="11">
        <v>0</v>
      </c>
      <c r="F23" s="11">
        <v>1</v>
      </c>
      <c r="G23" s="11" t="s">
        <v>44</v>
      </c>
      <c r="H23" s="12"/>
      <c r="I23" s="12" t="b">
        <v>1</v>
      </c>
      <c r="J23" s="12" t="b">
        <v>0</v>
      </c>
      <c r="K23" t="s">
        <v>2278</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1803</v>
      </c>
      <c r="C24" s="11" t="s">
        <v>1785</v>
      </c>
      <c r="D24" s="99" t="s">
        <v>1785</v>
      </c>
      <c r="E24" s="11">
        <v>0</v>
      </c>
      <c r="F24" s="11">
        <v>1</v>
      </c>
      <c r="G24" s="11" t="s">
        <v>44</v>
      </c>
      <c r="H24" s="12"/>
      <c r="I24" s="12" t="b">
        <v>1</v>
      </c>
      <c r="J24" s="12" t="b">
        <v>0</v>
      </c>
      <c r="K24" t="s">
        <v>2279</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1804</v>
      </c>
      <c r="C25" s="11" t="s">
        <v>1786</v>
      </c>
      <c r="D25" s="99" t="s">
        <v>1786</v>
      </c>
      <c r="E25" s="11">
        <v>1</v>
      </c>
      <c r="F25" s="11">
        <v>1</v>
      </c>
      <c r="G25" s="11" t="s">
        <v>44</v>
      </c>
      <c r="H25" s="12"/>
      <c r="I25" s="12" t="b">
        <v>1</v>
      </c>
      <c r="J25" s="12" t="b">
        <v>0</v>
      </c>
      <c r="K25" t="s">
        <v>2280</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1805</v>
      </c>
      <c r="C26" s="11" t="s">
        <v>1787</v>
      </c>
      <c r="D26" s="99" t="s">
        <v>1787</v>
      </c>
      <c r="E26" s="11">
        <v>1</v>
      </c>
      <c r="F26" s="11">
        <v>1</v>
      </c>
      <c r="G26" s="11" t="s">
        <v>44</v>
      </c>
      <c r="H26" s="12"/>
      <c r="I26" s="12" t="b">
        <v>1</v>
      </c>
      <c r="J26" s="12" t="b">
        <v>0</v>
      </c>
      <c r="K26" t="s">
        <v>2281</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1806</v>
      </c>
      <c r="C27" s="11" t="s">
        <v>1788</v>
      </c>
      <c r="D27" s="99" t="s">
        <v>1788</v>
      </c>
      <c r="E27" s="11">
        <v>1</v>
      </c>
      <c r="F27" s="11">
        <v>1</v>
      </c>
      <c r="G27" s="11" t="s">
        <v>44</v>
      </c>
      <c r="H27" s="12"/>
      <c r="I27" s="12" t="b">
        <v>1</v>
      </c>
      <c r="J27" s="12" t="b">
        <v>0</v>
      </c>
      <c r="K27" t="s">
        <v>2282</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1789</v>
      </c>
      <c r="C28" s="11" t="s">
        <v>1790</v>
      </c>
      <c r="D28" s="11" t="s">
        <v>1791</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1807</v>
      </c>
      <c r="C29" s="11" t="s">
        <v>1792</v>
      </c>
      <c r="D29" s="99" t="s">
        <v>1792</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1808</v>
      </c>
      <c r="C30" s="11" t="s">
        <v>1794</v>
      </c>
      <c r="D30" s="99" t="s">
        <v>1794</v>
      </c>
      <c r="E30" s="11">
        <v>0</v>
      </c>
      <c r="F30" s="11">
        <v>1</v>
      </c>
      <c r="G30" s="11" t="s">
        <v>44</v>
      </c>
      <c r="H30" s="12"/>
      <c r="I30" s="12" t="b">
        <v>1</v>
      </c>
      <c r="J30" s="12" t="b">
        <v>1</v>
      </c>
      <c r="K30" t="s">
        <v>1793</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1809</v>
      </c>
      <c r="C31" s="12" t="s">
        <v>1795</v>
      </c>
      <c r="D31" s="13" t="s">
        <v>1795</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1810</v>
      </c>
      <c r="C32" s="12" t="s">
        <v>1796</v>
      </c>
      <c r="D32" s="13" t="s">
        <v>1796</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1811</v>
      </c>
      <c r="C33" s="12" t="s">
        <v>1797</v>
      </c>
      <c r="D33" s="13" t="s">
        <v>1797</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1798</v>
      </c>
      <c r="C34" s="12" t="s">
        <v>1799</v>
      </c>
      <c r="D34" s="11" t="s">
        <v>1800</v>
      </c>
      <c r="E34" s="11">
        <v>1</v>
      </c>
      <c r="F34" s="11">
        <v>1</v>
      </c>
      <c r="G34" s="11" t="s">
        <v>1474</v>
      </c>
      <c r="H34" s="12" t="s">
        <v>1801</v>
      </c>
      <c r="I34" s="12" t="b">
        <v>1</v>
      </c>
      <c r="J34" s="12" t="b">
        <v>1</v>
      </c>
      <c r="K34" t="s">
        <v>1798</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2283</v>
      </c>
      <c r="C35" s="11" t="s">
        <v>2287</v>
      </c>
      <c r="D35" s="11" t="s">
        <v>2287</v>
      </c>
      <c r="E35" s="11">
        <v>1</v>
      </c>
      <c r="F35" s="11">
        <v>1</v>
      </c>
      <c r="G35" s="102" t="s">
        <v>1</v>
      </c>
      <c r="H35" s="6"/>
      <c r="I35" s="12" t="b">
        <v>0</v>
      </c>
      <c r="J35" s="12" t="b">
        <v>1</v>
      </c>
      <c r="K35" t="s">
        <v>2283</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2293</v>
      </c>
      <c r="C36" s="11" t="s">
        <v>2287</v>
      </c>
      <c r="D36" s="11" t="s">
        <v>2288</v>
      </c>
      <c r="E36" s="11">
        <v>0</v>
      </c>
      <c r="F36" s="11">
        <v>1</v>
      </c>
      <c r="G36" s="102" t="s">
        <v>43</v>
      </c>
      <c r="H36" s="11"/>
      <c r="I36" s="12" t="b">
        <v>0</v>
      </c>
      <c r="J36" s="12" t="b">
        <v>1</v>
      </c>
      <c r="K36" t="s">
        <v>2284</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2294</v>
      </c>
      <c r="C37" s="11" t="s">
        <v>2287</v>
      </c>
      <c r="D37" s="11" t="s">
        <v>2289</v>
      </c>
      <c r="E37" s="11">
        <v>0</v>
      </c>
      <c r="F37" s="11">
        <v>1</v>
      </c>
      <c r="G37" s="102" t="s">
        <v>43</v>
      </c>
      <c r="H37" s="11"/>
      <c r="I37" s="12" t="b">
        <v>0</v>
      </c>
      <c r="J37" s="12" t="b">
        <v>1</v>
      </c>
      <c r="K37" t="s">
        <v>2285</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2286</v>
      </c>
      <c r="C38" s="11" t="s">
        <v>2290</v>
      </c>
      <c r="D38" s="11" t="s">
        <v>2291</v>
      </c>
      <c r="E38" s="11">
        <v>0</v>
      </c>
      <c r="F38" s="11">
        <v>1</v>
      </c>
      <c r="G38" s="11" t="s">
        <v>1474</v>
      </c>
      <c r="H38" s="12" t="s">
        <v>2292</v>
      </c>
      <c r="I38" s="12" t="b">
        <v>0</v>
      </c>
      <c r="J38" s="12" t="b">
        <v>1</v>
      </c>
      <c r="K38" t="s">
        <v>2286</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1819</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1840</v>
      </c>
      <c r="D3" s="47" t="s">
        <v>1479</v>
      </c>
      <c r="E3" s="72" t="str">
        <f>$C$1&amp;B14</f>
        <v>http://hl7.eu/fhir/ig/idea4rc/StructureDefinition/RadiotherapyI4rc</v>
      </c>
    </row>
    <row r="4" spans="1:19" x14ac:dyDescent="0.75">
      <c r="B4" s="47" t="s">
        <v>16</v>
      </c>
      <c r="C4" s="28" t="s">
        <v>1840</v>
      </c>
      <c r="D4" s="47" t="s">
        <v>1480</v>
      </c>
      <c r="E4" s="143" t="s">
        <v>1874</v>
      </c>
      <c r="F4" s="144"/>
      <c r="G4" s="144"/>
    </row>
    <row r="5" spans="1:19" x14ac:dyDescent="0.75">
      <c r="B5" s="47" t="s">
        <v>10</v>
      </c>
      <c r="C5" s="7" t="s">
        <v>1841</v>
      </c>
      <c r="D5" s="47"/>
      <c r="E5" s="7"/>
    </row>
    <row r="6" spans="1:19" x14ac:dyDescent="0.75">
      <c r="B6" s="47" t="s">
        <v>18</v>
      </c>
      <c r="C6" s="41"/>
      <c r="D6" s="47" t="s">
        <v>1481</v>
      </c>
      <c r="E6" s="143" t="str">
        <f>E3</f>
        <v>http://hl7.eu/fhir/ig/idea4rc/StructureDefinition/RadiotherapyI4rc</v>
      </c>
      <c r="F6" s="144"/>
      <c r="G6" s="144"/>
    </row>
    <row r="7" spans="1:19" x14ac:dyDescent="0.75">
      <c r="B7" s="47" t="s">
        <v>15</v>
      </c>
      <c r="C7" s="73"/>
      <c r="D7" s="47" t="s">
        <v>1482</v>
      </c>
      <c r="E7" s="143" t="str">
        <f>E4</f>
        <v>http://hl7.eu/fhir/ig/idea4rc/StructureDefinition/Procedure-radiotheraphy-eu-i4rc</v>
      </c>
      <c r="F7" s="144"/>
      <c r="G7" s="144"/>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1824</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1825</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1858</v>
      </c>
      <c r="E16" s="12"/>
      <c r="F16" s="49" t="s">
        <v>1294</v>
      </c>
      <c r="G16" s="77" t="s">
        <v>1843</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1846</v>
      </c>
      <c r="E17" s="12"/>
      <c r="F17" s="49" t="s">
        <v>1294</v>
      </c>
      <c r="G17" s="77"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1858</v>
      </c>
      <c r="E18" s="12"/>
      <c r="F18" s="49" t="s">
        <v>1294</v>
      </c>
      <c r="G18" s="77" t="s">
        <v>1843</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1853</v>
      </c>
      <c r="E19" s="12"/>
      <c r="F19" s="49" t="s">
        <v>1294</v>
      </c>
      <c r="G19" s="78"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1854</v>
      </c>
      <c r="E20" s="12"/>
      <c r="F20" s="49" t="s">
        <v>1311</v>
      </c>
      <c r="G20" s="78"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1847</v>
      </c>
      <c r="E21" s="12"/>
      <c r="F21" s="49" t="s">
        <v>1294</v>
      </c>
      <c r="G21" s="78"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1848</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77" t="s">
        <v>1850</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1849</v>
      </c>
      <c r="E24" s="11"/>
      <c r="F24" s="49" t="s">
        <v>1294</v>
      </c>
      <c r="G24" s="78"/>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1851</v>
      </c>
      <c r="E25" s="11"/>
      <c r="F25" s="49" t="s">
        <v>1294</v>
      </c>
      <c r="G25" s="77" t="s">
        <v>1852</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1847</v>
      </c>
      <c r="E26" s="12"/>
      <c r="F26" s="49" t="s">
        <v>1294</v>
      </c>
      <c r="G26" s="77"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1855</v>
      </c>
      <c r="E27" s="12"/>
      <c r="F27" s="49" t="s">
        <v>1317</v>
      </c>
      <c r="G27" s="78"/>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1856</v>
      </c>
      <c r="E28" s="12"/>
      <c r="F28" s="49" t="s">
        <v>1317</v>
      </c>
      <c r="G28" s="78"/>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1629</v>
      </c>
      <c r="E29" s="12"/>
      <c r="F29" s="49" t="s">
        <v>1316</v>
      </c>
      <c r="G29" s="78"/>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1629</v>
      </c>
      <c r="E30" s="12"/>
      <c r="F30" s="49" t="s">
        <v>1294</v>
      </c>
      <c r="G30" s="77"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1629</v>
      </c>
      <c r="E31" s="12"/>
      <c r="F31" s="49" t="s">
        <v>1294</v>
      </c>
      <c r="G31" s="77"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1629</v>
      </c>
      <c r="E32" s="12"/>
      <c r="F32" s="49" t="s">
        <v>1294</v>
      </c>
      <c r="G32" s="77"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1629</v>
      </c>
      <c r="E33" s="12"/>
      <c r="F33" s="49" t="s">
        <v>1294</v>
      </c>
      <c r="G33" s="77"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1629</v>
      </c>
      <c r="E34" s="12"/>
      <c r="F34" s="49" t="s">
        <v>1294</v>
      </c>
      <c r="G34" s="77"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1629</v>
      </c>
      <c r="E35" s="12"/>
      <c r="F35" s="49" t="s">
        <v>1294</v>
      </c>
      <c r="G35" s="77"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1629</v>
      </c>
      <c r="E36" s="12"/>
      <c r="F36" s="49" t="s">
        <v>1294</v>
      </c>
      <c r="G36" s="77"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1629</v>
      </c>
      <c r="E37" s="12"/>
      <c r="F37" s="49" t="s">
        <v>1294</v>
      </c>
      <c r="G37" s="77"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1629</v>
      </c>
      <c r="E38" s="12"/>
      <c r="F38" s="49" t="s">
        <v>1294</v>
      </c>
      <c r="G38" s="77"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1629</v>
      </c>
      <c r="E39" s="12"/>
      <c r="F39" s="49" t="s">
        <v>1294</v>
      </c>
      <c r="G39" s="77"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1629</v>
      </c>
      <c r="E40" s="12"/>
      <c r="F40" s="49" t="s">
        <v>1294</v>
      </c>
      <c r="G40" s="77"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1851</v>
      </c>
      <c r="E41" s="11"/>
      <c r="F41" s="49" t="s">
        <v>1294</v>
      </c>
      <c r="G41" s="77" t="s">
        <v>1857</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5.5" thickBot="1" x14ac:dyDescent="0.9">
      <c r="L3" s="24" t="str">
        <f>L1</f>
        <v>//===================================================</v>
      </c>
      <c r="N3" s="24" t="str">
        <f>N1</f>
        <v>// -------------------------------------------------------------------------------</v>
      </c>
      <c r="P3" s="24" t="str">
        <f>P1</f>
        <v>// -------------------------------------------------------------------------------</v>
      </c>
      <c r="R3" s="24" t="str">
        <f>R1</f>
        <v>// -------------------------------------------------------------------------------</v>
      </c>
    </row>
    <row r="4" spans="1:18" ht="15.5" thickBot="1" x14ac:dyDescent="0.9">
      <c r="A4" s="5" t="s">
        <v>11</v>
      </c>
      <c r="B4" s="30" t="s">
        <v>2329</v>
      </c>
      <c r="L4" s="16" t="str">
        <f>CONCATENATE("Logical: ",B4)</f>
        <v>Logical: OtherTreatmentI4rc</v>
      </c>
    </row>
    <row r="5" spans="1:18" ht="15.5" thickBot="1" x14ac:dyDescent="0.9">
      <c r="A5" s="14" t="s">
        <v>16</v>
      </c>
      <c r="B5" s="30" t="s">
        <v>2330</v>
      </c>
      <c r="L5" s="16" t="str">
        <f>CONCATENATE("Id: ",B5)</f>
        <v>Id: OtherTreatment</v>
      </c>
    </row>
    <row r="6" spans="1:18" ht="15.5" thickBot="1" x14ac:dyDescent="0.9">
      <c r="A6" s="14" t="s">
        <v>10</v>
      </c>
      <c r="B6" s="30" t="s">
        <v>2331</v>
      </c>
      <c r="L6" s="17" t="str">
        <f>CONCATENATE("Title: ##34#",B6,"##34#")</f>
        <v>Title: ##34#Other Local Treatment##34#</v>
      </c>
    </row>
    <row r="7" spans="1:18" x14ac:dyDescent="0.75">
      <c r="A7" s="26" t="s">
        <v>2</v>
      </c>
      <c r="B7" s="30" t="s">
        <v>2331</v>
      </c>
      <c r="C7" s="9" t="s">
        <v>3</v>
      </c>
      <c r="D7" s="1" t="s">
        <v>4</v>
      </c>
      <c r="E7" s="3" t="s">
        <v>5</v>
      </c>
      <c r="F7" s="3" t="s">
        <v>6</v>
      </c>
      <c r="G7" s="3" t="s">
        <v>7</v>
      </c>
      <c r="H7" s="64" t="s">
        <v>1384</v>
      </c>
      <c r="I7" s="124" t="s">
        <v>2133</v>
      </c>
      <c r="J7" s="124" t="s">
        <v>2134</v>
      </c>
      <c r="L7" s="17" t="str">
        <f>CONCATENATE("Description: "," ##334#",B7,"##334#",)</f>
        <v>Description:  ##334#Other Local Treatment##334#</v>
      </c>
    </row>
    <row r="8" spans="1:18" ht="59" x14ac:dyDescent="0.75">
      <c r="A8" s="59">
        <v>0</v>
      </c>
      <c r="B8" s="12" t="s">
        <v>1573</v>
      </c>
      <c r="C8" s="12" t="s">
        <v>1668</v>
      </c>
      <c r="D8" s="12" t="s">
        <v>1568</v>
      </c>
      <c r="E8" s="12">
        <v>1</v>
      </c>
      <c r="F8" s="12">
        <v>1</v>
      </c>
      <c r="G8" s="139" t="s">
        <v>1621</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1929</v>
      </c>
      <c r="C9" s="12" t="s">
        <v>2321</v>
      </c>
      <c r="D9" s="12" t="s">
        <v>2322</v>
      </c>
      <c r="E9" s="12">
        <v>1</v>
      </c>
      <c r="F9" s="12">
        <v>1</v>
      </c>
      <c r="G9" s="12" t="s">
        <v>1474</v>
      </c>
      <c r="H9" s="12" t="s">
        <v>2323</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1775</v>
      </c>
      <c r="C10" s="12" t="s">
        <v>1776</v>
      </c>
      <c r="D10" s="12" t="s">
        <v>2324</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1778</v>
      </c>
      <c r="C11" s="12" t="s">
        <v>1779</v>
      </c>
      <c r="D11" s="12" t="s">
        <v>2325</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1912</v>
      </c>
      <c r="C12" s="12" t="s">
        <v>2326</v>
      </c>
      <c r="D12" s="12" t="s">
        <v>1685</v>
      </c>
      <c r="E12" s="12">
        <v>0</v>
      </c>
      <c r="F12" s="12">
        <v>1</v>
      </c>
      <c r="G12" s="12" t="s">
        <v>1474</v>
      </c>
      <c r="H12" s="12" t="s">
        <v>2327</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40"/>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ht="44.25"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ht="132.75"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ht="103.25"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2328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1860</v>
      </c>
      <c r="D3" s="47" t="s">
        <v>1479</v>
      </c>
      <c r="E3" s="72" t="str">
        <f>$C$1&amp;B14</f>
        <v>http://hl7.eu/fhir/ig/idea4rc/StructureDefinition/OtherTreatment</v>
      </c>
    </row>
    <row r="4" spans="1:19" x14ac:dyDescent="0.75">
      <c r="B4" s="47" t="s">
        <v>16</v>
      </c>
      <c r="C4" s="28" t="s">
        <v>1860</v>
      </c>
      <c r="D4" s="47" t="s">
        <v>1480</v>
      </c>
      <c r="E4" s="143" t="s">
        <v>1872</v>
      </c>
      <c r="F4" s="148"/>
      <c r="G4" s="148"/>
    </row>
    <row r="5" spans="1:19" x14ac:dyDescent="0.75">
      <c r="B5" s="47" t="s">
        <v>10</v>
      </c>
      <c r="C5" s="7" t="s">
        <v>1861</v>
      </c>
      <c r="D5" s="47"/>
      <c r="E5" s="7"/>
    </row>
    <row r="6" spans="1:19" x14ac:dyDescent="0.75">
      <c r="B6" s="47" t="s">
        <v>18</v>
      </c>
      <c r="C6" s="41"/>
      <c r="D6" s="47" t="s">
        <v>1481</v>
      </c>
      <c r="E6" s="143" t="str">
        <f>E3</f>
        <v>http://hl7.eu/fhir/ig/idea4rc/StructureDefinition/OtherTreatment</v>
      </c>
      <c r="F6" s="144"/>
      <c r="G6" s="144"/>
    </row>
    <row r="7" spans="1:19" x14ac:dyDescent="0.75">
      <c r="B7" s="47" t="s">
        <v>15</v>
      </c>
      <c r="C7" s="73"/>
      <c r="D7" s="47" t="s">
        <v>1482</v>
      </c>
      <c r="E7" s="143" t="str">
        <f>E4</f>
        <v>http://hl7.eu/fhir/ig/idea4rc/StructureDefinition/MedicationAdministration-eu-i4rc</v>
      </c>
      <c r="F7" s="144"/>
      <c r="G7" s="144"/>
    </row>
    <row r="8" spans="1:19" ht="45" thickBot="1" x14ac:dyDescent="0.9">
      <c r="B8" s="47" t="s">
        <v>1483</v>
      </c>
      <c r="C8" s="7" t="s">
        <v>1861</v>
      </c>
      <c r="D8" s="47"/>
      <c r="E8" s="7"/>
      <c r="I8" s="12" t="s">
        <v>1289</v>
      </c>
      <c r="J8" s="12" t="s">
        <v>1290</v>
      </c>
      <c r="K8" s="12" t="s">
        <v>1291</v>
      </c>
      <c r="L8" s="12" t="s">
        <v>1292</v>
      </c>
      <c r="M8" s="11" t="s">
        <v>1293</v>
      </c>
      <c r="P8" s="34" t="s">
        <v>1328</v>
      </c>
      <c r="Q8" s="34">
        <v>6</v>
      </c>
    </row>
    <row r="9" spans="1:19" ht="30.25" thickBot="1" x14ac:dyDescent="0.9">
      <c r="B9" s="47" t="s">
        <v>1484</v>
      </c>
      <c r="C9" s="12" t="s">
        <v>1862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1824</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1825</v>
      </c>
      <c r="E15" s="12"/>
      <c r="F15" s="49" t="s">
        <v>1294</v>
      </c>
      <c r="G15" s="78"/>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1863</v>
      </c>
      <c r="E16" s="12"/>
      <c r="F16" s="49" t="s">
        <v>1316</v>
      </c>
      <c r="G16" s="78" t="s">
        <v>1871</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1864</v>
      </c>
      <c r="E17" s="12"/>
      <c r="F17" s="49" t="s">
        <v>1294</v>
      </c>
      <c r="G17" s="77"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1865</v>
      </c>
      <c r="E18" s="12"/>
      <c r="F18" s="49" t="s">
        <v>1294</v>
      </c>
      <c r="G18" s="77"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1626</v>
      </c>
      <c r="E19" s="12"/>
      <c r="F19" s="49" t="s">
        <v>1294</v>
      </c>
      <c r="G19" s="78"/>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1866</v>
      </c>
      <c r="E20" s="12"/>
      <c r="F20" s="49" t="s">
        <v>1294</v>
      </c>
      <c r="G20" s="78"/>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78"/>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78"/>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1867</v>
      </c>
      <c r="E23" s="11"/>
      <c r="F23" s="49" t="s">
        <v>1294</v>
      </c>
      <c r="G23" s="77"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1867</v>
      </c>
      <c r="E24" s="11"/>
      <c r="F24" s="49" t="s">
        <v>1294</v>
      </c>
      <c r="G24" s="77"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1867</v>
      </c>
      <c r="E25" s="11"/>
      <c r="F25" s="49" t="s">
        <v>1294</v>
      </c>
      <c r="G25" s="77"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77"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77"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1868</v>
      </c>
      <c r="E28" s="12"/>
      <c r="F28" s="49" t="s">
        <v>1294</v>
      </c>
      <c r="G28" s="78"/>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1869</v>
      </c>
      <c r="E29" s="12"/>
      <c r="F29" s="49" t="s">
        <v>1294</v>
      </c>
      <c r="G29" s="77" t="s">
        <v>1870</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1873</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1965</v>
      </c>
      <c r="L4" s="16" t="str">
        <f>CONCATENATE("Logical: ",B4)</f>
        <v>Logical: TreatmentResponseI4rc</v>
      </c>
    </row>
    <row r="5" spans="1:18" ht="15.5" thickBot="1" x14ac:dyDescent="0.9">
      <c r="A5" s="14" t="s">
        <v>16</v>
      </c>
      <c r="B5" s="30" t="s">
        <v>1911</v>
      </c>
      <c r="L5" s="16" t="str">
        <f>CONCATENATE("Id: ",B5)</f>
        <v>Id: TreatmentResponse</v>
      </c>
    </row>
    <row r="6" spans="1:18" ht="15.5" thickBot="1" x14ac:dyDescent="0.9">
      <c r="A6" s="14" t="s">
        <v>10</v>
      </c>
      <c r="B6" s="30" t="s">
        <v>1913</v>
      </c>
      <c r="L6" s="17" t="str">
        <f>CONCATENATE("Title: ##34#",B6,"##34#")</f>
        <v>Title: ##34#Treatment Response##34#</v>
      </c>
    </row>
    <row r="7" spans="1:18" x14ac:dyDescent="0.75">
      <c r="A7" s="26" t="s">
        <v>2</v>
      </c>
      <c r="B7" s="30" t="s">
        <v>1913</v>
      </c>
      <c r="C7" s="9" t="s">
        <v>3</v>
      </c>
      <c r="D7" s="1" t="s">
        <v>4</v>
      </c>
      <c r="E7" s="3" t="s">
        <v>5</v>
      </c>
      <c r="F7" s="3" t="s">
        <v>6</v>
      </c>
      <c r="G7" s="3" t="s">
        <v>7</v>
      </c>
      <c r="H7" s="64" t="s">
        <v>1384</v>
      </c>
      <c r="I7" s="124" t="s">
        <v>2133</v>
      </c>
      <c r="J7" s="124" t="s">
        <v>2134</v>
      </c>
      <c r="L7" s="17" t="str">
        <f>CONCATENATE("Description: "," ##334#",B7,"##334#",)</f>
        <v>Description:  ##334#Treatment Response##334#</v>
      </c>
    </row>
    <row r="8" spans="1:18" ht="59" x14ac:dyDescent="0.75">
      <c r="A8" s="59">
        <v>0</v>
      </c>
      <c r="B8" s="11" t="s">
        <v>1573</v>
      </c>
      <c r="C8" s="11" t="s">
        <v>1567</v>
      </c>
      <c r="D8" s="11" t="s">
        <v>1568</v>
      </c>
      <c r="E8" s="11">
        <v>1</v>
      </c>
      <c r="F8" s="11">
        <v>1</v>
      </c>
      <c r="G8" s="73" t="s">
        <v>1621</v>
      </c>
      <c r="H8" s="11"/>
      <c r="I8" s="12" t="b">
        <v>1</v>
      </c>
      <c r="J8" s="12" t="b">
        <v>1</v>
      </c>
      <c r="K8" s="25" t="s">
        <v>1573</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1912</v>
      </c>
      <c r="C9" s="11" t="s">
        <v>1684</v>
      </c>
      <c r="D9" s="11" t="s">
        <v>1914</v>
      </c>
      <c r="E9" s="11">
        <v>1</v>
      </c>
      <c r="F9" s="11">
        <v>1</v>
      </c>
      <c r="G9" s="11" t="s">
        <v>1474</v>
      </c>
      <c r="H9" s="12" t="s">
        <v>2296</v>
      </c>
      <c r="I9" s="12" t="b">
        <v>1</v>
      </c>
      <c r="J9" s="12" t="b">
        <v>1</v>
      </c>
      <c r="K9" s="25" t="s">
        <v>1912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2295</v>
      </c>
      <c r="C10" s="11" t="s">
        <v>1915</v>
      </c>
      <c r="D10" s="11" t="s">
        <v>1916</v>
      </c>
      <c r="E10" s="11">
        <v>1</v>
      </c>
      <c r="F10" s="11">
        <v>1</v>
      </c>
      <c r="G10" s="11" t="s">
        <v>1474</v>
      </c>
      <c r="H10" s="11" t="s">
        <v>1917</v>
      </c>
      <c r="I10" s="12" t="b">
        <v>1</v>
      </c>
      <c r="J10" s="12" t="b">
        <v>1</v>
      </c>
      <c r="K10" s="25" t="s">
        <v>2295</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1918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1919</v>
      </c>
      <c r="D3" s="47" t="s">
        <v>1479</v>
      </c>
      <c r="E3" s="72" t="str">
        <f>$C$1&amp;B14</f>
        <v>http://hl7.eu/fhir/ig/idea4rc/StructureDefinition/TreatmentResponseI4rc</v>
      </c>
    </row>
    <row r="4" spans="1:19" x14ac:dyDescent="0.75">
      <c r="B4" s="47" t="s">
        <v>16</v>
      </c>
      <c r="C4" s="28" t="s">
        <v>1919</v>
      </c>
      <c r="D4" s="47" t="s">
        <v>1480</v>
      </c>
      <c r="E4" s="143" t="s">
        <v>1874</v>
      </c>
      <c r="F4" s="144"/>
      <c r="G4" s="144"/>
    </row>
    <row r="5" spans="1:19" x14ac:dyDescent="0.75">
      <c r="B5" s="47" t="s">
        <v>10</v>
      </c>
      <c r="C5" s="7" t="s">
        <v>1841</v>
      </c>
      <c r="D5" s="47"/>
      <c r="E5" s="7"/>
    </row>
    <row r="6" spans="1:19" x14ac:dyDescent="0.75">
      <c r="B6" s="47" t="s">
        <v>18</v>
      </c>
      <c r="C6" s="41"/>
      <c r="D6" s="47" t="s">
        <v>1481</v>
      </c>
      <c r="E6" s="143" t="str">
        <f>E3</f>
        <v>http://hl7.eu/fhir/ig/idea4rc/StructureDefinition/TreatmentResponseI4rc</v>
      </c>
      <c r="F6" s="144"/>
      <c r="G6" s="144"/>
    </row>
    <row r="7" spans="1:19" x14ac:dyDescent="0.75">
      <c r="B7" s="47" t="s">
        <v>15</v>
      </c>
      <c r="C7" s="73"/>
      <c r="D7" s="47" t="s">
        <v>1482</v>
      </c>
      <c r="E7" s="143" t="str">
        <f>E4</f>
        <v>http://hl7.eu/fhir/ig/idea4rc/StructureDefinition/Procedure-radiotheraphy-eu-i4rc</v>
      </c>
      <c r="F7" s="144"/>
      <c r="G7" s="144"/>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1824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2135</v>
      </c>
      <c r="R2" s="24" t="s">
        <v>2136</v>
      </c>
    </row>
    <row r="3" spans="1:18" ht="17.75" customHeight="1" thickBot="1" x14ac:dyDescent="0.9">
      <c r="L3" s="24" t="str">
        <f>L1</f>
        <v>//===================================================</v>
      </c>
      <c r="N3" s="24" t="str">
        <f>N1</f>
        <v>// -------------------------------------------------------------------------------</v>
      </c>
      <c r="P3" s="24" t="str">
        <f>P1</f>
        <v>// -------------------------------------------------------------------------------</v>
      </c>
      <c r="R3" s="24" t="str">
        <f>R1</f>
        <v>// -------------------------------------------------------------------------------</v>
      </c>
    </row>
    <row r="4" spans="1:18" ht="15.5" thickBot="1" x14ac:dyDescent="0.9">
      <c r="A4" s="5" t="s">
        <v>11</v>
      </c>
      <c r="B4" s="30" t="s">
        <v>1963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1928</v>
      </c>
      <c r="L6" s="17" t="str">
        <f>CONCATENATE("Title: ##34#",B6,"##34#")</f>
        <v>Title: ##34#Adverse Event##34#</v>
      </c>
    </row>
    <row r="7" spans="1:18" x14ac:dyDescent="0.75">
      <c r="A7" s="26" t="s">
        <v>2</v>
      </c>
      <c r="B7" s="30" t="s">
        <v>1928</v>
      </c>
      <c r="C7" s="9" t="s">
        <v>3</v>
      </c>
      <c r="D7" s="1" t="s">
        <v>4</v>
      </c>
      <c r="E7" s="3" t="s">
        <v>5</v>
      </c>
      <c r="F7" s="3" t="s">
        <v>6</v>
      </c>
      <c r="G7" s="3" t="s">
        <v>7</v>
      </c>
      <c r="H7" s="64" t="s">
        <v>1384</v>
      </c>
      <c r="I7" s="124" t="s">
        <v>2133</v>
      </c>
      <c r="J7" s="124" t="s">
        <v>2134</v>
      </c>
      <c r="L7" s="17" t="str">
        <f>CONCATENATE("Description: "," ##334#",B7,"##334#",)</f>
        <v>Description:  ##334#Adverse Event##334#</v>
      </c>
    </row>
    <row r="8" spans="1:18" ht="59" x14ac:dyDescent="0.75">
      <c r="A8" s="59">
        <v>0</v>
      </c>
      <c r="B8" s="25" t="s">
        <v>1573</v>
      </c>
      <c r="C8" s="11" t="s">
        <v>1668</v>
      </c>
      <c r="D8" s="11" t="s">
        <v>1568</v>
      </c>
      <c r="E8" s="11">
        <v>1</v>
      </c>
      <c r="F8" s="11">
        <v>1</v>
      </c>
      <c r="G8" s="11" t="s">
        <v>1621</v>
      </c>
      <c r="H8" s="11"/>
      <c r="I8" s="12" t="b">
        <v>1</v>
      </c>
      <c r="J8" s="12" t="b">
        <v>0</v>
      </c>
      <c r="K8" s="25" t="s">
        <v>1573</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1929</v>
      </c>
      <c r="C9" s="11" t="s">
        <v>1921</v>
      </c>
      <c r="D9" s="11" t="s">
        <v>1922</v>
      </c>
      <c r="E9" s="11">
        <v>1</v>
      </c>
      <c r="F9" s="11">
        <v>1</v>
      </c>
      <c r="G9" s="11" t="s">
        <v>1474</v>
      </c>
      <c r="H9" s="11"/>
      <c r="I9" s="12" t="b">
        <v>1</v>
      </c>
      <c r="J9" s="12" t="b">
        <v>0</v>
      </c>
      <c r="K9" s="25" t="s">
        <v>2297</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1930</v>
      </c>
      <c r="C10" s="11" t="s">
        <v>1923</v>
      </c>
      <c r="D10" s="11" t="s">
        <v>1924</v>
      </c>
      <c r="E10" s="11">
        <v>1</v>
      </c>
      <c r="F10" s="11">
        <v>1</v>
      </c>
      <c r="G10" s="11" t="s">
        <v>43</v>
      </c>
      <c r="H10" s="11"/>
      <c r="I10" s="12" t="b">
        <v>1</v>
      </c>
      <c r="J10" s="12" t="b">
        <v>0</v>
      </c>
      <c r="K10" s="25" t="s">
        <v>2298</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1931</v>
      </c>
      <c r="C11" s="11" t="s">
        <v>1925</v>
      </c>
      <c r="D11" s="11" t="s">
        <v>1926</v>
      </c>
      <c r="E11" s="11">
        <v>1</v>
      </c>
      <c r="F11" s="11">
        <v>1</v>
      </c>
      <c r="G11" s="11" t="s">
        <v>1474</v>
      </c>
      <c r="H11" s="62" t="s">
        <v>1927</v>
      </c>
      <c r="I11" s="12" t="b">
        <v>1</v>
      </c>
      <c r="J11" s="12" t="b">
        <v>0</v>
      </c>
      <c r="K11" s="25" t="s">
        <v>2299</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5" customWidth="1"/>
    <col min="7" max="7" width="29.54296875" customWidth="1"/>
    <col min="8" max="8" width="54.90625" customWidth="1"/>
  </cols>
  <sheetData>
    <row r="1" spans="3:7" ht="15.5" thickBot="1" x14ac:dyDescent="0.9">
      <c r="C1" s="103" t="str">
        <f>AdverseEvent!L1</f>
        <v>//===================================================</v>
      </c>
    </row>
    <row r="2" spans="3:7" ht="16.75" thickBot="1" x14ac:dyDescent="0.9">
      <c r="C2" s="24" t="str">
        <f>AdverseEvent!L2</f>
        <v>//  Logical Model</v>
      </c>
      <c r="G2" s="29" t="s">
        <v>1932</v>
      </c>
    </row>
    <row r="3" spans="3:7" x14ac:dyDescent="0.75">
      <c r="C3" s="24" t="str">
        <f>AdverseEvent!L3</f>
        <v>//===================================================</v>
      </c>
    </row>
    <row r="4" spans="3:7" x14ac:dyDescent="0.75">
      <c r="C4" s="104" t="str">
        <f>AdverseEvent!L4</f>
        <v>Logical: AdverseEventI4rc</v>
      </c>
    </row>
    <row r="5" spans="3:7" x14ac:dyDescent="0.75">
      <c r="C5" s="104" t="str">
        <f>AdverseEvent!L5</f>
        <v>Id: AdverseEvent</v>
      </c>
    </row>
    <row r="6" spans="3:7" x14ac:dyDescent="0.75">
      <c r="C6" s="104" t="str">
        <f>AdverseEvent!L6</f>
        <v>Title: ##34#Adverse Event##34#</v>
      </c>
    </row>
    <row r="7" spans="3:7" x14ac:dyDescent="0.75">
      <c r="C7" s="104" t="str">
        <f>AdverseEvent!L7</f>
        <v>Description:  ##334#Adverse Event##334#</v>
      </c>
    </row>
    <row r="8" spans="3:7" ht="29.5" x14ac:dyDescent="0.75">
      <c r="C8" s="105"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5"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5" t="str">
        <f>IF(AdverseEvent!L10="*  ..  ##34###34# ##334###334#","//--- END",AdverseEvent!L10)</f>
        <v>* eventStartingDate 1..1 date ##34#Adverse event starting date  ##34# ##334#specifies when adverse events begins##334#</v>
      </c>
    </row>
    <row r="11" spans="3:7" ht="29.5" x14ac:dyDescent="0.75">
      <c r="C11" s="105" t="str">
        <f>IF(AdverseEvent!L11="*  ..  ##34###34# ##334###334#","//--- END",AdverseEvent!L11)</f>
        <v>* eventDuration 1..1 CodeableConcept ##34#Adverse event duration##34# ##334#specifies the duration of the adverse event##334#</v>
      </c>
    </row>
    <row r="12" spans="3:7" x14ac:dyDescent="0.75">
      <c r="C12" s="105" t="str">
        <f>IF(AdverseEvent!L12="*  ..  ##34###34# ##334###334#","//--- END",AdverseEvent!L12)</f>
        <v>//--- END</v>
      </c>
    </row>
    <row r="13" spans="3:7" x14ac:dyDescent="0.75">
      <c r="C13" s="105" t="str">
        <f>IF(AdverseEvent!L13="*  ..  ##34###34# ##334###334#","//--- END",AdverseEvent!L13)</f>
        <v>//--- END</v>
      </c>
    </row>
    <row r="14" spans="3:7" x14ac:dyDescent="0.75">
      <c r="C14" s="105" t="str">
        <f>IF(AdverseEvent!L14="*  ..  ##34###34# ##334###334#","//--- END",AdverseEvent!L14)</f>
        <v>//--- END</v>
      </c>
    </row>
    <row r="16" spans="3:7" x14ac:dyDescent="0.75">
      <c r="C16" s="103" t="s">
        <v>1387</v>
      </c>
    </row>
    <row r="17" spans="3:3" x14ac:dyDescent="0.75">
      <c r="C17" s="24" t="s">
        <v>1421</v>
      </c>
    </row>
    <row r="18" spans="3:3" x14ac:dyDescent="0.75">
      <c r="C18" s="24" t="s">
        <v>1387</v>
      </c>
    </row>
    <row r="19" spans="3:3" x14ac:dyDescent="0.75">
      <c r="C19" s="105" t="str">
        <f>IF(AdverseEvent!N8="*  ..  ##34###34# ##334###334#","//--- END",AdverseEvent!N8)</f>
        <v/>
      </c>
    </row>
    <row r="20" spans="3:3" x14ac:dyDescent="0.75">
      <c r="C20" s="105" t="str">
        <f>IF(AdverseEvent!N9="*  ..  ##34###34# ##334###334#","//--- END",AdverseEvent!N9)</f>
        <v/>
      </c>
    </row>
    <row r="21" spans="3:3" x14ac:dyDescent="0.75">
      <c r="C21" s="105" t="str">
        <f>IF(AdverseEvent!N10="*  ..  ##34###34# ##334###334#","//--- END",AdverseEvent!N10)</f>
        <v/>
      </c>
    </row>
    <row r="22" spans="3:3" ht="44.25" x14ac:dyDescent="0.75">
      <c r="C22" s="105" t="str">
        <f>IF(AdverseEvent!N11="*  ..  ##34###34# ##334###334#","//--- END",AdverseEvent!N11)</f>
        <v>* eventDuration ^comment = ##334#Less than one week; More than one week but  less than a month; More than a month but less than 3 months; More than 3 months; Unknown.
Custom##334#</v>
      </c>
    </row>
    <row r="23" spans="3:3" x14ac:dyDescent="0.75">
      <c r="C23" s="105" t="str">
        <f>IF(AdverseEvent!N12="*  ..  ##34###34# ##334###334#","//--- END",AdverseEvent!N12)</f>
        <v>//--- END</v>
      </c>
    </row>
    <row r="24" spans="3:3" x14ac:dyDescent="0.75">
      <c r="C24" s="105" t="str">
        <f>IF(AdverseEvent!N13="*  ..  ##34###34# ##334###334#","//--- END",AdverseEvent!N13)</f>
        <v>//--- END</v>
      </c>
    </row>
    <row r="25" spans="3:3" x14ac:dyDescent="0.75">
      <c r="C25" s="105"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1919</v>
      </c>
      <c r="D3" s="47" t="s">
        <v>1479</v>
      </c>
      <c r="E3" s="72" t="str">
        <f>$C$1&amp;B14</f>
        <v>http://hl7.eu/fhir/ig/idea4rc/StructureDefinition/AdverseEventI4rc</v>
      </c>
    </row>
    <row r="4" spans="1:19" x14ac:dyDescent="0.75">
      <c r="B4" s="47" t="s">
        <v>16</v>
      </c>
      <c r="C4" s="28" t="s">
        <v>1919</v>
      </c>
      <c r="D4" s="47" t="s">
        <v>1480</v>
      </c>
      <c r="E4" s="143" t="s">
        <v>1874</v>
      </c>
      <c r="F4" s="144"/>
      <c r="G4" s="144"/>
    </row>
    <row r="5" spans="1:19" x14ac:dyDescent="0.75">
      <c r="B5" s="47" t="s">
        <v>10</v>
      </c>
      <c r="C5" s="7" t="s">
        <v>1841</v>
      </c>
      <c r="D5" s="47"/>
      <c r="E5" s="7"/>
    </row>
    <row r="6" spans="1:19" x14ac:dyDescent="0.75">
      <c r="B6" s="47" t="s">
        <v>18</v>
      </c>
      <c r="C6" s="41"/>
      <c r="D6" s="47" t="s">
        <v>1481</v>
      </c>
      <c r="E6" s="143" t="str">
        <f>E3</f>
        <v>http://hl7.eu/fhir/ig/idea4rc/StructureDefinition/AdverseEventI4rc</v>
      </c>
      <c r="F6" s="144"/>
      <c r="G6" s="144"/>
    </row>
    <row r="7" spans="1:19" x14ac:dyDescent="0.75">
      <c r="B7" s="47" t="s">
        <v>15</v>
      </c>
      <c r="C7" s="73"/>
      <c r="D7" s="47" t="s">
        <v>1482</v>
      </c>
      <c r="E7" s="143" t="str">
        <f>E4</f>
        <v>http://hl7.eu/fhir/ig/idea4rc/StructureDefinition/Procedure-radiotheraphy-eu-i4rc</v>
      </c>
      <c r="F7" s="144"/>
      <c r="G7" s="144"/>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5"/>
      <c r="E9" s="145"/>
      <c r="F9" s="146"/>
      <c r="G9" s="14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1824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78"/>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78"/>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78"/>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78"/>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78"/>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78"/>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78"/>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78"/>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78"/>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78"/>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78"/>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78"/>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78"/>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78"/>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78"/>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78"/>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78"/>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78"/>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78"/>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78"/>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78"/>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78"/>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78"/>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78"/>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78"/>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78"/>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78"/>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78"/>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INDEX('AdverseEvent-ConceptMap-1'!$I$15:$N$124,Q50+1,R50)</f>
        <v/>
      </c>
    </row>
    <row r="51" spans="2:19" x14ac:dyDescent="0.75">
      <c r="B51" s="11"/>
      <c r="C51" s="11"/>
      <c r="D51" s="12"/>
      <c r="E51" s="12"/>
      <c r="F51" s="49"/>
      <c r="G51" s="78"/>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78"/>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INDEX('AdverseEvent-ConceptMap-1'!$I$15:$N$124,Q56+1,R56)</f>
        <v/>
      </c>
    </row>
    <row r="57" spans="2:19" x14ac:dyDescent="0.75">
      <c r="B57" s="11"/>
      <c r="C57" s="11"/>
      <c r="D57" s="12"/>
      <c r="E57" s="12"/>
      <c r="F57" s="49"/>
      <c r="G57" s="78"/>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78"/>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INDEX('AdverseEvent-ConceptMap-1'!$I$15:$N$124,Q62+1,R62)</f>
        <v/>
      </c>
    </row>
    <row r="63" spans="2:19" x14ac:dyDescent="0.75">
      <c r="B63" s="11"/>
      <c r="C63" s="11"/>
      <c r="D63" s="12"/>
      <c r="E63" s="12"/>
      <c r="F63" s="49"/>
      <c r="G63" s="78"/>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78"/>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INDEX('AdverseEvent-ConceptMap-1'!$I$15:$N$124,Q68+1,R68)</f>
        <v/>
      </c>
    </row>
    <row r="69" spans="2:19" x14ac:dyDescent="0.75">
      <c r="B69" s="11"/>
      <c r="C69" s="11"/>
      <c r="D69" s="12"/>
      <c r="E69" s="12"/>
      <c r="F69" s="49"/>
      <c r="G69" s="78"/>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78"/>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INDEX('AdverseEvent-ConceptMap-1'!$I$15:$N$124,Q74+1,R74)</f>
        <v/>
      </c>
    </row>
    <row r="75" spans="2:19" x14ac:dyDescent="0.75">
      <c r="B75" s="11"/>
      <c r="C75" s="11"/>
      <c r="D75" s="12"/>
      <c r="E75" s="12"/>
      <c r="F75" s="49"/>
      <c r="G75" s="78"/>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78"/>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INDEX('AdverseEvent-ConceptMap-1'!$I$15:$N$124,Q80+1,R80)</f>
        <v/>
      </c>
    </row>
    <row r="81" spans="2:19" x14ac:dyDescent="0.75">
      <c r="B81" s="11"/>
      <c r="C81" s="11"/>
      <c r="D81" s="12"/>
      <c r="E81" s="12"/>
      <c r="F81" s="49"/>
      <c r="G81" s="78"/>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78"/>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INDEX('AdverseEvent-ConceptMap-1'!$I$15:$N$124,Q86+1,R86)</f>
        <v/>
      </c>
    </row>
    <row r="87" spans="2:19" x14ac:dyDescent="0.75">
      <c r="B87" s="11"/>
      <c r="C87" s="11"/>
      <c r="D87" s="12"/>
      <c r="E87" s="12"/>
      <c r="F87" s="49"/>
      <c r="G87" s="78"/>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78"/>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INDEX('AdverseEvent-ConceptMap-1'!$I$15:$N$124,Q92+1,R92)</f>
        <v/>
      </c>
    </row>
    <row r="93" spans="2:19" x14ac:dyDescent="0.75">
      <c r="B93" s="11"/>
      <c r="C93" s="11"/>
      <c r="D93" s="12"/>
      <c r="E93" s="12"/>
      <c r="F93" s="49"/>
      <c r="G93" s="78"/>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78"/>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INDEX('AdverseEvent-ConceptMap-1'!$I$15:$N$124,Q98+1,R98)</f>
        <v/>
      </c>
    </row>
    <row r="99" spans="2:19" x14ac:dyDescent="0.75">
      <c r="B99" s="11"/>
      <c r="C99" s="11"/>
      <c r="D99" s="12"/>
      <c r="E99" s="12"/>
      <c r="F99" s="49"/>
      <c r="G99" s="78"/>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78"/>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78"/>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78"/>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78"/>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78"/>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1933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6"/>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1968</v>
      </c>
      <c r="J4" s="16" t="str">
        <f>CONCATENATE("Logical: ",B4)</f>
        <v>Logical: PathologicalStageI4rc</v>
      </c>
    </row>
    <row r="5" spans="1:12" ht="19.899999999999999" customHeight="1" x14ac:dyDescent="0.75">
      <c r="A5" s="14" t="s">
        <v>16</v>
      </c>
      <c r="B5" s="31" t="s">
        <v>1598</v>
      </c>
      <c r="J5" s="16" t="str">
        <f>CONCATENATE("Id: ",B5)</f>
        <v>Id: PathologicalStage</v>
      </c>
    </row>
    <row r="6" spans="1:12" ht="19.899999999999999" customHeight="1" x14ac:dyDescent="0.75">
      <c r="A6" s="14" t="s">
        <v>10</v>
      </c>
      <c r="B6" s="32" t="s">
        <v>1599</v>
      </c>
      <c r="J6" s="17" t="str">
        <f>CONCATENATE("Title: ##34#",B6,"##34#")</f>
        <v>Title: ##34#Pathological Stage##34#</v>
      </c>
    </row>
    <row r="7" spans="1:12" ht="19.899999999999999" customHeight="1" x14ac:dyDescent="0.75">
      <c r="A7" s="26" t="s">
        <v>2</v>
      </c>
      <c r="B7" s="63" t="s">
        <v>1598</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1600</v>
      </c>
      <c r="C8" s="11" t="s">
        <v>1567</v>
      </c>
      <c r="D8" s="11" t="s">
        <v>1568</v>
      </c>
      <c r="E8" s="11">
        <v>1</v>
      </c>
      <c r="F8" s="11">
        <v>1</v>
      </c>
      <c r="G8" s="42" t="s">
        <v>1621</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1576</v>
      </c>
      <c r="C9" s="11" t="s">
        <v>1576</v>
      </c>
      <c r="D9" s="11" t="s">
        <v>1577</v>
      </c>
      <c r="E9" s="11">
        <v>0</v>
      </c>
      <c r="F9" s="11">
        <v>1</v>
      </c>
      <c r="G9" s="42" t="s">
        <v>1474</v>
      </c>
      <c r="H9" s="12" t="s">
        <v>1591</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1578</v>
      </c>
      <c r="C10" s="11" t="s">
        <v>1578</v>
      </c>
      <c r="D10" s="11" t="s">
        <v>1579</v>
      </c>
      <c r="E10" s="11">
        <v>0</v>
      </c>
      <c r="F10" s="11">
        <v>1</v>
      </c>
      <c r="G10" s="42" t="s">
        <v>1474</v>
      </c>
      <c r="H10" s="12" t="s">
        <v>1592</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1580</v>
      </c>
      <c r="C11" s="11" t="s">
        <v>1580</v>
      </c>
      <c r="D11" s="11" t="s">
        <v>1581</v>
      </c>
      <c r="E11" s="11">
        <v>0</v>
      </c>
      <c r="F11" s="11">
        <v>1</v>
      </c>
      <c r="G11" s="42" t="s">
        <v>1474</v>
      </c>
      <c r="H11" s="12" t="s">
        <v>1593</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1604</v>
      </c>
      <c r="C12" s="11" t="s">
        <v>1582</v>
      </c>
      <c r="D12" s="11" t="s">
        <v>1583</v>
      </c>
      <c r="E12" s="11">
        <v>0</v>
      </c>
      <c r="F12" s="11">
        <v>1</v>
      </c>
      <c r="G12" s="42" t="s">
        <v>1474</v>
      </c>
      <c r="H12" s="12" t="s">
        <v>1594</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1601</v>
      </c>
      <c r="C13" s="11" t="s">
        <v>1584</v>
      </c>
      <c r="D13" s="12" t="s">
        <v>1585</v>
      </c>
      <c r="E13" s="11">
        <v>0</v>
      </c>
      <c r="F13" s="11">
        <v>1</v>
      </c>
      <c r="G13" s="42" t="s">
        <v>1474</v>
      </c>
      <c r="H13" s="12" t="s">
        <v>1595</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1602</v>
      </c>
      <c r="C14" s="11" t="s">
        <v>1586</v>
      </c>
      <c r="D14" s="12" t="s">
        <v>1416</v>
      </c>
      <c r="E14" s="11">
        <v>1</v>
      </c>
      <c r="F14" s="11">
        <v>1</v>
      </c>
      <c r="G14" s="42" t="s">
        <v>1474</v>
      </c>
      <c r="H14" s="12" t="s">
        <v>1596</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1587</v>
      </c>
      <c r="E15" s="11">
        <v>0</v>
      </c>
      <c r="F15" s="11">
        <v>1</v>
      </c>
      <c r="G15" s="42" t="s">
        <v>1474</v>
      </c>
      <c r="H15" s="12" t="s">
        <v>1596</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1603</v>
      </c>
      <c r="C16" s="11" t="s">
        <v>1588</v>
      </c>
      <c r="D16" s="12" t="s">
        <v>1589</v>
      </c>
      <c r="E16" s="11">
        <v>1</v>
      </c>
      <c r="F16" s="11">
        <v>1</v>
      </c>
      <c r="G16" s="42" t="s">
        <v>1474</v>
      </c>
      <c r="H16" s="12" t="s">
        <v>1597</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1590</v>
      </c>
      <c r="D18" s="11" t="s">
        <v>1395</v>
      </c>
      <c r="E18" s="11">
        <v>0</v>
      </c>
      <c r="F18" s="11">
        <v>1</v>
      </c>
      <c r="G18" s="42" t="s">
        <v>44</v>
      </c>
      <c r="H18" s="12" t="s">
        <v>1572</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1572</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1572</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1572</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1572</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1572</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1572</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1572</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6" t="s">
        <v>1652</v>
      </c>
    </row>
  </sheetData>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1605</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1661</v>
      </c>
      <c r="D3" s="47" t="s">
        <v>1479</v>
      </c>
      <c r="E3" s="72" t="str">
        <f>$C$1&amp;Stage!B4</f>
        <v>http://hl7.eu/fhir/ig/idea4rc/StructureDefinition/StageI4rc</v>
      </c>
    </row>
    <row r="4" spans="1:19" x14ac:dyDescent="0.75">
      <c r="B4" s="47" t="s">
        <v>16</v>
      </c>
      <c r="C4" s="28" t="s">
        <v>1664</v>
      </c>
      <c r="D4" s="47" t="s">
        <v>1480</v>
      </c>
      <c r="E4" s="143" t="s">
        <v>1643</v>
      </c>
      <c r="F4" s="144"/>
      <c r="G4" s="144"/>
    </row>
    <row r="5" spans="1:19" x14ac:dyDescent="0.75">
      <c r="B5" s="47" t="s">
        <v>10</v>
      </c>
      <c r="C5" s="7" t="s">
        <v>1662</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1643</v>
      </c>
      <c r="F7" s="144"/>
      <c r="G7" s="144"/>
    </row>
    <row r="8" spans="1:19" ht="44.25" x14ac:dyDescent="0.75">
      <c r="B8" s="47" t="s">
        <v>1483</v>
      </c>
      <c r="C8" s="74" t="s">
        <v>1662</v>
      </c>
      <c r="D8" s="47"/>
      <c r="E8" s="7"/>
      <c r="I8" s="12" t="s">
        <v>1289</v>
      </c>
      <c r="J8" s="12" t="s">
        <v>1290</v>
      </c>
      <c r="K8" s="12" t="s">
        <v>1291</v>
      </c>
      <c r="L8" s="12" t="s">
        <v>1292</v>
      </c>
      <c r="M8" s="11" t="s">
        <v>1293</v>
      </c>
      <c r="P8" s="34" t="s">
        <v>1328</v>
      </c>
      <c r="Q8" s="34">
        <v>6</v>
      </c>
    </row>
    <row r="9" spans="1:19" ht="29.5" x14ac:dyDescent="0.75">
      <c r="B9" s="47" t="s">
        <v>1484</v>
      </c>
      <c r="C9" s="12" t="s">
        <v>1663</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1644</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1645</v>
      </c>
      <c r="E16" s="12"/>
      <c r="F16" s="49" t="s">
        <v>1294</v>
      </c>
      <c r="G16" s="78" t="s">
        <v>1650</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1646</v>
      </c>
      <c r="E17" s="12"/>
      <c r="F17" s="97" t="s">
        <v>1294</v>
      </c>
      <c r="G17" s="78" t="s">
        <v>1650</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1647</v>
      </c>
      <c r="E18" s="12"/>
      <c r="F18" s="49" t="s">
        <v>1317</v>
      </c>
      <c r="G18" s="78" t="s">
        <v>1650</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1844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1844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1844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1844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1648</v>
      </c>
      <c r="E23" s="12"/>
      <c r="F23" s="49" t="s">
        <v>1294</v>
      </c>
      <c r="G23" s="78" t="s">
        <v>1650</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1649</v>
      </c>
      <c r="E24" s="12"/>
      <c r="F24" s="49" t="s">
        <v>1294</v>
      </c>
      <c r="G24" s="78" t="s">
        <v>1651</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1653</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1653</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1653</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1653</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1653</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1653</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1653</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1653</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1653</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1653</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1661</v>
      </c>
      <c r="D3" s="47" t="s">
        <v>1479</v>
      </c>
      <c r="E3" s="72" t="str">
        <f>$C$1&amp;Stage!B4</f>
        <v>http://hl7.eu/fhir/ig/idea4rc/StructureDefinition/StageI4rc</v>
      </c>
    </row>
    <row r="4" spans="1:19" x14ac:dyDescent="0.75">
      <c r="B4" s="47" t="s">
        <v>16</v>
      </c>
      <c r="C4" s="28" t="s">
        <v>1661</v>
      </c>
      <c r="D4" s="47" t="s">
        <v>1480</v>
      </c>
      <c r="E4" s="143" t="s">
        <v>1655</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1655</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1648</v>
      </c>
      <c r="E15" s="12"/>
      <c r="F15" s="49" t="s">
        <v>1294</v>
      </c>
      <c r="G15" s="78" t="s">
        <v>1650</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7"/>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7"/>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7"/>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1656</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1656</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1648</v>
      </c>
      <c r="E15" s="12"/>
      <c r="F15" s="49" t="s">
        <v>1294</v>
      </c>
      <c r="G15" s="78" t="s">
        <v>1650</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7"/>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7"/>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1635</v>
      </c>
      <c r="D3" s="47" t="s">
        <v>1479</v>
      </c>
      <c r="E3" s="72" t="str">
        <f>$C$1&amp;Stage!B4</f>
        <v>http://hl7.eu/fhir/ig/idea4rc/StructureDefinition/StageI4rc</v>
      </c>
    </row>
    <row r="4" spans="1:19" x14ac:dyDescent="0.75">
      <c r="B4" s="47" t="s">
        <v>16</v>
      </c>
      <c r="C4" s="28" t="s">
        <v>1637</v>
      </c>
      <c r="D4" s="47" t="s">
        <v>1480</v>
      </c>
      <c r="E4" s="143" t="s">
        <v>1657</v>
      </c>
      <c r="F4" s="144"/>
      <c r="G4" s="144"/>
    </row>
    <row r="5" spans="1:19" x14ac:dyDescent="0.75">
      <c r="B5" s="47" t="s">
        <v>10</v>
      </c>
      <c r="C5" s="7" t="s">
        <v>1638</v>
      </c>
      <c r="D5" s="47"/>
      <c r="E5" s="7"/>
    </row>
    <row r="6" spans="1:19" x14ac:dyDescent="0.75">
      <c r="B6" s="47" t="s">
        <v>18</v>
      </c>
      <c r="C6" s="41"/>
      <c r="D6" s="47" t="s">
        <v>1481</v>
      </c>
      <c r="E6" s="143" t="str">
        <f>E3</f>
        <v>http://hl7.eu/fhir/ig/idea4rc/StructureDefinition/StageI4rc</v>
      </c>
      <c r="F6" s="144"/>
      <c r="G6" s="144"/>
    </row>
    <row r="7" spans="1:19" x14ac:dyDescent="0.75">
      <c r="B7" s="47" t="s">
        <v>15</v>
      </c>
      <c r="C7" s="73"/>
      <c r="D7" s="47" t="s">
        <v>1482</v>
      </c>
      <c r="E7" s="143" t="s">
        <v>1657</v>
      </c>
      <c r="F7" s="144"/>
      <c r="G7" s="144"/>
    </row>
    <row r="8" spans="1:19" ht="44.25" x14ac:dyDescent="0.75">
      <c r="B8" s="47" t="s">
        <v>1483</v>
      </c>
      <c r="C8" s="74" t="s">
        <v>1638</v>
      </c>
      <c r="D8" s="47"/>
      <c r="E8" s="7"/>
      <c r="I8" s="12" t="s">
        <v>1289</v>
      </c>
      <c r="J8" s="12" t="s">
        <v>1290</v>
      </c>
      <c r="K8" s="12" t="s">
        <v>1291</v>
      </c>
      <c r="L8" s="12" t="s">
        <v>1292</v>
      </c>
      <c r="M8" s="11" t="s">
        <v>1293</v>
      </c>
      <c r="P8" s="34" t="s">
        <v>1328</v>
      </c>
      <c r="Q8" s="34">
        <v>6</v>
      </c>
    </row>
    <row r="9" spans="1:19" x14ac:dyDescent="0.75">
      <c r="B9" s="47" t="s">
        <v>1484</v>
      </c>
      <c r="C9" s="12" t="s">
        <v>1639</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1648</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7"/>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7"/>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7"/>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1665</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81</vt:i4>
      </vt:variant>
    </vt:vector>
  </HeadingPairs>
  <TitlesOfParts>
    <vt:vector size="8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2023-11-16T15:23:27Z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