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9.xml" ContentType="application/vnd.openxmlformats-officedocument.drawing+xml"/>
  <Override PartName="/xl/ctrlProps/ctrlProp2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C7FBBE9E-8396-461C-8DA3-912D7EB56BE9}" xr6:coauthVersionLast="47" xr6:coauthVersionMax="47" xr10:uidLastSave="{00000000-0000-0000-0000-000000000000}"/>
  <bookViews>
    <workbookView xWindow="-90" yWindow="-21710" windowWidth="38620" windowHeight="21100" tabRatio="819" firstSheet="41" activeTab="52"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src" sheetId="192" r:id="rId19"/>
    <sheet name="EpisodeEvent" sheetId="193" r:id="rId20"/>
    <sheet name="EpisodeEvent-Map-1" sheetId="194" r:id="rId21"/>
    <sheet name="EpisodeEvent-fsh" sheetId="195" r:id="rId22"/>
    <sheet name="EpisodeEvent-ConceptMap-1" sheetId="196" r:id="rId23"/>
    <sheet name="EpisodeEvent-CM-fsh" sheetId="198" r:id="rId24"/>
    <sheet name="ClinicalStage-src" sheetId="187" r:id="rId25"/>
    <sheet name="ClinicalStage" sheetId="159" r:id="rId26"/>
    <sheet name="ClinicalStage-Map-1" sheetId="160" r:id="rId27"/>
    <sheet name="ClinicalStage-fsh" sheetId="161" r:id="rId28"/>
    <sheet name="ClinicalStage-ConceptMap-1" sheetId="199" r:id="rId29"/>
    <sheet name="ClinicalStage-ConceptMap-2" sheetId="201" r:id="rId30"/>
    <sheet name="ClinicalStage-ConceptMap-3" sheetId="202" r:id="rId31"/>
    <sheet name="ClinicalStage-ConceptMap-4" sheetId="203" r:id="rId32"/>
    <sheet name="ClinicalStage-CM-fsh" sheetId="200" r:id="rId33"/>
    <sheet name="PathologicalStage-src" sheetId="188" r:id="rId34"/>
    <sheet name="PathologicalStage" sheetId="189" r:id="rId35"/>
    <sheet name="PathologicalStage-fsh" sheetId="191" r:id="rId36"/>
    <sheet name="PathStage-ConceptMap-1" sheetId="204" r:id="rId37"/>
    <sheet name="PathStage-ConceptMap-2" sheetId="205" r:id="rId38"/>
    <sheet name="PathStage-ConceptMap-3" sheetId="206" r:id="rId39"/>
    <sheet name="PathStage-ConceptMap-4" sheetId="207" r:id="rId40"/>
    <sheet name="PathStage-CM-fsh" sheetId="208" r:id="rId41"/>
    <sheet name="SystemicTreatment" sheetId="164" r:id="rId42"/>
    <sheet name="SystemicTreatment-fsh" sheetId="166" r:id="rId43"/>
    <sheet name="SystemicTreatm-ConceptMap-1" sheetId="217" r:id="rId44"/>
    <sheet name="SystemicTreatment-CM-fsh" sheetId="218" r:id="rId45"/>
    <sheet name="Surgery" sheetId="209" r:id="rId46"/>
    <sheet name="Surgery-fsh" sheetId="210" r:id="rId47"/>
    <sheet name="Surgery-ConceptMap-1" sheetId="213" r:id="rId48"/>
    <sheet name="Surgery-CM-fsh" sheetId="214" r:id="rId49"/>
    <sheet name="Radiotherapy" sheetId="211" r:id="rId50"/>
    <sheet name="Radiotherapy-fsh" sheetId="212" r:id="rId51"/>
    <sheet name="Radiotherapy-ConceptMap-1" sheetId="215" r:id="rId52"/>
    <sheet name="Radiotherapy-CM-fsh" sheetId="216" r:id="rId53"/>
    <sheet name="ConvertOsiris" sheetId="138" r:id="rId54"/>
    <sheet name="Osiris" sheetId="141" r:id="rId55"/>
    <sheet name="Osiris-Map" sheetId="142" r:id="rId56"/>
    <sheet name="Osiris-fsh-noMap" sheetId="144" r:id="rId57"/>
    <sheet name="Osiris-fsh" sheetId="143" r:id="rId58"/>
    <sheet name="Osiris-ConceptMap" sheetId="145" r:id="rId59"/>
    <sheet name="Osiris-CM-fsh" sheetId="147" r:id="rId60"/>
    <sheet name="equivalence" sheetId="146" r:id="rId61"/>
  </sheets>
  <externalReferences>
    <externalReference r:id="rId62"/>
  </externalReferences>
  <definedNames>
    <definedName name="_xlnm._FilterDatabase" localSheetId="1" hidden="1">'2.Demographic &amp; life style'!$A$2:$S$47</definedName>
    <definedName name="_xlnm._FilterDatabase" localSheetId="4" hidden="1">CancerEpisode!$A$7:$M$39</definedName>
    <definedName name="_xlnm._FilterDatabase" localSheetId="53" hidden="1">ConvertOsiris!$D$2:$U$232</definedName>
    <definedName name="_xlnm._FilterDatabase" localSheetId="49" hidden="1">Radiotherapy!$A$7:$M$34</definedName>
    <definedName name="_xlnm._FilterDatabase" localSheetId="9"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215" l="1"/>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S165" i="215" a="1"/>
  <c r="S165" i="215" s="1"/>
  <c r="B169" i="216" s="1"/>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S171" i="215" a="1"/>
  <c r="S171" i="215" s="1"/>
  <c r="B175" i="216" s="1"/>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S21" i="215" s="1" a="1"/>
  <c r="S21" i="215" s="1"/>
  <c r="B25" i="216" s="1"/>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S39" i="215" s="1" a="1"/>
  <c r="S39" i="215" s="1"/>
  <c r="B43" i="216" s="1"/>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S45" i="215" s="1" a="1"/>
  <c r="S45" i="215" s="1"/>
  <c r="B49" i="216" s="1"/>
  <c r="R45" i="215"/>
  <c r="Q46" i="215"/>
  <c r="S46" i="215" s="1" a="1"/>
  <c r="S46" i="215" s="1"/>
  <c r="B50" i="216" s="1"/>
  <c r="R46" i="215"/>
  <c r="Q47" i="215"/>
  <c r="R47" i="215"/>
  <c r="Q48" i="215"/>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S69" i="215" s="1" a="1"/>
  <c r="S69" i="215" s="1"/>
  <c r="B73" i="216" s="1"/>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S75" i="215" s="1" a="1"/>
  <c r="S75" i="215" s="1"/>
  <c r="B79" i="216" s="1"/>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J40" i="215"/>
  <c r="K40" i="215"/>
  <c r="L40" i="215"/>
  <c r="M40" i="215"/>
  <c r="N40" i="215"/>
  <c r="I41" i="215"/>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B15" i="216"/>
  <c r="B13" i="216"/>
  <c r="B12" i="216"/>
  <c r="B9" i="216"/>
  <c r="B8" i="216"/>
  <c r="B4" i="216"/>
  <c r="R15" i="215"/>
  <c r="Q15" i="215"/>
  <c r="N15" i="215"/>
  <c r="M15" i="215"/>
  <c r="L15" i="215"/>
  <c r="K15" i="215"/>
  <c r="J15" i="215"/>
  <c r="I15" i="215"/>
  <c r="B17" i="216"/>
  <c r="E3" i="215"/>
  <c r="B14" i="216" s="1"/>
  <c r="I16" i="213"/>
  <c r="I17" i="213"/>
  <c r="I18" i="213"/>
  <c r="I19" i="213"/>
  <c r="I20" i="213"/>
  <c r="I21" i="213"/>
  <c r="I22" i="213"/>
  <c r="S57" i="213" s="1" a="1"/>
  <c r="S57" i="213" s="1"/>
  <c r="B61" i="214" s="1"/>
  <c r="I23" i="213"/>
  <c r="I24" i="213"/>
  <c r="I25" i="213"/>
  <c r="I26" i="213"/>
  <c r="I27" i="213"/>
  <c r="I38" i="213"/>
  <c r="I15" i="213"/>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I35" i="213" s="1"/>
  <c r="B36" i="213"/>
  <c r="I36" i="213" s="1"/>
  <c r="B37" i="213"/>
  <c r="I37" i="213" s="1"/>
  <c r="S147" i="213" s="1" a="1"/>
  <c r="S147" i="213" s="1"/>
  <c r="B151" i="214" s="1"/>
  <c r="B38" i="213"/>
  <c r="B16" i="213"/>
  <c r="B17" i="213"/>
  <c r="B18" i="213"/>
  <c r="B19" i="213"/>
  <c r="B20" i="213"/>
  <c r="B21" i="213"/>
  <c r="B22" i="213"/>
  <c r="B23" i="213"/>
  <c r="B24" i="213"/>
  <c r="B25" i="213"/>
  <c r="B26" i="213"/>
  <c r="B27" i="213"/>
  <c r="B28" i="213"/>
  <c r="I28" i="213" s="1"/>
  <c r="B29" i="213"/>
  <c r="I29" i="213" s="1"/>
  <c r="B30" i="213"/>
  <c r="I30" i="213" s="1"/>
  <c r="S105" i="213" s="1" a="1"/>
  <c r="S105" i="213" s="1"/>
  <c r="B109" i="214" s="1"/>
  <c r="B31" i="213"/>
  <c r="I31" i="213" s="1"/>
  <c r="B32" i="213"/>
  <c r="I32" i="213" s="1"/>
  <c r="B33" i="213"/>
  <c r="I33" i="213" s="1"/>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29" i="215" l="1"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<sst xmlns="http://schemas.openxmlformats.org/spreadsheetml/2006/main" count="7067" uniqueCount="2363">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</sst>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microsoft.com/office/2017/10/relationships/person" Target="persons/person.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0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3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3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2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2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4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8.vml"/><Relationship Id="rId1" Type="http://schemas.openxmlformats.org/officeDocument/2006/relationships/printerSettings" Target="../printerSettings/printerSettings23.bin"/><Relationship Id="rId4" Type="http://schemas.microsoft.com/office/2017/10/relationships/threadedComment" Target="../threadedComments/threadedComment3.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9" t="s">
        <v>1462</v>
      </c>
      <c r="B1" s="160"/>
      <c r="C1" s="160"/>
      <c r="D1" s="160"/>
      <c r="E1" s="160"/>
      <c r="F1" s="160"/>
      <c r="G1" s="160"/>
      <c r="H1" s="160"/>
      <c r="I1" s="160"/>
      <c r="J1" s="160"/>
      <c r="K1" s="160"/>
      <c r="L1" s="160"/>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1" t="s">
        <v>1496</v>
      </c>
      <c r="B10" s="162"/>
      <c r="C10" s="162"/>
      <c r="D10" s="162"/>
      <c r="E10" s="162"/>
      <c r="F10" s="162"/>
      <c r="G10" s="162"/>
      <c r="H10" s="162"/>
      <c r="I10" s="162"/>
      <c r="J10" s="162"/>
      <c r="K10" s="162"/>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3" t="s">
        <v>1538</v>
      </c>
      <c r="B18" s="162"/>
      <c r="C18" s="162"/>
      <c r="D18" s="162"/>
      <c r="E18" s="162"/>
      <c r="F18" s="162"/>
      <c r="G18" s="162"/>
      <c r="H18" s="162"/>
      <c r="I18" s="162"/>
      <c r="J18" s="162"/>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4" t="s">
        <v>23</v>
      </c>
      <c r="B1" s="164"/>
      <c r="C1" s="164"/>
      <c r="D1" s="164"/>
      <c r="E1" s="164"/>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5" t="s">
        <v>120</v>
      </c>
      <c r="E24" s="30" t="s">
        <v>41</v>
      </c>
      <c r="F24" s="30" t="s">
        <v>118</v>
      </c>
      <c r="G24" s="30" t="s">
        <v>48</v>
      </c>
      <c r="H24" s="31" t="s">
        <v>37</v>
      </c>
    </row>
    <row r="25" spans="1:9" ht="42">
      <c r="A25" s="33" t="s">
        <v>121</v>
      </c>
      <c r="B25" s="30" t="s">
        <v>39</v>
      </c>
      <c r="C25" s="165"/>
      <c r="E25" s="30" t="s">
        <v>41</v>
      </c>
      <c r="F25" s="30" t="s">
        <v>118</v>
      </c>
      <c r="G25" s="30" t="s">
        <v>48</v>
      </c>
      <c r="H25" s="31" t="s">
        <v>37</v>
      </c>
      <c r="I25" s="42"/>
    </row>
    <row r="26" spans="1:9" ht="42">
      <c r="A26" s="33" t="s">
        <v>122</v>
      </c>
      <c r="B26" s="30" t="s">
        <v>39</v>
      </c>
      <c r="C26" s="165"/>
      <c r="E26" s="30" t="s">
        <v>41</v>
      </c>
      <c r="F26" s="30" t="s">
        <v>118</v>
      </c>
      <c r="G26" s="30" t="s">
        <v>48</v>
      </c>
      <c r="H26" s="31" t="s">
        <v>37</v>
      </c>
    </row>
    <row r="27" spans="1:9" ht="42">
      <c r="A27" s="33" t="s">
        <v>123</v>
      </c>
      <c r="B27" s="30" t="s">
        <v>39</v>
      </c>
      <c r="C27" s="165"/>
      <c r="E27" s="30" t="s">
        <v>41</v>
      </c>
      <c r="F27" s="30" t="s">
        <v>118</v>
      </c>
      <c r="G27" s="30" t="s">
        <v>48</v>
      </c>
      <c r="H27" s="31" t="s">
        <v>37</v>
      </c>
    </row>
    <row r="28" spans="1:9" ht="42">
      <c r="A28" s="33" t="s">
        <v>124</v>
      </c>
      <c r="B28" s="30" t="s">
        <v>39</v>
      </c>
      <c r="C28" s="165"/>
      <c r="E28" s="30" t="s">
        <v>41</v>
      </c>
      <c r="F28" s="30" t="s">
        <v>118</v>
      </c>
      <c r="G28" s="30" t="s">
        <v>48</v>
      </c>
      <c r="H28" s="31" t="s">
        <v>37</v>
      </c>
    </row>
    <row r="29" spans="1:9" ht="42">
      <c r="A29" s="33" t="s">
        <v>125</v>
      </c>
      <c r="B29" s="30" t="s">
        <v>39</v>
      </c>
      <c r="C29" s="165"/>
      <c r="E29" s="30" t="s">
        <v>41</v>
      </c>
      <c r="F29" s="30" t="s">
        <v>118</v>
      </c>
      <c r="G29" s="30" t="s">
        <v>48</v>
      </c>
      <c r="H29" s="31" t="s">
        <v>37</v>
      </c>
    </row>
    <row r="30" spans="1:9" ht="42">
      <c r="A30" s="33" t="s">
        <v>126</v>
      </c>
      <c r="B30" s="30" t="s">
        <v>39</v>
      </c>
      <c r="C30" s="165"/>
      <c r="E30" s="30" t="s">
        <v>41</v>
      </c>
      <c r="F30" s="30" t="s">
        <v>118</v>
      </c>
      <c r="G30" s="30" t="s">
        <v>48</v>
      </c>
      <c r="H30" s="31" t="s">
        <v>37</v>
      </c>
    </row>
    <row r="31" spans="1:9" ht="42">
      <c r="A31" s="33" t="s">
        <v>127</v>
      </c>
      <c r="B31" s="30" t="s">
        <v>39</v>
      </c>
      <c r="C31" s="165"/>
      <c r="E31" s="30" t="s">
        <v>41</v>
      </c>
      <c r="F31" s="30" t="s">
        <v>118</v>
      </c>
      <c r="G31" s="30" t="s">
        <v>48</v>
      </c>
      <c r="H31" s="31" t="s">
        <v>37</v>
      </c>
    </row>
    <row r="32" spans="1:9" ht="42">
      <c r="A32" s="33" t="s">
        <v>128</v>
      </c>
      <c r="B32" s="30" t="s">
        <v>39</v>
      </c>
      <c r="C32" s="165"/>
      <c r="E32" s="30" t="s">
        <v>41</v>
      </c>
      <c r="F32" s="30" t="s">
        <v>118</v>
      </c>
      <c r="G32" s="30" t="s">
        <v>48</v>
      </c>
      <c r="H32" s="31" t="s">
        <v>37</v>
      </c>
    </row>
    <row r="33" spans="1:9" ht="42">
      <c r="A33" s="33" t="s">
        <v>129</v>
      </c>
      <c r="B33" s="30" t="s">
        <v>39</v>
      </c>
      <c r="C33" s="165"/>
      <c r="E33" s="30" t="s">
        <v>41</v>
      </c>
      <c r="F33" s="30" t="s">
        <v>118</v>
      </c>
      <c r="G33" s="30" t="s">
        <v>48</v>
      </c>
      <c r="H33" s="31" t="s">
        <v>37</v>
      </c>
    </row>
    <row r="34" spans="1:9" ht="42">
      <c r="A34" s="33" t="s">
        <v>130</v>
      </c>
      <c r="B34" s="30" t="s">
        <v>39</v>
      </c>
      <c r="C34" s="165"/>
      <c r="E34" s="30" t="s">
        <v>41</v>
      </c>
      <c r="F34" s="30" t="s">
        <v>118</v>
      </c>
      <c r="G34" s="30" t="s">
        <v>48</v>
      </c>
      <c r="H34" s="31" t="s">
        <v>37</v>
      </c>
    </row>
    <row r="35" spans="1:9" ht="42">
      <c r="A35" s="33" t="s">
        <v>131</v>
      </c>
      <c r="B35" s="30" t="s">
        <v>39</v>
      </c>
      <c r="C35" s="165"/>
      <c r="E35" s="30" t="s">
        <v>41</v>
      </c>
      <c r="F35" s="30" t="s">
        <v>118</v>
      </c>
      <c r="G35" s="30" t="s">
        <v>48</v>
      </c>
      <c r="H35" s="31" t="s">
        <v>37</v>
      </c>
    </row>
    <row r="36" spans="1:9" ht="42">
      <c r="A36" s="33" t="s">
        <v>132</v>
      </c>
      <c r="B36" s="30" t="s">
        <v>39</v>
      </c>
      <c r="C36" s="165"/>
      <c r="E36" s="30" t="s">
        <v>41</v>
      </c>
      <c r="F36" s="30" t="s">
        <v>118</v>
      </c>
      <c r="G36" s="30" t="s">
        <v>48</v>
      </c>
      <c r="H36" s="31" t="s">
        <v>37</v>
      </c>
    </row>
    <row r="37" spans="1:9" ht="42">
      <c r="A37" s="33" t="s">
        <v>133</v>
      </c>
      <c r="B37" s="30" t="s">
        <v>39</v>
      </c>
      <c r="C37" s="165"/>
      <c r="E37" s="30" t="s">
        <v>41</v>
      </c>
      <c r="F37" s="30" t="s">
        <v>118</v>
      </c>
      <c r="G37" s="30" t="s">
        <v>48</v>
      </c>
      <c r="H37" s="31" t="s">
        <v>37</v>
      </c>
    </row>
    <row r="38" spans="1:9" ht="42">
      <c r="A38" s="33" t="s">
        <v>134</v>
      </c>
      <c r="B38" s="30" t="s">
        <v>39</v>
      </c>
      <c r="C38" s="165"/>
      <c r="E38" s="30" t="s">
        <v>41</v>
      </c>
      <c r="F38" s="30" t="s">
        <v>118</v>
      </c>
      <c r="G38" s="30" t="s">
        <v>48</v>
      </c>
      <c r="H38" s="31" t="s">
        <v>37</v>
      </c>
    </row>
    <row r="39" spans="1:9" ht="42">
      <c r="A39" s="33" t="s">
        <v>135</v>
      </c>
      <c r="B39" s="30" t="s">
        <v>39</v>
      </c>
      <c r="C39" s="165"/>
      <c r="E39" s="30" t="s">
        <v>41</v>
      </c>
      <c r="F39" s="30" t="s">
        <v>118</v>
      </c>
      <c r="G39" s="30" t="s">
        <v>48</v>
      </c>
      <c r="H39" s="31" t="s">
        <v>37</v>
      </c>
    </row>
    <row r="40" spans="1:9" ht="42">
      <c r="A40" s="33" t="s">
        <v>136</v>
      </c>
      <c r="B40" s="30" t="s">
        <v>39</v>
      </c>
      <c r="C40" s="165"/>
      <c r="E40" s="30" t="s">
        <v>41</v>
      </c>
      <c r="F40" s="30" t="s">
        <v>118</v>
      </c>
      <c r="G40" s="30" t="s">
        <v>48</v>
      </c>
      <c r="H40" s="31" t="s">
        <v>37</v>
      </c>
    </row>
    <row r="41" spans="1:9" ht="42">
      <c r="A41" s="33" t="s">
        <v>137</v>
      </c>
      <c r="B41" s="30" t="s">
        <v>39</v>
      </c>
      <c r="C41" s="165"/>
      <c r="E41" s="30" t="s">
        <v>41</v>
      </c>
      <c r="F41" s="30" t="s">
        <v>118</v>
      </c>
      <c r="G41" s="30" t="s">
        <v>48</v>
      </c>
      <c r="H41" s="31" t="s">
        <v>37</v>
      </c>
    </row>
    <row r="42" spans="1:9" ht="42">
      <c r="A42" s="33" t="s">
        <v>138</v>
      </c>
      <c r="B42" s="30" t="s">
        <v>39</v>
      </c>
      <c r="C42" s="165"/>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Normal="100" workbookViewId="0">
      <selection activeCell="C30" sqref="C30"/>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2323</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32" workbookViewId="0">
      <selection activeCell="E4" sqref="E4:G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66" t="s">
        <v>1804</v>
      </c>
      <c r="F4" s="167"/>
      <c r="G4" s="167"/>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1804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1902</v>
      </c>
      <c r="E36" s="12"/>
      <c r="F36" s="64" t="s">
        <v>1407</v>
      </c>
      <c r="G36" s="141" t="s">
        <v>1905</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1894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22" zoomScale="145" zoomScaleNormal="145" workbookViewId="0">
      <selection activeCell="B32" sqref="B3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6" t="s">
        <v>1897</v>
      </c>
      <c r="F4" s="167"/>
      <c r="G4" s="167"/>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1897</v>
      </c>
      <c r="F7" s="167"/>
      <c r="G7" s="167"/>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1878</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1884</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1886</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1890</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9" zoomScale="145" zoomScaleNormal="14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2083</v>
      </c>
      <c r="C10" s="11" t="s">
        <v>2028</v>
      </c>
      <c r="D10" s="12"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58">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8">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8">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8">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8">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8">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8">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8">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8">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8">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6" t="s">
        <v>1804</v>
      </c>
      <c r="F4" s="167"/>
      <c r="G4" s="167"/>
    </row>
    <row r="5" spans="1:19">
      <c r="B5" s="62" t="s">
        <v>10</v>
      </c>
      <c r="C5" s="7" t="s">
        <v>2100</v>
      </c>
      <c r="D5" s="62"/>
      <c r="E5" s="7"/>
    </row>
    <row r="6" spans="1:19">
      <c r="B6" s="62" t="s">
        <v>18</v>
      </c>
      <c r="C6" s="56"/>
      <c r="D6" s="62" t="s">
        <v>1793</v>
      </c>
      <c r="E6" s="166" t="str">
        <f>E3</f>
        <v>http://hl7.eu/fhir/ig/idea4rc/StructureDefinition/EpisodeEvent</v>
      </c>
      <c r="F6" s="167"/>
      <c r="G6" s="167"/>
    </row>
    <row r="7" spans="1:19">
      <c r="B7" s="62" t="s">
        <v>15</v>
      </c>
      <c r="C7" s="119"/>
      <c r="D7" s="62" t="s">
        <v>1794</v>
      </c>
      <c r="E7" s="166" t="s">
        <v>1804</v>
      </c>
      <c r="F7" s="167"/>
      <c r="G7" s="167"/>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8" t="s">
        <v>2110</v>
      </c>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10" zoomScale="130" zoomScaleNormal="13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8">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8">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8">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58">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58">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58">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58">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8">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58">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8">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2111</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topLeftCell="A10" zoomScale="130" zoomScaleNormal="130" workbookViewId="0">
      <selection activeCell="B15" sqref="B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6" t="s">
        <v>2111</v>
      </c>
      <c r="F4" s="167"/>
      <c r="G4" s="167"/>
    </row>
    <row r="5" spans="1:19">
      <c r="B5" s="62" t="s">
        <v>10</v>
      </c>
      <c r="C5" s="7" t="s">
        <v>2130</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2322</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2322</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2322</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2322</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5" zoomScale="130" zoomScaleNormal="130" workbookViewId="0">
      <selection activeCell="A19" sqref="A19:A2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2296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1">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2348</v>
      </c>
      <c r="D3" s="62" t="s">
        <v>1791</v>
      </c>
      <c r="E3" s="118" t="str">
        <f>$C$1&amp;B14</f>
        <v>http://hl7.eu/fhir/ig/idea4rc/StructureDefinition/SystemicTreatment</v>
      </c>
    </row>
    <row r="4" spans="1:19">
      <c r="B4" s="62" t="s">
        <v>16</v>
      </c>
      <c r="C4" s="28" t="s">
        <v>2348</v>
      </c>
      <c r="D4" s="62" t="s">
        <v>1792</v>
      </c>
      <c r="E4" s="166" t="s">
        <v>2360</v>
      </c>
      <c r="F4" s="171"/>
      <c r="G4" s="171"/>
    </row>
    <row r="5" spans="1:19">
      <c r="B5" s="62" t="s">
        <v>10</v>
      </c>
      <c r="C5" s="7" t="s">
        <v>2349</v>
      </c>
      <c r="D5" s="62"/>
      <c r="E5" s="7"/>
    </row>
    <row r="6" spans="1:19">
      <c r="B6" s="62" t="s">
        <v>18</v>
      </c>
      <c r="C6" s="56"/>
      <c r="D6" s="62" t="s">
        <v>1793</v>
      </c>
      <c r="E6" s="166" t="str">
        <f>E3</f>
        <v>http://hl7.eu/fhir/ig/idea4rc/StructureDefinition/SystemicTreatment</v>
      </c>
      <c r="F6" s="167"/>
      <c r="G6" s="167"/>
    </row>
    <row r="7" spans="1:19">
      <c r="B7" s="62" t="s">
        <v>15</v>
      </c>
      <c r="C7" s="119"/>
      <c r="D7" s="62" t="s">
        <v>1794</v>
      </c>
      <c r="E7" s="166" t="str">
        <f>E4</f>
        <v>http://hl7.eu/fhir/ig/idea4rc/StructureDefinition/MedicationAdministration-eu-i4rc</v>
      </c>
      <c r="F7" s="167"/>
      <c r="G7" s="167"/>
    </row>
    <row r="8" spans="1:19" ht="45" thickBot="1">
      <c r="B8" s="62" t="s">
        <v>1795</v>
      </c>
      <c r="C8" s="7" t="s">
        <v>2349</v>
      </c>
      <c r="D8" s="62"/>
      <c r="E8" s="7"/>
      <c r="I8" s="12" t="s">
        <v>1402</v>
      </c>
      <c r="J8" s="12" t="s">
        <v>1403</v>
      </c>
      <c r="K8" s="12" t="s">
        <v>1404</v>
      </c>
      <c r="L8" s="12" t="s">
        <v>1405</v>
      </c>
      <c r="M8" s="11" t="s">
        <v>1406</v>
      </c>
      <c r="P8" s="49" t="s">
        <v>1441</v>
      </c>
      <c r="Q8" s="49">
        <v>6</v>
      </c>
    </row>
    <row r="9" spans="1:19" ht="30.25" thickBot="1">
      <c r="B9" s="62" t="s">
        <v>1796</v>
      </c>
      <c r="C9" s="12" t="s">
        <v>2350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2302</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2303</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2351</v>
      </c>
      <c r="E16" s="12"/>
      <c r="F16" s="64" t="s">
        <v>1429</v>
      </c>
      <c r="G16" s="124" t="s">
        <v>2359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2352</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2353</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2094</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2354</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2355</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2355</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2355</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2356</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2357</v>
      </c>
      <c r="E29" s="12"/>
      <c r="F29" s="64" t="s">
        <v>1407</v>
      </c>
      <c r="G29" s="123" t="s">
        <v>2358</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2361</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2324</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2325</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2326</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2330</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2327</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2328</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2329</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2331</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2333</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2332</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2298</v>
      </c>
      <c r="D3" s="62" t="s">
        <v>1791</v>
      </c>
      <c r="E3" s="118" t="str">
        <f>$C$1&amp;B14</f>
        <v>http://hl7.eu/fhir/ig/idea4rc/StructureDefinition/Surgery</v>
      </c>
    </row>
    <row r="4" spans="1:19">
      <c r="B4" s="62" t="s">
        <v>16</v>
      </c>
      <c r="C4" s="28" t="s">
        <v>2298</v>
      </c>
      <c r="D4" s="62" t="s">
        <v>1792</v>
      </c>
      <c r="E4" s="166" t="s">
        <v>2301</v>
      </c>
      <c r="F4" s="167"/>
      <c r="G4" s="167"/>
    </row>
    <row r="5" spans="1:19">
      <c r="B5" s="62" t="s">
        <v>10</v>
      </c>
      <c r="C5" s="7" t="s">
        <v>2299</v>
      </c>
      <c r="D5" s="62"/>
      <c r="E5" s="7"/>
    </row>
    <row r="6" spans="1:19">
      <c r="B6" s="62" t="s">
        <v>18</v>
      </c>
      <c r="C6" s="56"/>
      <c r="D6" s="62" t="s">
        <v>1793</v>
      </c>
      <c r="E6" s="166" t="str">
        <f>E3</f>
        <v>http://hl7.eu/fhir/ig/idea4rc/StructureDefinition/Surgery</v>
      </c>
      <c r="F6" s="167"/>
      <c r="G6" s="167"/>
    </row>
    <row r="7" spans="1:19">
      <c r="B7" s="62" t="s">
        <v>15</v>
      </c>
      <c r="C7" s="119"/>
      <c r="D7" s="62" t="s">
        <v>1794</v>
      </c>
      <c r="E7" s="166" t="str">
        <f>E4</f>
        <v>http://hl7.eu/fhir/ig/idea4rc/StructureDefinition/Procedure-surgery-eu-i4rc</v>
      </c>
      <c r="F7" s="167"/>
      <c r="G7" s="167"/>
    </row>
    <row r="8" spans="1:19" ht="45" thickBot="1">
      <c r="B8" s="62" t="s">
        <v>1795</v>
      </c>
      <c r="C8" s="7" t="s">
        <v>2299</v>
      </c>
      <c r="D8" s="62"/>
      <c r="E8" s="7"/>
      <c r="I8" s="12" t="s">
        <v>1402</v>
      </c>
      <c r="J8" s="12" t="s">
        <v>1403</v>
      </c>
      <c r="K8" s="12" t="s">
        <v>1404</v>
      </c>
      <c r="L8" s="12" t="s">
        <v>1405</v>
      </c>
      <c r="M8" s="11" t="s">
        <v>1406</v>
      </c>
      <c r="P8" s="49" t="s">
        <v>1441</v>
      </c>
      <c r="Q8" s="49">
        <v>6</v>
      </c>
    </row>
    <row r="9" spans="1:19" ht="15.5" thickBot="1">
      <c r="B9" s="62" t="s">
        <v>1796</v>
      </c>
      <c r="C9" s="12" t="s">
        <v>2300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2302</v>
      </c>
      <c r="E14" s="6"/>
      <c r="F14" s="64"/>
      <c r="G14" s="64"/>
      <c r="I14" s="12"/>
      <c r="J14" s="11"/>
      <c r="K14" s="11"/>
      <c r="L14" s="11"/>
      <c r="M14" s="63"/>
      <c r="N14" s="66"/>
    </row>
    <row r="15" spans="1:19" ht="44.25">
      <c r="A15" s="59"/>
      <c r="B15" s="11" t="str">
        <f>Surgery!B8</f>
        <v>episodeEventReference</v>
      </c>
      <c r="C15" s="11" t="str">
        <f>Surgery!C8</f>
        <v>Episode Event reference</v>
      </c>
      <c r="D15" s="12" t="s">
        <v>2303</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2317</v>
      </c>
      <c r="E16" s="12"/>
      <c r="F16" s="64" t="s">
        <v>1407</v>
      </c>
      <c r="G16" s="123" t="s">
        <v>2305</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2304</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2306</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2307</v>
      </c>
      <c r="E19" s="12"/>
      <c r="F19" s="64" t="s">
        <v>1407</v>
      </c>
      <c r="G19" s="123" t="s">
        <v>2308</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2309</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2310</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2311</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2304</v>
      </c>
      <c r="E23" s="11"/>
      <c r="F23" s="64" t="s">
        <v>1430</v>
      </c>
      <c r="G23" s="123" t="s">
        <v>2312</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2313</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2314</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2312</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2315</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2316</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19" zoomScaleNormal="100" workbookViewId="0">
      <selection activeCell="D18" sqref="D18"/>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8">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2296</v>
      </c>
      <c r="H15" s="12"/>
      <c r="I15" s="25"/>
      <c r="J15" s="12" t="str">
        <f t="shared" si="1"/>
        <v>* totalDoseTdGy 1..1 decimal ##34#Total Dose (TD) Gy##34# ##334#Refers to the total dose delivered to the patient in Gy##334#</v>
      </c>
      <c r="L15" s="12" t="str">
        <f t="shared" si="2"/>
        <v/>
      </c>
    </row>
    <row r="16" spans="1:12" ht="29.5">
      <c r="A16" s="101">
        <v>8</v>
      </c>
      <c r="B16" s="11" t="s">
        <v>2239</v>
      </c>
      <c r="C16" s="11" t="s">
        <v>2240</v>
      </c>
      <c r="D16" s="11" t="s">
        <v>2241</v>
      </c>
      <c r="E16" s="11">
        <v>1</v>
      </c>
      <c r="F16" s="11">
        <v>1</v>
      </c>
      <c r="G16" s="57" t="s">
        <v>2296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2296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6">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H31" sqref="H3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2297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E8" sqref="E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2318</v>
      </c>
      <c r="D3" s="62" t="s">
        <v>1791</v>
      </c>
      <c r="E3" s="118" t="str">
        <f>$C$1&amp;B14</f>
        <v>http://hl7.eu/fhir/ig/idea4rc/StructureDefinition/Radiotherapy</v>
      </c>
    </row>
    <row r="4" spans="1:19">
      <c r="B4" s="62" t="s">
        <v>16</v>
      </c>
      <c r="C4" s="28" t="s">
        <v>2318</v>
      </c>
      <c r="D4" s="62" t="s">
        <v>1792</v>
      </c>
      <c r="E4" s="166" t="s">
        <v>2362</v>
      </c>
      <c r="F4" s="167"/>
      <c r="G4" s="167"/>
    </row>
    <row r="5" spans="1:19">
      <c r="B5" s="62" t="s">
        <v>10</v>
      </c>
      <c r="C5" s="7" t="s">
        <v>2319</v>
      </c>
      <c r="D5" s="62"/>
      <c r="E5" s="7"/>
    </row>
    <row r="6" spans="1:19">
      <c r="B6" s="62" t="s">
        <v>18</v>
      </c>
      <c r="C6" s="56"/>
      <c r="D6" s="62" t="s">
        <v>1793</v>
      </c>
      <c r="E6" s="166" t="str">
        <f>E3</f>
        <v>http://hl7.eu/fhir/ig/idea4rc/StructureDefinition/Radiotherapy</v>
      </c>
      <c r="F6" s="167"/>
      <c r="G6" s="167"/>
    </row>
    <row r="7" spans="1:19">
      <c r="B7" s="62" t="s">
        <v>15</v>
      </c>
      <c r="C7" s="119"/>
      <c r="D7" s="62" t="s">
        <v>1794</v>
      </c>
      <c r="E7" s="166" t="str">
        <f>E4</f>
        <v>http://hl7.eu/fhir/ig/idea4rc/StructureDefinition/Procedure-radiotheraphy-eu-i4rc</v>
      </c>
      <c r="F7" s="167"/>
      <c r="G7" s="167"/>
    </row>
    <row r="8" spans="1:19" ht="45" thickBot="1">
      <c r="B8" s="62" t="s">
        <v>1795</v>
      </c>
      <c r="C8" s="7" t="s">
        <v>2319</v>
      </c>
      <c r="D8" s="62"/>
      <c r="E8" s="7"/>
      <c r="I8" s="12" t="s">
        <v>1402</v>
      </c>
      <c r="J8" s="12" t="s">
        <v>1403</v>
      </c>
      <c r="K8" s="12" t="s">
        <v>1404</v>
      </c>
      <c r="L8" s="12" t="s">
        <v>1405</v>
      </c>
      <c r="M8" s="11" t="s">
        <v>1406</v>
      </c>
      <c r="P8" s="49" t="s">
        <v>1441</v>
      </c>
      <c r="Q8" s="49">
        <v>6</v>
      </c>
    </row>
    <row r="9" spans="1:19" ht="30.25" thickBot="1">
      <c r="B9" s="62" t="s">
        <v>1796</v>
      </c>
      <c r="C9" s="12" t="s">
        <v>2320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2302</v>
      </c>
      <c r="E14" s="6"/>
      <c r="F14" s="64"/>
      <c r="G14" s="64"/>
      <c r="I14" s="12"/>
      <c r="J14" s="11"/>
      <c r="K14" s="11"/>
      <c r="L14" s="11"/>
      <c r="M14" s="63"/>
      <c r="N14" s="66"/>
    </row>
    <row r="15" spans="1:19" ht="44.25">
      <c r="A15" s="59"/>
      <c r="B15" s="11" t="str">
        <f>Radiotherapy!B8</f>
        <v>episodeEventReference</v>
      </c>
      <c r="C15" s="11" t="str">
        <f>Radiotherapy!C8</f>
        <v>Episode Event reference</v>
      </c>
      <c r="D15" s="12" t="s">
        <v>2303</v>
      </c>
      <c r="E15" s="12"/>
      <c r="F15" s="64" t="s">
        <v>1407</v>
      </c>
      <c r="G15" s="124"/>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2346</v>
      </c>
      <c r="E16" s="12"/>
      <c r="F16" s="64" t="s">
        <v>1407</v>
      </c>
      <c r="G16" s="123" t="s">
        <v>2321</v>
      </c>
      <c r="I16" s="12" t="str">
        <f t="shared" ref="I16:I38" si="7">"* group[=].element[+].code = #"&amp;$B$14&amp;"."&amp;B16</f>
        <v>* group[=].element[+].code = #Radiotherapy.radiotherapy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2334</v>
      </c>
      <c r="E17" s="12"/>
      <c r="F17" s="64" t="s">
        <v>1407</v>
      </c>
      <c r="G17" s="123" t="s">
        <v>1797</v>
      </c>
      <c r="H17" s="58"/>
      <c r="I17" s="12" t="str">
        <f t="shared" si="7"/>
        <v>* group[=].element[+].code = #Radiotherapy.intent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2346</v>
      </c>
      <c r="E18" s="12"/>
      <c r="F18" s="64" t="s">
        <v>1407</v>
      </c>
      <c r="G18" s="123" t="s">
        <v>2321</v>
      </c>
      <c r="H18" s="58"/>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2341</v>
      </c>
      <c r="E19" s="12"/>
      <c r="F19" s="64" t="s">
        <v>1407</v>
      </c>
      <c r="G19" s="124" t="s">
        <v>1797</v>
      </c>
      <c r="H19" s="58"/>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2342</v>
      </c>
      <c r="E20" s="12"/>
      <c r="F20" s="64" t="s">
        <v>1424</v>
      </c>
      <c r="G20" s="124" t="s">
        <v>1797</v>
      </c>
      <c r="H20" s="58"/>
      <c r="I20" s="12" t="str">
        <f t="shared" si="7"/>
        <v>* group[=].element[+].code = #Radiotherapy.otherSpecify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2335</v>
      </c>
      <c r="E21" s="12"/>
      <c r="F21" s="64" t="s">
        <v>1407</v>
      </c>
      <c r="G21" s="124" t="s">
        <v>1797</v>
      </c>
      <c r="H21" s="58"/>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#Radiotherapy.radiotherapy</v>
      </c>
    </row>
    <row r="22" spans="1:19" ht="88.5">
      <c r="A22" s="59"/>
      <c r="B22" s="11" t="str">
        <f>Radiotherapy!B15</f>
        <v>totalDoseTdGy</v>
      </c>
      <c r="C22" s="11" t="str">
        <f>Radiotherapy!C15</f>
        <v>Total Dose (TD) Gy</v>
      </c>
      <c r="D22" s="12" t="s">
        <v>2336</v>
      </c>
      <c r="E22" s="12"/>
      <c r="F22" s="64" t="s">
        <v>1429</v>
      </c>
      <c r="G22" s="124"/>
      <c r="H22" s="58"/>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2338</v>
      </c>
      <c r="H23" s="58"/>
      <c r="I23" s="12" t="str">
        <f t="shared" si="7"/>
        <v>* group[=].element[+].code = #Radiotherapy.fractionSizeFs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2337</v>
      </c>
      <c r="E24" s="11"/>
      <c r="F24" s="64" t="s">
        <v>1407</v>
      </c>
      <c r="G24" s="124"/>
      <c r="H24" s="58"/>
      <c r="I24" s="12" t="str">
        <f t="shared" si="7"/>
        <v>* group[=].element[+].code = #Radiotherapy.numberOfFractions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2339</v>
      </c>
      <c r="E25" s="11"/>
      <c r="F25" s="64" t="s">
        <v>1407</v>
      </c>
      <c r="G25" s="123" t="s">
        <v>2340</v>
      </c>
      <c r="H25" s="58"/>
      <c r="I25" s="12" t="str">
        <f t="shared" si="7"/>
        <v>* group[=].element[+].code = #Radiotherapy.adaptiveRt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2335</v>
      </c>
      <c r="E26" s="12"/>
      <c r="F26" s="64" t="s">
        <v>1407</v>
      </c>
      <c r="G26" s="123" t="s">
        <v>1797</v>
      </c>
      <c r="H26" s="58"/>
      <c r="I26" s="12" t="str">
        <f t="shared" si="7"/>
        <v>* group[=].element[+].code = #Radiotherapy.igrtImageGuideRadiotherapy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2343</v>
      </c>
      <c r="E27" s="12"/>
      <c r="F27" s="64" t="s">
        <v>1430</v>
      </c>
      <c r="G27" s="124"/>
      <c r="H27" s="58"/>
      <c r="I27" s="12" t="str">
        <f t="shared" si="7"/>
        <v>* group[=].element[+].code = #Radiotherapy.startDate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#Radiotherapy.intent</v>
      </c>
    </row>
    <row r="28" spans="1:19" ht="59">
      <c r="B28" s="11" t="str">
        <f>Radiotherapy!B21</f>
        <v>endDate</v>
      </c>
      <c r="C28" s="11" t="str">
        <f>Radiotherapy!C21</f>
        <v>End  date</v>
      </c>
      <c r="D28" s="12" t="s">
        <v>2344</v>
      </c>
      <c r="E28" s="12"/>
      <c r="F28" s="64" t="s">
        <v>1430</v>
      </c>
      <c r="G28" s="124"/>
      <c r="H28" s="58"/>
      <c r="I28" s="12" t="str">
        <f t="shared" si="7"/>
        <v>* group[=].element[+].code = #Radiotherapy.endDate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2097</v>
      </c>
      <c r="E29" s="12"/>
      <c r="F29" s="64" t="s">
        <v>1429</v>
      </c>
      <c r="G29" s="124"/>
      <c r="H29" s="58"/>
      <c r="I29" s="12" t="str">
        <f t="shared" si="7"/>
        <v>* group[=].element[+].code = #Radiotherapy.treatmentSites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2097</v>
      </c>
      <c r="E30" s="12"/>
      <c r="F30" s="64" t="s">
        <v>1407</v>
      </c>
      <c r="G30" s="123" t="s">
        <v>1797</v>
      </c>
      <c r="H30" s="58"/>
      <c r="I30" s="12" t="str">
        <f t="shared" si="7"/>
        <v>* group[=].element[+].code = #Radiotherapy.treatmentSites.primary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2097</v>
      </c>
      <c r="E31" s="12"/>
      <c r="F31" s="64" t="s">
        <v>1407</v>
      </c>
      <c r="G31" s="123" t="s">
        <v>1797</v>
      </c>
      <c r="H31" s="58"/>
      <c r="I31" s="12" t="str">
        <f t="shared" si="7"/>
        <v>* group[=].element[+].code = #Radiotherapy.treatmentSites.neck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2097</v>
      </c>
      <c r="E32" s="12"/>
      <c r="F32" s="64" t="s">
        <v>1407</v>
      </c>
      <c r="G32" s="123" t="s">
        <v>1797</v>
      </c>
      <c r="H32" s="58"/>
      <c r="I32" s="12" t="str">
        <f t="shared" si="7"/>
        <v>* group[=].element[+].code = #Radiotherapy.treatmentSites.primaryAndIpsilateralNeck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2097</v>
      </c>
      <c r="E33" s="12"/>
      <c r="F33" s="64" t="s">
        <v>1407</v>
      </c>
      <c r="G33" s="123" t="s">
        <v>1797</v>
      </c>
      <c r="H33" s="58"/>
      <c r="I33" s="12" t="str">
        <f t="shared" si="7"/>
        <v>* group[=].element[+].code = #Radiotherapy.treatmentSites.primaryAndBilateralNeck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t="s">
        <v>2097</v>
      </c>
      <c r="E34" s="12"/>
      <c r="F34" s="64" t="s">
        <v>1407</v>
      </c>
      <c r="G34" s="123" t="s">
        <v>1797</v>
      </c>
      <c r="H34" s="58"/>
      <c r="I34" s="12" t="str">
        <f t="shared" si="7"/>
        <v>* group[=].element[+].code = #Radiotherapy.treatmentSites.distantMetastasis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2097</v>
      </c>
      <c r="E35" s="12"/>
      <c r="F35" s="64" t="s">
        <v>1407</v>
      </c>
      <c r="G35" s="123" t="s">
        <v>1797</v>
      </c>
      <c r="H35" s="58"/>
      <c r="I35" s="12" t="str">
        <f t="shared" si="7"/>
        <v>* group[=].element[+].code = #Radiotherapy.metastaticTreatmentSites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2097</v>
      </c>
      <c r="E36" s="12"/>
      <c r="F36" s="64" t="s">
        <v>1407</v>
      </c>
      <c r="G36" s="123" t="s">
        <v>1797</v>
      </c>
      <c r="H36" s="58"/>
      <c r="I36" s="12" t="str">
        <f t="shared" si="7"/>
        <v>* group[=].element[+].code = #Radiotherapy.metastaticTreatmentSites.lung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2097</v>
      </c>
      <c r="E37" s="12"/>
      <c r="F37" s="64" t="s">
        <v>1407</v>
      </c>
      <c r="G37" s="123" t="s">
        <v>1797</v>
      </c>
      <c r="H37" s="58"/>
      <c r="I37" s="12" t="str">
        <f t="shared" si="7"/>
        <v>* group[=].element[+].code = #Radiotherapy.metastaticTreatmentSites.mediastinum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2097</v>
      </c>
      <c r="E38" s="12"/>
      <c r="F38" s="64" t="s">
        <v>1407</v>
      </c>
      <c r="G38" s="123" t="s">
        <v>1797</v>
      </c>
      <c r="H38" s="58"/>
      <c r="I38" s="12" t="str">
        <f t="shared" si="7"/>
        <v>* group[=].element[+].code = #Radiotherapy.metastaticTreatmentSites.bone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2097</v>
      </c>
      <c r="E39" s="12"/>
      <c r="F39" s="64" t="s">
        <v>1407</v>
      </c>
      <c r="G39" s="123" t="s">
        <v>1797</v>
      </c>
      <c r="H39" s="58"/>
      <c r="I39" s="12" t="str">
        <f>"* group[=].element[+].code = #"&amp;$B$14&amp;"."&amp;B39</f>
        <v>* group[=].element[+].code = #Radiotherapy.metastaticTreatmentSites.softTissue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#Radiotherapy.beamQuality</v>
      </c>
    </row>
    <row r="40" spans="1:19" s="2" customFormat="1" ht="44.25">
      <c r="A40"/>
      <c r="B40" s="11" t="str">
        <f>Radiotherapy!B33</f>
        <v>metastaticTreatmentSites.liver</v>
      </c>
      <c r="C40" s="11" t="str">
        <f>Radiotherapy!C33</f>
        <v xml:space="preserve">Liver
</v>
      </c>
      <c r="D40" s="12" t="s">
        <v>2097</v>
      </c>
      <c r="E40" s="12"/>
      <c r="F40" s="64" t="s">
        <v>1407</v>
      </c>
      <c r="G40" s="123" t="s">
        <v>1797</v>
      </c>
      <c r="H40" s="58"/>
      <c r="I40" s="12" t="str">
        <f t="shared" ref="I40:I41" si="15">"* group[=].element[+].code = #"&amp;$B$14&amp;"."&amp;B40</f>
        <v>* group[=].element[+].code = #Radiotherapy.metastaticTreatmentSites.liver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2339</v>
      </c>
      <c r="E41" s="11"/>
      <c r="F41" s="64" t="s">
        <v>1407</v>
      </c>
      <c r="G41" s="123" t="s">
        <v>2345</v>
      </c>
      <c r="H41" s="58"/>
      <c r="I41" s="12" t="str">
        <f t="shared" si="15"/>
        <v>* group[=].element[+].code = #Radiotherapy.treatmentCompletedAsPlanned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c r="P123" s="11">
        <v>109</v>
      </c>
      <c r="Q123" s="11">
        <f t="shared" si="21"/>
        <v>18</v>
      </c>
      <c r="R123" s="11">
        <f t="shared" si="22"/>
        <v>1</v>
      </c>
      <c r="S123" s="12" t="str" cm="1">
        <f t="array" ref="S123">INDEX('Radiotherapy-ConceptMap-1'!$I$15:$N$124,Q123+1,R123)</f>
        <v>* group[=].element[+].code = #Radiotherapy.treatmentSites.primaryAndBilateralNeck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c r="P147" s="11">
        <v>133</v>
      </c>
      <c r="Q147" s="11">
        <f t="shared" si="23"/>
        <v>22</v>
      </c>
      <c r="R147" s="11">
        <f t="shared" si="24"/>
        <v>1</v>
      </c>
      <c r="S147" s="12" t="str" cm="1">
        <f t="array" ref="S147">INDEX('Radiotherapy-ConceptMap-1'!$I$15:$N$124,Q147+1,R147)</f>
        <v>* group[=].element[+].code = #Radiotherapy.metastaticTreatmentSites.mediastinum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tabSelected="1" workbookViewId="0">
      <selection activeCell="D2" sqref="D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2347</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2023-07-27T13:57:44Z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